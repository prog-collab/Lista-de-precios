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</sheets>
  <definedNames>
    <definedName name="_xlnm._FilterDatabase" localSheetId="0" hidden="1">'Hoja1'!$K$11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;[Red]0.00"/>
    <numFmt numFmtId="165" formatCode="0.0"/>
    <numFmt numFmtId="166" formatCode="d/m"/>
    <numFmt numFmtId="167" formatCode="d-m"/>
  </numFmts>
  <fonts count="15">
    <font>
      <name val="Calibri"/>
      <color rgb="FF000000"/>
      <sz val="11"/>
    </font>
    <font/>
    <font>
      <name val="Arial"/>
    </font>
    <font>
      <name val="Calibri"/>
      <sz val="11"/>
    </font>
    <font>
      <name val="Arial"/>
      <sz val="11"/>
    </font>
    <font>
      <name val="Calibri"/>
      <b val="1"/>
      <color rgb="FF000000"/>
      <sz val="11"/>
    </font>
    <font>
      <name val="Calibri"/>
      <sz val="9"/>
    </font>
    <font>
      <name val="Calibri"/>
      <sz val="10"/>
    </font>
    <font>
      <name val="Calibri"/>
      <color rgb="FF000000"/>
      <sz val="9"/>
    </font>
    <font>
      <name val="Calibri"/>
      <color rgb="FF000000"/>
      <sz val="10"/>
    </font>
    <font>
      <name val="Arial"/>
      <color rgb="FF000000"/>
      <sz val="10"/>
    </font>
    <font>
      <name val="Calibri"/>
      <b val="1"/>
      <sz val="11"/>
    </font>
    <font>
      <name val="Calibri"/>
      <b val="1"/>
      <sz val="9"/>
    </font>
    <font>
      <sz val="11"/>
    </font>
    <font>
      <name val="Calibri"/>
      <strike val="1"/>
      <color rgb="FF000000"/>
      <sz val="11"/>
    </font>
  </fonts>
  <fills count="19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D8D8D8"/>
        <bgColor rgb="FFD8D8D8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CCCCCC"/>
      </left>
    </border>
  </borders>
  <cellStyleXfs count="1">
    <xf numFmtId="0" fontId="0" fillId="0" borderId="0"/>
  </cellStyleXfs>
  <cellXfs count="25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" fontId="1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1" fillId="0" borderId="0" pivotButton="0" quotePrefix="0" xfId="0"/>
    <xf numFmtId="49" fontId="1" fillId="0" borderId="0" applyAlignment="1" pivotButton="0" quotePrefix="0" xfId="0">
      <alignment horizontal="right"/>
    </xf>
    <xf numFmtId="9" fontId="1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49" fontId="0" fillId="2" borderId="0" applyAlignment="1" pivotButton="0" quotePrefix="0" xfId="0">
      <alignment horizontal="right"/>
    </xf>
    <xf numFmtId="0" fontId="1" fillId="2" borderId="0" pivotButton="0" quotePrefix="0" xfId="0"/>
    <xf numFmtId="1" fontId="1" fillId="2" borderId="0" applyAlignment="1" pivotButton="0" quotePrefix="0" xfId="0">
      <alignment horizontal="right"/>
    </xf>
    <xf numFmtId="1" fontId="1" fillId="2" borderId="0" applyAlignment="1" pivotButton="0" quotePrefix="0" xfId="0">
      <alignment horizontal="right"/>
    </xf>
    <xf numFmtId="1" fontId="0" fillId="0" borderId="0" applyAlignment="1" pivotButton="0" quotePrefix="0" xfId="0">
      <alignment horizontal="right" vertical="bottom"/>
    </xf>
    <xf numFmtId="1" fontId="0" fillId="0" borderId="0" applyAlignment="1" pivotButton="0" quotePrefix="0" xfId="0">
      <alignment horizontal="right" vertical="bottom"/>
    </xf>
    <xf numFmtId="1" fontId="0" fillId="0" borderId="0" applyAlignment="1" pivotButton="0" quotePrefix="0" xfId="0">
      <alignment horizontal="right"/>
    </xf>
    <xf numFmtId="0" fontId="2" fillId="0" borderId="0" pivotButton="0" quotePrefix="0" xfId="0"/>
    <xf numFmtId="1" fontId="0" fillId="0" borderId="0" applyAlignment="1" pivotButton="0" quotePrefix="0" xfId="0">
      <alignment vertical="bottom"/>
    </xf>
    <xf numFmtId="1" fontId="0" fillId="3" borderId="0" applyAlignment="1" pivotButton="0" quotePrefix="0" xfId="0">
      <alignment vertical="bottom"/>
    </xf>
    <xf numFmtId="1" fontId="1" fillId="0" borderId="0" applyAlignment="1" pivotButton="0" quotePrefix="0" xfId="0">
      <alignment horizontal="right"/>
    </xf>
    <xf numFmtId="1" fontId="0" fillId="0" borderId="0" applyAlignment="1" pivotButton="0" quotePrefix="0" xfId="0">
      <alignment vertical="bottom"/>
    </xf>
    <xf numFmtId="49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1" fontId="0" fillId="0" borderId="0" applyAlignment="1" pivotButton="0" quotePrefix="0" xfId="0">
      <alignment horizontal="right" vertical="bottom"/>
    </xf>
    <xf numFmtId="1" fontId="3" fillId="0" borderId="0" applyAlignment="1" pivotButton="0" quotePrefix="0" xfId="0">
      <alignment vertical="bottom"/>
    </xf>
    <xf numFmtId="1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1" fontId="0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49" fontId="0" fillId="0" borderId="0" applyAlignment="1" pivotButton="0" quotePrefix="0" xfId="0">
      <alignment horizontal="right" vertical="bottom"/>
    </xf>
    <xf numFmtId="1" fontId="3" fillId="0" borderId="0" applyAlignment="1" pivotButton="0" quotePrefix="0" xfId="0">
      <alignment vertical="bottom"/>
    </xf>
    <xf numFmtId="1" fontId="0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bottom"/>
    </xf>
    <xf numFmtId="49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pivotButton="0" quotePrefix="0" xfId="0"/>
    <xf numFmtId="1" fontId="0" fillId="0" borderId="0" applyAlignment="1" pivotButton="0" quotePrefix="0" xfId="0">
      <alignment horizontal="right"/>
    </xf>
    <xf numFmtId="49" fontId="0" fillId="4" borderId="0" applyAlignment="1" pivotButton="0" quotePrefix="0" xfId="0">
      <alignment horizontal="right"/>
    </xf>
    <xf numFmtId="164" fontId="5" fillId="4" borderId="0" pivotButton="0" quotePrefix="0" xfId="0"/>
    <xf numFmtId="1" fontId="0" fillId="4" borderId="0" applyAlignment="1" pivotButton="0" quotePrefix="0" xfId="0">
      <alignment horizontal="right" vertical="center"/>
    </xf>
    <xf numFmtId="1" fontId="0" fillId="4" borderId="0" applyAlignment="1" pivotButton="0" quotePrefix="0" xfId="0">
      <alignment horizontal="right" vertical="center"/>
    </xf>
    <xf numFmtId="1" fontId="2" fillId="0" borderId="0" pivotButton="0" quotePrefix="0" xfId="0"/>
    <xf numFmtId="49" fontId="1" fillId="0" borderId="0" applyAlignment="1" pivotButton="0" quotePrefix="0" xfId="0">
      <alignment horizontal="right"/>
    </xf>
    <xf numFmtId="0" fontId="1" fillId="5" borderId="0" pivotButton="0" quotePrefix="0" xfId="0"/>
    <xf numFmtId="164" fontId="5" fillId="4" borderId="0" pivotButton="0" quotePrefix="0" xfId="0"/>
    <xf numFmtId="49" fontId="0" fillId="0" borderId="0" applyAlignment="1" pivotButton="0" quotePrefix="0" xfId="0">
      <alignment horizontal="right"/>
    </xf>
    <xf numFmtId="164" fontId="0" fillId="0" borderId="0" pivotButton="0" quotePrefix="0" xfId="0"/>
    <xf numFmtId="1" fontId="0" fillId="4" borderId="0" applyAlignment="1" pivotButton="0" quotePrefix="0" xfId="0">
      <alignment horizontal="right" vertical="center" wrapText="1"/>
    </xf>
    <xf numFmtId="1" fontId="0" fillId="0" borderId="0" applyAlignment="1" pivotButton="0" quotePrefix="0" xfId="0">
      <alignment horizontal="right" vertical="center"/>
    </xf>
    <xf numFmtId="1" fontId="0" fillId="6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0" fontId="5" fillId="4" borderId="0" pivotButton="0" quotePrefix="0" xfId="0"/>
    <xf numFmtId="164" fontId="0" fillId="0" borderId="0" applyAlignment="1" pivotButton="0" quotePrefix="0" xfId="0">
      <alignment horizontal="center"/>
    </xf>
    <xf numFmtId="0" fontId="1" fillId="0" borderId="0" pivotButton="0" quotePrefix="0" xfId="0"/>
    <xf numFmtId="1" fontId="0" fillId="0" borderId="0" applyAlignment="1" pivotButton="0" quotePrefix="0" xfId="0">
      <alignment horizontal="right" vertical="bottom" wrapText="1"/>
    </xf>
    <xf numFmtId="164" fontId="0" fillId="0" borderId="0" applyAlignment="1" pivotButton="0" quotePrefix="0" xfId="0">
      <alignment vertical="bottom"/>
    </xf>
    <xf numFmtId="1" fontId="4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left"/>
    </xf>
    <xf numFmtId="49" fontId="3" fillId="0" borderId="0" applyAlignment="1" pivotButton="0" quotePrefix="0" xfId="0">
      <alignment horizontal="right"/>
    </xf>
    <xf numFmtId="164" fontId="3" fillId="0" borderId="0" pivotButton="0" quotePrefix="0" xfId="0"/>
    <xf numFmtId="164" fontId="6" fillId="0" borderId="0" pivotButton="0" quotePrefix="0" xfId="0"/>
    <xf numFmtId="164" fontId="6" fillId="0" borderId="0" applyAlignment="1" pivotButton="0" quotePrefix="0" xfId="0">
      <alignment horizontal="left"/>
    </xf>
    <xf numFmtId="164" fontId="0" fillId="0" borderId="0" pivotButton="0" quotePrefix="0" xfId="0"/>
    <xf numFmtId="49" fontId="3" fillId="0" borderId="0" applyAlignment="1" pivotButton="0" quotePrefix="0" xfId="0">
      <alignment horizontal="right"/>
    </xf>
    <xf numFmtId="164" fontId="0" fillId="7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1" fillId="6" borderId="0" pivotButton="0" quotePrefix="0" xfId="0"/>
    <xf numFmtId="0" fontId="3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left"/>
    </xf>
    <xf numFmtId="1" fontId="3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left"/>
    </xf>
    <xf numFmtId="0" fontId="3" fillId="6" borderId="0" applyAlignment="1" pivotButton="0" quotePrefix="0" xfId="0">
      <alignment vertical="bottom"/>
    </xf>
    <xf numFmtId="0" fontId="3" fillId="6" borderId="0" applyAlignment="1" pivotButton="0" quotePrefix="0" xfId="0">
      <alignment vertical="bottom"/>
    </xf>
    <xf numFmtId="49" fontId="0" fillId="0" borderId="0" applyAlignment="1" pivotButton="0" quotePrefix="0" xfId="0">
      <alignment horizontal="right" vertical="bottom"/>
    </xf>
    <xf numFmtId="49" fontId="0" fillId="8" borderId="0" applyAlignment="1" pivotButton="0" quotePrefix="0" xfId="0">
      <alignment horizontal="right" vertical="bottom"/>
    </xf>
    <xf numFmtId="0" fontId="0" fillId="8" borderId="0" applyAlignment="1" pivotButton="0" quotePrefix="0" xfId="0">
      <alignment vertical="bottom"/>
    </xf>
    <xf numFmtId="1" fontId="0" fillId="8" borderId="0" applyAlignment="1" pivotButton="0" quotePrefix="0" xfId="0">
      <alignment horizontal="right" vertical="bottom"/>
    </xf>
    <xf numFmtId="1" fontId="0" fillId="8" borderId="0" applyAlignment="1" pivotButton="0" quotePrefix="0" xfId="0">
      <alignment horizontal="right" vertical="bottom"/>
    </xf>
    <xf numFmtId="1" fontId="1" fillId="8" borderId="0" pivotButton="0" quotePrefix="0" xfId="0"/>
    <xf numFmtId="0" fontId="1" fillId="8" borderId="0" pivotButton="0" quotePrefix="0" xfId="0"/>
    <xf numFmtId="49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vertical="bottom"/>
    </xf>
    <xf numFmtId="1" fontId="0" fillId="0" borderId="0" applyAlignment="1" pivotButton="0" quotePrefix="0" xfId="0">
      <alignment horizontal="right" vertical="bottom"/>
    </xf>
    <xf numFmtId="49" fontId="0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bottom"/>
    </xf>
    <xf numFmtId="1" fontId="0" fillId="9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165" fontId="0" fillId="0" borderId="0" applyAlignment="1" pivotButton="0" quotePrefix="0" xfId="0">
      <alignment vertical="bottom"/>
    </xf>
    <xf numFmtId="49" fontId="5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right" vertical="bottom"/>
    </xf>
    <xf numFmtId="1" fontId="1" fillId="0" borderId="0" pivotButton="0" quotePrefix="0" xfId="0"/>
    <xf numFmtId="165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0" fontId="5" fillId="8" borderId="0" applyAlignment="1" pivotButton="0" quotePrefix="0" xfId="0">
      <alignment vertical="center"/>
    </xf>
    <xf numFmtId="1" fontId="0" fillId="6" borderId="0" applyAlignment="1" pivotButton="0" quotePrefix="0" xfId="0">
      <alignment horizontal="right" vertical="bottom"/>
    </xf>
    <xf numFmtId="1" fontId="3" fillId="6" borderId="0" applyAlignment="1" pivotButton="0" quotePrefix="0" xfId="0">
      <alignment vertical="bottom"/>
    </xf>
    <xf numFmtId="1" fontId="0" fillId="6" borderId="0" applyAlignment="1" pivotButton="0" quotePrefix="0" xfId="0">
      <alignment horizontal="right"/>
    </xf>
    <xf numFmtId="1" fontId="3" fillId="9" borderId="0" applyAlignment="1" pivotButton="0" quotePrefix="0" xfId="0">
      <alignment vertical="bottom"/>
    </xf>
    <xf numFmtId="1" fontId="3" fillId="6" borderId="0" applyAlignment="1" pivotButton="0" quotePrefix="0" xfId="0">
      <alignment vertical="bottom"/>
    </xf>
    <xf numFmtId="1" fontId="0" fillId="1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164" fontId="8" fillId="0" borderId="0" pivotButton="0" quotePrefix="0" xfId="0"/>
    <xf numFmtId="164" fontId="6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" fontId="3" fillId="0" borderId="0" pivotButton="0" quotePrefix="0" xfId="0"/>
    <xf numFmtId="1" fontId="0" fillId="6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164" fontId="0" fillId="0" borderId="0" pivotButton="0" quotePrefix="0" xfId="0"/>
    <xf numFmtId="1" fontId="0" fillId="0" borderId="0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1" fontId="1" fillId="0" borderId="0" pivotButton="0" quotePrefix="0" xfId="0"/>
    <xf numFmtId="0" fontId="1" fillId="0" borderId="0" pivotButton="0" quotePrefix="0" xfId="0"/>
    <xf numFmtId="1" fontId="5" fillId="0" borderId="0" applyAlignment="1" pivotButton="0" quotePrefix="0" xfId="0">
      <alignment horizontal="right"/>
    </xf>
    <xf numFmtId="164" fontId="0" fillId="0" borderId="0" applyAlignment="1" pivotButton="0" quotePrefix="0" xfId="0">
      <alignment vertical="bottom" wrapText="1"/>
    </xf>
    <xf numFmtId="4" fontId="1" fillId="0" borderId="0" pivotButton="0" quotePrefix="0" xfId="0"/>
    <xf numFmtId="4" fontId="0" fillId="0" borderId="0" applyAlignment="1" pivotButton="0" quotePrefix="0" xfId="0">
      <alignment horizontal="right"/>
    </xf>
    <xf numFmtId="164" fontId="5" fillId="0" borderId="0" applyAlignment="1" pivotButton="0" quotePrefix="0" xfId="0">
      <alignment vertical="bottom"/>
    </xf>
    <xf numFmtId="0" fontId="0" fillId="0" borderId="0" applyAlignment="1" pivotButton="0" quotePrefix="0" xfId="0">
      <alignment horizontal="right" vertical="bottom"/>
    </xf>
    <xf numFmtId="0" fontId="1" fillId="11" borderId="0" pivotButton="0" quotePrefix="0" xfId="0"/>
    <xf numFmtId="1" fontId="1" fillId="6" borderId="0" pivotButton="0" quotePrefix="0" xfId="0"/>
    <xf numFmtId="49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center" vertical="center"/>
    </xf>
    <xf numFmtId="164" fontId="0" fillId="6" borderId="0" pivotButton="0" quotePrefix="0" xfId="0"/>
    <xf numFmtId="164" fontId="0" fillId="6" borderId="0" pivotButton="0" quotePrefix="0" xfId="0"/>
    <xf numFmtId="164" fontId="9" fillId="6" borderId="0" pivotButton="0" quotePrefix="0" xfId="0"/>
    <xf numFmtId="49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vertical="bottom"/>
    </xf>
    <xf numFmtId="49" fontId="0" fillId="6" borderId="0" applyAlignment="1" pivotButton="0" quotePrefix="0" xfId="0">
      <alignment horizontal="right" vertical="bottom"/>
    </xf>
    <xf numFmtId="0" fontId="1" fillId="6" borderId="0" pivotButton="0" quotePrefix="0" xfId="0"/>
    <xf numFmtId="49" fontId="0" fillId="6" borderId="0" applyAlignment="1" pivotButton="0" quotePrefix="0" xfId="0">
      <alignment horizontal="right" vertical="bottom"/>
    </xf>
    <xf numFmtId="0" fontId="0" fillId="6" borderId="0" applyAlignment="1" pivotButton="0" quotePrefix="0" xfId="0">
      <alignment vertical="bottom"/>
    </xf>
    <xf numFmtId="1" fontId="0" fillId="6" borderId="0" applyAlignment="1" pivotButton="0" quotePrefix="0" xfId="0">
      <alignment horizontal="right" vertical="bottom"/>
    </xf>
    <xf numFmtId="1" fontId="1" fillId="6" borderId="0" pivotButton="0" quotePrefix="0" xfId="0"/>
    <xf numFmtId="1" fontId="0" fillId="8" borderId="0" applyAlignment="1" pivotButton="0" quotePrefix="0" xfId="0">
      <alignment horizontal="center"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 vertical="bottom"/>
    </xf>
    <xf numFmtId="1" fontId="1" fillId="11" borderId="0" pivotButton="0" quotePrefix="0" xfId="0"/>
    <xf numFmtId="49" fontId="0" fillId="4" borderId="0" applyAlignment="1" pivotButton="0" quotePrefix="0" xfId="0">
      <alignment horizontal="right"/>
    </xf>
    <xf numFmtId="1" fontId="0" fillId="6" borderId="0" applyAlignment="1" pivotButton="0" quotePrefix="0" xfId="0">
      <alignment horizontal="right" vertical="center" wrapText="1"/>
    </xf>
    <xf numFmtId="1" fontId="3" fillId="0" borderId="0" applyAlignment="1" pivotButton="0" quotePrefix="0" xfId="0">
      <alignment horizontal="right" vertical="bottom"/>
    </xf>
    <xf numFmtId="164" fontId="8" fillId="0" borderId="0" pivotButton="0" quotePrefix="0" xfId="0"/>
    <xf numFmtId="49" fontId="10" fillId="0" borderId="0" applyAlignment="1" pivotButton="0" quotePrefix="0" xfId="0">
      <alignment horizontal="right" vertical="bottom"/>
    </xf>
    <xf numFmtId="1" fontId="0" fillId="0" borderId="0" applyAlignment="1" pivotButton="0" quotePrefix="0" xfId="0">
      <alignment horizontal="right" vertical="center"/>
    </xf>
    <xf numFmtId="164" fontId="0" fillId="4" borderId="0" pivotButton="0" quotePrefix="0" xfId="0"/>
    <xf numFmtId="1" fontId="11" fillId="4" borderId="0" applyAlignment="1" pivotButton="0" quotePrefix="0" xfId="0">
      <alignment horizontal="right"/>
    </xf>
    <xf numFmtId="1" fontId="11" fillId="4" borderId="0" applyAlignment="1" pivotButton="0" quotePrefix="0" xfId="0">
      <alignment horizontal="right"/>
    </xf>
    <xf numFmtId="1" fontId="5" fillId="4" borderId="0" applyAlignment="1" pivotButton="0" quotePrefix="0" xfId="0">
      <alignment horizontal="right"/>
    </xf>
    <xf numFmtId="164" fontId="3" fillId="0" borderId="0" applyAlignment="1" pivotButton="0" quotePrefix="0" xfId="0">
      <alignment vertical="bottom"/>
    </xf>
    <xf numFmtId="1" fontId="0" fillId="0" borderId="1" applyAlignment="1" pivotButton="0" quotePrefix="0" xfId="0">
      <alignment vertical="bottom"/>
    </xf>
    <xf numFmtId="164" fontId="12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right"/>
    </xf>
    <xf numFmtId="1" fontId="0" fillId="12" borderId="0" applyAlignment="1" pivotButton="0" quotePrefix="0" xfId="0">
      <alignment vertical="bottom"/>
    </xf>
    <xf numFmtId="1" fontId="0" fillId="13" borderId="0" applyAlignment="1" pivotButton="0" quotePrefix="0" xfId="0">
      <alignment vertical="bottom"/>
    </xf>
    <xf numFmtId="49" fontId="3" fillId="0" borderId="0" applyAlignment="1" pivotButton="0" quotePrefix="0" xfId="0">
      <alignment horizontal="right" wrapText="1"/>
    </xf>
    <xf numFmtId="1" fontId="0" fillId="0" borderId="0" applyAlignment="1" pivotButton="0" quotePrefix="0" xfId="0">
      <alignment vertical="bottom" wrapText="1"/>
    </xf>
    <xf numFmtId="1" fontId="0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wrapText="1"/>
    </xf>
    <xf numFmtId="1" fontId="13" fillId="0" borderId="0" applyAlignment="1" pivotButton="0" quotePrefix="0" xfId="0">
      <alignment wrapText="1"/>
    </xf>
    <xf numFmtId="1" fontId="3" fillId="13" borderId="0" applyAlignment="1" pivotButton="0" quotePrefix="0" xfId="0">
      <alignment vertical="bottom"/>
    </xf>
    <xf numFmtId="1" fontId="3" fillId="0" borderId="0" applyAlignment="1" pivotButton="0" quotePrefix="0" xfId="0">
      <alignment vertical="bottom"/>
    </xf>
    <xf numFmtId="164" fontId="0" fillId="4" borderId="0" pivotButton="0" quotePrefix="0" xfId="0"/>
    <xf numFmtId="1" fontId="0" fillId="9" borderId="0" applyAlignment="1" pivotButton="0" quotePrefix="0" xfId="0">
      <alignment horizontal="right"/>
    </xf>
    <xf numFmtId="49" fontId="8" fillId="0" borderId="0" applyAlignment="1" pivotButton="0" quotePrefix="0" xfId="0">
      <alignment horizontal="right" vertical="center"/>
    </xf>
    <xf numFmtId="49" fontId="8" fillId="0" borderId="0" applyAlignment="1" pivotButton="0" quotePrefix="0" xfId="0">
      <alignment horizontal="right" vertical="center"/>
    </xf>
    <xf numFmtId="49" fontId="8" fillId="0" borderId="0" applyAlignment="1" pivotButton="0" quotePrefix="0" xfId="0">
      <alignment horizontal="right"/>
    </xf>
    <xf numFmtId="49" fontId="8" fillId="0" borderId="0" applyAlignment="1" pivotButton="0" quotePrefix="0" xfId="0">
      <alignment horizontal="right"/>
    </xf>
    <xf numFmtId="49" fontId="0" fillId="6" borderId="0" applyAlignment="1" pivotButton="0" quotePrefix="0" xfId="0">
      <alignment horizontal="right" vertical="bottom"/>
    </xf>
    <xf numFmtId="1" fontId="0" fillId="6" borderId="0" applyAlignment="1" pivotButton="0" quotePrefix="0" xfId="0">
      <alignment horizontal="right" vertical="bottom"/>
    </xf>
    <xf numFmtId="49" fontId="0" fillId="6" borderId="0" applyAlignment="1" pivotButton="0" quotePrefix="0" xfId="0">
      <alignment horizontal="right"/>
    </xf>
    <xf numFmtId="1" fontId="0" fillId="6" borderId="0" applyAlignment="1" pivotButton="0" quotePrefix="0" xfId="0">
      <alignment horizontal="right"/>
    </xf>
    <xf numFmtId="49" fontId="0" fillId="6" borderId="0" applyAlignment="1" pivotButton="0" quotePrefix="0" xfId="0">
      <alignment horizontal="right"/>
    </xf>
    <xf numFmtId="1" fontId="3" fillId="0" borderId="0" applyAlignment="1" pivotButton="0" quotePrefix="0" xfId="0">
      <alignment horizontal="left"/>
    </xf>
    <xf numFmtId="1" fontId="3" fillId="0" borderId="0" applyAlignment="1" pivotButton="0" quotePrefix="0" xfId="0">
      <alignment horizontal="right"/>
    </xf>
    <xf numFmtId="164" fontId="3" fillId="4" borderId="0" applyAlignment="1" pivotButton="0" quotePrefix="0" xfId="0">
      <alignment horizontal="left"/>
    </xf>
    <xf numFmtId="1" fontId="3" fillId="4" borderId="0" applyAlignment="1" pivotButton="0" quotePrefix="0" xfId="0">
      <alignment horizontal="right"/>
    </xf>
    <xf numFmtId="166" fontId="3" fillId="4" borderId="0" applyAlignment="1" pivotButton="0" quotePrefix="0" xfId="0">
      <alignment horizontal="right"/>
    </xf>
    <xf numFmtId="1" fontId="0" fillId="6" borderId="0" applyAlignment="1" pivotButton="0" quotePrefix="0" xfId="0">
      <alignment vertical="bottom"/>
    </xf>
    <xf numFmtId="164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64" fontId="0" fillId="14" borderId="0" pivotButton="0" quotePrefix="0" xfId="0"/>
    <xf numFmtId="1" fontId="0" fillId="14" borderId="0" applyAlignment="1" pivotButton="0" quotePrefix="0" xfId="0">
      <alignment horizontal="right"/>
    </xf>
    <xf numFmtId="167" fontId="0" fillId="14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4" fontId="3" fillId="4" borderId="0" pivotButton="0" quotePrefix="0" xfId="0"/>
    <xf numFmtId="0" fontId="0" fillId="0" borderId="0" applyAlignment="1" pivotButton="0" quotePrefix="0" xfId="0">
      <alignment horizontal="right"/>
    </xf>
    <xf numFmtId="49" fontId="9" fillId="0" borderId="0" applyAlignment="1" pivotButton="0" quotePrefix="0" xfId="0">
      <alignment horizontal="right" vertical="center"/>
    </xf>
    <xf numFmtId="164" fontId="0" fillId="15" borderId="0" pivotButton="0" quotePrefix="0" xfId="0"/>
    <xf numFmtId="164" fontId="5" fillId="6" borderId="0" pivotButton="0" quotePrefix="0" xfId="0"/>
    <xf numFmtId="164" fontId="0" fillId="7" borderId="0" pivotButton="0" quotePrefix="0" xfId="0"/>
    <xf numFmtId="164" fontId="0" fillId="7" borderId="0" pivotButton="0" quotePrefix="0" xfId="0"/>
    <xf numFmtId="1" fontId="0" fillId="7" borderId="0" applyAlignment="1" pivotButton="0" quotePrefix="0" xfId="0">
      <alignment horizontal="right" vertical="center"/>
    </xf>
    <xf numFmtId="1" fontId="0" fillId="7" borderId="0" applyAlignment="1" pivotButton="0" quotePrefix="0" xfId="0">
      <alignment horizontal="right" vertical="center"/>
    </xf>
    <xf numFmtId="1" fontId="0" fillId="7" borderId="0" applyAlignment="1" pivotButton="0" quotePrefix="0" xfId="0">
      <alignment horizontal="center" vertical="center"/>
    </xf>
    <xf numFmtId="1" fontId="0" fillId="7" borderId="0" applyAlignment="1" pivotButton="0" quotePrefix="0" xfId="0">
      <alignment horizontal="center" vertical="center"/>
    </xf>
    <xf numFmtId="1" fontId="0" fillId="9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/>
    </xf>
    <xf numFmtId="1" fontId="3" fillId="9" borderId="0" pivotButton="0" quotePrefix="0" xfId="0"/>
    <xf numFmtId="1" fontId="3" fillId="9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164" fontId="0" fillId="7" borderId="0" applyAlignment="1" pivotButton="0" quotePrefix="0" xfId="0">
      <alignment vertical="bottom"/>
    </xf>
    <xf numFmtId="1" fontId="0" fillId="7" borderId="0" applyAlignment="1" pivotButton="0" quotePrefix="0" xfId="0">
      <alignment horizontal="right"/>
    </xf>
    <xf numFmtId="0" fontId="0" fillId="7" borderId="0" applyAlignment="1" pivotButton="0" quotePrefix="0" xfId="0">
      <alignment horizontal="right"/>
    </xf>
    <xf numFmtId="1" fontId="0" fillId="7" borderId="0" applyAlignment="1" pivotButton="0" quotePrefix="0" xfId="0">
      <alignment horizontal="center"/>
    </xf>
    <xf numFmtId="1" fontId="0" fillId="7" borderId="0" applyAlignment="1" pivotButton="0" quotePrefix="0" xfId="0">
      <alignment horizontal="center" vertical="bottom"/>
    </xf>
    <xf numFmtId="1" fontId="0" fillId="8" borderId="0" applyAlignment="1" pivotButton="0" quotePrefix="0" xfId="0">
      <alignment horizontal="right" vertical="center"/>
    </xf>
    <xf numFmtId="164" fontId="3" fillId="0" borderId="0" applyAlignment="1" pivotButton="0" quotePrefix="0" xfId="0">
      <alignment vertical="bottom"/>
    </xf>
    <xf numFmtId="1" fontId="0" fillId="0" borderId="0" applyAlignment="1" pivotButton="0" quotePrefix="0" xfId="0">
      <alignment horizontal="right" vertical="bottom" wrapText="1"/>
    </xf>
    <xf numFmtId="1" fontId="0" fillId="0" borderId="0" applyAlignment="1" pivotButton="0" quotePrefix="0" xfId="0">
      <alignment horizontal="right" vertical="bottom" wrapText="1"/>
    </xf>
    <xf numFmtId="1" fontId="0" fillId="0" borderId="0" applyAlignment="1" pivotButton="0" quotePrefix="0" xfId="0">
      <alignment horizontal="right"/>
    </xf>
    <xf numFmtId="1" fontId="0" fillId="6" borderId="0" applyAlignment="1" pivotButton="0" quotePrefix="0" xfId="0">
      <alignment vertical="bottom"/>
    </xf>
    <xf numFmtId="1" fontId="0" fillId="6" borderId="0" applyAlignment="1" pivotButton="0" quotePrefix="0" xfId="0">
      <alignment horizontal="right" vertical="center"/>
    </xf>
    <xf numFmtId="0" fontId="1" fillId="13" borderId="0" pivotButton="0" quotePrefix="0" xfId="0"/>
    <xf numFmtId="1" fontId="0" fillId="6" borderId="0" applyAlignment="1" pivotButton="0" quotePrefix="0" xfId="0">
      <alignment horizontal="right" vertical="bottom"/>
    </xf>
    <xf numFmtId="1" fontId="0" fillId="6" borderId="0" applyAlignment="1" pivotButton="0" quotePrefix="0" xfId="0">
      <alignment horizontal="right" vertical="bottom"/>
    </xf>
    <xf numFmtId="164" fontId="0" fillId="16" borderId="0" pivotButton="0" quotePrefix="0" xfId="0"/>
    <xf numFmtId="164" fontId="0" fillId="16" borderId="0" applyAlignment="1" pivotButton="0" quotePrefix="0" xfId="0">
      <alignment vertical="bottom"/>
    </xf>
    <xf numFmtId="1" fontId="0" fillId="6" borderId="0" applyAlignment="1" pivotButton="0" quotePrefix="0" xfId="0">
      <alignment horizontal="right" vertical="bottom"/>
    </xf>
    <xf numFmtId="1" fontId="3" fillId="6" borderId="0" pivotButton="0" quotePrefix="0" xfId="0"/>
    <xf numFmtId="1" fontId="0" fillId="15" borderId="0" applyAlignment="1" pivotButton="0" quotePrefix="0" xfId="0">
      <alignment horizontal="right" vertical="bottom"/>
    </xf>
    <xf numFmtId="1" fontId="0" fillId="17" borderId="0" applyAlignment="1" pivotButton="0" quotePrefix="0" xfId="0">
      <alignment horizontal="right" vertical="center"/>
    </xf>
    <xf numFmtId="1" fontId="3" fillId="17" borderId="0" applyAlignment="1" pivotButton="0" quotePrefix="0" xfId="0">
      <alignment vertical="bottom"/>
    </xf>
    <xf numFmtId="1" fontId="3" fillId="17" borderId="0" pivotButton="0" quotePrefix="0" xfId="0"/>
    <xf numFmtId="49" fontId="3" fillId="0" borderId="0" applyAlignment="1" pivotButton="0" quotePrefix="0" xfId="0">
      <alignment horizontal="right" vertical="bottom"/>
    </xf>
    <xf numFmtId="1" fontId="3" fillId="17" borderId="0" applyAlignment="1" pivotButton="0" quotePrefix="0" xfId="0">
      <alignment vertical="bottom"/>
    </xf>
    <xf numFmtId="1" fontId="3" fillId="17" borderId="0" pivotButton="0" quotePrefix="0" xfId="0"/>
    <xf numFmtId="49" fontId="3" fillId="0" borderId="0" pivotButton="0" quotePrefix="0" xfId="0"/>
    <xf numFmtId="164" fontId="0" fillId="4" borderId="0" applyAlignment="1" pivotButton="0" quotePrefix="0" xfId="0">
      <alignment vertical="bottom"/>
    </xf>
    <xf numFmtId="167" fontId="0" fillId="8" borderId="0" applyAlignment="1" pivotButton="0" quotePrefix="0" xfId="0">
      <alignment horizontal="right" vertical="center"/>
    </xf>
    <xf numFmtId="1" fontId="1" fillId="13" borderId="0" pivotButton="0" quotePrefix="0" xfId="0"/>
    <xf numFmtId="164" fontId="1" fillId="0" borderId="0" pivotButton="0" quotePrefix="0" xfId="0"/>
    <xf numFmtId="0" fontId="0" fillId="7" borderId="0" applyAlignment="1" pivotButton="0" quotePrefix="0" xfId="0">
      <alignment horizontal="right" vertical="center"/>
    </xf>
    <xf numFmtId="164" fontId="0" fillId="7" borderId="0" applyAlignment="1" pivotButton="0" quotePrefix="0" xfId="0">
      <alignment horizontal="left" vertical="center"/>
    </xf>
    <xf numFmtId="0" fontId="1" fillId="18" borderId="0" pivotButton="0" quotePrefix="0" xfId="0"/>
    <xf numFmtId="167" fontId="0" fillId="7" borderId="0" applyAlignment="1" pivotButton="0" quotePrefix="0" xfId="0">
      <alignment horizontal="right" vertical="center"/>
    </xf>
    <xf numFmtId="1" fontId="14" fillId="0" borderId="0" applyAlignment="1" pivotButton="0" quotePrefix="0" xfId="0">
      <alignment horizontal="right"/>
    </xf>
    <xf numFmtId="164" fontId="0" fillId="0" borderId="0" pivotButton="0" quotePrefix="0" xfId="0"/>
    <xf numFmtId="164" fontId="0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1" fontId="5" fillId="6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/>
      </fill>
      <border/>
    </dxf>
    <dxf>
      <font/>
      <fill>
        <patternFill patternType="solid">
          <fgColor rgb="FF00FFFF"/>
          <bgColor rgb="FF00FFFF"/>
        </patternFill>
      </fill>
      <border/>
    </dxf>
  </dxfs>
  <tableStyles count="1" defaultTableStyle="TableStyleMedium9" defaultPivotStyle="PivotStyleLight16">
    <tableStyle name="Hoja1-style" pivot="0" count="3">
      <tableStyleElement type="headerRow" dxfId="1"/>
      <tableStyleElement type="firstRowStripe" dxfId="1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N961:N1084" headerRowCount="0">
  <tableColumns count="1">
    <tableColumn id="1" name="Column1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O5121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7.29" defaultRowHeight="15" customHeight="1"/>
  <cols>
    <col width="13.43" customWidth="1" style="253" min="1" max="1"/>
    <col width="26.57" customWidth="1" style="253" min="2" max="2"/>
    <col width="7.71" customWidth="1" style="253" min="3" max="4"/>
    <col width="8" customWidth="1" style="253" min="5" max="5"/>
    <col width="7.43" customWidth="1" style="253" min="6" max="6"/>
    <col width="8.140000000000001" customWidth="1" style="253" min="7" max="7"/>
    <col width="8" customWidth="1" style="253" min="8" max="8"/>
    <col width="7.57" customWidth="1" style="253" min="9" max="10"/>
    <col width="7.29" customWidth="1" style="253" min="11" max="11"/>
    <col width="9" customWidth="1" style="253" min="12" max="14"/>
    <col width="8.289999999999999" customWidth="1" style="253" min="15" max="16"/>
    <col width="7" customWidth="1" style="253" min="17" max="17"/>
    <col width="8.140000000000001" customWidth="1" style="253" min="18" max="18"/>
    <col width="7.43" customWidth="1" style="253" min="19" max="19"/>
    <col width="5.43" customWidth="1" style="253" min="20" max="20"/>
    <col width="7.57" customWidth="1" style="253" min="21" max="21"/>
    <col width="5.43" customWidth="1" style="253" min="22" max="41"/>
  </cols>
  <sheetData>
    <row r="1">
      <c r="A1" s="118" t="n"/>
      <c r="B1" s="52" t="n"/>
      <c r="C1" s="52" t="n"/>
      <c r="D1" s="52" t="n"/>
      <c r="E1" s="52" t="n"/>
      <c r="F1" s="52" t="n"/>
      <c r="H1" s="52" t="n"/>
      <c r="I1" s="219" t="n"/>
      <c r="J1" s="52" t="n"/>
      <c r="K1" s="52" t="n"/>
      <c r="L1" s="52" t="n"/>
      <c r="M1" s="219" t="n"/>
      <c r="N1" s="118" t="inlineStr">
        <is>
          <t>Liquidacion</t>
        </is>
      </c>
      <c r="O1" s="52" t="n"/>
      <c r="P1" s="52" t="n"/>
      <c r="Q1" s="52" t="n"/>
      <c r="R1" s="52" t="n"/>
      <c r="S1" s="52" t="n"/>
      <c r="T1" s="117" t="n"/>
    </row>
    <row r="2">
      <c r="A2" s="118" t="n"/>
      <c r="B2" s="52" t="n"/>
      <c r="C2" s="52" t="n"/>
      <c r="D2" s="52" t="n"/>
      <c r="E2" s="52" t="n"/>
      <c r="F2" s="52" t="n"/>
      <c r="H2" s="52" t="n"/>
      <c r="I2" s="219" t="n"/>
      <c r="J2" s="52" t="n"/>
      <c r="K2" s="52" t="n"/>
      <c r="L2" s="52" t="n"/>
      <c r="M2" s="219" t="n"/>
      <c r="N2" s="118" t="inlineStr">
        <is>
          <t>Excepto as, carteras, jeans y es largos.</t>
        </is>
      </c>
      <c r="O2" s="52" t="n"/>
      <c r="P2" s="52" t="n"/>
      <c r="Q2" s="52" t="n"/>
      <c r="R2" s="52" t="n"/>
      <c r="S2" s="52" t="n"/>
      <c r="T2" s="117" t="n"/>
    </row>
    <row r="3">
      <c r="A3" s="118" t="n"/>
      <c r="B3" s="52" t="n"/>
      <c r="C3" s="52" t="n"/>
      <c r="D3" s="52" t="n"/>
      <c r="E3" s="52" t="n"/>
      <c r="F3" s="52" t="n"/>
      <c r="H3" s="52" t="n"/>
      <c r="I3" s="219" t="n"/>
      <c r="J3" s="52" t="n"/>
      <c r="K3" s="52" t="n"/>
      <c r="L3" s="52" t="n"/>
      <c r="M3" s="219" t="n"/>
      <c r="N3" s="118" t="inlineStr">
        <is>
          <t>Excepto camperas, carteras, jeans y es largos.</t>
        </is>
      </c>
      <c r="O3" s="52" t="n"/>
      <c r="P3" s="52" t="n"/>
      <c r="Q3" s="52" t="n"/>
      <c r="R3" s="52" t="n"/>
      <c r="S3" s="52" t="n"/>
      <c r="T3" s="117" t="n"/>
    </row>
    <row r="4">
      <c r="A4" s="118" t="n"/>
      <c r="B4" s="52" t="n"/>
      <c r="C4" s="52" t="n"/>
      <c r="D4" s="52" t="n"/>
      <c r="E4" s="52" t="n"/>
      <c r="F4" s="52" t="n"/>
      <c r="H4" s="52" t="n"/>
      <c r="I4" s="219" t="n"/>
      <c r="J4" s="52" t="n"/>
      <c r="K4" s="52" t="n"/>
      <c r="L4" s="52" t="n"/>
      <c r="M4" s="219" t="n"/>
      <c r="N4" s="118" t="inlineStr">
        <is>
          <t>Modalidad:</t>
        </is>
      </c>
      <c r="O4" s="52" t="inlineStr">
        <is>
          <t>EFECTIVO</t>
        </is>
      </c>
      <c r="P4" s="52" t="inlineStr">
        <is>
          <t>DEB. Y</t>
        </is>
      </c>
      <c r="Q4" s="52" t="inlineStr">
        <is>
          <t>3 cuotas</t>
        </is>
      </c>
      <c r="R4" s="52" t="inlineStr">
        <is>
          <t>Ah1</t>
        </is>
      </c>
      <c r="S4" s="52" t="inlineStr">
        <is>
          <t>6 Cuotas</t>
        </is>
      </c>
      <c r="T4" s="117" t="n"/>
    </row>
    <row r="5">
      <c r="A5" s="118" t="n"/>
      <c r="B5" s="52" t="n"/>
      <c r="C5" s="52" t="n"/>
      <c r="D5" s="52" t="n"/>
      <c r="E5" s="52" t="n"/>
      <c r="F5" s="52" t="n"/>
      <c r="H5" s="52" t="n"/>
      <c r="I5" s="219" t="n"/>
      <c r="J5" s="52" t="n"/>
      <c r="K5" s="52" t="n"/>
      <c r="L5" s="52" t="n"/>
      <c r="M5" s="219" t="n"/>
      <c r="N5" s="118" t="n"/>
      <c r="O5" s="52" t="n"/>
      <c r="P5" s="52" t="inlineStr">
        <is>
          <t>Cred 1pago</t>
        </is>
      </c>
      <c r="Q5" s="52" t="n"/>
      <c r="R5" s="52" t="inlineStr">
        <is>
          <t>(Jue a dom)</t>
        </is>
      </c>
      <c r="S5" s="52" t="n"/>
      <c r="T5" s="117" t="n"/>
    </row>
    <row r="6">
      <c r="A6" s="118" t="n"/>
      <c r="B6" s="52" t="n"/>
      <c r="C6" s="52" t="n"/>
      <c r="D6" s="52" t="n"/>
      <c r="E6" s="145" t="n"/>
      <c r="F6" s="52" t="n"/>
      <c r="H6" s="52" t="n"/>
      <c r="I6" s="219" t="n"/>
      <c r="J6" s="52" t="n"/>
      <c r="K6" s="52" t="n"/>
      <c r="L6" s="52" t="n"/>
      <c r="M6" s="219" t="n"/>
      <c r="N6" s="118" t="inlineStr">
        <is>
          <t>HOMBRE</t>
        </is>
      </c>
      <c r="O6" s="52" t="inlineStr">
        <is>
          <t>$</t>
        </is>
      </c>
      <c r="P6" s="52" t="n">
        <v>1</v>
      </c>
      <c r="Q6" s="52" t="n">
        <v>3</v>
      </c>
      <c r="R6" s="145" t="inlineStr">
        <is>
          <t>07</t>
        </is>
      </c>
      <c r="S6" s="52" t="n">
        <v>6</v>
      </c>
      <c r="T6" s="117" t="n"/>
    </row>
    <row r="7">
      <c r="A7" s="118" t="n"/>
      <c r="B7" s="8" t="n"/>
      <c r="C7" s="52" t="n"/>
      <c r="D7" s="8" t="n"/>
      <c r="E7" s="145" t="n"/>
      <c r="F7" s="8" t="n"/>
      <c r="H7" s="52" t="n"/>
      <c r="I7" s="219" t="n"/>
      <c r="J7" s="52" t="n"/>
      <c r="K7" s="52" t="n"/>
      <c r="L7" s="52" t="n"/>
      <c r="M7" s="219" t="n"/>
      <c r="N7" s="118" t="inlineStr">
        <is>
          <t>REM Y CHOMBAS</t>
        </is>
      </c>
      <c r="O7" s="8" t="n">
        <v>-0.2</v>
      </c>
      <c r="P7" s="52" t="n">
        <v>-0.1</v>
      </c>
      <c r="Q7" s="8" t="n">
        <v>-0.05</v>
      </c>
      <c r="R7" s="145" t="inlineStr">
        <is>
          <t>-5%</t>
        </is>
      </c>
      <c r="S7" s="8" t="n">
        <v>0</v>
      </c>
      <c r="T7" s="117" t="n"/>
    </row>
    <row r="8">
      <c r="A8" s="118" t="n"/>
      <c r="B8" s="8" t="n"/>
      <c r="C8" s="52" t="n"/>
      <c r="D8" s="8" t="n"/>
      <c r="E8" s="145" t="n"/>
      <c r="F8" s="8" t="n"/>
      <c r="H8" s="52" t="n"/>
      <c r="I8" s="219" t="n"/>
      <c r="J8" s="52" t="n"/>
      <c r="K8" s="52" t="n"/>
      <c r="L8" s="52" t="n"/>
      <c r="M8" s="219" t="n"/>
      <c r="N8" s="118" t="inlineStr">
        <is>
          <t>S</t>
        </is>
      </c>
      <c r="O8" s="8" t="n">
        <v>-0.2</v>
      </c>
      <c r="P8" s="52" t="n">
        <v>-0.1</v>
      </c>
      <c r="Q8" s="8" t="n">
        <v>-0.05</v>
      </c>
      <c r="R8" s="145" t="inlineStr">
        <is>
          <t>-5%</t>
        </is>
      </c>
      <c r="S8" s="8" t="n">
        <v>0</v>
      </c>
      <c r="T8" s="117" t="n"/>
    </row>
    <row r="9">
      <c r="A9" s="118" t="n"/>
      <c r="B9" s="8" t="n"/>
      <c r="C9" s="52" t="n"/>
      <c r="D9" s="8" t="n"/>
      <c r="E9" s="145" t="n"/>
      <c r="F9" s="8" t="n"/>
      <c r="H9" s="52" t="n"/>
      <c r="I9" s="219" t="n"/>
      <c r="J9" s="52" t="n"/>
      <c r="K9" s="52" t="n"/>
      <c r="L9" s="52" t="n"/>
      <c r="M9" s="219" t="n"/>
      <c r="N9" s="118" t="inlineStr">
        <is>
          <t>S BAÑO</t>
        </is>
      </c>
      <c r="O9" s="8" t="n">
        <v>-0.25</v>
      </c>
      <c r="P9" s="52" t="n">
        <v>-0.1</v>
      </c>
      <c r="Q9" s="8" t="n">
        <v>-0.05</v>
      </c>
      <c r="R9" s="145" t="inlineStr">
        <is>
          <t>-5%</t>
        </is>
      </c>
      <c r="S9" s="8" t="n">
        <v>0</v>
      </c>
      <c r="T9" s="117" t="n"/>
    </row>
    <row r="10">
      <c r="A10" s="118" t="n"/>
      <c r="B10" s="8" t="n"/>
      <c r="C10" s="52" t="n"/>
      <c r="D10" s="8" t="n"/>
      <c r="E10" s="145" t="n"/>
      <c r="F10" s="8" t="n"/>
      <c r="H10" s="52" t="n"/>
      <c r="I10" s="219" t="n"/>
      <c r="J10" s="52" t="n"/>
      <c r="K10" s="52" t="n"/>
      <c r="L10" s="52" t="n"/>
      <c r="M10" s="219" t="n"/>
      <c r="N10" s="118" t="inlineStr">
        <is>
          <t>CAMISAS M/CORTA</t>
        </is>
      </c>
      <c r="O10" s="8" t="n">
        <v>-0.2</v>
      </c>
      <c r="P10" s="52" t="n">
        <v>-0.1</v>
      </c>
      <c r="Q10" s="8" t="n">
        <v>-0.05</v>
      </c>
      <c r="R10" s="145" t="inlineStr">
        <is>
          <t>-5%</t>
        </is>
      </c>
      <c r="S10" s="8" t="n">
        <v>0</v>
      </c>
      <c r="T10" s="117" t="n"/>
    </row>
    <row r="11">
      <c r="A11" s="118" t="n"/>
      <c r="B11" s="52" t="n"/>
      <c r="C11" s="52" t="n"/>
      <c r="D11" s="52" t="n"/>
      <c r="E11" s="145" t="n"/>
      <c r="F11" s="52" t="n"/>
      <c r="H11" s="52" t="n"/>
      <c r="I11" s="219" t="n"/>
      <c r="J11" s="52" t="n"/>
      <c r="K11" s="52" t="n"/>
      <c r="L11" s="52" t="n"/>
      <c r="M11" s="219" t="n"/>
      <c r="N11" s="118" t="n"/>
      <c r="O11" s="52" t="n"/>
      <c r="P11" s="52" t="n"/>
      <c r="Q11" s="52" t="n"/>
      <c r="R11" s="145" t="n"/>
      <c r="S11" s="52" t="n"/>
      <c r="T11" s="117" t="n"/>
    </row>
    <row r="12">
      <c r="A12" s="118" t="n"/>
      <c r="B12" s="52" t="n"/>
      <c r="C12" s="52" t="n"/>
      <c r="D12" s="52" t="n"/>
      <c r="E12" s="145" t="n"/>
      <c r="F12" s="52" t="n"/>
      <c r="H12" s="52" t="n"/>
      <c r="I12" s="219" t="n"/>
      <c r="J12" s="52" t="n"/>
      <c r="K12" s="52" t="n"/>
      <c r="L12" s="52" t="n"/>
      <c r="M12" s="219" t="n"/>
      <c r="N12" s="118" t="inlineStr">
        <is>
          <t>DAMA</t>
        </is>
      </c>
      <c r="O12" s="52" t="inlineStr">
        <is>
          <t>$</t>
        </is>
      </c>
      <c r="P12" s="52" t="n">
        <v>1</v>
      </c>
      <c r="Q12" s="52" t="n">
        <v>3</v>
      </c>
      <c r="R12" s="145" t="inlineStr">
        <is>
          <t xml:space="preserve">07 </t>
        </is>
      </c>
      <c r="S12" s="52" t="n">
        <v>6</v>
      </c>
      <c r="T12" s="117" t="n"/>
    </row>
    <row r="13">
      <c r="A13" s="118" t="n"/>
      <c r="B13" s="8" t="n"/>
      <c r="C13" s="52" t="n"/>
      <c r="D13" s="8" t="n"/>
      <c r="E13" s="145" t="n"/>
      <c r="F13" s="8" t="n"/>
      <c r="H13" s="52" t="n"/>
      <c r="I13" s="219" t="n"/>
      <c r="J13" s="52" t="n"/>
      <c r="K13" s="52" t="n"/>
      <c r="L13" s="52" t="n"/>
      <c r="M13" s="219" t="n"/>
      <c r="N13" s="118" t="inlineStr">
        <is>
          <t>MUSCULOSAS</t>
        </is>
      </c>
      <c r="O13" s="8" t="n">
        <v>-0.3</v>
      </c>
      <c r="P13" s="52" t="n">
        <v>-0.2</v>
      </c>
      <c r="Q13" s="8" t="n">
        <v>-0.1</v>
      </c>
      <c r="R13" s="145" t="inlineStr">
        <is>
          <t>-5%</t>
        </is>
      </c>
      <c r="S13" s="8" t="n">
        <v>0</v>
      </c>
      <c r="T13" s="117" t="n"/>
    </row>
    <row r="14">
      <c r="A14" s="118" t="n"/>
      <c r="B14" s="8" t="n"/>
      <c r="C14" s="52" t="n"/>
      <c r="D14" s="8" t="n"/>
      <c r="E14" s="145" t="n"/>
      <c r="F14" s="8" t="n"/>
      <c r="H14" s="52" t="n"/>
      <c r="I14" s="219" t="n"/>
      <c r="J14" s="52" t="n"/>
      <c r="K14" s="52" t="n"/>
      <c r="L14" s="52" t="n"/>
      <c r="M14" s="219" t="n"/>
      <c r="N14" s="118" t="inlineStr">
        <is>
          <t>REMERAS</t>
        </is>
      </c>
      <c r="O14" s="8" t="n">
        <v>-0.25</v>
      </c>
      <c r="P14" s="52" t="n">
        <v>-0.15</v>
      </c>
      <c r="Q14" s="8" t="n">
        <v>-0.05</v>
      </c>
      <c r="R14" s="145" t="inlineStr">
        <is>
          <t>-5%</t>
        </is>
      </c>
      <c r="S14" s="8" t="n">
        <v>0</v>
      </c>
      <c r="T14" s="117" t="n"/>
    </row>
    <row r="15">
      <c r="A15" s="118" t="n"/>
      <c r="B15" s="8" t="n"/>
      <c r="C15" s="52" t="n"/>
      <c r="D15" s="8" t="n"/>
      <c r="E15" s="145" t="n"/>
      <c r="F15" s="8" t="n"/>
      <c r="H15" s="52" t="n"/>
      <c r="I15" s="219" t="n"/>
      <c r="J15" s="52" t="n"/>
      <c r="K15" s="52" t="n"/>
      <c r="L15" s="52" t="n"/>
      <c r="M15" s="219" t="n"/>
      <c r="N15" s="118" t="inlineStr">
        <is>
          <t>PANT. FIBR/SEDA</t>
        </is>
      </c>
      <c r="O15" s="8" t="n">
        <v>-0.25</v>
      </c>
      <c r="P15" s="52" t="n">
        <v>-0.15</v>
      </c>
      <c r="Q15" s="8" t="n">
        <v>-0.05</v>
      </c>
      <c r="R15" s="145" t="inlineStr">
        <is>
          <t>-5%</t>
        </is>
      </c>
      <c r="S15" s="8" t="n">
        <v>0</v>
      </c>
      <c r="T15" s="117" t="n"/>
    </row>
    <row r="16">
      <c r="A16" s="118" t="n"/>
      <c r="B16" s="8" t="n"/>
      <c r="C16" s="52" t="n"/>
      <c r="D16" s="8" t="n"/>
      <c r="E16" s="145" t="n"/>
      <c r="F16" s="8" t="n"/>
      <c r="H16" s="52" t="n"/>
      <c r="I16" s="219" t="n"/>
      <c r="J16" s="52" t="n"/>
      <c r="K16" s="52" t="n"/>
      <c r="L16" s="52" t="n"/>
      <c r="M16" s="219" t="n"/>
      <c r="N16" s="118" t="inlineStr">
        <is>
          <t>POLLERAS TELA</t>
        </is>
      </c>
      <c r="O16" s="8" t="n">
        <v>-0.25</v>
      </c>
      <c r="P16" s="52" t="n">
        <v>-0.15</v>
      </c>
      <c r="Q16" s="8" t="n">
        <v>-0.05</v>
      </c>
      <c r="R16" s="145" t="inlineStr">
        <is>
          <t>-5%</t>
        </is>
      </c>
      <c r="S16" s="8" t="n">
        <v>0</v>
      </c>
      <c r="T16" s="117" t="n"/>
    </row>
    <row r="17">
      <c r="A17" s="118" t="n"/>
      <c r="B17" s="8" t="n"/>
      <c r="C17" s="52" t="n"/>
      <c r="D17" s="8" t="n"/>
      <c r="E17" s="145" t="n"/>
      <c r="F17" s="8" t="n"/>
      <c r="H17" s="52" t="n"/>
      <c r="I17" s="219" t="n"/>
      <c r="J17" s="52" t="n"/>
      <c r="K17" s="52" t="n"/>
      <c r="L17" s="52" t="n"/>
      <c r="M17" s="219" t="n"/>
      <c r="N17" s="118" t="inlineStr">
        <is>
          <t>POLLERAS JEAN</t>
        </is>
      </c>
      <c r="O17" s="8" t="n">
        <v>-0.15</v>
      </c>
      <c r="P17" s="52" t="n">
        <v>-0.1</v>
      </c>
      <c r="Q17" s="8" t="n">
        <v>-0.05</v>
      </c>
      <c r="R17" s="145" t="inlineStr">
        <is>
          <t>-5%</t>
        </is>
      </c>
      <c r="S17" s="8" t="n">
        <v>0</v>
      </c>
      <c r="T17" s="117" t="n"/>
    </row>
    <row r="18">
      <c r="A18" s="118" t="n"/>
      <c r="B18" s="8" t="n"/>
      <c r="C18" s="52" t="n"/>
      <c r="D18" s="8" t="n"/>
      <c r="E18" s="145" t="n"/>
      <c r="F18" s="8" t="n"/>
      <c r="H18" s="52" t="n"/>
      <c r="I18" s="219" t="n"/>
      <c r="J18" s="52" t="n"/>
      <c r="K18" s="52" t="n"/>
      <c r="L18" s="52" t="n"/>
      <c r="M18" s="219" t="n"/>
      <c r="N18" s="118" t="inlineStr">
        <is>
          <t>VESTIDOS</t>
        </is>
      </c>
      <c r="O18" s="8" t="n">
        <v>-0.3</v>
      </c>
      <c r="P18" s="52" t="n">
        <v>-0.2</v>
      </c>
      <c r="Q18" s="8" t="n">
        <v>-0.1</v>
      </c>
      <c r="R18" s="145" t="inlineStr">
        <is>
          <t>-5%</t>
        </is>
      </c>
      <c r="S18" s="8" t="n">
        <v>0</v>
      </c>
      <c r="T18" s="117" t="n"/>
    </row>
    <row r="19">
      <c r="A19" s="118" t="n"/>
      <c r="B19" s="8" t="n"/>
      <c r="C19" s="52" t="n"/>
      <c r="D19" s="8" t="n"/>
      <c r="E19" s="145" t="n"/>
      <c r="F19" s="8" t="n"/>
      <c r="H19" s="52" t="n"/>
      <c r="I19" s="219" t="n"/>
      <c r="J19" s="52" t="n"/>
      <c r="K19" s="52" t="n"/>
      <c r="L19" s="52" t="n"/>
      <c r="M19" s="219" t="n"/>
      <c r="N19" s="118" t="inlineStr">
        <is>
          <t>SHORT-BERM-CAPRI</t>
        </is>
      </c>
      <c r="O19" s="8" t="n">
        <v>-0.3</v>
      </c>
      <c r="P19" s="52" t="n">
        <v>-0.2</v>
      </c>
      <c r="Q19" s="8" t="n">
        <v>-0.1</v>
      </c>
      <c r="R19" s="145" t="inlineStr">
        <is>
          <t>-5%</t>
        </is>
      </c>
      <c r="S19" s="8" t="n">
        <v>0</v>
      </c>
      <c r="T19" s="117" t="n"/>
    </row>
    <row r="20">
      <c r="A20" s="134" t="n"/>
      <c r="B20" s="118" t="n"/>
      <c r="C20" s="52" t="n"/>
      <c r="D20" s="52" t="n"/>
      <c r="E20" s="52" t="n"/>
      <c r="F20" s="52" t="n"/>
      <c r="G20" s="52" t="n"/>
      <c r="H20" s="52" t="n"/>
      <c r="I20" s="219" t="n"/>
      <c r="J20" s="52" t="n"/>
      <c r="K20" s="52" t="n"/>
      <c r="L20" s="52" t="n"/>
      <c r="M20" s="219" t="n"/>
      <c r="P20" s="117" t="n"/>
      <c r="R20" s="117" t="n"/>
      <c r="T20" s="117" t="n"/>
    </row>
    <row r="21">
      <c r="A21" s="134" t="n"/>
      <c r="B21" s="118" t="n"/>
      <c r="C21" s="52" t="n"/>
      <c r="D21" s="52" t="n"/>
      <c r="E21" s="52" t="n"/>
      <c r="F21" s="52" t="n"/>
      <c r="G21" s="52" t="n"/>
      <c r="H21" s="52" t="n"/>
      <c r="I21" s="219" t="n"/>
      <c r="J21" s="52" t="n"/>
      <c r="K21" s="52" t="n"/>
      <c r="L21" s="52" t="n"/>
      <c r="M21" s="219" t="n"/>
      <c r="P21" s="117" t="n"/>
      <c r="R21" s="117" t="n"/>
      <c r="T21" s="117" t="n"/>
    </row>
    <row r="22">
      <c r="A22" s="11" t="n"/>
      <c r="B22" s="12" t="inlineStr">
        <is>
          <t>BUZOS HOMBRE</t>
        </is>
      </c>
      <c r="C22" s="14" t="inlineStr">
        <is>
          <t>1 al 4</t>
        </is>
      </c>
      <c r="D22" s="14" t="inlineStr">
        <is>
          <t>5-XXL</t>
        </is>
      </c>
      <c r="E22" s="14" t="inlineStr">
        <is>
          <t>3xl-6</t>
        </is>
      </c>
      <c r="F22" s="14" t="inlineStr">
        <is>
          <t>4xl-7</t>
        </is>
      </c>
      <c r="G22" s="14" t="n">
        <v>8</v>
      </c>
      <c r="H22" s="14" t="n">
        <v>9</v>
      </c>
      <c r="I22" s="14" t="n">
        <v>10</v>
      </c>
      <c r="J22" s="14" t="n">
        <v>12</v>
      </c>
      <c r="K22" s="14" t="n">
        <v>14</v>
      </c>
      <c r="L22" s="14" t="n">
        <v>16</v>
      </c>
      <c r="M22" s="11" t="inlineStr">
        <is>
          <t>04/25</t>
        </is>
      </c>
      <c r="P22" s="117" t="n"/>
      <c r="R22" s="117" t="n"/>
      <c r="T22" s="117" t="n"/>
    </row>
    <row r="23">
      <c r="A23" s="145" t="inlineStr">
        <is>
          <t>381</t>
        </is>
      </c>
      <c r="B23" s="118" t="inlineStr">
        <is>
          <t>DMENT BUZO ALG FRIZA</t>
        </is>
      </c>
      <c r="C23" s="88" t="n">
        <v>35900</v>
      </c>
      <c r="D23" s="88">
        <f>ROUND((C23*1.06)/100,0)*100</f>
        <v/>
      </c>
      <c r="E23" s="88">
        <f>ROUND((C23*1.15)/100,0)*100</f>
        <v/>
      </c>
      <c r="F23" s="88">
        <f>ROUND((C23*1.23)/100,0)*100</f>
        <v/>
      </c>
      <c r="G23" s="88">
        <f>ROUND((C23*1.29)/100,0)*100</f>
        <v/>
      </c>
      <c r="H23" s="88">
        <f>ROUND((C23*1.35)/100,0)*100</f>
        <v/>
      </c>
      <c r="I23" s="88">
        <f>ROUND((C23*1.39)/100,0)*100</f>
        <v/>
      </c>
      <c r="J23" s="88">
        <f>ROUND((C23*1.43)/100,0)*100</f>
        <v/>
      </c>
      <c r="K23" s="88">
        <f>ROUND((C23*1.48)/100,0)*100</f>
        <v/>
      </c>
      <c r="L23" s="88">
        <f>ROUND((D23*1.48)/100,0)*100</f>
        <v/>
      </c>
      <c r="M23" s="219" t="n"/>
      <c r="P23" s="117" t="n"/>
      <c r="R23" s="117" t="n"/>
      <c r="S23" s="88" t="n"/>
      <c r="T23" s="117">
        <f>C23*U23</f>
        <v/>
      </c>
      <c r="U23" s="18" t="n">
        <v>1.03</v>
      </c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0" t="n"/>
    </row>
    <row r="24">
      <c r="A24" s="145" t="inlineStr">
        <is>
          <t>509</t>
        </is>
      </c>
      <c r="B24" s="118" t="inlineStr">
        <is>
          <t>MALKA BUZO ALG C/FRIZA</t>
        </is>
      </c>
      <c r="C24" s="88" t="n">
        <v>44700</v>
      </c>
      <c r="D24" s="88">
        <f>ROUND((C24*1.06)/100,0)*100</f>
        <v/>
      </c>
      <c r="E24" s="88">
        <f>ROUND((C24*1.15)/100,0)*100</f>
        <v/>
      </c>
      <c r="F24" s="88">
        <f>ROUND((C24*1.23)/100,0)*100</f>
        <v/>
      </c>
      <c r="G24" s="88">
        <f>ROUND((C24*1.29)/100,0)*100</f>
        <v/>
      </c>
      <c r="H24" s="88">
        <f>ROUND((C24*1.35)/100,0)*100</f>
        <v/>
      </c>
      <c r="I24" s="88">
        <f>ROUND((C24*1.39)/100,0)*100</f>
        <v/>
      </c>
      <c r="J24" s="88">
        <f>ROUND((C24*1.43)/100,0)*100</f>
        <v/>
      </c>
      <c r="K24" s="88">
        <f>ROUND((C24*1.48)/100,0)*100</f>
        <v/>
      </c>
      <c r="L24" s="88">
        <f>ROUND((D24*1.48)/100,0)*100</f>
        <v/>
      </c>
      <c r="M24" s="52" t="n"/>
      <c r="P24" s="117" t="n"/>
      <c r="R24" s="117" t="n"/>
      <c r="S24" s="88" t="n"/>
      <c r="T24" s="117">
        <f>C24*U24</f>
        <v/>
      </c>
      <c r="U24" s="18" t="n">
        <v>1.03</v>
      </c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</row>
    <row r="25">
      <c r="A25" s="145" t="inlineStr">
        <is>
          <t>510</t>
        </is>
      </c>
      <c r="B25" s="118" t="inlineStr">
        <is>
          <t>RDK BUZO C/CAPUCHA</t>
        </is>
      </c>
      <c r="C25" s="88" t="n">
        <v>27500</v>
      </c>
      <c r="D25" s="88">
        <f>ROUND((C25*1.06)/100,0)*100</f>
        <v/>
      </c>
      <c r="E25" s="88">
        <f>ROUND((C25*1.15)/100,0)*100</f>
        <v/>
      </c>
      <c r="F25" s="88">
        <f>ROUND((C25*1.23)/100,0)*100</f>
        <v/>
      </c>
      <c r="G25" s="88">
        <f>ROUND((C25*1.29)/100,0)*100</f>
        <v/>
      </c>
      <c r="H25" s="88">
        <f>ROUND((C25*1.35)/100,0)*100</f>
        <v/>
      </c>
      <c r="I25" s="88">
        <f>ROUND((C25*1.39)/100,0)*100</f>
        <v/>
      </c>
      <c r="J25" s="88">
        <f>ROUND((C25*1.43)/100,0)*100</f>
        <v/>
      </c>
      <c r="K25" s="88">
        <f>ROUND((C25*1.48)/100,0)*100</f>
        <v/>
      </c>
      <c r="L25" s="88">
        <f>ROUND((D25*1.48)/100,0)*100</f>
        <v/>
      </c>
      <c r="M25" s="52" t="n"/>
      <c r="P25" s="117" t="n"/>
      <c r="R25" s="117" t="n"/>
      <c r="S25" s="88" t="n"/>
      <c r="T25" s="117">
        <f>C25*U25</f>
        <v/>
      </c>
      <c r="U25" s="18" t="n">
        <v>1.03</v>
      </c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</row>
    <row r="26">
      <c r="A26" s="145" t="inlineStr">
        <is>
          <t>511</t>
        </is>
      </c>
      <c r="B26" s="118" t="inlineStr">
        <is>
          <t>BUCHINGHAM POLO 1/2 CIERRE</t>
        </is>
      </c>
      <c r="C26" s="88" t="n">
        <v>54600</v>
      </c>
      <c r="D26" s="88">
        <f>ROUND((C26*1.06)/100,0)*100</f>
        <v/>
      </c>
      <c r="E26" s="88">
        <f>ROUND((C26*1.15)/100,0)*100</f>
        <v/>
      </c>
      <c r="F26" s="88">
        <f>ROUND((C26*1.23)/100,0)*100</f>
        <v/>
      </c>
      <c r="G26" s="88">
        <f>ROUND((C26*1.29)/100,0)*100</f>
        <v/>
      </c>
      <c r="H26" s="88">
        <f>ROUND((C26*1.35)/100,0)*100</f>
        <v/>
      </c>
      <c r="I26" s="88">
        <f>ROUND((C26*1.39)/100,0)*100</f>
        <v/>
      </c>
      <c r="J26" s="88">
        <f>ROUND((C26*1.43)/100,0)*100</f>
        <v/>
      </c>
      <c r="K26" s="88">
        <f>ROUND((C26*1.48)/100,0)*100</f>
        <v/>
      </c>
      <c r="L26" s="88">
        <f>ROUND((D26*1.48)/100,0)*100</f>
        <v/>
      </c>
      <c r="M26" s="52" t="n"/>
      <c r="P26" s="117" t="n"/>
      <c r="R26" s="117" t="n"/>
      <c r="S26" s="88" t="n"/>
      <c r="T26" s="117">
        <f>C26*U26</f>
        <v/>
      </c>
      <c r="U26" s="18" t="n">
        <v>1.03</v>
      </c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</row>
    <row r="27">
      <c r="A27" s="145" t="inlineStr">
        <is>
          <t>580</t>
        </is>
      </c>
      <c r="B27" s="118" t="inlineStr">
        <is>
          <t>AERO ALG C/FRIZA</t>
        </is>
      </c>
      <c r="C27" s="88" t="n">
        <v>40300</v>
      </c>
      <c r="D27" s="88">
        <f>ROUND((C27*1.06)/100,0)*100</f>
        <v/>
      </c>
      <c r="E27" s="88">
        <f>ROUND((C27*1.15)/100,0)*100</f>
        <v/>
      </c>
      <c r="F27" s="88">
        <f>ROUND((C27*1.23)/100,0)*100</f>
        <v/>
      </c>
      <c r="G27" s="88">
        <f>ROUND((C27*1.29)/100,0)*100</f>
        <v/>
      </c>
      <c r="H27" s="88">
        <f>ROUND((C27*1.35)/100,0)*100</f>
        <v/>
      </c>
      <c r="I27" s="88">
        <f>ROUND((C27*1.39)/100,0)*100</f>
        <v/>
      </c>
      <c r="J27" s="88">
        <f>ROUND((C27*1.43)/100,0)*100</f>
        <v/>
      </c>
      <c r="K27" s="88">
        <f>ROUND((C27*1.48)/100,0)*100</f>
        <v/>
      </c>
      <c r="L27" s="88">
        <f>ROUND((D27*1.48)/100,0)*100</f>
        <v/>
      </c>
      <c r="M27" s="52" t="n"/>
      <c r="P27" s="117" t="n"/>
      <c r="R27" s="117" t="n"/>
      <c r="S27" s="22" t="n"/>
      <c r="T27" s="117">
        <f>C27*U27</f>
        <v/>
      </c>
      <c r="U27" s="18" t="n">
        <v>1.03</v>
      </c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</row>
    <row r="28">
      <c r="A28" s="145" t="inlineStr">
        <is>
          <t>586</t>
        </is>
      </c>
      <c r="B28" s="118" t="inlineStr">
        <is>
          <t>AERO ALG C/FRIZA</t>
        </is>
      </c>
      <c r="C28" s="88" t="n">
        <v>40300</v>
      </c>
      <c r="D28" s="88">
        <f>ROUND((C28*1.06)/100,0)*100</f>
        <v/>
      </c>
      <c r="E28" s="88">
        <f>ROUND((C28*1.15)/100,0)*100</f>
        <v/>
      </c>
      <c r="F28" s="88">
        <f>ROUND((C28*1.23)/100,0)*100</f>
        <v/>
      </c>
      <c r="G28" s="88">
        <f>ROUND((C28*1.29)/100,0)*100</f>
        <v/>
      </c>
      <c r="H28" s="88">
        <f>ROUND((C28*1.35)/100,0)*100</f>
        <v/>
      </c>
      <c r="I28" s="88">
        <f>ROUND((C28*1.39)/100,0)*100</f>
        <v/>
      </c>
      <c r="J28" s="88">
        <f>ROUND((C28*1.43)/100,0)*100</f>
        <v/>
      </c>
      <c r="K28" s="88">
        <f>ROUND((C28*1.48)/100,0)*100</f>
        <v/>
      </c>
      <c r="L28" s="88">
        <f>ROUND((D28*1.48)/100,0)*100</f>
        <v/>
      </c>
      <c r="M28" s="52" t="n"/>
      <c r="P28" s="117" t="n"/>
      <c r="R28" s="117" t="n"/>
      <c r="S28" s="88" t="n"/>
      <c r="T28" s="117">
        <f>C28*U28</f>
        <v/>
      </c>
      <c r="U28" s="18" t="n">
        <v>1.03</v>
      </c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</row>
    <row r="29">
      <c r="A29" s="145" t="inlineStr">
        <is>
          <t>801</t>
        </is>
      </c>
      <c r="B29" s="118" t="inlineStr">
        <is>
          <t xml:space="preserve"> BUZO ALG LISO</t>
        </is>
      </c>
      <c r="C29" s="88" t="n">
        <v>40300</v>
      </c>
      <c r="D29" s="88">
        <f>ROUND((C29*1.06)/100,0)*100</f>
        <v/>
      </c>
      <c r="E29" s="88">
        <f>ROUND((C29*1.15)/100,0)*100</f>
        <v/>
      </c>
      <c r="F29" s="88">
        <f>ROUND((C29*1.23)/100,0)*100</f>
        <v/>
      </c>
      <c r="G29" s="88">
        <f>ROUND((C29*1.29)/100,0)*100</f>
        <v/>
      </c>
      <c r="H29" s="88">
        <f>ROUND((C29*1.35)/100,0)*100</f>
        <v/>
      </c>
      <c r="I29" s="88">
        <f>ROUND((C29*1.39)/100,0)*100</f>
        <v/>
      </c>
      <c r="J29" s="88">
        <f>ROUND((C29*1.43)/100,0)*100</f>
        <v/>
      </c>
      <c r="K29" s="88">
        <f>ROUND((C29*1.48)/100,0)*100</f>
        <v/>
      </c>
      <c r="L29" s="88">
        <f>ROUND((D29*1.48)/100,0)*100</f>
        <v/>
      </c>
      <c r="M29" s="52" t="n"/>
      <c r="P29" s="117" t="n"/>
      <c r="R29" s="117" t="n"/>
      <c r="S29" s="22" t="n"/>
      <c r="T29" s="117">
        <f>C29*U29</f>
        <v/>
      </c>
      <c r="U29" s="18" t="n">
        <v>1.03</v>
      </c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</row>
    <row r="30">
      <c r="A30" s="145" t="inlineStr">
        <is>
          <t>802</t>
        </is>
      </c>
      <c r="B30" s="118" t="inlineStr">
        <is>
          <t xml:space="preserve"> BUZO ALG </t>
        </is>
      </c>
      <c r="C30" s="88" t="n">
        <v>40300</v>
      </c>
      <c r="D30" s="88">
        <f>ROUND((C30*1.06)/100,0)*100</f>
        <v/>
      </c>
      <c r="E30" s="88">
        <f>ROUND((C30*1.15)/100,0)*100</f>
        <v/>
      </c>
      <c r="F30" s="88">
        <f>ROUND((C30*1.23)/100,0)*100</f>
        <v/>
      </c>
      <c r="G30" s="88">
        <f>ROUND((C30*1.29)/100,0)*100</f>
        <v/>
      </c>
      <c r="H30" s="88">
        <f>ROUND((C30*1.35)/100,0)*100</f>
        <v/>
      </c>
      <c r="I30" s="88">
        <f>ROUND((C30*1.39)/100,0)*100</f>
        <v/>
      </c>
      <c r="J30" s="88">
        <f>ROUND((C30*1.43)/100,0)*100</f>
        <v/>
      </c>
      <c r="K30" s="88">
        <f>ROUND((C30*1.48)/100,0)*100</f>
        <v/>
      </c>
      <c r="L30" s="88">
        <f>ROUND((D30*1.48)/100,0)*100</f>
        <v/>
      </c>
      <c r="M30" s="52" t="n"/>
      <c r="P30" s="117" t="n"/>
      <c r="R30" s="117" t="n"/>
      <c r="S30" s="22" t="n"/>
      <c r="T30" s="117">
        <f>C30*U30</f>
        <v/>
      </c>
      <c r="U30" s="18" t="n">
        <v>1.03</v>
      </c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</row>
    <row r="31">
      <c r="A31" s="145" t="inlineStr">
        <is>
          <t>822</t>
        </is>
      </c>
      <c r="B31" s="118" t="inlineStr">
        <is>
          <t xml:space="preserve"> BUZO CON 1/2 CIERRE</t>
        </is>
      </c>
      <c r="C31" s="88" t="n">
        <v>60500</v>
      </c>
      <c r="D31" s="88">
        <f>ROUND((C31*1.06)/100,0)*100</f>
        <v/>
      </c>
      <c r="E31" s="88">
        <f>ROUND((C31*1.15)/100,0)*100</f>
        <v/>
      </c>
      <c r="F31" s="88">
        <f>ROUND((C31*1.23)/100,0)*100</f>
        <v/>
      </c>
      <c r="G31" s="88">
        <f>ROUND((C31*1.29)/100,0)*100</f>
        <v/>
      </c>
      <c r="H31" s="88">
        <f>ROUND((C31*1.35)/100,0)*100</f>
        <v/>
      </c>
      <c r="I31" s="88">
        <f>ROUND((C31*1.39)/100,0)*100</f>
        <v/>
      </c>
      <c r="J31" s="88">
        <f>ROUND((C31*1.43)/100,0)*100</f>
        <v/>
      </c>
      <c r="K31" s="88">
        <f>ROUND((C31*1.48)/100,0)*100</f>
        <v/>
      </c>
      <c r="L31" s="88">
        <f>ROUND((D31*1.48)/100,0)*100</f>
        <v/>
      </c>
      <c r="M31" s="52" t="n"/>
      <c r="P31" s="117" t="n"/>
      <c r="R31" s="117" t="n"/>
      <c r="S31" s="22" t="n"/>
      <c r="T31" s="117">
        <f>C31*U31</f>
        <v/>
      </c>
      <c r="U31" s="18" t="n">
        <v>1.03</v>
      </c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</row>
    <row r="32">
      <c r="A32" s="145" t="inlineStr">
        <is>
          <t>2020</t>
        </is>
      </c>
      <c r="B32" s="118" t="inlineStr">
        <is>
          <t xml:space="preserve"> BUZO ALG C/FRIZA TIPO CHOMBA</t>
        </is>
      </c>
      <c r="C32" s="88" t="n">
        <v>60500</v>
      </c>
      <c r="D32" s="88">
        <f>ROUND((C32*1.06)/100,0)*100</f>
        <v/>
      </c>
      <c r="E32" s="88">
        <f>ROUND((C32*1.15)/100,0)*100</f>
        <v/>
      </c>
      <c r="F32" s="88">
        <f>ROUND((C32*1.23)/100,0)*100</f>
        <v/>
      </c>
      <c r="G32" s="88">
        <f>ROUND((C32*1.29)/100,0)*100</f>
        <v/>
      </c>
      <c r="H32" s="88">
        <f>ROUND((C32*1.35)/100,0)*100</f>
        <v/>
      </c>
      <c r="I32" s="88">
        <f>ROUND((C32*1.39)/100,0)*100</f>
        <v/>
      </c>
      <c r="J32" s="88">
        <f>ROUND((C32*1.43)/100,0)*100</f>
        <v/>
      </c>
      <c r="K32" s="88">
        <f>ROUND((C32*1.48)/100,0)*100</f>
        <v/>
      </c>
      <c r="L32" s="88">
        <f>ROUND((D32*1.48)/100,0)*100</f>
        <v/>
      </c>
      <c r="M32" s="52" t="n"/>
      <c r="P32" s="117" t="n"/>
      <c r="R32" s="117" t="n"/>
      <c r="S32" s="88" t="n"/>
      <c r="T32" s="117">
        <f>C32*U32</f>
        <v/>
      </c>
      <c r="U32" s="18" t="n">
        <v>1.03</v>
      </c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</row>
    <row r="33">
      <c r="A33" s="145" t="inlineStr">
        <is>
          <t>2063</t>
        </is>
      </c>
      <c r="B33" s="118" t="inlineStr">
        <is>
          <t>OSH BUZO ALG CON FRIZA</t>
        </is>
      </c>
      <c r="C33" s="88" t="n">
        <v>36000</v>
      </c>
      <c r="D33" s="88">
        <f>ROUND((C33*1.06)/100,0)*100</f>
        <v/>
      </c>
      <c r="E33" s="88">
        <f>ROUND((C33*1.15)/100,0)*100</f>
        <v/>
      </c>
      <c r="F33" s="88">
        <f>ROUND((C33*1.23)/100,0)*100</f>
        <v/>
      </c>
      <c r="G33" s="88">
        <f>ROUND((C33*1.29)/100,0)*100</f>
        <v/>
      </c>
      <c r="H33" s="88">
        <f>ROUND((C33*1.35)/100,0)*100</f>
        <v/>
      </c>
      <c r="I33" s="88">
        <f>ROUND((C33*1.39)/100,0)*100</f>
        <v/>
      </c>
      <c r="J33" s="88">
        <f>ROUND((C33*1.43)/100,0)*100</f>
        <v/>
      </c>
      <c r="K33" s="88">
        <f>ROUND((C33*1.48)/100,0)*100</f>
        <v/>
      </c>
      <c r="L33" s="88">
        <f>ROUND((D33*1.48)/100,0)*100</f>
        <v/>
      </c>
      <c r="M33" s="52" t="n"/>
      <c r="P33" s="117" t="n"/>
      <c r="R33" s="117" t="n"/>
      <c r="S33" s="88" t="n"/>
      <c r="T33" s="117">
        <f>C33*U33</f>
        <v/>
      </c>
      <c r="U33" s="18" t="n">
        <v>1.03</v>
      </c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</row>
    <row r="34">
      <c r="A34" s="145" t="inlineStr">
        <is>
          <t>2204</t>
        </is>
      </c>
      <c r="B34" s="118" t="inlineStr">
        <is>
          <t xml:space="preserve"> BUZO ALG </t>
        </is>
      </c>
      <c r="C34" s="22" t="n">
        <v>48400</v>
      </c>
      <c r="D34" s="88">
        <f>ROUND((C34*1.06)/100,0)*100</f>
        <v/>
      </c>
      <c r="E34" s="88">
        <f>ROUND((C34*1.15)/100,0)*100</f>
        <v/>
      </c>
      <c r="F34" s="88">
        <f>ROUND((C34*1.23)/100,0)*100</f>
        <v/>
      </c>
      <c r="G34" s="88">
        <f>ROUND((C34*1.29)/100,0)*100</f>
        <v/>
      </c>
      <c r="H34" s="88">
        <f>ROUND((C34*1.35)/100,0)*100</f>
        <v/>
      </c>
      <c r="I34" s="88">
        <f>ROUND((C34*1.39)/100,0)*100</f>
        <v/>
      </c>
      <c r="J34" s="88">
        <f>ROUND((C34*1.43)/100,0)*100</f>
        <v/>
      </c>
      <c r="K34" s="88">
        <f>ROUND((C34*1.48)/100,0)*100</f>
        <v/>
      </c>
      <c r="L34" s="88">
        <f>ROUND((D34*1.48)/100,0)*100</f>
        <v/>
      </c>
      <c r="M34" s="52" t="n"/>
      <c r="P34" s="117" t="n"/>
      <c r="R34" s="117" t="n"/>
      <c r="S34" s="22" t="n"/>
      <c r="T34" s="117">
        <f>C34*U34</f>
        <v/>
      </c>
      <c r="U34" s="18" t="n">
        <v>1.03</v>
      </c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</row>
    <row r="35">
      <c r="A35" s="145" t="inlineStr">
        <is>
          <t>2460</t>
        </is>
      </c>
      <c r="B35" s="118" t="inlineStr">
        <is>
          <t>BUZO ALGODÓN CHOMBA RUGBY</t>
        </is>
      </c>
      <c r="C35" s="88" t="n">
        <v>46900</v>
      </c>
      <c r="D35" s="88">
        <f>ROUND((C35*1.06)/100,0)*100</f>
        <v/>
      </c>
      <c r="E35" s="88">
        <f>ROUND((C35*1.15)/100,0)*100</f>
        <v/>
      </c>
      <c r="F35" s="88">
        <f>ROUND((C35*1.23)/100,0)*100</f>
        <v/>
      </c>
      <c r="G35" s="88">
        <f>ROUND((C35*1.29)/100,0)*100</f>
        <v/>
      </c>
      <c r="H35" s="88">
        <f>ROUND((C35*1.35)/100,0)*100</f>
        <v/>
      </c>
      <c r="I35" s="88">
        <f>ROUND((C35*1.39)/100,0)*100</f>
        <v/>
      </c>
      <c r="J35" s="88">
        <f>ROUND((C35*1.43)/100,0)*100</f>
        <v/>
      </c>
      <c r="K35" s="88">
        <f>ROUND((C35*1.48)/100,0)*100</f>
        <v/>
      </c>
      <c r="L35" s="88">
        <f>ROUND((D35*1.48)/100,0)*100</f>
        <v/>
      </c>
      <c r="M35" s="52" t="n"/>
      <c r="P35" s="117" t="n"/>
      <c r="R35" s="117" t="n"/>
      <c r="S35" s="88" t="n"/>
      <c r="T35" s="117">
        <f>C35*U35</f>
        <v/>
      </c>
      <c r="U35" s="18" t="n">
        <v>1.03</v>
      </c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</row>
    <row r="36">
      <c r="A36" s="145" t="inlineStr">
        <is>
          <t>2462</t>
        </is>
      </c>
      <c r="B36" s="118" t="inlineStr">
        <is>
          <t>BUZO ALGODÓN CUELLO O</t>
        </is>
      </c>
      <c r="C36" s="88" t="n">
        <v>49500</v>
      </c>
      <c r="D36" s="88">
        <f>ROUND((C36*1.06)/100,0)*100</f>
        <v/>
      </c>
      <c r="E36" s="88">
        <f>ROUND((C36*1.15)/100,0)*100</f>
        <v/>
      </c>
      <c r="F36" s="88">
        <f>ROUND((C36*1.23)/100,0)*100</f>
        <v/>
      </c>
      <c r="G36" s="88">
        <f>ROUND((C36*1.29)/100,0)*100</f>
        <v/>
      </c>
      <c r="H36" s="88">
        <f>ROUND((C36*1.35)/100,0)*100</f>
        <v/>
      </c>
      <c r="I36" s="88">
        <f>ROUND((C36*1.39)/100,0)*100</f>
        <v/>
      </c>
      <c r="J36" s="88">
        <f>ROUND((C36*1.43)/100,0)*100</f>
        <v/>
      </c>
      <c r="K36" s="88">
        <f>ROUND((C36*1.48)/100,0)*100</f>
        <v/>
      </c>
      <c r="L36" s="88">
        <f>ROUND((D36*1.48)/100,0)*100</f>
        <v/>
      </c>
      <c r="M36" s="52" t="n"/>
      <c r="P36" s="117" t="n"/>
      <c r="R36" s="117" t="n"/>
      <c r="S36" s="88" t="n"/>
      <c r="T36" s="117">
        <f>C36*U36</f>
        <v/>
      </c>
      <c r="U36" s="18" t="n">
        <v>1.03</v>
      </c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</row>
    <row r="37">
      <c r="A37" s="145" t="inlineStr">
        <is>
          <t>2480</t>
        </is>
      </c>
      <c r="B37" s="118" t="inlineStr">
        <is>
          <t>M. POINT BUZO POLAR</t>
        </is>
      </c>
      <c r="C37" s="88" t="n">
        <v>49500</v>
      </c>
      <c r="D37" s="88">
        <f>ROUND((C37*1.06)/100,0)*100</f>
        <v/>
      </c>
      <c r="E37" s="88">
        <f>ROUND((C37*1.15)/100,0)*100</f>
        <v/>
      </c>
      <c r="F37" s="88">
        <f>ROUND((C37*1.23)/100,0)*100</f>
        <v/>
      </c>
      <c r="G37" s="88">
        <f>ROUND((C37*1.29)/100,0)*100</f>
        <v/>
      </c>
      <c r="H37" s="88">
        <f>ROUND((C37*1.35)/100,0)*100</f>
        <v/>
      </c>
      <c r="I37" s="88">
        <f>ROUND((C37*1.39)/100,0)*100</f>
        <v/>
      </c>
      <c r="J37" s="88">
        <f>ROUND((C37*1.43)/100,0)*100</f>
        <v/>
      </c>
      <c r="K37" s="88">
        <f>ROUND((C37*1.48)/100,0)*100</f>
        <v/>
      </c>
      <c r="L37" s="88">
        <f>ROUND((D37*1.48)/100,0)*100</f>
        <v/>
      </c>
      <c r="M37" s="52" t="n"/>
      <c r="P37" s="117" t="n"/>
      <c r="R37" s="117" t="n"/>
      <c r="S37" s="22" t="n"/>
      <c r="T37" s="117">
        <f>C37*U37</f>
        <v/>
      </c>
      <c r="U37" s="18" t="n">
        <v>1.03</v>
      </c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</row>
    <row r="38">
      <c r="A38" s="145" t="inlineStr">
        <is>
          <t>2738</t>
        </is>
      </c>
      <c r="B38" s="118" t="inlineStr">
        <is>
          <t>BUZO</t>
        </is>
      </c>
      <c r="C38" s="88" t="n">
        <v>49500</v>
      </c>
      <c r="D38" s="88">
        <f>ROUND((C38*1.06)/100,0)*100</f>
        <v/>
      </c>
      <c r="E38" s="88">
        <f>ROUND((C38*1.15)/100,0)*100</f>
        <v/>
      </c>
      <c r="F38" s="88">
        <f>ROUND((C38*1.23)/100,0)*100</f>
        <v/>
      </c>
      <c r="G38" s="88">
        <f>ROUND((C38*1.29)/100,0)*100</f>
        <v/>
      </c>
      <c r="H38" s="88">
        <f>ROUND((C38*1.35)/100,0)*100</f>
        <v/>
      </c>
      <c r="I38" s="88">
        <f>ROUND((C38*1.39)/100,0)*100</f>
        <v/>
      </c>
      <c r="J38" s="88">
        <f>ROUND((C38*1.43)/100,0)*100</f>
        <v/>
      </c>
      <c r="K38" s="88">
        <f>ROUND((C38*1.48)/100,0)*100</f>
        <v/>
      </c>
      <c r="L38" s="88">
        <f>ROUND((D38*1.48)/100,0)*100</f>
        <v/>
      </c>
      <c r="M38" s="52" t="n"/>
      <c r="P38" s="117" t="n"/>
      <c r="R38" s="117" t="n"/>
      <c r="S38" s="22" t="n"/>
      <c r="T38" s="117">
        <f>C38*U38</f>
        <v/>
      </c>
      <c r="U38" s="18" t="n">
        <v>1.03</v>
      </c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</row>
    <row r="39">
      <c r="A39" s="145" t="inlineStr">
        <is>
          <t>2951</t>
        </is>
      </c>
      <c r="B39" s="118" t="inlineStr">
        <is>
          <t>AERO BUZO CHOMBA</t>
        </is>
      </c>
      <c r="C39" s="88" t="n">
        <v>49500</v>
      </c>
      <c r="D39" s="88">
        <f>ROUND((C39*1.06)/100,0)*100</f>
        <v/>
      </c>
      <c r="E39" s="88">
        <f>ROUND((C39*1.15)/100,0)*100</f>
        <v/>
      </c>
      <c r="F39" s="88">
        <f>ROUND((C39*1.23)/100,0)*100</f>
        <v/>
      </c>
      <c r="G39" s="88">
        <f>ROUND((C39*1.29)/100,0)*100</f>
        <v/>
      </c>
      <c r="H39" s="88">
        <f>ROUND((C39*1.35)/100,0)*100</f>
        <v/>
      </c>
      <c r="I39" s="88">
        <f>ROUND((C39*1.39)/100,0)*100</f>
        <v/>
      </c>
      <c r="J39" s="88">
        <f>ROUND((C39*1.43)/100,0)*100</f>
        <v/>
      </c>
      <c r="K39" s="88">
        <f>ROUND((C39*1.48)/100,0)*100</f>
        <v/>
      </c>
      <c r="L39" s="88">
        <f>ROUND((D39*1.48)/100,0)*100</f>
        <v/>
      </c>
      <c r="M39" s="52" t="n"/>
      <c r="P39" s="117" t="n"/>
      <c r="R39" s="117" t="n"/>
      <c r="S39" s="22" t="n"/>
      <c r="T39" s="117">
        <f>C39*U39</f>
        <v/>
      </c>
      <c r="U39" s="18" t="n">
        <v>1.03</v>
      </c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</row>
    <row r="40">
      <c r="A40" s="145" t="inlineStr">
        <is>
          <t>2959</t>
        </is>
      </c>
      <c r="B40" s="118" t="inlineStr">
        <is>
          <t>AERO ALG C/FRIZA</t>
        </is>
      </c>
      <c r="C40" s="88" t="n">
        <v>49700</v>
      </c>
      <c r="D40" s="88">
        <f>ROUND((C40*1.06)/100,0)*100</f>
        <v/>
      </c>
      <c r="E40" s="88">
        <f>ROUND((C40*1.15)/100,0)*100</f>
        <v/>
      </c>
      <c r="F40" s="88">
        <f>ROUND((C40*1.23)/100,0)*100</f>
        <v/>
      </c>
      <c r="G40" s="88">
        <f>ROUND((C40*1.29)/100,0)*100</f>
        <v/>
      </c>
      <c r="H40" s="88">
        <f>ROUND((C40*1.35)/100,0)*100</f>
        <v/>
      </c>
      <c r="I40" s="88">
        <f>ROUND((C40*1.39)/100,0)*100</f>
        <v/>
      </c>
      <c r="J40" s="88">
        <f>ROUND((C40*1.43)/100,0)*100</f>
        <v/>
      </c>
      <c r="K40" s="88">
        <f>ROUND((C40*1.48)/100,0)*100</f>
        <v/>
      </c>
      <c r="L40" s="88">
        <f>ROUND((D40*1.48)/100,0)*100</f>
        <v/>
      </c>
      <c r="M40" s="52" t="n"/>
      <c r="P40" s="117" t="n"/>
      <c r="R40" s="117" t="n"/>
      <c r="T40" s="117">
        <f>C40*U40</f>
        <v/>
      </c>
      <c r="U40" s="18" t="n">
        <v>1.03</v>
      </c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</row>
    <row r="41">
      <c r="A41" s="145" t="inlineStr">
        <is>
          <t>2960</t>
        </is>
      </c>
      <c r="B41" s="118" t="inlineStr">
        <is>
          <t>AERO ALG C/FRIZA</t>
        </is>
      </c>
      <c r="C41" s="88" t="n">
        <v>52900</v>
      </c>
      <c r="D41" s="88">
        <f>ROUND((C41*1.06)/100,0)*100</f>
        <v/>
      </c>
      <c r="E41" s="88">
        <f>ROUND((C41*1.15)/100,0)*100</f>
        <v/>
      </c>
      <c r="F41" s="88">
        <f>ROUND((C41*1.23)/100,0)*100</f>
        <v/>
      </c>
      <c r="G41" s="88">
        <f>ROUND((C41*1.29)/100,0)*100</f>
        <v/>
      </c>
      <c r="H41" s="88">
        <f>ROUND((C41*1.35)/100,0)*100</f>
        <v/>
      </c>
      <c r="I41" s="88">
        <f>ROUND((C41*1.39)/100,0)*100</f>
        <v/>
      </c>
      <c r="J41" s="88">
        <f>ROUND((C41*1.43)/100,0)*100</f>
        <v/>
      </c>
      <c r="K41" s="88">
        <f>ROUND((C41*1.48)/100,0)*100</f>
        <v/>
      </c>
      <c r="L41" s="88">
        <f>ROUND((D41*1.48)/100,0)*100</f>
        <v/>
      </c>
      <c r="M41" s="52" t="n"/>
      <c r="P41" s="117" t="n"/>
      <c r="R41" s="117" t="n"/>
      <c r="T41" s="117">
        <f>C41*U41</f>
        <v/>
      </c>
      <c r="U41" s="18" t="n">
        <v>1.03</v>
      </c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</row>
    <row r="42">
      <c r="A42" s="145" t="inlineStr">
        <is>
          <t>64701</t>
        </is>
      </c>
      <c r="B42" s="118" t="inlineStr">
        <is>
          <t>CHENILE MEDIO CIERRE</t>
        </is>
      </c>
      <c r="C42" s="88" t="n">
        <v>74400</v>
      </c>
      <c r="D42" s="88">
        <f>ROUND((C42*1.06)/100,0)*100</f>
        <v/>
      </c>
      <c r="E42" s="88">
        <f>ROUND((C42*1.15)/100,0)*100</f>
        <v/>
      </c>
      <c r="F42" s="88">
        <f>ROUND((C42*1.23)/100,0)*100</f>
        <v/>
      </c>
      <c r="G42" s="88">
        <f>ROUND((C42*1.29)/100,0)*100</f>
        <v/>
      </c>
      <c r="H42" s="88">
        <f>ROUND((C42*1.35)/100,0)*100</f>
        <v/>
      </c>
      <c r="I42" s="88">
        <f>ROUND((C42*1.39)/100,0)*100</f>
        <v/>
      </c>
      <c r="J42" s="88">
        <f>ROUND((C42*1.43)/100,0)*100</f>
        <v/>
      </c>
      <c r="K42" s="88">
        <f>ROUND((C42*1.48)/100,0)*100</f>
        <v/>
      </c>
      <c r="L42" s="88">
        <f>ROUND((D42*1.48)/100,0)*100</f>
        <v/>
      </c>
      <c r="M42" s="52" t="n"/>
      <c r="P42" s="117" t="n"/>
      <c r="R42" s="117" t="n"/>
      <c r="T42" s="117">
        <f>C42*U42</f>
        <v/>
      </c>
      <c r="U42" s="18" t="n">
        <v>1.03</v>
      </c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</row>
    <row r="43">
      <c r="A43" s="145" t="inlineStr">
        <is>
          <t>64702</t>
        </is>
      </c>
      <c r="B43" s="118" t="inlineStr">
        <is>
          <t>CHENILE 3 BOTONES</t>
        </is>
      </c>
      <c r="C43" s="88" t="n">
        <v>67500</v>
      </c>
      <c r="D43" s="88">
        <f>ROUND((C43*1.06)/100,0)*100</f>
        <v/>
      </c>
      <c r="E43" s="88">
        <f>ROUND((C43*1.15)/100,0)*100</f>
        <v/>
      </c>
      <c r="F43" s="88">
        <f>ROUND((C43*1.23)/100,0)*100</f>
        <v/>
      </c>
      <c r="G43" s="88">
        <f>ROUND((C43*1.29)/100,0)*100</f>
        <v/>
      </c>
      <c r="H43" s="88">
        <f>ROUND((C43*1.35)/100,0)*100</f>
        <v/>
      </c>
      <c r="I43" s="88">
        <f>ROUND((C43*1.39)/100,0)*100</f>
        <v/>
      </c>
      <c r="J43" s="88">
        <f>ROUND((C43*1.43)/100,0)*100</f>
        <v/>
      </c>
      <c r="K43" s="88">
        <f>ROUND((C43*1.48)/100,0)*100</f>
        <v/>
      </c>
      <c r="L43" s="88">
        <f>ROUND((D43*1.48)/100,0)*100</f>
        <v/>
      </c>
      <c r="M43" s="52" t="n"/>
      <c r="P43" s="117" t="n"/>
      <c r="R43" s="117" t="n"/>
      <c r="T43" s="117">
        <f>C43*U43</f>
        <v/>
      </c>
      <c r="U43" s="18" t="n">
        <v>1.03</v>
      </c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</row>
    <row r="44">
      <c r="A44" s="145" t="inlineStr">
        <is>
          <t>AER7604</t>
        </is>
      </c>
      <c r="B44" s="118" t="inlineStr">
        <is>
          <t xml:space="preserve"> MEDIO CIERRE</t>
        </is>
      </c>
      <c r="C44" s="22" t="n">
        <v>78500</v>
      </c>
      <c r="D44" s="88">
        <f>ROUND((C44*1.06)/100,0)*100</f>
        <v/>
      </c>
      <c r="E44" s="88">
        <f>ROUND((C44*1.15)/100,0)*100</f>
        <v/>
      </c>
      <c r="F44" s="88">
        <f>ROUND((C44*1.23)/100,0)*100</f>
        <v/>
      </c>
      <c r="G44" s="88">
        <f>ROUND((C44*1.29)/100,0)*100</f>
        <v/>
      </c>
      <c r="H44" s="88">
        <f>ROUND((C44*1.35)/100,0)*100</f>
        <v/>
      </c>
      <c r="I44" s="88">
        <f>ROUND((C44*1.39)/100,0)*100</f>
        <v/>
      </c>
      <c r="J44" s="88">
        <f>ROUND((C44*1.43)/100,0)*100</f>
        <v/>
      </c>
      <c r="K44" s="88">
        <f>ROUND((C44*1.48)/100,0)*100</f>
        <v/>
      </c>
      <c r="L44" s="88">
        <f>ROUND((D44*1.48)/100,0)*100</f>
        <v/>
      </c>
      <c r="M44" s="52" t="n"/>
      <c r="P44" s="117" t="n"/>
      <c r="R44" s="117" t="n"/>
      <c r="T44" s="117">
        <f>C44*U44</f>
        <v/>
      </c>
      <c r="U44" s="18" t="n">
        <v>1.03</v>
      </c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</row>
    <row r="45">
      <c r="A45" s="145" t="inlineStr">
        <is>
          <t>64701</t>
        </is>
      </c>
      <c r="B45" s="118" t="inlineStr">
        <is>
          <t>BUZO GENÉRICO</t>
        </is>
      </c>
      <c r="C45" s="22" t="n">
        <v>45500</v>
      </c>
      <c r="D45" s="88">
        <f>ROUND((C45*1.06)/100,0)*100</f>
        <v/>
      </c>
      <c r="E45" s="88">
        <f>ROUND((C45*1.15)/100,0)*100</f>
        <v/>
      </c>
      <c r="F45" s="88">
        <f>ROUND((C45*1.23)/100,0)*100</f>
        <v/>
      </c>
      <c r="G45" s="88">
        <f>ROUND((C45*1.29)/100,0)*100</f>
        <v/>
      </c>
      <c r="H45" s="88">
        <f>ROUND((C45*1.35)/100,0)*100</f>
        <v/>
      </c>
      <c r="I45" s="88">
        <f>ROUND((C45*1.39)/100,0)*100</f>
        <v/>
      </c>
      <c r="J45" s="88">
        <f>ROUND((C45*1.43)/100,0)*100</f>
        <v/>
      </c>
      <c r="K45" s="88">
        <f>ROUND((C45*1.48)/100,0)*100</f>
        <v/>
      </c>
      <c r="L45" s="88">
        <f>ROUND((D45*1.48)/100,0)*100</f>
        <v/>
      </c>
      <c r="M45" s="52" t="n"/>
      <c r="P45" s="117" t="n"/>
      <c r="R45" s="117" t="n"/>
      <c r="T45" s="117">
        <f>C45*U45</f>
        <v/>
      </c>
      <c r="U45" s="18" t="n">
        <v>1.03</v>
      </c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</row>
    <row r="46">
      <c r="A46" s="145" t="inlineStr">
        <is>
          <t>6496</t>
        </is>
      </c>
      <c r="B46" s="118" t="inlineStr">
        <is>
          <t>AERO</t>
        </is>
      </c>
      <c r="C46" s="22" t="n">
        <v>45500</v>
      </c>
      <c r="D46" s="88">
        <f>ROUND((C46*1.06)/100,0)*100</f>
        <v/>
      </c>
      <c r="E46" s="88">
        <f>ROUND((C46*1.15)/100,0)*100</f>
        <v/>
      </c>
      <c r="F46" s="88">
        <f>ROUND((C46*1.23)/100,0)*100</f>
        <v/>
      </c>
      <c r="G46" s="88">
        <f>ROUND((C46*1.29)/100,0)*100</f>
        <v/>
      </c>
      <c r="H46" s="88">
        <f>ROUND((C46*1.35)/100,0)*100</f>
        <v/>
      </c>
      <c r="I46" s="88">
        <f>ROUND((C46*1.39)/100,0)*100</f>
        <v/>
      </c>
      <c r="J46" s="88">
        <f>ROUND((C46*1.43)/100,0)*100</f>
        <v/>
      </c>
      <c r="K46" s="88">
        <f>ROUND((C46*1.48)/100,0)*100</f>
        <v/>
      </c>
      <c r="L46" s="88">
        <f>ROUND((D46*1.48)/100,0)*100</f>
        <v/>
      </c>
      <c r="M46" s="52" t="n"/>
      <c r="P46" s="117" t="n"/>
      <c r="R46" s="117" t="n"/>
      <c r="T46" s="117">
        <f>C46*U46</f>
        <v/>
      </c>
      <c r="U46" s="18" t="n">
        <v>1.03</v>
      </c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</row>
    <row r="47">
      <c r="A47" s="233" t="inlineStr">
        <is>
          <t>03972XXX</t>
        </is>
      </c>
      <c r="B47" s="30" t="inlineStr">
        <is>
          <t>TAVERNITI</t>
        </is>
      </c>
      <c r="C47" s="88" t="n">
        <v>95200</v>
      </c>
      <c r="D47" s="170" t="n"/>
      <c r="E47" s="170" t="n"/>
      <c r="F47" s="170" t="n"/>
      <c r="G47" s="170" t="n"/>
      <c r="H47" s="170" t="n"/>
      <c r="I47" s="170" t="n"/>
      <c r="J47" s="170" t="n"/>
      <c r="K47" s="170" t="n"/>
      <c r="L47" s="170" t="n"/>
      <c r="M47" s="170" t="n"/>
      <c r="N47" s="30" t="n"/>
      <c r="O47" s="30" t="n"/>
      <c r="P47" s="170" t="n"/>
      <c r="Q47" s="30" t="n"/>
      <c r="R47" s="170" t="n"/>
      <c r="S47" s="30" t="n"/>
      <c r="T47" s="150">
        <f>C47*U47</f>
        <v/>
      </c>
      <c r="U47" s="18" t="n">
        <v>1.03</v>
      </c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30" t="n"/>
    </row>
    <row r="48">
      <c r="A48" s="145" t="inlineStr">
        <is>
          <t>4132</t>
        </is>
      </c>
      <c r="B48" s="118" t="inlineStr">
        <is>
          <t>TAVERNITI</t>
        </is>
      </c>
      <c r="C48" s="88" t="n">
        <v>95200</v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52" t="n"/>
      <c r="P48" s="117" t="n"/>
      <c r="R48" s="117" t="n"/>
      <c r="T48" s="117">
        <f>C48*U48</f>
        <v/>
      </c>
      <c r="U48" s="18" t="n">
        <v>1.03</v>
      </c>
    </row>
    <row r="49">
      <c r="A49" s="145" t="inlineStr">
        <is>
          <t>4134</t>
        </is>
      </c>
      <c r="B49" s="118" t="inlineStr">
        <is>
          <t>TAVERNITI</t>
        </is>
      </c>
      <c r="C49" s="88" t="n">
        <v>95200</v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52" t="n"/>
      <c r="P49" s="117" t="n"/>
      <c r="R49" s="117" t="n"/>
      <c r="T49" s="117">
        <f>C49*U49</f>
        <v/>
      </c>
      <c r="U49" s="18" t="n">
        <v>1.03</v>
      </c>
    </row>
    <row r="50">
      <c r="A50" s="145" t="inlineStr">
        <is>
          <t>4136</t>
        </is>
      </c>
      <c r="B50" s="118" t="inlineStr">
        <is>
          <t>TAVERNITI</t>
        </is>
      </c>
      <c r="C50" s="88" t="n">
        <v>95200</v>
      </c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52" t="n"/>
      <c r="P50" s="117" t="n"/>
      <c r="R50" s="117" t="n"/>
      <c r="T50" s="117">
        <f>C50*U50</f>
        <v/>
      </c>
      <c r="U50" s="18" t="n">
        <v>1.03</v>
      </c>
    </row>
    <row r="51">
      <c r="A51" s="233" t="inlineStr">
        <is>
          <t>4240XXX</t>
        </is>
      </c>
      <c r="B51" s="30" t="inlineStr">
        <is>
          <t>TAVERNITI BUZO</t>
        </is>
      </c>
      <c r="C51" s="88" t="n">
        <v>73900</v>
      </c>
      <c r="D51" s="170" t="n"/>
      <c r="E51" s="170" t="n"/>
      <c r="F51" s="170" t="n"/>
      <c r="G51" s="170" t="n"/>
      <c r="H51" s="170" t="n"/>
      <c r="I51" s="170" t="n"/>
      <c r="J51" s="170" t="n"/>
      <c r="K51" s="170" t="n"/>
      <c r="L51" s="170" t="n"/>
      <c r="M51" s="170" t="n"/>
      <c r="N51" s="30" t="n"/>
      <c r="O51" s="30" t="n"/>
      <c r="P51" s="170" t="n"/>
      <c r="Q51" s="30" t="n"/>
      <c r="R51" s="170" t="n"/>
      <c r="S51" s="30" t="n"/>
      <c r="T51" s="150">
        <f>C51*U51</f>
        <v/>
      </c>
      <c r="U51" s="18" t="n">
        <v>1.03</v>
      </c>
      <c r="V51" s="30" t="n"/>
      <c r="W51" s="30" t="n"/>
      <c r="X51" s="30" t="n"/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30" t="n"/>
      <c r="AJ51" s="30" t="n"/>
      <c r="AK51" s="30" t="n"/>
      <c r="AL51" s="30" t="n"/>
      <c r="AM51" s="30" t="n"/>
      <c r="AN51" s="30" t="n"/>
    </row>
    <row r="52">
      <c r="A52" s="145" t="inlineStr">
        <is>
          <t>4354</t>
        </is>
      </c>
      <c r="B52" s="30" t="inlineStr">
        <is>
          <t>TAVERNITI BUZO</t>
        </is>
      </c>
      <c r="C52" s="88" t="n">
        <v>95200</v>
      </c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52" t="n"/>
      <c r="P52" s="117" t="n"/>
      <c r="R52" s="117" t="n"/>
      <c r="T52" s="117">
        <f>C52*U52</f>
        <v/>
      </c>
      <c r="U52" s="18" t="n">
        <v>1.03</v>
      </c>
    </row>
    <row r="53">
      <c r="A53" s="145" t="inlineStr">
        <is>
          <t>4362</t>
        </is>
      </c>
      <c r="B53" s="30" t="inlineStr">
        <is>
          <t>TAVERNITI BUZO</t>
        </is>
      </c>
      <c r="C53" s="88" t="n">
        <v>95200</v>
      </c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52" t="n"/>
      <c r="P53" s="117" t="n"/>
      <c r="R53" s="117" t="n"/>
      <c r="T53" s="117">
        <f>C53*U53</f>
        <v/>
      </c>
      <c r="U53" s="18" t="n">
        <v>1.03</v>
      </c>
    </row>
    <row r="54">
      <c r="A54" s="145" t="inlineStr">
        <is>
          <t>4868</t>
        </is>
      </c>
      <c r="B54" s="30" t="inlineStr">
        <is>
          <t>TAVERNITI BUZO</t>
        </is>
      </c>
      <c r="C54" s="88" t="n">
        <v>87300</v>
      </c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52" t="n"/>
      <c r="P54" s="117" t="n"/>
      <c r="R54" s="117" t="n"/>
      <c r="T54" s="117">
        <f>C54*U54</f>
        <v/>
      </c>
      <c r="U54" s="18" t="n">
        <v>1.03</v>
      </c>
    </row>
    <row r="55">
      <c r="A55" s="145" t="inlineStr">
        <is>
          <t>4882</t>
        </is>
      </c>
      <c r="B55" s="30" t="inlineStr">
        <is>
          <t>TAVERNITI BUZO</t>
        </is>
      </c>
      <c r="C55" s="88" t="n">
        <v>95200</v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52" t="n"/>
      <c r="P55" s="117" t="n"/>
      <c r="R55" s="117" t="n"/>
      <c r="T55" s="117">
        <f>C55*U55</f>
        <v/>
      </c>
      <c r="U55" s="18" t="n">
        <v>1.03</v>
      </c>
    </row>
    <row r="56">
      <c r="A56" s="145" t="inlineStr">
        <is>
          <t>4884</t>
        </is>
      </c>
      <c r="B56" s="30" t="inlineStr">
        <is>
          <t>TAVERNITI BUZO</t>
        </is>
      </c>
      <c r="C56" s="88" t="n">
        <v>95200</v>
      </c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52" t="n"/>
      <c r="P56" s="117" t="n"/>
      <c r="R56" s="117" t="n"/>
      <c r="T56" s="117">
        <f>C56*U56</f>
        <v/>
      </c>
      <c r="U56" s="18" t="n">
        <v>1.03</v>
      </c>
    </row>
    <row r="57">
      <c r="A57" s="145" t="inlineStr">
        <is>
          <t>4960XXX</t>
        </is>
      </c>
      <c r="B57" s="30" t="inlineStr">
        <is>
          <t>TAVERNITI BUZO</t>
        </is>
      </c>
      <c r="C57" s="88" t="n">
        <v>101800</v>
      </c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52" t="n"/>
      <c r="P57" s="117" t="n"/>
      <c r="R57" s="117" t="n"/>
      <c r="T57" s="117">
        <f>C57*U57</f>
        <v/>
      </c>
      <c r="U57" s="18" t="n">
        <v>1.03</v>
      </c>
    </row>
    <row r="58">
      <c r="A58" s="145" t="inlineStr">
        <is>
          <t>4966XXX</t>
        </is>
      </c>
      <c r="B58" s="30" t="inlineStr">
        <is>
          <t>TAVERNITI BUZO</t>
        </is>
      </c>
      <c r="C58" s="88" t="n">
        <v>95200</v>
      </c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52" t="n"/>
      <c r="P58" s="117" t="n"/>
      <c r="R58" s="117" t="n"/>
      <c r="T58" s="117">
        <f>C58*U58</f>
        <v/>
      </c>
      <c r="U58" s="18" t="n">
        <v>1.03</v>
      </c>
    </row>
    <row r="59">
      <c r="A59" s="145" t="inlineStr">
        <is>
          <t>4968XXX</t>
        </is>
      </c>
      <c r="B59" s="30" t="inlineStr">
        <is>
          <t>TAVERNITI BUZO</t>
        </is>
      </c>
      <c r="C59" s="88" t="n">
        <v>95200</v>
      </c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52" t="n"/>
      <c r="P59" s="117" t="n"/>
      <c r="R59" s="117" t="n"/>
      <c r="T59" s="117">
        <f>C59*U59</f>
        <v/>
      </c>
      <c r="U59" s="18" t="n">
        <v>1.03</v>
      </c>
    </row>
    <row r="60">
      <c r="A60" s="145" t="inlineStr">
        <is>
          <t>4970XXX</t>
        </is>
      </c>
      <c r="B60" s="30" t="inlineStr">
        <is>
          <t>TAVERNITI BUZO</t>
        </is>
      </c>
      <c r="C60" s="88" t="n">
        <v>95200</v>
      </c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52" t="n"/>
      <c r="P60" s="117" t="n"/>
      <c r="R60" s="117" t="n"/>
      <c r="T60" s="117">
        <f>C60*U60</f>
        <v/>
      </c>
      <c r="U60" s="18" t="n">
        <v>1.03</v>
      </c>
    </row>
    <row r="61">
      <c r="A61" s="145" t="inlineStr">
        <is>
          <t>4974XXX</t>
        </is>
      </c>
      <c r="B61" s="30" t="inlineStr">
        <is>
          <t>TAVERNITI BUZO</t>
        </is>
      </c>
      <c r="C61" s="88" t="n">
        <v>95200</v>
      </c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52" t="n"/>
      <c r="P61" s="117" t="n"/>
      <c r="R61" s="117" t="n"/>
      <c r="T61" s="117">
        <f>C61*U61</f>
        <v/>
      </c>
      <c r="U61" s="18" t="n">
        <v>1.03</v>
      </c>
    </row>
    <row r="62">
      <c r="A62" s="145" t="inlineStr">
        <is>
          <t>5080XXX</t>
        </is>
      </c>
      <c r="B62" s="118" t="inlineStr">
        <is>
          <t>DISCOBOLO ALGODÓN RUSTICO</t>
        </is>
      </c>
      <c r="C62" s="88" t="n">
        <v>60100</v>
      </c>
      <c r="D62" s="22" t="n"/>
      <c r="E62" s="22" t="n"/>
      <c r="F62" s="22" t="n"/>
      <c r="G62" s="22" t="n"/>
      <c r="H62" s="22" t="n"/>
      <c r="I62" s="22" t="n"/>
      <c r="J62" s="88" t="n"/>
      <c r="K62" s="88" t="n"/>
      <c r="L62" s="88" t="n"/>
      <c r="M62" s="52" t="n"/>
      <c r="P62" s="117" t="n"/>
      <c r="R62" s="117" t="n"/>
      <c r="T62" s="117">
        <f>C62*U62</f>
        <v/>
      </c>
      <c r="U62" s="18" t="n">
        <v>1.03</v>
      </c>
    </row>
    <row r="63">
      <c r="A63" s="233" t="inlineStr">
        <is>
          <t>5340XXX</t>
        </is>
      </c>
      <c r="B63" s="30" t="inlineStr">
        <is>
          <t>TAVERNITI BUZO</t>
        </is>
      </c>
      <c r="C63" s="88" t="n">
        <v>81700</v>
      </c>
      <c r="D63" s="30" t="n"/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0" t="n"/>
      <c r="N63" s="30" t="n"/>
      <c r="O63" s="30" t="n"/>
      <c r="P63" s="170" t="n"/>
      <c r="Q63" s="30" t="n"/>
      <c r="R63" s="170" t="n"/>
      <c r="S63" s="30" t="n"/>
      <c r="T63" s="150">
        <f>C63*U63</f>
        <v/>
      </c>
      <c r="U63" s="18" t="n">
        <v>1.03</v>
      </c>
      <c r="V63" s="30" t="n"/>
      <c r="W63" s="30" t="n"/>
      <c r="X63" s="30" t="n"/>
      <c r="Y63" s="30" t="n"/>
      <c r="Z63" s="30" t="n"/>
      <c r="AA63" s="30" t="n"/>
      <c r="AB63" s="30" t="n"/>
      <c r="AC63" s="30" t="n"/>
      <c r="AD63" s="30" t="n"/>
      <c r="AE63" s="30" t="n"/>
      <c r="AF63" s="30" t="n"/>
      <c r="AG63" s="30" t="n"/>
      <c r="AH63" s="30" t="n"/>
      <c r="AI63" s="30" t="n"/>
      <c r="AJ63" s="30" t="n"/>
      <c r="AK63" s="30" t="n"/>
      <c r="AL63" s="30" t="n"/>
      <c r="AM63" s="30" t="n"/>
      <c r="AN63" s="30" t="n"/>
    </row>
    <row r="64">
      <c r="A64" s="233" t="inlineStr">
        <is>
          <t>5344XXX</t>
        </is>
      </c>
      <c r="B64" s="30" t="inlineStr">
        <is>
          <t>TAVERNITI BUZO</t>
        </is>
      </c>
      <c r="C64" s="88" t="n">
        <v>81700</v>
      </c>
      <c r="D64" s="30" t="n"/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0" t="n"/>
      <c r="N64" s="30" t="n"/>
      <c r="O64" s="30" t="n"/>
      <c r="P64" s="170" t="n"/>
      <c r="Q64" s="30" t="n"/>
      <c r="R64" s="170" t="n"/>
      <c r="S64" s="30" t="n"/>
      <c r="T64" s="150">
        <f>C64*U64</f>
        <v/>
      </c>
      <c r="U64" s="18" t="n">
        <v>1.03</v>
      </c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0" t="n"/>
      <c r="AE64" s="30" t="n"/>
      <c r="AF64" s="30" t="n"/>
      <c r="AG64" s="30" t="n"/>
      <c r="AH64" s="30" t="n"/>
      <c r="AI64" s="30" t="n"/>
      <c r="AJ64" s="30" t="n"/>
      <c r="AK64" s="30" t="n"/>
      <c r="AL64" s="30" t="n"/>
      <c r="AM64" s="30" t="n"/>
      <c r="AN64" s="30" t="n"/>
    </row>
    <row r="65">
      <c r="A65" s="233" t="inlineStr">
        <is>
          <t>5346XXX</t>
        </is>
      </c>
      <c r="B65" s="30" t="inlineStr">
        <is>
          <t>TAVERNITI BUZO</t>
        </is>
      </c>
      <c r="C65" s="88" t="n">
        <v>80500</v>
      </c>
      <c r="D65" s="30" t="n"/>
      <c r="E65" s="170" t="n"/>
      <c r="F65" s="170" t="n"/>
      <c r="G65" s="170" t="n"/>
      <c r="H65" s="170" t="n"/>
      <c r="I65" s="170" t="n"/>
      <c r="J65" s="170" t="n"/>
      <c r="K65" s="170" t="n"/>
      <c r="L65" s="170" t="n"/>
      <c r="M65" s="170" t="n"/>
      <c r="N65" s="30" t="n"/>
      <c r="O65" s="30" t="n"/>
      <c r="P65" s="170" t="n"/>
      <c r="Q65" s="30" t="n"/>
      <c r="R65" s="170" t="n"/>
      <c r="S65" s="30" t="n"/>
      <c r="T65" s="150">
        <f>C65*U65</f>
        <v/>
      </c>
      <c r="U65" s="18" t="n">
        <v>1.03</v>
      </c>
      <c r="V65" s="30" t="n"/>
      <c r="W65" s="30" t="n"/>
      <c r="X65" s="30" t="n"/>
      <c r="Y65" s="30" t="n"/>
      <c r="Z65" s="30" t="n"/>
      <c r="AA65" s="30" t="n"/>
      <c r="AB65" s="30" t="n"/>
      <c r="AC65" s="30" t="n"/>
      <c r="AD65" s="30" t="n"/>
      <c r="AE65" s="30" t="n"/>
      <c r="AF65" s="30" t="n"/>
      <c r="AG65" s="30" t="n"/>
      <c r="AH65" s="30" t="n"/>
      <c r="AI65" s="30" t="n"/>
      <c r="AJ65" s="30" t="n"/>
      <c r="AK65" s="30" t="n"/>
      <c r="AL65" s="30" t="n"/>
      <c r="AM65" s="30" t="n"/>
      <c r="AN65" s="30" t="n"/>
    </row>
    <row r="66" ht="15.75" customHeight="1" s="253">
      <c r="A66" s="233" t="inlineStr">
        <is>
          <t>5348XXX</t>
        </is>
      </c>
      <c r="B66" s="30" t="inlineStr">
        <is>
          <t>TAVERNITI BUZO</t>
        </is>
      </c>
      <c r="C66" s="88" t="n">
        <v>73400</v>
      </c>
      <c r="D66" s="30" t="n"/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0" t="n"/>
      <c r="N66" s="30" t="n"/>
      <c r="O66" s="30" t="n"/>
      <c r="P66" s="170" t="n"/>
      <c r="Q66" s="30" t="n"/>
      <c r="R66" s="170" t="n"/>
      <c r="S66" s="30" t="n"/>
      <c r="T66" s="150">
        <f>C66*U66</f>
        <v/>
      </c>
      <c r="U66" s="18" t="n">
        <v>1.03</v>
      </c>
      <c r="V66" s="30" t="n"/>
      <c r="W66" s="30" t="n"/>
      <c r="X66" s="30" t="n"/>
      <c r="Y66" s="30" t="n"/>
      <c r="Z66" s="30" t="n"/>
      <c r="AA66" s="30" t="n"/>
      <c r="AB66" s="30" t="n"/>
      <c r="AC66" s="30" t="n"/>
      <c r="AD66" s="30" t="n"/>
      <c r="AE66" s="30" t="n"/>
      <c r="AF66" s="30" t="n"/>
      <c r="AG66" s="30" t="n"/>
      <c r="AH66" s="30" t="n"/>
      <c r="AI66" s="30" t="n"/>
      <c r="AJ66" s="30" t="n"/>
      <c r="AK66" s="30" t="n"/>
      <c r="AL66" s="30" t="n"/>
      <c r="AM66" s="30" t="n"/>
      <c r="AN66" s="30" t="n"/>
    </row>
    <row r="67">
      <c r="A67" s="233" t="inlineStr">
        <is>
          <t>5360XXX</t>
        </is>
      </c>
      <c r="B67" s="30" t="inlineStr">
        <is>
          <t>TAVERNITI BUZO</t>
        </is>
      </c>
      <c r="C67" s="88" t="n">
        <v>79600</v>
      </c>
      <c r="D67" s="30" t="n"/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0" t="n"/>
      <c r="N67" s="30" t="n"/>
      <c r="O67" s="30" t="n"/>
      <c r="P67" s="170" t="n"/>
      <c r="Q67" s="30" t="n"/>
      <c r="R67" s="170" t="n"/>
      <c r="S67" s="30" t="n"/>
      <c r="T67" s="150">
        <f>C67*U67</f>
        <v/>
      </c>
      <c r="U67" s="18" t="n">
        <v>1.03</v>
      </c>
      <c r="V67" s="30" t="n"/>
      <c r="W67" s="30" t="n"/>
      <c r="X67" s="30" t="n"/>
      <c r="Y67" s="30" t="n"/>
      <c r="Z67" s="30" t="n"/>
      <c r="AA67" s="30" t="n"/>
      <c r="AB67" s="30" t="n"/>
      <c r="AC67" s="30" t="n"/>
      <c r="AD67" s="30" t="n"/>
      <c r="AE67" s="30" t="n"/>
      <c r="AF67" s="30" t="n"/>
      <c r="AG67" s="30" t="n"/>
      <c r="AH67" s="30" t="n"/>
      <c r="AI67" s="30" t="n"/>
      <c r="AJ67" s="30" t="n"/>
      <c r="AK67" s="30" t="n"/>
      <c r="AL67" s="30" t="n"/>
      <c r="AM67" s="30" t="n"/>
      <c r="AN67" s="30" t="n"/>
    </row>
    <row r="68">
      <c r="A68" s="233" t="inlineStr">
        <is>
          <t>5362XXX</t>
        </is>
      </c>
      <c r="B68" s="30" t="inlineStr">
        <is>
          <t>TAVERNITI BUZO</t>
        </is>
      </c>
      <c r="C68" s="88" t="n">
        <v>79600</v>
      </c>
      <c r="D68" s="30" t="n"/>
      <c r="E68" s="170" t="n"/>
      <c r="F68" s="170" t="n"/>
      <c r="G68" s="170" t="n"/>
      <c r="H68" s="170" t="n"/>
      <c r="I68" s="170" t="n"/>
      <c r="J68" s="170" t="n"/>
      <c r="K68" s="170" t="n"/>
      <c r="L68" s="170" t="n"/>
      <c r="M68" s="170" t="n"/>
      <c r="N68" s="30" t="n"/>
      <c r="O68" s="30" t="n"/>
      <c r="P68" s="170" t="n"/>
      <c r="Q68" s="30" t="n"/>
      <c r="R68" s="170" t="n"/>
      <c r="S68" s="30" t="n"/>
      <c r="T68" s="150">
        <f>C68*U68</f>
        <v/>
      </c>
      <c r="U68" s="18" t="n">
        <v>1.03</v>
      </c>
      <c r="V68" s="30" t="n"/>
      <c r="W68" s="30" t="n"/>
      <c r="X68" s="30" t="n"/>
      <c r="Y68" s="30" t="n"/>
      <c r="Z68" s="30" t="n"/>
      <c r="AA68" s="30" t="n"/>
      <c r="AB68" s="30" t="n"/>
      <c r="AC68" s="30" t="n"/>
      <c r="AD68" s="30" t="n"/>
      <c r="AE68" s="30" t="n"/>
      <c r="AF68" s="30" t="n"/>
      <c r="AG68" s="30" t="n"/>
      <c r="AH68" s="30" t="n"/>
      <c r="AI68" s="30" t="n"/>
      <c r="AJ68" s="30" t="n"/>
      <c r="AK68" s="30" t="n"/>
      <c r="AL68" s="30" t="n"/>
      <c r="AM68" s="30" t="n"/>
      <c r="AN68" s="30" t="n"/>
    </row>
    <row r="69">
      <c r="A69" s="233" t="inlineStr">
        <is>
          <t>5364XXX</t>
        </is>
      </c>
      <c r="B69" s="30" t="inlineStr">
        <is>
          <t>TAVERNITI BUZO</t>
        </is>
      </c>
      <c r="C69" s="88" t="n">
        <v>79600</v>
      </c>
      <c r="D69" s="30" t="n"/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0" t="n"/>
      <c r="N69" s="30" t="n"/>
      <c r="O69" s="30" t="n"/>
      <c r="P69" s="170" t="n"/>
      <c r="Q69" s="30" t="n"/>
      <c r="R69" s="170" t="n"/>
      <c r="S69" s="30" t="n"/>
      <c r="T69" s="150">
        <f>C69*U69</f>
        <v/>
      </c>
      <c r="U69" s="18" t="n">
        <v>1.03</v>
      </c>
      <c r="V69" s="30" t="n"/>
      <c r="W69" s="30" t="n"/>
      <c r="X69" s="30" t="n"/>
      <c r="Y69" s="30" t="n"/>
      <c r="Z69" s="30" t="n"/>
      <c r="AA69" s="30" t="n"/>
      <c r="AB69" s="30" t="n"/>
      <c r="AC69" s="30" t="n"/>
      <c r="AD69" s="30" t="n"/>
      <c r="AE69" s="30" t="n"/>
      <c r="AF69" s="30" t="n"/>
      <c r="AG69" s="30" t="n"/>
      <c r="AH69" s="30" t="n"/>
      <c r="AI69" s="30" t="n"/>
      <c r="AJ69" s="30" t="n"/>
      <c r="AK69" s="30" t="n"/>
      <c r="AL69" s="30" t="n"/>
      <c r="AM69" s="30" t="n"/>
      <c r="AN69" s="30" t="n"/>
    </row>
    <row r="70">
      <c r="A70" s="233" t="inlineStr">
        <is>
          <t>5378XXX</t>
        </is>
      </c>
      <c r="B70" s="30" t="inlineStr">
        <is>
          <t>TAVERNITI BUZO</t>
        </is>
      </c>
      <c r="C70" s="88" t="n">
        <v>106500</v>
      </c>
      <c r="D70" s="30" t="n"/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0" t="n"/>
      <c r="N70" s="30" t="n"/>
      <c r="O70" s="30" t="n"/>
      <c r="P70" s="170" t="n"/>
      <c r="Q70" s="30" t="n"/>
      <c r="R70" s="170" t="n"/>
      <c r="S70" s="30" t="n"/>
      <c r="T70" s="150">
        <f>C70*U70</f>
        <v/>
      </c>
      <c r="U70" s="18" t="n">
        <v>1.03</v>
      </c>
      <c r="V70" s="30" t="n"/>
      <c r="W70" s="30" t="n"/>
      <c r="X70" s="30" t="n"/>
      <c r="Y70" s="30" t="n"/>
      <c r="Z70" s="30" t="n"/>
      <c r="AA70" s="30" t="n"/>
      <c r="AB70" s="30" t="n"/>
      <c r="AC70" s="30" t="n"/>
      <c r="AD70" s="30" t="n"/>
      <c r="AE70" s="30" t="n"/>
      <c r="AF70" s="30" t="n"/>
      <c r="AG70" s="30" t="n"/>
      <c r="AH70" s="30" t="n"/>
      <c r="AI70" s="30" t="n"/>
      <c r="AJ70" s="30" t="n"/>
      <c r="AK70" s="30" t="n"/>
      <c r="AL70" s="30" t="n"/>
      <c r="AM70" s="30" t="n"/>
      <c r="AN70" s="30" t="n"/>
    </row>
    <row r="71">
      <c r="A71" s="233" t="inlineStr">
        <is>
          <t>5380XXX</t>
        </is>
      </c>
      <c r="B71" s="30" t="inlineStr">
        <is>
          <t>TAVERNITI BUZO</t>
        </is>
      </c>
      <c r="C71" s="88" t="n">
        <v>96700</v>
      </c>
      <c r="D71" s="30" t="n"/>
      <c r="E71" s="170" t="n"/>
      <c r="F71" s="170" t="n"/>
      <c r="G71" s="170" t="n"/>
      <c r="H71" s="170" t="n"/>
      <c r="I71" s="170" t="n"/>
      <c r="J71" s="170" t="n"/>
      <c r="K71" s="170" t="n"/>
      <c r="L71" s="170" t="n"/>
      <c r="M71" s="170" t="n"/>
      <c r="N71" s="30" t="n"/>
      <c r="O71" s="30" t="n"/>
      <c r="P71" s="170" t="n"/>
      <c r="Q71" s="30" t="n"/>
      <c r="R71" s="170" t="n"/>
      <c r="S71" s="30" t="n"/>
      <c r="T71" s="150">
        <f>C71*U71</f>
        <v/>
      </c>
      <c r="U71" s="18" t="n">
        <v>1.03</v>
      </c>
      <c r="V71" s="30" t="n"/>
      <c r="W71" s="30" t="n"/>
      <c r="X71" s="30" t="n"/>
      <c r="Y71" s="30" t="n"/>
      <c r="Z71" s="30" t="n"/>
      <c r="AA71" s="30" t="n"/>
      <c r="AB71" s="30" t="n"/>
      <c r="AC71" s="30" t="n"/>
      <c r="AD71" s="30" t="n"/>
      <c r="AE71" s="30" t="n"/>
      <c r="AF71" s="30" t="n"/>
      <c r="AG71" s="30" t="n"/>
      <c r="AH71" s="30" t="n"/>
      <c r="AI71" s="30" t="n"/>
      <c r="AJ71" s="30" t="n"/>
      <c r="AK71" s="30" t="n"/>
      <c r="AL71" s="30" t="n"/>
      <c r="AM71" s="30" t="n"/>
      <c r="AN71" s="30" t="n"/>
    </row>
    <row r="72">
      <c r="A72" s="233" t="inlineStr">
        <is>
          <t>5382XXX</t>
        </is>
      </c>
      <c r="B72" s="30" t="inlineStr">
        <is>
          <t>TAVERNITI BUZO</t>
        </is>
      </c>
      <c r="C72" s="88" t="n">
        <v>101400</v>
      </c>
      <c r="D72" s="30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0" t="n"/>
      <c r="N72" s="30" t="n"/>
      <c r="O72" s="30" t="n"/>
      <c r="P72" s="170" t="n"/>
      <c r="Q72" s="30" t="n"/>
      <c r="R72" s="170" t="n"/>
      <c r="S72" s="30" t="n"/>
      <c r="T72" s="150">
        <f>C72*U72</f>
        <v/>
      </c>
      <c r="U72" s="18" t="n">
        <v>1.03</v>
      </c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0" t="n"/>
      <c r="AG72" s="30" t="n"/>
      <c r="AH72" s="30" t="n"/>
      <c r="AI72" s="30" t="n"/>
      <c r="AJ72" s="30" t="n"/>
      <c r="AK72" s="30" t="n"/>
      <c r="AL72" s="30" t="n"/>
      <c r="AM72" s="30" t="n"/>
      <c r="AN72" s="30" t="n"/>
    </row>
    <row r="73">
      <c r="A73" s="233" t="inlineStr">
        <is>
          <t>5388XXX</t>
        </is>
      </c>
      <c r="B73" s="30" t="inlineStr">
        <is>
          <t>TAVERNITI BUZO</t>
        </is>
      </c>
      <c r="C73" s="88" t="n">
        <v>52900</v>
      </c>
      <c r="D73" s="30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0" t="n"/>
      <c r="N73" s="30" t="n"/>
      <c r="O73" s="30" t="n"/>
      <c r="P73" s="170" t="n"/>
      <c r="Q73" s="30" t="n"/>
      <c r="R73" s="170" t="n"/>
      <c r="S73" s="30" t="n"/>
      <c r="T73" s="150">
        <f>C73*U73</f>
        <v/>
      </c>
      <c r="U73" s="18" t="n">
        <v>1.03</v>
      </c>
      <c r="V73" s="30" t="n"/>
      <c r="W73" s="30" t="n"/>
      <c r="X73" s="30" t="n"/>
      <c r="Y73" s="30" t="n"/>
      <c r="Z73" s="30" t="n"/>
      <c r="AA73" s="30" t="n"/>
      <c r="AB73" s="30" t="n"/>
      <c r="AC73" s="30" t="n"/>
      <c r="AD73" s="30" t="n"/>
      <c r="AE73" s="30" t="n"/>
      <c r="AF73" s="30" t="n"/>
      <c r="AG73" s="30" t="n"/>
      <c r="AH73" s="30" t="n"/>
      <c r="AI73" s="30" t="n"/>
      <c r="AJ73" s="30" t="n"/>
      <c r="AK73" s="30" t="n"/>
      <c r="AL73" s="30" t="n"/>
      <c r="AM73" s="30" t="n"/>
      <c r="AN73" s="30" t="n"/>
    </row>
    <row r="74">
      <c r="A74" s="233" t="inlineStr">
        <is>
          <t>5390XXX</t>
        </is>
      </c>
      <c r="B74" s="30" t="inlineStr">
        <is>
          <t>TAVERNITI BUZO</t>
        </is>
      </c>
      <c r="C74" s="88" t="n">
        <v>95300</v>
      </c>
      <c r="D74" s="30" t="n"/>
      <c r="E74" s="170" t="n"/>
      <c r="F74" s="170" t="n"/>
      <c r="G74" s="170" t="n"/>
      <c r="H74" s="170" t="n"/>
      <c r="I74" s="170" t="n"/>
      <c r="J74" s="170" t="n"/>
      <c r="K74" s="170" t="n"/>
      <c r="L74" s="170" t="n"/>
      <c r="M74" s="170" t="n"/>
      <c r="N74" s="30" t="n"/>
      <c r="O74" s="30" t="n"/>
      <c r="P74" s="170" t="n"/>
      <c r="Q74" s="30" t="n"/>
      <c r="R74" s="170" t="n"/>
      <c r="S74" s="30" t="n"/>
      <c r="T74" s="150">
        <f>C74*U74</f>
        <v/>
      </c>
      <c r="U74" s="18" t="n">
        <v>1.03</v>
      </c>
      <c r="V74" s="30" t="n"/>
      <c r="W74" s="30" t="n"/>
      <c r="X74" s="30" t="n"/>
      <c r="Y74" s="30" t="n"/>
      <c r="Z74" s="30" t="n"/>
      <c r="AA74" s="30" t="n"/>
      <c r="AB74" s="30" t="n"/>
      <c r="AC74" s="30" t="n"/>
      <c r="AD74" s="30" t="n"/>
      <c r="AE74" s="30" t="n"/>
      <c r="AF74" s="30" t="n"/>
      <c r="AG74" s="30" t="n"/>
      <c r="AH74" s="30" t="n"/>
      <c r="AI74" s="30" t="n"/>
      <c r="AJ74" s="30" t="n"/>
      <c r="AK74" s="30" t="n"/>
      <c r="AL74" s="30" t="n"/>
      <c r="AM74" s="30" t="n"/>
      <c r="AN74" s="30" t="n"/>
    </row>
    <row r="75">
      <c r="A75" s="233" t="inlineStr">
        <is>
          <t>5394XXX</t>
        </is>
      </c>
      <c r="B75" s="30" t="inlineStr">
        <is>
          <t>TAVERNITI BUZO</t>
        </is>
      </c>
      <c r="C75" s="88" t="n">
        <v>104500</v>
      </c>
      <c r="D75" s="30" t="n"/>
      <c r="E75" s="170" t="n"/>
      <c r="F75" s="170" t="n"/>
      <c r="G75" s="170" t="n"/>
      <c r="H75" s="170" t="n"/>
      <c r="I75" s="170" t="n"/>
      <c r="J75" s="170" t="n"/>
      <c r="K75" s="170" t="n"/>
      <c r="L75" s="170" t="n"/>
      <c r="M75" s="170" t="n"/>
      <c r="N75" s="30" t="n"/>
      <c r="O75" s="30" t="n"/>
      <c r="P75" s="170" t="n"/>
      <c r="Q75" s="30" t="n"/>
      <c r="R75" s="170" t="n"/>
      <c r="S75" s="30" t="n"/>
      <c r="T75" s="150">
        <f>C75*U75</f>
        <v/>
      </c>
      <c r="U75" s="18" t="n">
        <v>1.03</v>
      </c>
      <c r="V75" s="30" t="n"/>
      <c r="W75" s="30" t="n"/>
      <c r="X75" s="30" t="n"/>
      <c r="Y75" s="30" t="n"/>
      <c r="Z75" s="30" t="n"/>
      <c r="AA75" s="30" t="n"/>
      <c r="AB75" s="30" t="n"/>
      <c r="AC75" s="30" t="n"/>
      <c r="AD75" s="30" t="n"/>
      <c r="AE75" s="30" t="n"/>
      <c r="AF75" s="30" t="n"/>
      <c r="AG75" s="30" t="n"/>
      <c r="AH75" s="30" t="n"/>
      <c r="AI75" s="30" t="n"/>
      <c r="AJ75" s="30" t="n"/>
      <c r="AK75" s="30" t="n"/>
      <c r="AL75" s="30" t="n"/>
      <c r="AM75" s="30" t="n"/>
      <c r="AN75" s="30" t="n"/>
    </row>
    <row r="76">
      <c r="A76" s="233" t="inlineStr">
        <is>
          <t>5868XXX</t>
        </is>
      </c>
      <c r="B76" s="30" t="inlineStr">
        <is>
          <t>TAVERNITI BUZO</t>
        </is>
      </c>
      <c r="C76" s="88" t="n">
        <v>84200</v>
      </c>
      <c r="D76" s="30" t="n"/>
      <c r="E76" s="170" t="n"/>
      <c r="F76" s="170" t="n"/>
      <c r="G76" s="170" t="n"/>
      <c r="H76" s="170" t="n"/>
      <c r="I76" s="170" t="n"/>
      <c r="J76" s="170" t="n"/>
      <c r="K76" s="170" t="n"/>
      <c r="L76" s="170" t="n"/>
      <c r="M76" s="170" t="n"/>
      <c r="N76" s="30" t="n"/>
      <c r="O76" s="30" t="n"/>
      <c r="P76" s="170" t="n"/>
      <c r="Q76" s="30" t="n"/>
      <c r="R76" s="170" t="n"/>
      <c r="S76" s="30" t="n"/>
      <c r="T76" s="150">
        <f>C76*U76</f>
        <v/>
      </c>
      <c r="U76" s="18" t="n">
        <v>1.03</v>
      </c>
      <c r="V76" s="30" t="n"/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30" t="n"/>
      <c r="AG76" s="30" t="n"/>
      <c r="AH76" s="30" t="n"/>
      <c r="AI76" s="30" t="n"/>
      <c r="AJ76" s="30" t="n"/>
      <c r="AK76" s="30" t="n"/>
      <c r="AL76" s="30" t="n"/>
      <c r="AM76" s="30" t="n"/>
      <c r="AN76" s="30" t="n"/>
    </row>
    <row r="77">
      <c r="A77" s="233" t="inlineStr">
        <is>
          <t>6026XXX</t>
        </is>
      </c>
      <c r="B77" s="30" t="inlineStr">
        <is>
          <t>TAVERNITI BUZO</t>
        </is>
      </c>
      <c r="C77" s="88" t="n">
        <v>94300</v>
      </c>
      <c r="D77" s="3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0" t="n"/>
      <c r="N77" s="30" t="n"/>
      <c r="O77" s="30" t="n"/>
      <c r="P77" s="170" t="n"/>
      <c r="Q77" s="30" t="n"/>
      <c r="R77" s="170" t="n"/>
      <c r="S77" s="30" t="n"/>
      <c r="T77" s="150">
        <f>C77*U77</f>
        <v/>
      </c>
      <c r="U77" s="18" t="n">
        <v>1.03</v>
      </c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30" t="n"/>
      <c r="AH77" s="30" t="n"/>
      <c r="AI77" s="30" t="n"/>
      <c r="AJ77" s="30" t="n"/>
      <c r="AK77" s="30" t="n"/>
      <c r="AL77" s="30" t="n"/>
      <c r="AM77" s="30" t="n"/>
      <c r="AN77" s="30" t="n"/>
      <c r="AO77" s="30" t="n"/>
    </row>
    <row r="78">
      <c r="A78" s="145" t="inlineStr">
        <is>
          <t>6090XXX</t>
        </is>
      </c>
      <c r="B78" s="30" t="inlineStr">
        <is>
          <t>TAVERNITI BUZO</t>
        </is>
      </c>
      <c r="C78" s="88" t="n">
        <v>94300</v>
      </c>
      <c r="E78" s="22" t="n"/>
      <c r="F78" s="22" t="n"/>
      <c r="G78" s="22" t="n"/>
      <c r="H78" s="22" t="n"/>
      <c r="I78" s="22" t="n"/>
      <c r="J78" s="88" t="n"/>
      <c r="K78" s="88" t="n"/>
      <c r="L78" s="88" t="n"/>
      <c r="M78" s="52" t="n"/>
      <c r="P78" s="117" t="n"/>
      <c r="R78" s="117" t="n"/>
      <c r="T78" s="117">
        <f>C78*U78</f>
        <v/>
      </c>
      <c r="U78" s="18" t="n">
        <v>1.03</v>
      </c>
    </row>
    <row r="79">
      <c r="A79" s="145" t="inlineStr">
        <is>
          <t>6112XXX</t>
        </is>
      </c>
      <c r="B79" s="30" t="inlineStr">
        <is>
          <t>TAVERNITI BUZO</t>
        </is>
      </c>
      <c r="C79" s="88" t="n">
        <v>88300</v>
      </c>
      <c r="D79" s="22" t="n"/>
      <c r="E79" s="22" t="n"/>
      <c r="F79" s="22" t="n"/>
      <c r="G79" s="22" t="n"/>
      <c r="H79" s="22" t="n"/>
      <c r="I79" s="22" t="n"/>
      <c r="J79" s="88" t="n"/>
      <c r="K79" s="88" t="n"/>
      <c r="L79" s="88" t="n"/>
      <c r="M79" s="52" t="n"/>
      <c r="P79" s="117" t="n"/>
      <c r="R79" s="117" t="n"/>
      <c r="T79" s="117">
        <f>C79*U79</f>
        <v/>
      </c>
      <c r="U79" s="18" t="n">
        <v>1.03</v>
      </c>
    </row>
    <row r="80">
      <c r="A80" s="145" t="inlineStr">
        <is>
          <t>6116XXX</t>
        </is>
      </c>
      <c r="B80" s="30" t="inlineStr">
        <is>
          <t>TAVERNITI BUZO</t>
        </is>
      </c>
      <c r="C80" s="88" t="n">
        <v>88200</v>
      </c>
      <c r="D80" s="22" t="n"/>
      <c r="E80" s="22" t="n"/>
      <c r="F80" s="22" t="n"/>
      <c r="G80" s="22" t="n"/>
      <c r="H80" s="22" t="n"/>
      <c r="I80" s="22" t="n"/>
      <c r="J80" s="88" t="n"/>
      <c r="K80" s="88" t="n"/>
      <c r="L80" s="88" t="n"/>
      <c r="M80" s="52" t="n"/>
      <c r="P80" s="117" t="n"/>
      <c r="R80" s="117" t="n"/>
      <c r="T80" s="117">
        <f>C80*U80</f>
        <v/>
      </c>
      <c r="U80" s="18" t="n">
        <v>1.03</v>
      </c>
    </row>
    <row r="81">
      <c r="A81" s="145" t="inlineStr">
        <is>
          <t>6126XXX</t>
        </is>
      </c>
      <c r="B81" s="30" t="inlineStr">
        <is>
          <t>TAVERNITI BUZO</t>
        </is>
      </c>
      <c r="C81" s="88" t="n">
        <v>88200</v>
      </c>
      <c r="D81" s="22" t="n"/>
      <c r="E81" s="22" t="n"/>
      <c r="F81" s="22" t="n"/>
      <c r="G81" s="22" t="n"/>
      <c r="H81" s="22" t="n"/>
      <c r="I81" s="22" t="n"/>
      <c r="J81" s="88" t="n"/>
      <c r="K81" s="88" t="n"/>
      <c r="L81" s="88" t="n"/>
      <c r="M81" s="52" t="n"/>
      <c r="P81" s="117" t="n"/>
      <c r="R81" s="117" t="n"/>
      <c r="T81" s="117">
        <f>C81*U81</f>
        <v/>
      </c>
      <c r="U81" s="18" t="n">
        <v>1.03</v>
      </c>
    </row>
    <row r="82">
      <c r="A82" s="145" t="inlineStr">
        <is>
          <t>6132XXX</t>
        </is>
      </c>
      <c r="B82" s="30" t="inlineStr">
        <is>
          <t>TAVERNITI BUZO</t>
        </is>
      </c>
      <c r="C82" s="88" t="n">
        <v>99000</v>
      </c>
      <c r="D82" s="22" t="n"/>
      <c r="E82" s="22" t="n"/>
      <c r="F82" s="22" t="n"/>
      <c r="G82" s="22" t="n"/>
      <c r="H82" s="22" t="n"/>
      <c r="I82" s="22" t="n"/>
      <c r="J82" s="88" t="n"/>
      <c r="K82" s="88" t="n"/>
      <c r="L82" s="88" t="n"/>
      <c r="M82" s="52" t="n"/>
      <c r="P82" s="117" t="n"/>
      <c r="R82" s="117" t="n"/>
      <c r="T82" s="117">
        <f>C82*U82</f>
        <v/>
      </c>
      <c r="U82" s="18" t="n">
        <v>1.03</v>
      </c>
    </row>
    <row r="83">
      <c r="A83" s="145" t="inlineStr">
        <is>
          <t>6140XXX</t>
        </is>
      </c>
      <c r="B83" s="30" t="inlineStr">
        <is>
          <t>TAVERNITI BUZO</t>
        </is>
      </c>
      <c r="C83" s="88" t="n">
        <v>92900</v>
      </c>
      <c r="D83" s="22" t="n"/>
      <c r="E83" s="22" t="n"/>
      <c r="F83" s="22" t="n"/>
      <c r="G83" s="22" t="n"/>
      <c r="H83" s="22" t="n"/>
      <c r="I83" s="22" t="n"/>
      <c r="J83" s="88" t="n"/>
      <c r="K83" s="88" t="n"/>
      <c r="L83" s="88" t="n"/>
      <c r="M83" s="52" t="n"/>
      <c r="P83" s="117" t="n"/>
      <c r="R83" s="117" t="n"/>
      <c r="T83" s="117">
        <f>C83*U83</f>
        <v/>
      </c>
      <c r="U83" s="18" t="n">
        <v>1.03</v>
      </c>
    </row>
    <row r="84">
      <c r="A84" s="145" t="inlineStr">
        <is>
          <t>16590</t>
        </is>
      </c>
      <c r="B84" s="118" t="inlineStr">
        <is>
          <t>TAVERNITI-LISO</t>
        </is>
      </c>
      <c r="C84" s="88" t="n">
        <v>78100</v>
      </c>
      <c r="D84" s="22" t="n"/>
      <c r="E84" s="22" t="n"/>
      <c r="F84" s="22" t="n"/>
      <c r="G84" s="22" t="n"/>
      <c r="H84" s="22" t="n"/>
      <c r="I84" s="22" t="n"/>
      <c r="J84" s="88" t="n"/>
      <c r="K84" s="88" t="n"/>
      <c r="L84" s="88" t="n"/>
      <c r="M84" s="52" t="n"/>
      <c r="P84" s="117" t="n"/>
      <c r="R84" s="117" t="n"/>
      <c r="T84" s="117">
        <f>C84*U84</f>
        <v/>
      </c>
      <c r="U84" s="18" t="n">
        <v>1.03</v>
      </c>
    </row>
    <row r="85">
      <c r="A85" s="145" t="inlineStr">
        <is>
          <t>6990XXX</t>
        </is>
      </c>
      <c r="B85" s="118" t="inlineStr">
        <is>
          <t>TAVERNITI-LISO S/FRIZA</t>
        </is>
      </c>
      <c r="C85" s="88" t="n">
        <v>75500</v>
      </c>
      <c r="D85" s="22" t="n"/>
      <c r="E85" s="22" t="n"/>
      <c r="F85" s="22" t="n"/>
      <c r="G85" s="22" t="n"/>
      <c r="H85" s="22" t="n"/>
      <c r="I85" s="22" t="n"/>
      <c r="J85" s="88" t="n"/>
      <c r="K85" s="88" t="n"/>
      <c r="L85" s="88" t="n"/>
      <c r="M85" s="52" t="n"/>
      <c r="P85" s="117" t="n"/>
      <c r="R85" s="117" t="n"/>
      <c r="T85" s="117">
        <f>C85*U85</f>
        <v/>
      </c>
      <c r="U85" s="18" t="n">
        <v>1.03</v>
      </c>
    </row>
    <row r="86">
      <c r="A86" s="145" t="inlineStr">
        <is>
          <t>6996XXX</t>
        </is>
      </c>
      <c r="B86" s="118" t="inlineStr">
        <is>
          <t>TAVERNITI-LISO FRIZA</t>
        </is>
      </c>
      <c r="C86" s="88" t="n">
        <v>81800</v>
      </c>
      <c r="D86" s="22" t="n"/>
      <c r="E86" s="22" t="n"/>
      <c r="F86" s="22" t="n"/>
      <c r="G86" s="22" t="n"/>
      <c r="H86" s="22" t="n"/>
      <c r="I86" s="22" t="n"/>
      <c r="J86" s="88" t="n"/>
      <c r="K86" s="88" t="n"/>
      <c r="L86" s="88" t="n"/>
      <c r="M86" s="52" t="n"/>
      <c r="P86" s="117" t="n"/>
      <c r="R86" s="117" t="n"/>
      <c r="T86" s="117">
        <f>C86*U86</f>
        <v/>
      </c>
      <c r="U86" s="18" t="n">
        <v>1.03</v>
      </c>
    </row>
    <row r="87">
      <c r="A87" s="145" t="inlineStr">
        <is>
          <t>7622XXX</t>
        </is>
      </c>
      <c r="B87" s="30" t="inlineStr">
        <is>
          <t>TAVERNITI BUZO</t>
        </is>
      </c>
      <c r="C87" s="88" t="n">
        <v>108100</v>
      </c>
      <c r="D87" s="22" t="n"/>
      <c r="E87" s="22" t="n"/>
      <c r="F87" s="22" t="n"/>
      <c r="G87" s="22" t="n"/>
      <c r="H87" s="22" t="n"/>
      <c r="I87" s="22" t="n"/>
      <c r="J87" s="88" t="n"/>
      <c r="K87" s="88" t="n"/>
      <c r="L87" s="88" t="n"/>
      <c r="M87" s="52" t="n"/>
      <c r="P87" s="117" t="n"/>
      <c r="R87" s="117" t="n"/>
      <c r="T87" s="117">
        <f>C87*U87</f>
        <v/>
      </c>
      <c r="U87" s="18" t="n">
        <v>1.03</v>
      </c>
    </row>
    <row r="88">
      <c r="A88" s="145" t="inlineStr">
        <is>
          <t>7878335</t>
        </is>
      </c>
      <c r="B88" s="30" t="inlineStr">
        <is>
          <t>TAVERNITI BUZO</t>
        </is>
      </c>
      <c r="C88" s="88" t="n">
        <v>85900</v>
      </c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52" t="n"/>
      <c r="P88" s="117" t="n"/>
      <c r="R88" s="117" t="n"/>
      <c r="T88" s="117">
        <f>C88*U88</f>
        <v/>
      </c>
      <c r="U88" s="18" t="n">
        <v>1.03</v>
      </c>
    </row>
    <row r="89">
      <c r="A89" s="233" t="inlineStr">
        <is>
          <t>14054XXX</t>
        </is>
      </c>
      <c r="B89" s="30" t="inlineStr">
        <is>
          <t>TAVERNITI BUZO</t>
        </is>
      </c>
      <c r="C89" s="88" t="n">
        <v>74900</v>
      </c>
      <c r="D89" s="170" t="n"/>
      <c r="E89" s="170" t="n"/>
      <c r="F89" s="170" t="n"/>
      <c r="G89" s="170" t="n"/>
      <c r="H89" s="170" t="n"/>
      <c r="I89" s="170" t="n"/>
      <c r="J89" s="170" t="n"/>
      <c r="K89" s="170" t="n"/>
      <c r="L89" s="170" t="n"/>
      <c r="M89" s="170" t="n"/>
      <c r="N89" s="30" t="n"/>
      <c r="O89" s="30" t="n"/>
      <c r="P89" s="170" t="n"/>
      <c r="Q89" s="30" t="n"/>
      <c r="R89" s="170" t="n"/>
      <c r="S89" s="30" t="n"/>
      <c r="T89" s="150">
        <f>C89*U89</f>
        <v/>
      </c>
      <c r="U89" s="18" t="n">
        <v>1.03</v>
      </c>
      <c r="V89" s="30" t="n"/>
      <c r="W89" s="30" t="n"/>
      <c r="X89" s="30" t="n"/>
      <c r="Y89" s="30" t="n"/>
      <c r="Z89" s="30" t="n"/>
      <c r="AA89" s="30" t="n"/>
      <c r="AB89" s="30" t="n"/>
      <c r="AC89" s="30" t="n"/>
      <c r="AD89" s="30" t="n"/>
      <c r="AE89" s="30" t="n"/>
      <c r="AF89" s="30" t="n"/>
      <c r="AG89" s="30" t="n"/>
      <c r="AH89" s="30" t="n"/>
      <c r="AI89" s="30" t="n"/>
      <c r="AJ89" s="30" t="n"/>
      <c r="AK89" s="30" t="n"/>
      <c r="AL89" s="30" t="n"/>
      <c r="AM89" s="30" t="n"/>
      <c r="AN89" s="30" t="n"/>
      <c r="AO89" s="30" t="n"/>
    </row>
    <row r="90">
      <c r="A90" s="233" t="inlineStr">
        <is>
          <t>14066XXX</t>
        </is>
      </c>
      <c r="B90" s="30" t="inlineStr">
        <is>
          <t>TAVERNITI BUZO</t>
        </is>
      </c>
      <c r="C90" s="88" t="n">
        <v>111400</v>
      </c>
      <c r="D90" s="170" t="n"/>
      <c r="E90" s="170" t="n"/>
      <c r="F90" s="170" t="n"/>
      <c r="G90" s="170" t="n"/>
      <c r="H90" s="170" t="n"/>
      <c r="I90" s="170" t="n"/>
      <c r="J90" s="170" t="n"/>
      <c r="K90" s="170" t="n"/>
      <c r="L90" s="170" t="n"/>
      <c r="M90" s="170" t="n"/>
      <c r="N90" s="30" t="n"/>
      <c r="O90" s="30" t="n"/>
      <c r="P90" s="170" t="n"/>
      <c r="Q90" s="30" t="n"/>
      <c r="R90" s="170" t="n"/>
      <c r="S90" s="30" t="n"/>
      <c r="T90" s="150">
        <f>C90*U90</f>
        <v/>
      </c>
      <c r="U90" s="18" t="n">
        <v>1.03</v>
      </c>
      <c r="V90" s="30" t="n"/>
      <c r="W90" s="30" t="n"/>
      <c r="X90" s="30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30" t="n"/>
      <c r="AI90" s="30" t="n"/>
      <c r="AJ90" s="30" t="n"/>
      <c r="AK90" s="30" t="n"/>
      <c r="AL90" s="30" t="n"/>
      <c r="AM90" s="30" t="n"/>
      <c r="AN90" s="30" t="n"/>
    </row>
    <row r="91">
      <c r="A91" s="145" t="inlineStr">
        <is>
          <t>2XXX</t>
        </is>
      </c>
      <c r="B91" s="30" t="inlineStr">
        <is>
          <t>TAVERNITI BUZO</t>
        </is>
      </c>
      <c r="C91" s="88" t="n">
        <v>77600</v>
      </c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52" t="n"/>
      <c r="P91" s="117" t="n"/>
      <c r="R91" s="117" t="n"/>
      <c r="T91" s="117">
        <f>C91*U91</f>
        <v/>
      </c>
      <c r="U91" s="18" t="n">
        <v>1.03</v>
      </c>
    </row>
    <row r="92">
      <c r="A92" s="233" t="inlineStr">
        <is>
          <t>14396XXX</t>
        </is>
      </c>
      <c r="B92" s="30" t="inlineStr">
        <is>
          <t>TAVERNITI BUZO</t>
        </is>
      </c>
      <c r="C92" s="88" t="n">
        <v>93800</v>
      </c>
      <c r="D92" s="170" t="n"/>
      <c r="E92" s="170" t="n"/>
      <c r="F92" s="170" t="n"/>
      <c r="G92" s="170" t="n"/>
      <c r="H92" s="170" t="n"/>
      <c r="I92" s="170" t="n"/>
      <c r="J92" s="170" t="n"/>
      <c r="K92" s="170" t="n"/>
      <c r="L92" s="170" t="n"/>
      <c r="M92" s="170" t="n"/>
      <c r="N92" s="30" t="n"/>
      <c r="O92" s="30" t="n"/>
      <c r="P92" s="170" t="n"/>
      <c r="Q92" s="30" t="n"/>
      <c r="R92" s="170" t="n"/>
      <c r="S92" s="30" t="n"/>
      <c r="T92" s="150">
        <f>C92*U92</f>
        <v/>
      </c>
      <c r="U92" s="18" t="n">
        <v>1.03</v>
      </c>
      <c r="V92" s="30" t="n"/>
      <c r="W92" s="30" t="n"/>
      <c r="X92" s="30" t="n"/>
      <c r="Y92" s="30" t="n"/>
      <c r="Z92" s="30" t="n"/>
      <c r="AA92" s="30" t="n"/>
      <c r="AB92" s="30" t="n"/>
      <c r="AC92" s="30" t="n"/>
      <c r="AD92" s="30" t="n"/>
      <c r="AE92" s="30" t="n"/>
      <c r="AF92" s="30" t="n"/>
      <c r="AG92" s="30" t="n"/>
      <c r="AH92" s="30" t="n"/>
      <c r="AI92" s="30" t="n"/>
      <c r="AJ92" s="30" t="n"/>
      <c r="AK92" s="30" t="n"/>
      <c r="AL92" s="30" t="n"/>
      <c r="AM92" s="30" t="n"/>
      <c r="AN92" s="30" t="n"/>
    </row>
    <row r="93">
      <c r="A93" s="145" t="inlineStr">
        <is>
          <t>14646</t>
        </is>
      </c>
      <c r="B93" s="30" t="inlineStr">
        <is>
          <t>TAVERNITI BUZO</t>
        </is>
      </c>
      <c r="C93" s="88" t="n">
        <v>93800</v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52" t="n"/>
      <c r="P93" s="117" t="n"/>
      <c r="R93" s="117" t="n"/>
      <c r="T93" s="117">
        <f>C93*U93</f>
        <v/>
      </c>
      <c r="U93" s="18" t="n">
        <v>1.03</v>
      </c>
    </row>
    <row r="94">
      <c r="A94" s="145" t="inlineStr">
        <is>
          <t>14652</t>
        </is>
      </c>
      <c r="B94" s="30" t="inlineStr">
        <is>
          <t>TAVERNITI BUZO</t>
        </is>
      </c>
      <c r="C94" s="88" t="n">
        <v>89200</v>
      </c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52" t="n"/>
      <c r="P94" s="117" t="n"/>
      <c r="R94" s="117" t="n"/>
      <c r="T94" s="117">
        <f>C94*U94</f>
        <v/>
      </c>
      <c r="U94" s="18" t="n">
        <v>1.03</v>
      </c>
    </row>
    <row r="95">
      <c r="A95" s="145" t="inlineStr">
        <is>
          <t>14654</t>
        </is>
      </c>
      <c r="B95" s="30" t="inlineStr">
        <is>
          <t>TAVERNITI BUZO</t>
        </is>
      </c>
      <c r="C95" s="88" t="n">
        <v>89200</v>
      </c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52" t="n"/>
      <c r="P95" s="117" t="n"/>
      <c r="R95" s="117" t="n"/>
      <c r="T95" s="117">
        <f>C95*U95</f>
        <v/>
      </c>
      <c r="U95" s="18" t="n">
        <v>1.03</v>
      </c>
    </row>
    <row r="96">
      <c r="A96" s="145" t="inlineStr">
        <is>
          <t>14658</t>
        </is>
      </c>
      <c r="B96" s="30" t="inlineStr">
        <is>
          <t>TAVERNITI BUZO</t>
        </is>
      </c>
      <c r="C96" s="88" t="n">
        <v>89200</v>
      </c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52" t="n"/>
      <c r="P96" s="117" t="n"/>
      <c r="R96" s="117" t="n"/>
      <c r="T96" s="117">
        <f>C96*U96</f>
        <v/>
      </c>
      <c r="U96" s="18" t="n">
        <v>1.03</v>
      </c>
    </row>
    <row r="97">
      <c r="A97" s="145" t="inlineStr">
        <is>
          <t>14660</t>
        </is>
      </c>
      <c r="B97" s="30" t="inlineStr">
        <is>
          <t>TAVERNITI BUZO</t>
        </is>
      </c>
      <c r="C97" s="88" t="n">
        <v>89200</v>
      </c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52" t="n"/>
      <c r="P97" s="117" t="n"/>
      <c r="R97" s="117" t="n"/>
      <c r="T97" s="117">
        <f>C97*U97</f>
        <v/>
      </c>
      <c r="U97" s="18" t="n">
        <v>1.03</v>
      </c>
    </row>
    <row r="98">
      <c r="A98" s="145" t="inlineStr">
        <is>
          <t>14662</t>
        </is>
      </c>
      <c r="B98" s="30" t="inlineStr">
        <is>
          <t>TAVERNITI BUZO</t>
        </is>
      </c>
      <c r="C98" s="88" t="n">
        <v>89200</v>
      </c>
      <c r="D98" s="22" t="n"/>
      <c r="E98" s="22" t="n"/>
      <c r="F98" s="22" t="n"/>
      <c r="G98" s="22" t="n"/>
      <c r="H98" s="22" t="n"/>
      <c r="I98" s="22" t="n"/>
      <c r="J98" s="88" t="n"/>
      <c r="K98" s="88" t="n"/>
      <c r="L98" s="88" t="n"/>
      <c r="M98" s="52" t="n"/>
      <c r="P98" s="117" t="n"/>
      <c r="R98" s="117" t="n"/>
      <c r="T98" s="117">
        <f>C98*U98</f>
        <v/>
      </c>
      <c r="U98" s="18" t="n">
        <v>1.03</v>
      </c>
    </row>
    <row r="99">
      <c r="A99" s="145" t="inlineStr">
        <is>
          <t>14666</t>
        </is>
      </c>
      <c r="B99" s="30" t="inlineStr">
        <is>
          <t>TAVERNITI BUZO</t>
        </is>
      </c>
      <c r="C99" s="88" t="n">
        <v>89200</v>
      </c>
      <c r="D99" s="22" t="n"/>
      <c r="E99" s="22" t="n"/>
      <c r="F99" s="22" t="n"/>
      <c r="G99" s="22" t="n"/>
      <c r="H99" s="22" t="n"/>
      <c r="I99" s="22" t="n"/>
      <c r="J99" s="88" t="n"/>
      <c r="K99" s="88" t="n"/>
      <c r="L99" s="88" t="n"/>
      <c r="M99" s="52" t="n"/>
      <c r="P99" s="117" t="n"/>
      <c r="R99" s="117" t="n"/>
      <c r="T99" s="117">
        <f>C99*U99</f>
        <v/>
      </c>
      <c r="U99" s="18" t="n">
        <v>1.03</v>
      </c>
    </row>
    <row r="100">
      <c r="A100" s="145" t="inlineStr">
        <is>
          <t>14668</t>
        </is>
      </c>
      <c r="B100" s="30" t="inlineStr">
        <is>
          <t>TAVERNITI BUZO</t>
        </is>
      </c>
      <c r="C100" s="88" t="n">
        <v>89200</v>
      </c>
      <c r="D100" s="22" t="n"/>
      <c r="E100" s="22" t="n"/>
      <c r="F100" s="22" t="n"/>
      <c r="G100" s="22" t="n"/>
      <c r="H100" s="22" t="n"/>
      <c r="I100" s="22" t="n"/>
      <c r="J100" s="88" t="n"/>
      <c r="K100" s="88" t="n"/>
      <c r="L100" s="88" t="n"/>
      <c r="M100" s="52" t="n"/>
      <c r="P100" s="117" t="n"/>
      <c r="R100" s="117" t="n"/>
      <c r="T100" s="117">
        <f>C100*U100</f>
        <v/>
      </c>
      <c r="U100" s="18" t="n">
        <v>1.03</v>
      </c>
    </row>
    <row r="101">
      <c r="A101" s="145" t="inlineStr">
        <is>
          <t>146706XX</t>
        </is>
      </c>
      <c r="B101" s="30" t="inlineStr">
        <is>
          <t>TAVERNITI BUZO</t>
        </is>
      </c>
      <c r="C101" s="88" t="n">
        <v>89200</v>
      </c>
      <c r="D101" s="22" t="n"/>
      <c r="E101" s="22" t="n"/>
      <c r="F101" s="22" t="n"/>
      <c r="G101" s="22" t="n"/>
      <c r="H101" s="22" t="n"/>
      <c r="I101" s="22" t="n"/>
      <c r="J101" s="88" t="n"/>
      <c r="K101" s="88" t="n"/>
      <c r="L101" s="88" t="n"/>
      <c r="M101" s="52" t="n"/>
      <c r="P101" s="117" t="n"/>
      <c r="R101" s="117" t="n"/>
      <c r="T101" s="117">
        <f>C101*U101</f>
        <v/>
      </c>
      <c r="U101" s="18" t="n">
        <v>1.03</v>
      </c>
    </row>
    <row r="102">
      <c r="A102" s="145" t="inlineStr">
        <is>
          <t>14686</t>
        </is>
      </c>
      <c r="B102" s="30" t="inlineStr">
        <is>
          <t>TAVERNITI BUZO</t>
        </is>
      </c>
      <c r="C102" s="88" t="n">
        <v>89200</v>
      </c>
      <c r="D102" s="22" t="n"/>
      <c r="E102" s="22" t="n"/>
      <c r="F102" s="22" t="n"/>
      <c r="G102" s="22" t="n"/>
      <c r="H102" s="22" t="n"/>
      <c r="I102" s="22" t="n"/>
      <c r="J102" s="88" t="n"/>
      <c r="K102" s="88" t="n"/>
      <c r="L102" s="88" t="n"/>
      <c r="M102" s="52" t="n"/>
      <c r="P102" s="117" t="n"/>
      <c r="R102" s="117" t="n"/>
      <c r="T102" s="117">
        <f>C102*U102</f>
        <v/>
      </c>
      <c r="U102" s="18" t="n">
        <v>1.03</v>
      </c>
    </row>
    <row r="103">
      <c r="A103" s="145" t="inlineStr">
        <is>
          <t>14688</t>
        </is>
      </c>
      <c r="B103" s="30" t="inlineStr">
        <is>
          <t>TAVERNITI BUZO</t>
        </is>
      </c>
      <c r="C103" s="88" t="n">
        <v>89200</v>
      </c>
      <c r="D103" s="22" t="n"/>
      <c r="E103" s="22" t="n"/>
      <c r="F103" s="22" t="n"/>
      <c r="G103" s="22" t="n"/>
      <c r="H103" s="22" t="n"/>
      <c r="I103" s="22" t="n"/>
      <c r="J103" s="88" t="n"/>
      <c r="K103" s="88" t="n"/>
      <c r="L103" s="88" t="n"/>
      <c r="M103" s="52" t="n"/>
      <c r="P103" s="117" t="n"/>
      <c r="R103" s="117" t="n"/>
      <c r="T103" s="117">
        <f>C103*U103</f>
        <v/>
      </c>
      <c r="U103" s="18" t="n">
        <v>1.03</v>
      </c>
    </row>
    <row r="104">
      <c r="A104" s="145" t="inlineStr">
        <is>
          <t>14692</t>
        </is>
      </c>
      <c r="B104" s="30" t="inlineStr">
        <is>
          <t>TAVERNITI BUZO</t>
        </is>
      </c>
      <c r="C104" s="88" t="n">
        <v>89200</v>
      </c>
      <c r="D104" s="22" t="n"/>
      <c r="E104" s="22" t="n"/>
      <c r="F104" s="22" t="n"/>
      <c r="G104" s="22" t="n"/>
      <c r="H104" s="22" t="n"/>
      <c r="I104" s="22" t="n"/>
      <c r="J104" s="88" t="n"/>
      <c r="K104" s="88" t="n"/>
      <c r="L104" s="88" t="n"/>
      <c r="M104" s="52" t="n"/>
      <c r="P104" s="117" t="n"/>
      <c r="R104" s="117" t="n"/>
      <c r="T104" s="117">
        <f>C104*U104</f>
        <v/>
      </c>
      <c r="U104" s="18" t="n">
        <v>1.03</v>
      </c>
    </row>
    <row r="105">
      <c r="A105" s="145" t="inlineStr">
        <is>
          <t>14694</t>
        </is>
      </c>
      <c r="B105" s="30" t="inlineStr">
        <is>
          <t>TAVERNITI BUZO</t>
        </is>
      </c>
      <c r="C105" s="88" t="n">
        <v>89200</v>
      </c>
      <c r="D105" s="22" t="n"/>
      <c r="E105" s="22" t="n"/>
      <c r="F105" s="22" t="n"/>
      <c r="G105" s="22" t="n"/>
      <c r="H105" s="22" t="n"/>
      <c r="I105" s="22" t="n"/>
      <c r="J105" s="88" t="n"/>
      <c r="K105" s="88" t="n"/>
      <c r="L105" s="88" t="n"/>
      <c r="M105" s="52" t="n"/>
      <c r="P105" s="117" t="n"/>
      <c r="R105" s="117" t="n"/>
      <c r="T105" s="117">
        <f>C105*U105</f>
        <v/>
      </c>
      <c r="U105" s="18" t="n">
        <v>1.03</v>
      </c>
    </row>
    <row r="106">
      <c r="A106" s="145" t="inlineStr">
        <is>
          <t>14842XXX</t>
        </is>
      </c>
      <c r="B106" s="30" t="inlineStr">
        <is>
          <t>TAVERNITI BUZO</t>
        </is>
      </c>
      <c r="C106" s="88" t="n">
        <v>87600</v>
      </c>
      <c r="D106" s="22" t="n"/>
      <c r="E106" s="22" t="n"/>
      <c r="F106" s="22" t="n"/>
      <c r="G106" s="22" t="n"/>
      <c r="H106" s="22" t="n"/>
      <c r="I106" s="22" t="n"/>
      <c r="J106" s="88" t="n"/>
      <c r="K106" s="88" t="n"/>
      <c r="L106" s="88" t="n"/>
      <c r="M106" s="52" t="n"/>
      <c r="P106" s="117" t="n"/>
      <c r="R106" s="117" t="n"/>
      <c r="T106" s="117">
        <f>C106*U106</f>
        <v/>
      </c>
      <c r="U106" s="18" t="n">
        <v>1.03</v>
      </c>
    </row>
    <row r="107">
      <c r="A107" s="89" t="inlineStr">
        <is>
          <t>15120XXX</t>
        </is>
      </c>
      <c r="B107" s="30" t="inlineStr">
        <is>
          <t>TAVERNITI BUZO</t>
        </is>
      </c>
      <c r="C107" s="88" t="n">
        <v>75400</v>
      </c>
      <c r="D107" s="170" t="n"/>
      <c r="E107" s="170" t="n"/>
      <c r="F107" s="170" t="n"/>
      <c r="G107" s="170" t="n"/>
      <c r="H107" s="170" t="n"/>
      <c r="I107" s="170" t="n"/>
      <c r="J107" s="170" t="n"/>
      <c r="K107" s="170" t="n"/>
      <c r="L107" s="170" t="n"/>
      <c r="M107" s="170" t="n"/>
      <c r="N107" s="30" t="n"/>
      <c r="O107" s="30" t="n"/>
      <c r="P107" s="170" t="n"/>
      <c r="Q107" s="30" t="n"/>
      <c r="R107" s="170" t="n"/>
      <c r="S107" s="30" t="n"/>
      <c r="T107" s="150">
        <f>U107*C107</f>
        <v/>
      </c>
      <c r="U107" s="18" t="n">
        <v>1.03</v>
      </c>
      <c r="V107" s="30" t="n"/>
      <c r="W107" s="30" t="n"/>
      <c r="X107" s="30" t="n"/>
      <c r="Y107" s="30" t="n"/>
      <c r="Z107" s="30" t="n"/>
      <c r="AA107" s="30" t="n"/>
      <c r="AB107" s="30" t="n"/>
      <c r="AC107" s="30" t="n"/>
      <c r="AD107" s="30" t="n"/>
      <c r="AE107" s="30" t="n"/>
      <c r="AF107" s="30" t="n"/>
      <c r="AG107" s="30" t="n"/>
      <c r="AH107" s="30" t="n"/>
      <c r="AI107" s="30" t="n"/>
      <c r="AJ107" s="30" t="n"/>
      <c r="AK107" s="30" t="n"/>
      <c r="AL107" s="30" t="n"/>
      <c r="AM107" s="30" t="n"/>
      <c r="AN107" s="30" t="n"/>
    </row>
    <row r="108">
      <c r="A108" s="89" t="inlineStr">
        <is>
          <t>15122XXX</t>
        </is>
      </c>
      <c r="B108" s="30" t="inlineStr">
        <is>
          <t>TAVERNITI BUZO</t>
        </is>
      </c>
      <c r="C108" s="88" t="n">
        <v>75400</v>
      </c>
      <c r="D108" s="170" t="n"/>
      <c r="E108" s="170" t="n"/>
      <c r="F108" s="170" t="n"/>
      <c r="G108" s="170" t="n"/>
      <c r="H108" s="170" t="n"/>
      <c r="I108" s="170" t="n"/>
      <c r="J108" s="170" t="n"/>
      <c r="K108" s="170" t="n"/>
      <c r="L108" s="170" t="n"/>
      <c r="M108" s="170" t="n"/>
      <c r="N108" s="30" t="n"/>
      <c r="O108" s="30" t="n"/>
      <c r="P108" s="170" t="n"/>
      <c r="Q108" s="30" t="n"/>
      <c r="R108" s="170" t="n"/>
      <c r="S108" s="30" t="n"/>
      <c r="T108" s="150">
        <f>U108*C108</f>
        <v/>
      </c>
      <c r="U108" s="18" t="n">
        <v>1.03</v>
      </c>
      <c r="V108" s="30" t="n"/>
      <c r="W108" s="30" t="n"/>
      <c r="X108" s="30" t="n"/>
      <c r="Y108" s="30" t="n"/>
      <c r="Z108" s="30" t="n"/>
      <c r="AA108" s="30" t="n"/>
      <c r="AB108" s="30" t="n"/>
      <c r="AC108" s="30" t="n"/>
      <c r="AD108" s="30" t="n"/>
      <c r="AE108" s="30" t="n"/>
      <c r="AF108" s="30" t="n"/>
      <c r="AG108" s="30" t="n"/>
      <c r="AH108" s="30" t="n"/>
      <c r="AI108" s="30" t="n"/>
      <c r="AJ108" s="30" t="n"/>
      <c r="AK108" s="30" t="n"/>
      <c r="AL108" s="30" t="n"/>
      <c r="AM108" s="30" t="n"/>
      <c r="AN108" s="30" t="n"/>
    </row>
    <row r="109">
      <c r="A109" s="89" t="inlineStr">
        <is>
          <t>15128XXX</t>
        </is>
      </c>
      <c r="B109" s="30" t="inlineStr">
        <is>
          <t>TAVERNITI BUZO</t>
        </is>
      </c>
      <c r="C109" s="88" t="n">
        <v>75400</v>
      </c>
      <c r="D109" s="170" t="n"/>
      <c r="E109" s="170" t="n"/>
      <c r="F109" s="170" t="n"/>
      <c r="G109" s="170" t="n"/>
      <c r="H109" s="170" t="n"/>
      <c r="I109" s="170" t="n"/>
      <c r="J109" s="170" t="n"/>
      <c r="K109" s="170" t="n"/>
      <c r="L109" s="170" t="n"/>
      <c r="M109" s="170" t="n"/>
      <c r="N109" s="30" t="n"/>
      <c r="O109" s="30" t="n"/>
      <c r="P109" s="170" t="n"/>
      <c r="Q109" s="30" t="n"/>
      <c r="R109" s="170" t="n"/>
      <c r="S109" s="30" t="n"/>
      <c r="T109" s="150">
        <f>U109*C109</f>
        <v/>
      </c>
      <c r="U109" s="18" t="n">
        <v>1.03</v>
      </c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</row>
    <row r="110">
      <c r="A110" s="89" t="inlineStr">
        <is>
          <t>15274XXX</t>
        </is>
      </c>
      <c r="B110" s="30" t="inlineStr">
        <is>
          <t>TAVERNITI BUZO</t>
        </is>
      </c>
      <c r="C110" s="88" t="n">
        <v>75400</v>
      </c>
      <c r="D110" s="170" t="n"/>
      <c r="E110" s="170" t="n"/>
      <c r="F110" s="170" t="n"/>
      <c r="G110" s="170" t="n"/>
      <c r="H110" s="170" t="n"/>
      <c r="I110" s="170" t="n"/>
      <c r="J110" s="170" t="n"/>
      <c r="K110" s="170" t="n"/>
      <c r="L110" s="170" t="n"/>
      <c r="M110" s="170" t="n"/>
      <c r="N110" s="30" t="n"/>
      <c r="O110" s="30" t="n"/>
      <c r="P110" s="170" t="n"/>
      <c r="Q110" s="30" t="n"/>
      <c r="R110" s="170" t="n"/>
      <c r="S110" s="30" t="n"/>
      <c r="T110" s="150">
        <f>U110*C110</f>
        <v/>
      </c>
      <c r="U110" s="18" t="n">
        <v>1.03</v>
      </c>
      <c r="V110" s="30" t="n"/>
      <c r="W110" s="30" t="n"/>
      <c r="X110" s="30" t="n"/>
      <c r="Y110" s="30" t="n"/>
      <c r="Z110" s="30" t="n"/>
      <c r="AA110" s="30" t="n"/>
      <c r="AB110" s="30" t="n"/>
      <c r="AC110" s="30" t="n"/>
      <c r="AD110" s="30" t="n"/>
      <c r="AE110" s="30" t="n"/>
      <c r="AF110" s="30" t="n"/>
      <c r="AG110" s="30" t="n"/>
      <c r="AH110" s="30" t="n"/>
      <c r="AI110" s="30" t="n"/>
      <c r="AJ110" s="30" t="n"/>
      <c r="AK110" s="30" t="n"/>
      <c r="AL110" s="30" t="n"/>
      <c r="AM110" s="30" t="n"/>
      <c r="AN110" s="30" t="n"/>
    </row>
    <row r="111">
      <c r="A111" s="89" t="inlineStr">
        <is>
          <t>15298XXX</t>
        </is>
      </c>
      <c r="B111" s="30" t="inlineStr">
        <is>
          <t>TAVERNITI BUZO</t>
        </is>
      </c>
      <c r="C111" s="88" t="n">
        <v>102300</v>
      </c>
      <c r="D111" s="170" t="n"/>
      <c r="E111" s="170" t="n"/>
      <c r="F111" s="170" t="n"/>
      <c r="G111" s="170" t="n"/>
      <c r="H111" s="170" t="n"/>
      <c r="I111" s="170" t="n"/>
      <c r="J111" s="170" t="n"/>
      <c r="K111" s="170" t="n"/>
      <c r="L111" s="170" t="n"/>
      <c r="M111" s="170" t="n"/>
      <c r="N111" s="30" t="n"/>
      <c r="O111" s="30" t="n"/>
      <c r="P111" s="170" t="n"/>
      <c r="Q111" s="30" t="n"/>
      <c r="R111" s="170" t="n"/>
      <c r="S111" s="30" t="n"/>
      <c r="T111" s="150">
        <f>U111*C111</f>
        <v/>
      </c>
      <c r="U111" s="18" t="n">
        <v>1.03</v>
      </c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</row>
    <row r="112">
      <c r="A112" s="145" t="inlineStr">
        <is>
          <t>15438XXX</t>
        </is>
      </c>
      <c r="B112" s="30" t="inlineStr">
        <is>
          <t>TAVERNITI BUZO</t>
        </is>
      </c>
      <c r="C112" s="88" t="n">
        <v>89800</v>
      </c>
      <c r="D112" s="22" t="n"/>
      <c r="E112" s="22" t="n"/>
      <c r="F112" s="22" t="n"/>
      <c r="G112" s="22" t="n"/>
      <c r="H112" s="22" t="n"/>
      <c r="I112" s="22" t="n"/>
      <c r="J112" s="88" t="n"/>
      <c r="K112" s="88" t="n"/>
      <c r="L112" s="88" t="n"/>
      <c r="M112" s="52" t="n"/>
      <c r="P112" s="117" t="n"/>
      <c r="R112" s="117" t="n"/>
      <c r="T112" s="117">
        <f>C112*U112</f>
        <v/>
      </c>
      <c r="U112" s="18" t="n">
        <v>1.03</v>
      </c>
    </row>
    <row r="113">
      <c r="A113" s="145" t="inlineStr">
        <is>
          <t>15440XXX</t>
        </is>
      </c>
      <c r="B113" s="30" t="inlineStr">
        <is>
          <t>TAVERNITI BUZO</t>
        </is>
      </c>
      <c r="C113" s="88" t="n">
        <v>88900</v>
      </c>
      <c r="D113" s="22" t="n"/>
      <c r="E113" s="22" t="n"/>
      <c r="F113" s="22" t="n"/>
      <c r="G113" s="22" t="n"/>
      <c r="H113" s="22" t="n"/>
      <c r="I113" s="22" t="n"/>
      <c r="J113" s="88" t="n"/>
      <c r="K113" s="88" t="n"/>
      <c r="L113" s="88" t="n"/>
      <c r="M113" s="52" t="n"/>
      <c r="P113" s="117" t="n"/>
      <c r="R113" s="117" t="n"/>
      <c r="T113" s="117">
        <f>C113*U113</f>
        <v/>
      </c>
      <c r="U113" s="18" t="n">
        <v>1.03</v>
      </c>
    </row>
    <row r="114">
      <c r="A114" s="145" t="inlineStr">
        <is>
          <t>15474XXX</t>
        </is>
      </c>
      <c r="B114" s="30" t="inlineStr">
        <is>
          <t>TAVERNITI BUZO</t>
        </is>
      </c>
      <c r="C114" s="88" t="n">
        <v>83700</v>
      </c>
      <c r="D114" s="22" t="n"/>
      <c r="E114" s="22" t="n"/>
      <c r="F114" s="22" t="n"/>
      <c r="G114" s="22" t="n"/>
      <c r="H114" s="22" t="n"/>
      <c r="I114" s="22" t="n"/>
      <c r="J114" s="88" t="n"/>
      <c r="K114" s="88" t="n"/>
      <c r="L114" s="88" t="n"/>
      <c r="M114" s="52" t="n"/>
      <c r="P114" s="117" t="n"/>
      <c r="R114" s="117" t="n"/>
      <c r="T114" s="117">
        <f>C114*U114</f>
        <v/>
      </c>
      <c r="U114" s="18" t="n">
        <v>1.03</v>
      </c>
    </row>
    <row r="115">
      <c r="A115" s="145" t="inlineStr">
        <is>
          <t>16366XXX</t>
        </is>
      </c>
      <c r="B115" s="30" t="inlineStr">
        <is>
          <t>TAVERNITI BUZO</t>
        </is>
      </c>
      <c r="C115" s="88" t="n">
        <v>75700</v>
      </c>
      <c r="D115" s="22" t="n"/>
      <c r="E115" s="22" t="n"/>
      <c r="F115" s="22" t="n"/>
      <c r="G115" s="22" t="n"/>
      <c r="H115" s="22" t="n"/>
      <c r="I115" s="22" t="n"/>
      <c r="J115" s="88" t="n"/>
      <c r="K115" s="88" t="n"/>
      <c r="L115" s="88" t="n"/>
      <c r="M115" s="52" t="n"/>
      <c r="P115" s="117" t="n"/>
      <c r="R115" s="117" t="n"/>
      <c r="T115" s="117">
        <f>C115*U115</f>
        <v/>
      </c>
      <c r="U115" s="18" t="n">
        <v>1.03</v>
      </c>
    </row>
    <row r="116">
      <c r="A116" s="145" t="inlineStr">
        <is>
          <t>16430XXX</t>
        </is>
      </c>
      <c r="B116" s="30" t="inlineStr">
        <is>
          <t>TAVERNITI BUZO</t>
        </is>
      </c>
      <c r="C116" s="88" t="n">
        <v>72200</v>
      </c>
      <c r="D116" s="22" t="n"/>
      <c r="E116" s="22" t="n"/>
      <c r="F116" s="22" t="n"/>
      <c r="G116" s="22" t="n"/>
      <c r="H116" s="22" t="n"/>
      <c r="I116" s="22" t="n"/>
      <c r="J116" s="88" t="n"/>
      <c r="K116" s="88" t="n"/>
      <c r="L116" s="88" t="n"/>
      <c r="M116" s="52" t="n"/>
      <c r="P116" s="117" t="n"/>
      <c r="R116" s="117" t="n"/>
      <c r="T116" s="117">
        <f>C116*U116</f>
        <v/>
      </c>
      <c r="U116" s="18" t="n">
        <v>1.03</v>
      </c>
    </row>
    <row r="117">
      <c r="A117" s="233" t="inlineStr">
        <is>
          <t>16434XXX</t>
        </is>
      </c>
      <c r="B117" s="30" t="inlineStr">
        <is>
          <t>TAVERNITI BUZO</t>
        </is>
      </c>
      <c r="C117" s="88" t="n">
        <v>89200</v>
      </c>
      <c r="D117" s="170" t="n"/>
      <c r="E117" s="170" t="n"/>
      <c r="F117" s="170" t="n"/>
      <c r="G117" s="170" t="n"/>
      <c r="H117" s="170" t="n"/>
      <c r="I117" s="170" t="n"/>
      <c r="J117" s="170" t="n"/>
      <c r="K117" s="170" t="n"/>
      <c r="L117" s="170" t="n"/>
      <c r="M117" s="170" t="n"/>
      <c r="N117" s="30" t="n"/>
      <c r="O117" s="30" t="n"/>
      <c r="P117" s="170" t="n"/>
      <c r="Q117" s="30" t="n"/>
      <c r="R117" s="170" t="n"/>
      <c r="S117" s="30" t="n"/>
      <c r="T117" s="150">
        <f>C117*U117</f>
        <v/>
      </c>
      <c r="U117" s="18" t="n">
        <v>1.03</v>
      </c>
      <c r="V117" s="30" t="n"/>
      <c r="W117" s="30" t="n"/>
      <c r="X117" s="30" t="n"/>
      <c r="Y117" s="30" t="n"/>
      <c r="Z117" s="30" t="n"/>
      <c r="AA117" s="30" t="n"/>
      <c r="AB117" s="30" t="n"/>
      <c r="AC117" s="30" t="n"/>
      <c r="AD117" s="30" t="n"/>
      <c r="AE117" s="30" t="n"/>
      <c r="AF117" s="30" t="n"/>
      <c r="AG117" s="30" t="n"/>
      <c r="AH117" s="30" t="n"/>
      <c r="AI117" s="30" t="n"/>
      <c r="AJ117" s="30" t="n"/>
      <c r="AK117" s="30" t="n"/>
      <c r="AL117" s="30" t="n"/>
      <c r="AM117" s="30" t="n"/>
      <c r="AN117" s="30" t="n"/>
    </row>
    <row r="118">
      <c r="A118" s="145" t="inlineStr">
        <is>
          <t>16436XXX</t>
        </is>
      </c>
      <c r="B118" s="30" t="inlineStr">
        <is>
          <t>TAVERNITI BUZO</t>
        </is>
      </c>
      <c r="C118" s="88" t="n">
        <v>92200</v>
      </c>
      <c r="D118" s="22" t="n"/>
      <c r="E118" s="22" t="n"/>
      <c r="F118" s="22" t="n"/>
      <c r="G118" s="22" t="n"/>
      <c r="H118" s="22" t="n"/>
      <c r="I118" s="22" t="n"/>
      <c r="J118" s="88" t="n"/>
      <c r="K118" s="88" t="n"/>
      <c r="L118" s="88" t="n"/>
      <c r="M118" s="52" t="n"/>
      <c r="P118" s="117" t="n"/>
      <c r="R118" s="117" t="n"/>
      <c r="T118" s="117">
        <f>C118*U118</f>
        <v/>
      </c>
      <c r="U118" s="18" t="n">
        <v>1.03</v>
      </c>
    </row>
    <row r="119">
      <c r="A119" s="233" t="inlineStr">
        <is>
          <t>16448XXX</t>
        </is>
      </c>
      <c r="B119" s="30" t="inlineStr">
        <is>
          <t>TAVERNITI BUZO</t>
        </is>
      </c>
      <c r="C119" s="88" t="n">
        <v>90400</v>
      </c>
      <c r="D119" s="170" t="n"/>
      <c r="E119" s="170" t="n"/>
      <c r="F119" s="170" t="n"/>
      <c r="G119" s="170" t="n"/>
      <c r="H119" s="170" t="n"/>
      <c r="I119" s="170" t="n"/>
      <c r="J119" s="170" t="n"/>
      <c r="K119" s="170" t="n"/>
      <c r="L119" s="170" t="n"/>
      <c r="M119" s="170" t="n"/>
      <c r="N119" s="30" t="n"/>
      <c r="O119" s="30" t="n"/>
      <c r="P119" s="170" t="n"/>
      <c r="Q119" s="30" t="n"/>
      <c r="R119" s="170" t="n"/>
      <c r="S119" s="30" t="n"/>
      <c r="T119" s="150">
        <f>C119*U119</f>
        <v/>
      </c>
      <c r="U119" s="18" t="n">
        <v>1.03</v>
      </c>
      <c r="V119" s="30" t="n"/>
      <c r="W119" s="30" t="n"/>
      <c r="X119" s="30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</row>
    <row r="120">
      <c r="A120" s="145" t="inlineStr">
        <is>
          <t>16450XXX</t>
        </is>
      </c>
      <c r="B120" s="30" t="inlineStr">
        <is>
          <t>TAVERNITI BUZO</t>
        </is>
      </c>
      <c r="C120" s="22" t="n">
        <v>62500</v>
      </c>
      <c r="D120" s="22" t="n"/>
      <c r="E120" s="22" t="n"/>
      <c r="F120" s="22" t="n"/>
      <c r="G120" s="22" t="n"/>
      <c r="H120" s="22" t="n"/>
      <c r="I120" s="22" t="n"/>
      <c r="J120" s="88" t="n"/>
      <c r="K120" s="88" t="n"/>
      <c r="L120" s="88" t="n"/>
      <c r="M120" s="52" t="n"/>
      <c r="P120" s="117" t="n"/>
      <c r="R120" s="117" t="n"/>
      <c r="T120" s="117">
        <f>C120*U120</f>
        <v/>
      </c>
      <c r="U120" s="18" t="n">
        <v>1.03</v>
      </c>
    </row>
    <row r="121">
      <c r="A121" s="145" t="inlineStr">
        <is>
          <t>16454XXX</t>
        </is>
      </c>
      <c r="B121" s="30" t="inlineStr">
        <is>
          <t>TAVERNITI BUZO</t>
        </is>
      </c>
      <c r="C121" s="88" t="n">
        <v>92200</v>
      </c>
      <c r="D121" s="219" t="n"/>
      <c r="E121" s="22" t="n"/>
      <c r="F121" s="22" t="n"/>
      <c r="G121" s="22" t="n"/>
      <c r="H121" s="22" t="n"/>
      <c r="I121" s="22" t="n"/>
      <c r="J121" s="88" t="n"/>
      <c r="K121" s="88" t="n"/>
      <c r="L121" s="88" t="n"/>
      <c r="M121" s="52" t="n"/>
      <c r="P121" s="117" t="n"/>
      <c r="R121" s="117" t="n"/>
      <c r="T121" s="117">
        <f>C121*U121</f>
        <v/>
      </c>
      <c r="U121" s="18" t="n">
        <v>1.03</v>
      </c>
    </row>
    <row r="122">
      <c r="A122" s="145" t="inlineStr">
        <is>
          <t>16534XXX</t>
        </is>
      </c>
      <c r="B122" s="30" t="inlineStr">
        <is>
          <t>TAVERNITI BUZO</t>
        </is>
      </c>
      <c r="C122" s="88" t="n">
        <v>89200</v>
      </c>
      <c r="D122" s="22" t="n"/>
      <c r="E122" s="22" t="n"/>
      <c r="F122" s="22" t="n"/>
      <c r="G122" s="22" t="n"/>
      <c r="H122" s="22" t="n"/>
      <c r="I122" s="22" t="n"/>
      <c r="J122" s="88" t="n"/>
      <c r="K122" s="88" t="n"/>
      <c r="L122" s="88" t="n"/>
      <c r="M122" s="52" t="n"/>
      <c r="P122" s="117" t="n"/>
      <c r="R122" s="117" t="n"/>
      <c r="T122" s="117">
        <f>C122*U122</f>
        <v/>
      </c>
      <c r="U122" s="18" t="n">
        <v>1.03</v>
      </c>
    </row>
    <row r="123">
      <c r="A123" s="145" t="inlineStr">
        <is>
          <t>17098XXX</t>
        </is>
      </c>
      <c r="B123" s="30" t="inlineStr">
        <is>
          <t>TAVERNITI BUZO</t>
        </is>
      </c>
      <c r="C123" s="88" t="n">
        <v>65400</v>
      </c>
      <c r="D123" s="22" t="n"/>
      <c r="E123" s="22" t="n"/>
      <c r="F123" s="22" t="n"/>
      <c r="G123" s="22" t="n"/>
      <c r="H123" s="22" t="n"/>
      <c r="I123" s="22" t="n"/>
      <c r="J123" s="88" t="n"/>
      <c r="K123" s="88" t="n"/>
      <c r="L123" s="88" t="n"/>
      <c r="M123" s="52" t="n"/>
      <c r="P123" s="117" t="n"/>
      <c r="R123" s="117" t="n"/>
      <c r="T123" s="117">
        <f>C123*U123</f>
        <v/>
      </c>
      <c r="U123" s="18" t="n">
        <v>1.03</v>
      </c>
    </row>
    <row r="124">
      <c r="A124" s="145" t="inlineStr">
        <is>
          <t>17102XXX</t>
        </is>
      </c>
      <c r="B124" s="30" t="inlineStr">
        <is>
          <t>TAVERNITI BUZO</t>
        </is>
      </c>
      <c r="C124" s="88" t="n">
        <v>79100</v>
      </c>
      <c r="D124" s="22" t="n"/>
      <c r="E124" s="22" t="n"/>
      <c r="F124" s="22" t="n"/>
      <c r="G124" s="22" t="n"/>
      <c r="H124" s="22" t="n"/>
      <c r="I124" s="22" t="n"/>
      <c r="J124" s="88" t="n"/>
      <c r="K124" s="88" t="n"/>
      <c r="L124" s="88" t="n"/>
      <c r="M124" s="52" t="n"/>
      <c r="P124" s="117" t="n"/>
      <c r="R124" s="117" t="n"/>
      <c r="T124" s="117">
        <f>C124*U124</f>
        <v/>
      </c>
      <c r="U124" s="18" t="n">
        <v>1.03</v>
      </c>
    </row>
    <row r="125">
      <c r="A125" s="145" t="inlineStr">
        <is>
          <t>17106XXX</t>
        </is>
      </c>
      <c r="B125" s="30" t="inlineStr">
        <is>
          <t>TAVERNITI BUZO</t>
        </is>
      </c>
      <c r="C125" s="88" t="n">
        <v>79100</v>
      </c>
      <c r="D125" s="22" t="n"/>
      <c r="E125" s="22" t="n"/>
      <c r="F125" s="22" t="n"/>
      <c r="G125" s="22" t="n"/>
      <c r="H125" s="22" t="n"/>
      <c r="I125" s="22" t="n"/>
      <c r="J125" s="88" t="n"/>
      <c r="K125" s="88" t="n"/>
      <c r="L125" s="88" t="n"/>
      <c r="M125" s="52" t="n"/>
      <c r="P125" s="117" t="n"/>
      <c r="R125" s="117" t="n"/>
      <c r="T125" s="117">
        <f>C125*U125</f>
        <v/>
      </c>
      <c r="U125" s="18" t="n">
        <v>1.03</v>
      </c>
    </row>
    <row r="126">
      <c r="A126" s="145" t="inlineStr">
        <is>
          <t>17120XXX</t>
        </is>
      </c>
      <c r="B126" s="30" t="inlineStr">
        <is>
          <t>TAVERNITI BUZO</t>
        </is>
      </c>
      <c r="C126" s="88" t="n">
        <v>68100</v>
      </c>
      <c r="D126" s="22" t="n"/>
      <c r="E126" s="22" t="n"/>
      <c r="F126" s="22" t="n"/>
      <c r="G126" s="22" t="n"/>
      <c r="H126" s="22" t="n"/>
      <c r="I126" s="22" t="n"/>
      <c r="J126" s="88" t="n"/>
      <c r="K126" s="88" t="n"/>
      <c r="L126" s="88" t="n"/>
      <c r="M126" s="52" t="n"/>
      <c r="P126" s="117" t="n"/>
      <c r="R126" s="117" t="n"/>
      <c r="T126" s="117">
        <f>C126*U126</f>
        <v/>
      </c>
      <c r="U126" s="18" t="n">
        <v>1.03</v>
      </c>
    </row>
    <row r="127">
      <c r="A127" s="145" t="inlineStr">
        <is>
          <t>17124XXX</t>
        </is>
      </c>
      <c r="B127" s="30" t="inlineStr">
        <is>
          <t>TAVERNITI BUZO</t>
        </is>
      </c>
      <c r="C127" s="88" t="n">
        <v>95200</v>
      </c>
      <c r="D127" s="22" t="n"/>
      <c r="E127" s="22" t="n"/>
      <c r="F127" s="22" t="n"/>
      <c r="G127" s="22" t="n"/>
      <c r="H127" s="22" t="n"/>
      <c r="I127" s="22" t="n"/>
      <c r="J127" s="88" t="n"/>
      <c r="K127" s="88" t="n"/>
      <c r="L127" s="88" t="n"/>
      <c r="M127" s="52" t="n"/>
      <c r="P127" s="117" t="n"/>
      <c r="R127" s="117" t="n"/>
      <c r="T127" s="117">
        <f>C127*U127</f>
        <v/>
      </c>
      <c r="U127" s="18" t="n">
        <v>1.03</v>
      </c>
    </row>
    <row r="128">
      <c r="A128" s="145" t="inlineStr">
        <is>
          <t>17254XXX</t>
        </is>
      </c>
      <c r="B128" s="30" t="inlineStr">
        <is>
          <t>TAVERNITI BUZO</t>
        </is>
      </c>
      <c r="C128" s="88" t="n">
        <v>96400</v>
      </c>
      <c r="D128" s="22" t="n"/>
      <c r="E128" s="22" t="n"/>
      <c r="F128" s="22" t="n"/>
      <c r="G128" s="22" t="n"/>
      <c r="H128" s="22" t="n"/>
      <c r="I128" s="22" t="n"/>
      <c r="J128" s="88" t="n"/>
      <c r="K128" s="88" t="n"/>
      <c r="L128" s="88" t="n"/>
      <c r="M128" s="52" t="n"/>
      <c r="P128" s="117" t="n"/>
      <c r="R128" s="117" t="n"/>
      <c r="T128" s="117">
        <f>C128*U128</f>
        <v/>
      </c>
      <c r="U128" s="18" t="n">
        <v>1.03</v>
      </c>
    </row>
    <row r="129">
      <c r="A129" s="233" t="inlineStr">
        <is>
          <t>17532XXX</t>
        </is>
      </c>
      <c r="B129" s="30" t="inlineStr">
        <is>
          <t>TAVERNITI BUZO</t>
        </is>
      </c>
      <c r="C129" s="88" t="n">
        <v>88500</v>
      </c>
      <c r="D129" s="170" t="n"/>
      <c r="E129" s="170" t="n"/>
      <c r="F129" s="170" t="n"/>
      <c r="G129" s="170" t="n"/>
      <c r="H129" s="170" t="n"/>
      <c r="I129" s="170" t="n"/>
      <c r="J129" s="170" t="n"/>
      <c r="K129" s="170" t="n"/>
      <c r="L129" s="170" t="n"/>
      <c r="M129" s="170" t="n"/>
      <c r="N129" s="30" t="n"/>
      <c r="O129" s="30" t="n"/>
      <c r="P129" s="170" t="n"/>
      <c r="Q129" s="30" t="n"/>
      <c r="R129" s="170" t="n"/>
      <c r="S129" s="30" t="n"/>
      <c r="T129" s="150">
        <f>C129*U129</f>
        <v/>
      </c>
      <c r="U129" s="18" t="n">
        <v>1.03</v>
      </c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</row>
    <row r="130">
      <c r="A130" s="145" t="inlineStr">
        <is>
          <t>17606XXX</t>
        </is>
      </c>
      <c r="B130" s="30" t="inlineStr">
        <is>
          <t>TAVERNITI BUZO</t>
        </is>
      </c>
      <c r="C130" s="88" t="n">
        <v>65700</v>
      </c>
      <c r="D130" s="22" t="n"/>
      <c r="E130" s="22" t="n"/>
      <c r="F130" s="22" t="n"/>
      <c r="G130" s="22" t="n"/>
      <c r="H130" s="22" t="n"/>
      <c r="I130" s="22" t="n"/>
      <c r="J130" s="88" t="n"/>
      <c r="K130" s="88" t="n"/>
      <c r="L130" s="88" t="n"/>
      <c r="M130" s="52" t="n"/>
      <c r="P130" s="117" t="n"/>
      <c r="R130" s="117" t="n"/>
      <c r="T130" s="117">
        <f>C130*U130</f>
        <v/>
      </c>
      <c r="U130" s="18" t="n">
        <v>1.03</v>
      </c>
    </row>
    <row r="131">
      <c r="A131" s="233" t="inlineStr">
        <is>
          <t>17770XXX</t>
        </is>
      </c>
      <c r="B131" s="30" t="inlineStr">
        <is>
          <t>TAVERNITI BUZO</t>
        </is>
      </c>
      <c r="C131" s="88" t="n">
        <v>53400</v>
      </c>
      <c r="D131" s="170" t="n"/>
      <c r="E131" s="170" t="n"/>
      <c r="F131" s="170" t="n"/>
      <c r="G131" s="170" t="n"/>
      <c r="H131" s="170" t="n"/>
      <c r="I131" s="170" t="n"/>
      <c r="J131" s="170" t="n"/>
      <c r="K131" s="170" t="n"/>
      <c r="L131" s="170" t="n"/>
      <c r="M131" s="170" t="n"/>
      <c r="N131" s="30" t="n"/>
      <c r="O131" s="30" t="n"/>
      <c r="P131" s="170" t="n"/>
      <c r="Q131" s="30" t="n"/>
      <c r="R131" s="170" t="n"/>
      <c r="S131" s="30" t="n"/>
      <c r="T131" s="150">
        <f>C131*U131</f>
        <v/>
      </c>
      <c r="U131" s="18" t="n">
        <v>1.03</v>
      </c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30" t="n"/>
    </row>
    <row r="132">
      <c r="A132" s="233" t="inlineStr">
        <is>
          <t>17778XXX</t>
        </is>
      </c>
      <c r="B132" s="30" t="inlineStr">
        <is>
          <t>TAVERNITI BUZO</t>
        </is>
      </c>
      <c r="C132" s="88" t="n">
        <v>71800</v>
      </c>
      <c r="D132" s="170" t="n"/>
      <c r="E132" s="170" t="n"/>
      <c r="F132" s="170" t="n"/>
      <c r="G132" s="170" t="n"/>
      <c r="H132" s="170" t="n"/>
      <c r="I132" s="170" t="n"/>
      <c r="J132" s="170" t="n"/>
      <c r="K132" s="170" t="n"/>
      <c r="L132" s="170" t="n"/>
      <c r="M132" s="170" t="n"/>
      <c r="N132" s="30" t="n"/>
      <c r="O132" s="30" t="n"/>
      <c r="P132" s="170" t="n"/>
      <c r="Q132" s="30" t="n"/>
      <c r="R132" s="170" t="n"/>
      <c r="S132" s="30" t="n"/>
      <c r="T132" s="150">
        <f>C132*U132</f>
        <v/>
      </c>
      <c r="U132" s="18" t="n">
        <v>1.03</v>
      </c>
      <c r="V132" s="30" t="n"/>
      <c r="W132" s="30" t="n"/>
      <c r="X132" s="30" t="n"/>
      <c r="Y132" s="30" t="n"/>
      <c r="Z132" s="30" t="n"/>
      <c r="AA132" s="30" t="n"/>
      <c r="AB132" s="30" t="n"/>
      <c r="AC132" s="30" t="n"/>
      <c r="AD132" s="30" t="n"/>
      <c r="AE132" s="30" t="n"/>
      <c r="AF132" s="30" t="n"/>
      <c r="AG132" s="30" t="n"/>
      <c r="AH132" s="30" t="n"/>
      <c r="AI132" s="30" t="n"/>
      <c r="AJ132" s="30" t="n"/>
      <c r="AK132" s="30" t="n"/>
      <c r="AL132" s="30" t="n"/>
      <c r="AM132" s="30" t="n"/>
      <c r="AN132" s="30" t="n"/>
    </row>
    <row r="133">
      <c r="A133" s="233" t="inlineStr">
        <is>
          <t>17780XXX</t>
        </is>
      </c>
      <c r="B133" s="30" t="inlineStr">
        <is>
          <t>TAVERNITI BUZO</t>
        </is>
      </c>
      <c r="C133" s="88" t="n">
        <v>69000</v>
      </c>
      <c r="D133" s="170" t="n"/>
      <c r="E133" s="170" t="n"/>
      <c r="F133" s="170" t="n"/>
      <c r="G133" s="170" t="n"/>
      <c r="H133" s="170" t="n"/>
      <c r="I133" s="170" t="n"/>
      <c r="J133" s="170" t="n"/>
      <c r="K133" s="170" t="n"/>
      <c r="L133" s="170" t="n"/>
      <c r="M133" s="170" t="n"/>
      <c r="N133" s="30" t="n"/>
      <c r="O133" s="30" t="n"/>
      <c r="P133" s="170" t="n"/>
      <c r="Q133" s="30" t="n"/>
      <c r="R133" s="170" t="n"/>
      <c r="S133" s="30" t="n"/>
      <c r="T133" s="150">
        <f>C133*U133</f>
        <v/>
      </c>
      <c r="U133" s="18" t="n">
        <v>1.03</v>
      </c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30" t="n"/>
    </row>
    <row r="134">
      <c r="A134" s="233" t="inlineStr">
        <is>
          <t>17792XXX</t>
        </is>
      </c>
      <c r="B134" s="30" t="inlineStr">
        <is>
          <t>TAVERNITI BUZO</t>
        </is>
      </c>
      <c r="C134" s="88" t="n">
        <v>99000</v>
      </c>
      <c r="D134" s="170" t="n"/>
      <c r="E134" s="170" t="n"/>
      <c r="F134" s="170" t="n"/>
      <c r="G134" s="170" t="n"/>
      <c r="H134" s="170" t="n"/>
      <c r="I134" s="170" t="n"/>
      <c r="J134" s="170" t="n"/>
      <c r="K134" s="170" t="n"/>
      <c r="L134" s="170" t="n"/>
      <c r="M134" s="170" t="n"/>
      <c r="N134" s="30" t="n"/>
      <c r="O134" s="30" t="n"/>
      <c r="P134" s="170" t="n"/>
      <c r="Q134" s="30" t="n"/>
      <c r="R134" s="170" t="n"/>
      <c r="S134" s="30" t="n"/>
      <c r="T134" s="150">
        <f>C134*U134</f>
        <v/>
      </c>
      <c r="U134" s="18" t="n">
        <v>1.03</v>
      </c>
      <c r="V134" s="30" t="n"/>
      <c r="W134" s="30" t="n"/>
      <c r="X134" s="30" t="n"/>
      <c r="Y134" s="30" t="n"/>
      <c r="Z134" s="30" t="n"/>
      <c r="AA134" s="30" t="n"/>
      <c r="AB134" s="30" t="n"/>
      <c r="AC134" s="30" t="n"/>
      <c r="AD134" s="30" t="n"/>
      <c r="AE134" s="30" t="n"/>
      <c r="AF134" s="30" t="n"/>
      <c r="AG134" s="30" t="n"/>
      <c r="AH134" s="30" t="n"/>
      <c r="AI134" s="30" t="n"/>
      <c r="AJ134" s="30" t="n"/>
      <c r="AK134" s="30" t="n"/>
      <c r="AL134" s="30" t="n"/>
      <c r="AM134" s="30" t="n"/>
      <c r="AN134" s="30" t="n"/>
    </row>
    <row r="135">
      <c r="A135" s="233" t="inlineStr">
        <is>
          <t>17798XXX</t>
        </is>
      </c>
      <c r="B135" s="30" t="inlineStr">
        <is>
          <t>TAVERNITI BUZO</t>
        </is>
      </c>
      <c r="C135" s="88" t="n">
        <v>102400</v>
      </c>
      <c r="D135" s="170" t="n"/>
      <c r="E135" s="170" t="n"/>
      <c r="F135" s="170" t="n"/>
      <c r="G135" s="170" t="n"/>
      <c r="H135" s="170" t="n"/>
      <c r="I135" s="170" t="n"/>
      <c r="J135" s="170" t="n"/>
      <c r="K135" s="170" t="n"/>
      <c r="L135" s="170" t="n"/>
      <c r="M135" s="170" t="n"/>
      <c r="N135" s="30" t="n"/>
      <c r="O135" s="30" t="n"/>
      <c r="P135" s="170" t="n"/>
      <c r="Q135" s="30" t="n"/>
      <c r="R135" s="170" t="n"/>
      <c r="S135" s="30" t="n"/>
      <c r="T135" s="150">
        <f>C135*U135</f>
        <v/>
      </c>
      <c r="U135" s="18" t="n">
        <v>1.03</v>
      </c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</row>
    <row r="136">
      <c r="A136" s="233" t="inlineStr">
        <is>
          <t>17812XXX</t>
        </is>
      </c>
      <c r="B136" s="30" t="inlineStr">
        <is>
          <t>TAVERNITI BUZO</t>
        </is>
      </c>
      <c r="C136" s="88" t="n">
        <v>98400</v>
      </c>
      <c r="D136" s="170" t="n"/>
      <c r="E136" s="170" t="n"/>
      <c r="F136" s="170" t="n"/>
      <c r="G136" s="170" t="n"/>
      <c r="H136" s="170" t="n"/>
      <c r="I136" s="170" t="n"/>
      <c r="J136" s="170" t="n"/>
      <c r="K136" s="170" t="n"/>
      <c r="L136" s="170" t="n"/>
      <c r="M136" s="170" t="n"/>
      <c r="N136" s="30" t="n"/>
      <c r="O136" s="30" t="n"/>
      <c r="P136" s="170" t="n"/>
      <c r="Q136" s="30" t="n"/>
      <c r="R136" s="170" t="n"/>
      <c r="S136" s="30" t="n"/>
      <c r="T136" s="150">
        <f>C136*U136</f>
        <v/>
      </c>
      <c r="U136" s="18" t="n">
        <v>1.03</v>
      </c>
      <c r="V136" s="30" t="n"/>
      <c r="W136" s="30" t="n"/>
      <c r="X136" s="30" t="n"/>
      <c r="Y136" s="30" t="n"/>
      <c r="Z136" s="30" t="n"/>
      <c r="AA136" s="30" t="n"/>
      <c r="AB136" s="30" t="n"/>
      <c r="AC136" s="30" t="n"/>
      <c r="AD136" s="30" t="n"/>
      <c r="AE136" s="30" t="n"/>
      <c r="AF136" s="30" t="n"/>
      <c r="AG136" s="30" t="n"/>
      <c r="AH136" s="30" t="n"/>
      <c r="AI136" s="30" t="n"/>
      <c r="AJ136" s="30" t="n"/>
      <c r="AK136" s="30" t="n"/>
      <c r="AL136" s="30" t="n"/>
      <c r="AM136" s="30" t="n"/>
      <c r="AN136" s="30" t="n"/>
    </row>
    <row r="137">
      <c r="A137" s="233" t="inlineStr">
        <is>
          <t>17814XXX</t>
        </is>
      </c>
      <c r="B137" s="30" t="inlineStr">
        <is>
          <t>TAVERNITI BUZO</t>
        </is>
      </c>
      <c r="C137" s="88" t="n">
        <v>97700</v>
      </c>
      <c r="D137" s="170" t="n"/>
      <c r="E137" s="170" t="n"/>
      <c r="F137" s="170" t="n"/>
      <c r="G137" s="170" t="n"/>
      <c r="H137" s="170" t="n"/>
      <c r="I137" s="170" t="n"/>
      <c r="J137" s="170" t="n"/>
      <c r="K137" s="170" t="n"/>
      <c r="L137" s="170" t="n"/>
      <c r="M137" s="170" t="n"/>
      <c r="N137" s="30" t="n"/>
      <c r="O137" s="30" t="n"/>
      <c r="P137" s="170" t="n"/>
      <c r="Q137" s="30" t="n"/>
      <c r="R137" s="170" t="n"/>
      <c r="S137" s="30" t="n"/>
      <c r="T137" s="150">
        <f>C137*U137</f>
        <v/>
      </c>
      <c r="U137" s="18" t="n">
        <v>1.03</v>
      </c>
      <c r="V137" s="30" t="n"/>
      <c r="W137" s="30" t="n"/>
      <c r="X137" s="30" t="n"/>
      <c r="Y137" s="30" t="n"/>
      <c r="Z137" s="30" t="n"/>
      <c r="AA137" s="30" t="n"/>
      <c r="AB137" s="30" t="n"/>
      <c r="AC137" s="30" t="n"/>
      <c r="AD137" s="30" t="n"/>
      <c r="AE137" s="30" t="n"/>
      <c r="AF137" s="30" t="n"/>
      <c r="AG137" s="30" t="n"/>
      <c r="AH137" s="30" t="n"/>
      <c r="AI137" s="30" t="n"/>
      <c r="AJ137" s="30" t="n"/>
      <c r="AK137" s="30" t="n"/>
      <c r="AL137" s="30" t="n"/>
      <c r="AM137" s="30" t="n"/>
      <c r="AN137" s="30" t="n"/>
    </row>
    <row r="138">
      <c r="A138" s="145" t="inlineStr">
        <is>
          <t>17816XXX</t>
        </is>
      </c>
      <c r="B138" s="30" t="inlineStr">
        <is>
          <t>TAVERNITI BUZO</t>
        </is>
      </c>
      <c r="C138" s="88" t="n">
        <v>98400</v>
      </c>
      <c r="D138" s="22" t="n"/>
      <c r="E138" s="22" t="n"/>
      <c r="F138" s="22" t="n"/>
      <c r="G138" s="22" t="n"/>
      <c r="H138" s="22" t="n"/>
      <c r="I138" s="22" t="n"/>
      <c r="J138" s="88" t="n"/>
      <c r="K138" s="88" t="n"/>
      <c r="L138" s="88" t="n"/>
      <c r="M138" s="52" t="n"/>
      <c r="P138" s="117" t="n"/>
      <c r="R138" s="117" t="n"/>
      <c r="T138" s="117">
        <f>C138*U138</f>
        <v/>
      </c>
      <c r="U138" s="18" t="n">
        <v>1.03</v>
      </c>
    </row>
    <row r="139">
      <c r="A139" s="145" t="inlineStr">
        <is>
          <t>17818XXX</t>
        </is>
      </c>
      <c r="B139" s="30" t="inlineStr">
        <is>
          <t>TAVERNITI BUZO</t>
        </is>
      </c>
      <c r="C139" s="88" t="n">
        <v>98400</v>
      </c>
      <c r="D139" s="22" t="n"/>
      <c r="E139" s="22" t="n"/>
      <c r="F139" s="22" t="n"/>
      <c r="G139" s="22" t="n"/>
      <c r="H139" s="22" t="n"/>
      <c r="I139" s="22" t="n"/>
      <c r="J139" s="88" t="n"/>
      <c r="K139" s="88" t="n"/>
      <c r="L139" s="88" t="n"/>
      <c r="M139" s="52" t="n"/>
      <c r="P139" s="117" t="n"/>
      <c r="R139" s="117" t="n"/>
      <c r="T139" s="117">
        <f>C139*U139</f>
        <v/>
      </c>
      <c r="U139" s="18" t="n">
        <v>1.03</v>
      </c>
    </row>
    <row r="140">
      <c r="A140" s="145" t="inlineStr">
        <is>
          <t>18900XXX</t>
        </is>
      </c>
      <c r="B140" s="30" t="inlineStr">
        <is>
          <t>TAVERNITI BUZO</t>
        </is>
      </c>
      <c r="C140" s="88" t="n">
        <v>95000</v>
      </c>
      <c r="D140" s="22" t="n"/>
      <c r="E140" s="22" t="n"/>
      <c r="F140" s="22" t="n"/>
      <c r="G140" s="22" t="n"/>
      <c r="H140" s="22" t="n"/>
      <c r="I140" s="22" t="n"/>
      <c r="J140" s="88" t="n"/>
      <c r="K140" s="88" t="n"/>
      <c r="L140" s="88" t="n"/>
      <c r="M140" s="52" t="n"/>
      <c r="P140" s="117" t="n"/>
      <c r="R140" s="117" t="n"/>
      <c r="T140" s="117">
        <f>C140*U140</f>
        <v/>
      </c>
      <c r="U140" s="18" t="n">
        <v>1.03</v>
      </c>
    </row>
    <row r="141">
      <c r="A141" s="233" t="inlineStr">
        <is>
          <t>20232XXX</t>
        </is>
      </c>
      <c r="B141" s="30" t="inlineStr">
        <is>
          <t>TAVERNITI BUZO</t>
        </is>
      </c>
      <c r="C141" s="88" t="n">
        <v>124700</v>
      </c>
      <c r="D141" s="170" t="n"/>
      <c r="E141" s="170" t="n"/>
      <c r="F141" s="170" t="n"/>
      <c r="G141" s="170" t="n"/>
      <c r="H141" s="170" t="n"/>
      <c r="I141" s="170" t="n"/>
      <c r="J141" s="170" t="n"/>
      <c r="K141" s="170" t="n"/>
      <c r="L141" s="170" t="n"/>
      <c r="M141" s="170" t="n"/>
      <c r="N141" s="30" t="n"/>
      <c r="O141" s="30" t="n"/>
      <c r="P141" s="170" t="n"/>
      <c r="Q141" s="30" t="n"/>
      <c r="R141" s="170" t="n"/>
      <c r="S141" s="30" t="n"/>
      <c r="T141" s="150">
        <f>C141*U141</f>
        <v/>
      </c>
      <c r="U141" s="18" t="n">
        <v>1.03</v>
      </c>
      <c r="V141" s="30" t="n"/>
      <c r="W141" s="30" t="n"/>
      <c r="X141" s="30" t="n"/>
      <c r="Y141" s="30" t="n"/>
      <c r="Z141" s="30" t="n"/>
      <c r="AA141" s="30" t="n"/>
      <c r="AB141" s="30" t="n"/>
      <c r="AC141" s="30" t="n"/>
      <c r="AD141" s="30" t="n"/>
      <c r="AE141" s="30" t="n"/>
      <c r="AF141" s="30" t="n"/>
      <c r="AG141" s="30" t="n"/>
      <c r="AH141" s="30" t="n"/>
      <c r="AI141" s="30" t="n"/>
      <c r="AJ141" s="30" t="n"/>
      <c r="AK141" s="30" t="n"/>
      <c r="AL141" s="30" t="n"/>
      <c r="AM141" s="30" t="n"/>
      <c r="AN141" s="30" t="n"/>
      <c r="AO141" s="30" t="n"/>
    </row>
    <row r="142">
      <c r="A142" s="145" t="inlineStr">
        <is>
          <t>20302XXX</t>
        </is>
      </c>
      <c r="B142" s="30" t="inlineStr">
        <is>
          <t>TAVERNITI BUZO</t>
        </is>
      </c>
      <c r="C142" s="88" t="n">
        <v>95000</v>
      </c>
      <c r="D142" s="22" t="n"/>
      <c r="E142" s="22" t="n"/>
      <c r="F142" s="22" t="n"/>
      <c r="G142" s="22" t="n"/>
      <c r="H142" s="22" t="n"/>
      <c r="I142" s="22" t="n"/>
      <c r="J142" s="88" t="n"/>
      <c r="K142" s="88" t="n"/>
      <c r="L142" s="88" t="n"/>
      <c r="M142" s="52" t="n"/>
      <c r="P142" s="117" t="n"/>
      <c r="R142" s="117" t="n"/>
      <c r="T142" s="117">
        <f>C142*U142</f>
        <v/>
      </c>
      <c r="U142" s="18" t="n">
        <v>1.03</v>
      </c>
    </row>
    <row r="143">
      <c r="A143" s="145" t="inlineStr">
        <is>
          <t>20304XXX</t>
        </is>
      </c>
      <c r="B143" s="30" t="inlineStr">
        <is>
          <t>TAVERNITI BUZO</t>
        </is>
      </c>
      <c r="C143" s="88" t="n">
        <v>95000</v>
      </c>
      <c r="D143" s="22" t="n"/>
      <c r="E143" s="22" t="n"/>
      <c r="F143" s="22" t="n"/>
      <c r="G143" s="22" t="n"/>
      <c r="H143" s="22" t="n"/>
      <c r="I143" s="22" t="n"/>
      <c r="J143" s="88" t="n"/>
      <c r="K143" s="88" t="n"/>
      <c r="L143" s="88" t="n"/>
      <c r="M143" s="52" t="n"/>
      <c r="P143" s="117" t="n"/>
      <c r="R143" s="117" t="n"/>
      <c r="T143" s="117">
        <f>C143*U143</f>
        <v/>
      </c>
      <c r="U143" s="18" t="n">
        <v>1.03</v>
      </c>
    </row>
    <row r="144">
      <c r="A144" s="145" t="inlineStr">
        <is>
          <t>20306XXX</t>
        </is>
      </c>
      <c r="B144" s="30" t="inlineStr">
        <is>
          <t>TAVERNITI BUZO</t>
        </is>
      </c>
      <c r="C144" s="88" t="n">
        <v>95000</v>
      </c>
      <c r="D144" s="22" t="n"/>
      <c r="E144" s="22" t="n"/>
      <c r="F144" s="22" t="n"/>
      <c r="G144" s="22" t="n"/>
      <c r="H144" s="22" t="n"/>
      <c r="I144" s="22" t="n"/>
      <c r="J144" s="88" t="n"/>
      <c r="K144" s="88" t="n"/>
      <c r="L144" s="88" t="n"/>
      <c r="M144" s="52" t="n"/>
      <c r="P144" s="117" t="n"/>
      <c r="R144" s="117" t="n"/>
      <c r="T144" s="117">
        <f>C144*U144</f>
        <v/>
      </c>
      <c r="U144" s="18" t="n">
        <v>1.03</v>
      </c>
    </row>
    <row r="145">
      <c r="A145" s="145" t="inlineStr">
        <is>
          <t>20308XXX</t>
        </is>
      </c>
      <c r="B145" s="30" t="inlineStr">
        <is>
          <t>TAVERNITI BUZO</t>
        </is>
      </c>
      <c r="C145" s="88" t="n">
        <v>94700</v>
      </c>
      <c r="D145" s="22" t="n"/>
      <c r="E145" s="22" t="n"/>
      <c r="F145" s="22" t="n"/>
      <c r="G145" s="22" t="n"/>
      <c r="H145" s="22" t="n"/>
      <c r="I145" s="22" t="n"/>
      <c r="J145" s="88" t="n"/>
      <c r="K145" s="88" t="n"/>
      <c r="L145" s="88" t="n"/>
      <c r="M145" s="52" t="n"/>
      <c r="P145" s="117" t="n"/>
      <c r="R145" s="117" t="n"/>
      <c r="T145" s="117">
        <f>C145*U145</f>
        <v/>
      </c>
      <c r="U145" s="18" t="n">
        <v>1.03</v>
      </c>
    </row>
    <row r="146">
      <c r="A146" s="145" t="inlineStr">
        <is>
          <t>20310XXX</t>
        </is>
      </c>
      <c r="B146" s="30" t="inlineStr">
        <is>
          <t>TAVERNITI BUZO</t>
        </is>
      </c>
      <c r="C146" s="88" t="n">
        <v>95000</v>
      </c>
      <c r="D146" s="22" t="n"/>
      <c r="E146" s="22" t="n"/>
      <c r="F146" s="22" t="n"/>
      <c r="G146" s="22" t="n"/>
      <c r="H146" s="22" t="n"/>
      <c r="I146" s="22" t="n"/>
      <c r="J146" s="88" t="n"/>
      <c r="K146" s="88" t="n"/>
      <c r="L146" s="88" t="n"/>
      <c r="M146" s="52" t="n"/>
      <c r="P146" s="117" t="n"/>
      <c r="R146" s="117" t="n"/>
      <c r="T146" s="117">
        <f>C146*U146</f>
        <v/>
      </c>
      <c r="U146" s="18" t="n">
        <v>1.03</v>
      </c>
    </row>
    <row r="147">
      <c r="A147" s="145" t="inlineStr">
        <is>
          <t>20312XXX</t>
        </is>
      </c>
      <c r="B147" s="30" t="inlineStr">
        <is>
          <t>TAVERNITI BUZO</t>
        </is>
      </c>
      <c r="C147" s="88" t="n">
        <v>95000</v>
      </c>
      <c r="D147" s="22" t="n"/>
      <c r="E147" s="22" t="n"/>
      <c r="F147" s="22" t="n"/>
      <c r="G147" s="22" t="n"/>
      <c r="H147" s="22" t="n"/>
      <c r="I147" s="22" t="n"/>
      <c r="J147" s="88" t="n"/>
      <c r="K147" s="88" t="n"/>
      <c r="L147" s="88" t="n"/>
      <c r="M147" s="52" t="n"/>
      <c r="P147" s="117" t="n"/>
      <c r="R147" s="117" t="n"/>
      <c r="T147" s="117">
        <f>C147*U147</f>
        <v/>
      </c>
      <c r="U147" s="18" t="n">
        <v>1.03</v>
      </c>
    </row>
    <row r="148">
      <c r="A148" s="233" t="inlineStr">
        <is>
          <t>20328XXX</t>
        </is>
      </c>
      <c r="B148" s="30" t="inlineStr">
        <is>
          <t>TAVERNITI BUZO</t>
        </is>
      </c>
      <c r="C148" s="88" t="n">
        <v>79600</v>
      </c>
      <c r="D148" s="170" t="n"/>
      <c r="E148" s="170" t="n"/>
      <c r="F148" s="170" t="n"/>
      <c r="G148" s="170" t="n"/>
      <c r="H148" s="170" t="n"/>
      <c r="I148" s="170" t="n"/>
      <c r="J148" s="170" t="n"/>
      <c r="K148" s="170" t="n"/>
      <c r="L148" s="170" t="n"/>
      <c r="M148" s="170" t="n"/>
      <c r="N148" s="30" t="n"/>
      <c r="O148" s="30" t="n"/>
      <c r="P148" s="170" t="n"/>
      <c r="Q148" s="30" t="n"/>
      <c r="R148" s="170" t="n"/>
      <c r="S148" s="30" t="n"/>
      <c r="T148" s="150">
        <f>C148*U148</f>
        <v/>
      </c>
      <c r="U148" s="18" t="n">
        <v>1.03</v>
      </c>
      <c r="V148" s="30" t="n"/>
      <c r="W148" s="30" t="n"/>
      <c r="X148" s="30" t="n"/>
      <c r="Y148" s="30" t="n"/>
      <c r="Z148" s="30" t="n"/>
      <c r="AA148" s="30" t="n"/>
      <c r="AB148" s="30" t="n"/>
      <c r="AC148" s="30" t="n"/>
      <c r="AD148" s="30" t="n"/>
      <c r="AE148" s="30" t="n"/>
      <c r="AF148" s="30" t="n"/>
      <c r="AG148" s="30" t="n"/>
      <c r="AH148" s="30" t="n"/>
      <c r="AI148" s="30" t="n"/>
      <c r="AJ148" s="30" t="n"/>
      <c r="AK148" s="30" t="n"/>
      <c r="AL148" s="30" t="n"/>
      <c r="AM148" s="30" t="n"/>
      <c r="AN148" s="30" t="n"/>
      <c r="AO148" s="30" t="n"/>
    </row>
    <row r="149">
      <c r="A149" s="145" t="inlineStr">
        <is>
          <t>20332XXX</t>
        </is>
      </c>
      <c r="B149" s="30" t="inlineStr">
        <is>
          <t>TAVERNITI BUZO</t>
        </is>
      </c>
      <c r="C149" s="88" t="n">
        <v>96200</v>
      </c>
      <c r="D149" s="22" t="n"/>
      <c r="E149" s="22" t="n"/>
      <c r="F149" s="22" t="n"/>
      <c r="G149" s="22" t="n"/>
      <c r="H149" s="22" t="n"/>
      <c r="I149" s="22" t="n"/>
      <c r="J149" s="88" t="n"/>
      <c r="K149" s="88" t="n"/>
      <c r="L149" s="88" t="n"/>
      <c r="M149" s="52" t="n"/>
      <c r="P149" s="117" t="n"/>
      <c r="R149" s="117" t="n"/>
      <c r="T149" s="117">
        <f>C149*U149</f>
        <v/>
      </c>
      <c r="U149" s="18" t="n">
        <v>1.03</v>
      </c>
    </row>
    <row r="150">
      <c r="A150" s="145" t="inlineStr">
        <is>
          <t>20340XXX</t>
        </is>
      </c>
      <c r="B150" s="30" t="inlineStr">
        <is>
          <t>TAVERNITI BUZO</t>
        </is>
      </c>
      <c r="C150" s="88" t="n">
        <v>79200</v>
      </c>
      <c r="D150" s="22" t="n"/>
      <c r="E150" s="22" t="n"/>
      <c r="F150" s="22" t="n"/>
      <c r="G150" s="22" t="n"/>
      <c r="H150" s="22" t="n"/>
      <c r="I150" s="22" t="n"/>
      <c r="J150" s="88" t="n"/>
      <c r="K150" s="88" t="n"/>
      <c r="L150" s="88" t="n"/>
      <c r="M150" s="52" t="n"/>
      <c r="P150" s="117" t="n"/>
      <c r="R150" s="117" t="n"/>
      <c r="T150" s="117">
        <f>C150*U150</f>
        <v/>
      </c>
      <c r="U150" s="18" t="n">
        <v>1.03</v>
      </c>
    </row>
    <row r="151">
      <c r="A151" s="233" t="inlineStr">
        <is>
          <t>20400XXX</t>
        </is>
      </c>
      <c r="B151" s="30" t="inlineStr">
        <is>
          <t>TAVERNITI BUZO</t>
        </is>
      </c>
      <c r="C151" s="88" t="n">
        <v>95500</v>
      </c>
      <c r="D151" s="170" t="n"/>
      <c r="E151" s="170" t="n"/>
      <c r="F151" s="170" t="n"/>
      <c r="G151" s="170" t="n"/>
      <c r="H151" s="170" t="n"/>
      <c r="I151" s="170" t="n"/>
      <c r="J151" s="170" t="n"/>
      <c r="K151" s="170" t="n"/>
      <c r="L151" s="170" t="n"/>
      <c r="M151" s="170" t="n"/>
      <c r="N151" s="30" t="n"/>
      <c r="O151" s="30" t="n"/>
      <c r="P151" s="170" t="n"/>
      <c r="Q151" s="30" t="n"/>
      <c r="R151" s="170" t="n"/>
      <c r="S151" s="30" t="n"/>
      <c r="T151" s="150">
        <f>C151*U151</f>
        <v/>
      </c>
      <c r="U151" s="18" t="n">
        <v>1.03</v>
      </c>
      <c r="V151" s="30" t="n"/>
      <c r="W151" s="30" t="n"/>
      <c r="X151" s="30" t="n"/>
      <c r="Y151" s="30" t="n"/>
      <c r="Z151" s="30" t="n"/>
      <c r="AA151" s="30" t="n"/>
      <c r="AB151" s="30" t="n"/>
      <c r="AC151" s="30" t="n"/>
      <c r="AD151" s="30" t="n"/>
      <c r="AE151" s="30" t="n"/>
      <c r="AF151" s="30" t="n"/>
      <c r="AG151" s="30" t="n"/>
      <c r="AH151" s="30" t="n"/>
      <c r="AI151" s="30" t="n"/>
      <c r="AJ151" s="30" t="n"/>
      <c r="AK151" s="30" t="n"/>
      <c r="AL151" s="30" t="n"/>
      <c r="AM151" s="30" t="n"/>
      <c r="AN151" s="30" t="n"/>
      <c r="AO151" s="30" t="n"/>
    </row>
    <row r="152">
      <c r="A152" s="233" t="inlineStr">
        <is>
          <t>20402XXX</t>
        </is>
      </c>
      <c r="B152" s="30" t="inlineStr">
        <is>
          <t>TAVERNITI BUZO</t>
        </is>
      </c>
      <c r="C152" s="88" t="n">
        <v>95500</v>
      </c>
      <c r="D152" s="170" t="n"/>
      <c r="E152" s="170" t="n"/>
      <c r="F152" s="170" t="n"/>
      <c r="G152" s="170" t="n"/>
      <c r="H152" s="170" t="n"/>
      <c r="I152" s="170" t="n"/>
      <c r="J152" s="170" t="n"/>
      <c r="K152" s="170" t="n"/>
      <c r="L152" s="170" t="n"/>
      <c r="M152" s="170" t="n"/>
      <c r="N152" s="30" t="n"/>
      <c r="O152" s="30" t="n"/>
      <c r="P152" s="170" t="n"/>
      <c r="Q152" s="30" t="n"/>
      <c r="R152" s="170" t="n"/>
      <c r="S152" s="30" t="n"/>
      <c r="T152" s="150">
        <f>C152*U152</f>
        <v/>
      </c>
      <c r="U152" s="18" t="n">
        <v>1.03</v>
      </c>
      <c r="V152" s="30" t="n"/>
      <c r="W152" s="30" t="n"/>
      <c r="X152" s="30" t="n"/>
      <c r="Y152" s="30" t="n"/>
      <c r="Z152" s="30" t="n"/>
      <c r="AA152" s="30" t="n"/>
      <c r="AB152" s="30" t="n"/>
      <c r="AC152" s="30" t="n"/>
      <c r="AD152" s="30" t="n"/>
      <c r="AE152" s="30" t="n"/>
      <c r="AF152" s="30" t="n"/>
      <c r="AG152" s="30" t="n"/>
      <c r="AH152" s="30" t="n"/>
      <c r="AI152" s="30" t="n"/>
      <c r="AJ152" s="30" t="n"/>
      <c r="AK152" s="30" t="n"/>
      <c r="AL152" s="30" t="n"/>
      <c r="AM152" s="30" t="n"/>
      <c r="AN152" s="30" t="n"/>
      <c r="AO152" s="30" t="n"/>
    </row>
    <row r="153">
      <c r="A153" s="233" t="inlineStr">
        <is>
          <t>20404XXX</t>
        </is>
      </c>
      <c r="B153" s="30" t="inlineStr">
        <is>
          <t>TAVERNITI BUZO</t>
        </is>
      </c>
      <c r="C153" s="88" t="n">
        <v>74900</v>
      </c>
      <c r="D153" s="170" t="n"/>
      <c r="E153" s="170" t="n"/>
      <c r="F153" s="170" t="n"/>
      <c r="G153" s="170" t="n"/>
      <c r="H153" s="170" t="n"/>
      <c r="I153" s="170" t="n"/>
      <c r="J153" s="170" t="n"/>
      <c r="K153" s="170" t="n"/>
      <c r="L153" s="170" t="n"/>
      <c r="M153" s="170" t="n"/>
      <c r="N153" s="30" t="n"/>
      <c r="O153" s="30" t="n"/>
      <c r="P153" s="170" t="n"/>
      <c r="Q153" s="30" t="n"/>
      <c r="R153" s="170" t="n"/>
      <c r="S153" s="30" t="n"/>
      <c r="T153" s="150">
        <f>C153*U153</f>
        <v/>
      </c>
      <c r="U153" s="18" t="n">
        <v>1.03</v>
      </c>
      <c r="V153" s="30" t="n"/>
      <c r="W153" s="30" t="n"/>
      <c r="X153" s="30" t="n"/>
      <c r="Y153" s="30" t="n"/>
      <c r="Z153" s="30" t="n"/>
      <c r="AA153" s="30" t="n"/>
      <c r="AB153" s="30" t="n"/>
      <c r="AC153" s="30" t="n"/>
      <c r="AD153" s="30" t="n"/>
      <c r="AE153" s="30" t="n"/>
      <c r="AF153" s="30" t="n"/>
      <c r="AG153" s="30" t="n"/>
      <c r="AH153" s="30" t="n"/>
      <c r="AI153" s="30" t="n"/>
      <c r="AJ153" s="30" t="n"/>
      <c r="AK153" s="30" t="n"/>
      <c r="AL153" s="30" t="n"/>
      <c r="AM153" s="30" t="n"/>
      <c r="AN153" s="30" t="n"/>
      <c r="AO153" s="30" t="n"/>
    </row>
    <row r="154">
      <c r="A154" s="233" t="inlineStr">
        <is>
          <t>20408XXX</t>
        </is>
      </c>
      <c r="B154" s="30" t="inlineStr">
        <is>
          <t>TAVERNITI BUZO</t>
        </is>
      </c>
      <c r="C154" s="88" t="n">
        <v>95500</v>
      </c>
      <c r="D154" s="170" t="n"/>
      <c r="E154" s="170" t="n"/>
      <c r="F154" s="170" t="n"/>
      <c r="G154" s="170" t="n"/>
      <c r="H154" s="170" t="n"/>
      <c r="I154" s="170" t="n"/>
      <c r="J154" s="170" t="n"/>
      <c r="K154" s="170" t="n"/>
      <c r="L154" s="170" t="n"/>
      <c r="M154" s="170" t="n"/>
      <c r="N154" s="30" t="n"/>
      <c r="O154" s="30" t="n"/>
      <c r="P154" s="170" t="n"/>
      <c r="Q154" s="30" t="n"/>
      <c r="R154" s="170" t="n"/>
      <c r="S154" s="30" t="n"/>
      <c r="T154" s="150">
        <f>C154*U154</f>
        <v/>
      </c>
      <c r="U154" s="18" t="n">
        <v>1.03</v>
      </c>
      <c r="V154" s="30" t="n"/>
      <c r="W154" s="30" t="n"/>
      <c r="X154" s="30" t="n"/>
      <c r="Y154" s="30" t="n"/>
      <c r="Z154" s="30" t="n"/>
      <c r="AA154" s="30" t="n"/>
      <c r="AB154" s="30" t="n"/>
      <c r="AC154" s="30" t="n"/>
      <c r="AD154" s="30" t="n"/>
      <c r="AE154" s="30" t="n"/>
      <c r="AF154" s="30" t="n"/>
      <c r="AG154" s="30" t="n"/>
      <c r="AH154" s="30" t="n"/>
      <c r="AI154" s="30" t="n"/>
      <c r="AJ154" s="30" t="n"/>
      <c r="AK154" s="30" t="n"/>
      <c r="AL154" s="30" t="n"/>
      <c r="AM154" s="30" t="n"/>
      <c r="AN154" s="30" t="n"/>
      <c r="AO154" s="30" t="n"/>
    </row>
    <row r="155">
      <c r="A155" s="145" t="inlineStr">
        <is>
          <t>20410XXX</t>
        </is>
      </c>
      <c r="B155" s="30" t="inlineStr">
        <is>
          <t>TAVERNITI BUZO</t>
        </is>
      </c>
      <c r="C155" s="88" t="n">
        <v>95500</v>
      </c>
      <c r="D155" s="22" t="n"/>
      <c r="E155" s="22" t="n"/>
      <c r="F155" s="22" t="n"/>
      <c r="G155" s="22" t="n"/>
      <c r="H155" s="22" t="n"/>
      <c r="I155" s="22" t="n"/>
      <c r="J155" s="88" t="n"/>
      <c r="K155" s="88" t="n"/>
      <c r="L155" s="88" t="n"/>
      <c r="M155" s="52" t="n"/>
      <c r="P155" s="117" t="n"/>
      <c r="R155" s="117" t="n"/>
      <c r="T155" s="117">
        <f>C155*U155</f>
        <v/>
      </c>
      <c r="U155" s="18" t="n">
        <v>1.03</v>
      </c>
    </row>
    <row r="156">
      <c r="A156" s="145" t="inlineStr">
        <is>
          <t>20416XXX</t>
        </is>
      </c>
      <c r="B156" s="30" t="inlineStr">
        <is>
          <t>TAVERNITI BUZO</t>
        </is>
      </c>
      <c r="C156" s="88" t="n">
        <v>78300</v>
      </c>
      <c r="D156" s="22" t="n"/>
      <c r="E156" s="22" t="n"/>
      <c r="F156" s="22" t="n"/>
      <c r="G156" s="22" t="n"/>
      <c r="H156" s="22" t="n"/>
      <c r="I156" s="22" t="n"/>
      <c r="J156" s="88" t="n"/>
      <c r="K156" s="88" t="n"/>
      <c r="L156" s="88" t="n"/>
      <c r="M156" s="52" t="n"/>
      <c r="P156" s="117" t="n"/>
      <c r="R156" s="117" t="n"/>
      <c r="T156" s="117">
        <f>C156*U156</f>
        <v/>
      </c>
      <c r="U156" s="18" t="n">
        <v>1.03</v>
      </c>
    </row>
    <row r="157">
      <c r="A157" s="145" t="inlineStr">
        <is>
          <t>20688XXX</t>
        </is>
      </c>
      <c r="B157" s="30" t="inlineStr">
        <is>
          <t>TAVERNITI BUZO</t>
        </is>
      </c>
      <c r="C157" s="88" t="n">
        <v>102200</v>
      </c>
      <c r="D157" s="22" t="n"/>
      <c r="E157" s="22" t="n"/>
      <c r="F157" s="22" t="n"/>
      <c r="G157" s="22" t="n"/>
      <c r="H157" s="22" t="n"/>
      <c r="I157" s="22" t="n"/>
      <c r="J157" s="88" t="n"/>
      <c r="K157" s="88" t="n"/>
      <c r="L157" s="88" t="n"/>
      <c r="M157" s="52" t="n"/>
      <c r="P157" s="117" t="n"/>
      <c r="R157" s="117" t="n"/>
      <c r="T157" s="117">
        <f>C157*U157</f>
        <v/>
      </c>
      <c r="U157" s="18" t="n">
        <v>1.03</v>
      </c>
    </row>
    <row r="158">
      <c r="A158" s="145" t="inlineStr">
        <is>
          <t>20908XXX</t>
        </is>
      </c>
      <c r="B158" s="30" t="inlineStr">
        <is>
          <t>TAVERNITI BUZO</t>
        </is>
      </c>
      <c r="C158" s="88" t="n">
        <v>109300</v>
      </c>
      <c r="D158" s="22" t="n"/>
      <c r="E158" s="22" t="n"/>
      <c r="F158" s="22" t="n"/>
      <c r="G158" s="22" t="n"/>
      <c r="H158" s="22" t="n"/>
      <c r="I158" s="22" t="n"/>
      <c r="J158" s="88" t="n"/>
      <c r="K158" s="88" t="n"/>
      <c r="L158" s="88" t="n"/>
      <c r="M158" s="52" t="n"/>
      <c r="P158" s="117" t="n"/>
      <c r="R158" s="117" t="n"/>
      <c r="T158" s="117">
        <f>C158*U158</f>
        <v/>
      </c>
      <c r="U158" s="18" t="n">
        <v>1.03</v>
      </c>
    </row>
    <row r="159">
      <c r="A159" s="145" t="inlineStr">
        <is>
          <t>20914XXX</t>
        </is>
      </c>
      <c r="B159" s="30" t="inlineStr">
        <is>
          <t>TAVERNITI BUZO</t>
        </is>
      </c>
      <c r="C159" s="88" t="n">
        <v>98300</v>
      </c>
      <c r="D159" s="22" t="n"/>
      <c r="E159" s="22" t="n"/>
      <c r="F159" s="22" t="n"/>
      <c r="G159" s="22" t="n"/>
      <c r="H159" s="22" t="n"/>
      <c r="I159" s="22" t="n"/>
      <c r="J159" s="88" t="n"/>
      <c r="K159" s="88" t="n"/>
      <c r="L159" s="88" t="n"/>
      <c r="M159" s="52" t="n"/>
      <c r="P159" s="117" t="n"/>
      <c r="R159" s="117" t="n"/>
      <c r="T159" s="117">
        <f>C159*U159</f>
        <v/>
      </c>
      <c r="U159" s="18" t="n">
        <v>1.03</v>
      </c>
    </row>
    <row r="160">
      <c r="A160" s="233" t="inlineStr">
        <is>
          <t>20928XXX</t>
        </is>
      </c>
      <c r="B160" s="30" t="inlineStr">
        <is>
          <t>TAVERNITI BUZO</t>
        </is>
      </c>
      <c r="C160" s="88" t="n">
        <v>98300</v>
      </c>
      <c r="D160" s="170" t="n"/>
      <c r="E160" s="170" t="n"/>
      <c r="F160" s="170" t="n"/>
      <c r="G160" s="170" t="n"/>
      <c r="H160" s="170" t="n"/>
      <c r="I160" s="170" t="n"/>
      <c r="J160" s="170" t="n"/>
      <c r="K160" s="170" t="n"/>
      <c r="L160" s="170" t="n"/>
      <c r="M160" s="170" t="n"/>
      <c r="N160" s="30" t="n"/>
      <c r="O160" s="30" t="n"/>
      <c r="P160" s="170" t="n"/>
      <c r="Q160" s="30" t="n"/>
      <c r="R160" s="170" t="n"/>
      <c r="S160" s="30" t="n"/>
      <c r="T160" s="150">
        <f>C160*U160</f>
        <v/>
      </c>
      <c r="U160" s="18" t="n">
        <v>1.03</v>
      </c>
      <c r="V160" s="30" t="n"/>
      <c r="W160" s="30" t="n"/>
      <c r="X160" s="30" t="n"/>
      <c r="Y160" s="30" t="n"/>
      <c r="Z160" s="30" t="n"/>
      <c r="AA160" s="30" t="n"/>
      <c r="AB160" s="30" t="n"/>
      <c r="AC160" s="30" t="n"/>
      <c r="AD160" s="30" t="n"/>
      <c r="AE160" s="30" t="n"/>
      <c r="AF160" s="30" t="n"/>
      <c r="AG160" s="30" t="n"/>
      <c r="AH160" s="30" t="n"/>
      <c r="AI160" s="30" t="n"/>
      <c r="AJ160" s="30" t="n"/>
      <c r="AK160" s="30" t="n"/>
      <c r="AL160" s="30" t="n"/>
      <c r="AM160" s="30" t="n"/>
      <c r="AN160" s="30" t="n"/>
      <c r="AO160" s="30" t="n"/>
    </row>
    <row r="161">
      <c r="A161" s="145" t="inlineStr">
        <is>
          <t>20934XXX</t>
        </is>
      </c>
      <c r="B161" s="30" t="inlineStr">
        <is>
          <t>TAVERNITI BUZO</t>
        </is>
      </c>
      <c r="C161" s="88" t="n">
        <v>109300</v>
      </c>
      <c r="D161" s="22" t="n"/>
      <c r="E161" s="22" t="n"/>
      <c r="F161" s="22" t="n"/>
      <c r="G161" s="22" t="n"/>
      <c r="H161" s="22" t="n"/>
      <c r="I161" s="22" t="n"/>
      <c r="J161" s="88" t="n"/>
      <c r="K161" s="88" t="n"/>
      <c r="L161" s="88" t="n"/>
      <c r="M161" s="52" t="n"/>
      <c r="P161" s="117" t="n"/>
      <c r="R161" s="117" t="n"/>
      <c r="T161" s="117">
        <f>C161*U161</f>
        <v/>
      </c>
      <c r="U161" s="18" t="n">
        <v>1.03</v>
      </c>
    </row>
    <row r="162">
      <c r="A162" s="233" t="inlineStr">
        <is>
          <t>21434XXX</t>
        </is>
      </c>
      <c r="B162" s="30" t="inlineStr">
        <is>
          <t>TAVERNITI BUZO</t>
        </is>
      </c>
      <c r="C162" s="88" t="n">
        <v>131600</v>
      </c>
      <c r="D162" s="170" t="n"/>
      <c r="E162" s="170" t="n"/>
      <c r="F162" s="170" t="n"/>
      <c r="G162" s="170" t="n"/>
      <c r="H162" s="170" t="n"/>
      <c r="I162" s="170" t="n"/>
      <c r="J162" s="170" t="n"/>
      <c r="K162" s="170" t="n"/>
      <c r="L162" s="170" t="n"/>
      <c r="M162" s="170" t="n"/>
      <c r="N162" s="30" t="n"/>
      <c r="O162" s="30" t="n"/>
      <c r="P162" s="170" t="n"/>
      <c r="Q162" s="30" t="n"/>
      <c r="R162" s="170" t="n"/>
      <c r="S162" s="30" t="n"/>
      <c r="T162" s="150">
        <f>C162*U162</f>
        <v/>
      </c>
      <c r="U162" s="34" t="n">
        <v>1.03</v>
      </c>
      <c r="V162" s="30" t="n"/>
      <c r="W162" s="30" t="n"/>
      <c r="X162" s="30" t="n"/>
      <c r="Y162" s="30" t="n"/>
      <c r="Z162" s="30" t="n"/>
      <c r="AA162" s="30" t="n"/>
      <c r="AB162" s="30" t="n"/>
      <c r="AC162" s="30" t="n"/>
      <c r="AD162" s="30" t="n"/>
      <c r="AE162" s="30" t="n"/>
      <c r="AF162" s="30" t="n"/>
      <c r="AG162" s="30" t="n"/>
      <c r="AH162" s="30" t="n"/>
      <c r="AI162" s="30" t="n"/>
      <c r="AJ162" s="30" t="n"/>
      <c r="AK162" s="30" t="n"/>
      <c r="AL162" s="30" t="n"/>
      <c r="AM162" s="30" t="n"/>
      <c r="AN162" s="30" t="n"/>
      <c r="AO162" s="30" t="n"/>
    </row>
    <row r="163">
      <c r="A163" s="233" t="inlineStr">
        <is>
          <t>23448XXX</t>
        </is>
      </c>
      <c r="B163" s="30" t="inlineStr">
        <is>
          <t>TAVERNITI BUZO</t>
        </is>
      </c>
      <c r="C163" s="88" t="n">
        <v>96100</v>
      </c>
      <c r="D163" s="170" t="n"/>
      <c r="E163" s="170" t="n"/>
      <c r="F163" s="170" t="n"/>
      <c r="G163" s="170" t="n"/>
      <c r="H163" s="170" t="n"/>
      <c r="I163" s="170" t="n"/>
      <c r="J163" s="170" t="n"/>
      <c r="K163" s="170" t="n"/>
      <c r="L163" s="170" t="n"/>
      <c r="M163" s="170" t="n"/>
      <c r="N163" s="30" t="n"/>
      <c r="O163" s="30" t="n"/>
      <c r="P163" s="170" t="n"/>
      <c r="Q163" s="30" t="n"/>
      <c r="R163" s="170" t="n"/>
      <c r="S163" s="30" t="n"/>
      <c r="T163" s="150">
        <f>C163*U163</f>
        <v/>
      </c>
      <c r="U163" s="34" t="n">
        <v>1.03</v>
      </c>
      <c r="V163" s="30" t="n"/>
      <c r="W163" s="30" t="n"/>
      <c r="X163" s="30" t="n"/>
      <c r="Y163" s="30" t="n"/>
      <c r="Z163" s="30" t="n"/>
      <c r="AA163" s="30" t="n"/>
      <c r="AB163" s="30" t="n"/>
      <c r="AC163" s="30" t="n"/>
      <c r="AD163" s="30" t="n"/>
      <c r="AE163" s="30" t="n"/>
      <c r="AF163" s="30" t="n"/>
      <c r="AG163" s="30" t="n"/>
      <c r="AH163" s="30" t="n"/>
      <c r="AI163" s="30" t="n"/>
      <c r="AJ163" s="30" t="n"/>
      <c r="AK163" s="30" t="n"/>
      <c r="AL163" s="30" t="n"/>
      <c r="AM163" s="30" t="n"/>
      <c r="AN163" s="30" t="n"/>
      <c r="AO163" s="30" t="n"/>
    </row>
    <row r="164">
      <c r="A164" s="233" t="inlineStr">
        <is>
          <t>23490XXX</t>
        </is>
      </c>
      <c r="B164" s="30" t="inlineStr">
        <is>
          <t>TAVERNITI BUZO</t>
        </is>
      </c>
      <c r="C164" s="88" t="n">
        <v>113300</v>
      </c>
      <c r="D164" s="170" t="n"/>
      <c r="E164" s="170" t="n"/>
      <c r="F164" s="170" t="n"/>
      <c r="G164" s="170" t="n"/>
      <c r="H164" s="170" t="n"/>
      <c r="I164" s="170" t="n"/>
      <c r="J164" s="170" t="n"/>
      <c r="K164" s="170" t="n"/>
      <c r="L164" s="170" t="n"/>
      <c r="M164" s="170" t="n"/>
      <c r="N164" s="30" t="n"/>
      <c r="O164" s="30" t="n"/>
      <c r="P164" s="170" t="n"/>
      <c r="Q164" s="30" t="n"/>
      <c r="R164" s="170" t="n"/>
      <c r="S164" s="30" t="n"/>
      <c r="T164" s="150">
        <f>C164*U164</f>
        <v/>
      </c>
      <c r="U164" s="34" t="n">
        <v>1.03</v>
      </c>
      <c r="V164" s="30" t="n"/>
      <c r="W164" s="30" t="n"/>
      <c r="X164" s="30" t="n"/>
      <c r="Y164" s="30" t="n"/>
      <c r="Z164" s="30" t="n"/>
      <c r="AA164" s="30" t="n"/>
      <c r="AB164" s="30" t="n"/>
      <c r="AC164" s="30" t="n"/>
      <c r="AD164" s="30" t="n"/>
      <c r="AE164" s="30" t="n"/>
      <c r="AF164" s="30" t="n"/>
      <c r="AG164" s="30" t="n"/>
      <c r="AH164" s="30" t="n"/>
      <c r="AI164" s="30" t="n"/>
      <c r="AJ164" s="30" t="n"/>
      <c r="AK164" s="30" t="n"/>
      <c r="AL164" s="30" t="n"/>
      <c r="AM164" s="30" t="n"/>
      <c r="AN164" s="30" t="n"/>
      <c r="AO164" s="30" t="n"/>
    </row>
    <row r="165">
      <c r="A165" s="145" t="inlineStr">
        <is>
          <t>27062XXX</t>
        </is>
      </c>
      <c r="B165" s="30" t="inlineStr">
        <is>
          <t>TAVERNITI BUZO</t>
        </is>
      </c>
      <c r="C165" s="88" t="n">
        <v>113300</v>
      </c>
      <c r="D165" s="22" t="n"/>
      <c r="E165" s="22" t="n"/>
      <c r="F165" s="22" t="n"/>
      <c r="G165" s="22" t="n"/>
      <c r="H165" s="22" t="n"/>
      <c r="I165" s="22" t="n"/>
      <c r="J165" s="88" t="n"/>
      <c r="K165" s="88" t="n"/>
      <c r="L165" s="88" t="n"/>
      <c r="M165" s="52" t="n"/>
      <c r="P165" s="117" t="n"/>
      <c r="R165" s="117" t="n"/>
      <c r="T165" s="117">
        <f>C165*U165</f>
        <v/>
      </c>
      <c r="U165" s="18" t="n">
        <v>1.03</v>
      </c>
    </row>
    <row r="166">
      <c r="A166" s="145" t="inlineStr">
        <is>
          <t>27064XXX</t>
        </is>
      </c>
      <c r="B166" s="30" t="inlineStr">
        <is>
          <t>TAVERNITI BUZO</t>
        </is>
      </c>
      <c r="C166" s="88" t="n">
        <v>113300</v>
      </c>
      <c r="D166" s="22" t="n"/>
      <c r="E166" s="22" t="n"/>
      <c r="F166" s="22" t="n"/>
      <c r="G166" s="22" t="n"/>
      <c r="H166" s="22" t="n"/>
      <c r="I166" s="22" t="n"/>
      <c r="J166" s="88" t="n"/>
      <c r="K166" s="88" t="n"/>
      <c r="L166" s="88" t="n"/>
      <c r="M166" s="52" t="n"/>
      <c r="P166" s="117" t="n"/>
      <c r="R166" s="117" t="n"/>
      <c r="T166" s="117">
        <f>C166*U166</f>
        <v/>
      </c>
      <c r="U166" s="18" t="n">
        <v>1.03</v>
      </c>
    </row>
    <row r="167">
      <c r="A167" s="145" t="inlineStr">
        <is>
          <t>41010</t>
        </is>
      </c>
      <c r="B167" s="118" t="inlineStr">
        <is>
          <t>IÑAKI BUZO C/FRIZA</t>
        </is>
      </c>
      <c r="C167" s="88" t="n">
        <v>61100</v>
      </c>
      <c r="D167" s="22" t="n"/>
      <c r="E167" s="22" t="n"/>
      <c r="F167" s="22" t="n"/>
      <c r="G167" s="22" t="n"/>
      <c r="H167" s="22" t="n"/>
      <c r="I167" s="22" t="n"/>
      <c r="J167" s="88" t="n"/>
      <c r="K167" s="88" t="n"/>
      <c r="L167" s="88" t="n"/>
      <c r="M167" s="52" t="n"/>
      <c r="P167" s="117" t="n"/>
      <c r="R167" s="117" t="n"/>
      <c r="T167" s="117">
        <f>C167*U167</f>
        <v/>
      </c>
      <c r="U167" s="18" t="n">
        <v>1.03</v>
      </c>
    </row>
    <row r="168">
      <c r="A168" s="145" t="inlineStr">
        <is>
          <t>4426/28</t>
        </is>
      </c>
      <c r="B168" s="118" t="inlineStr">
        <is>
          <t>LA URBANA BUZO ALG TIPO CHOMBA</t>
        </is>
      </c>
      <c r="C168" s="88" t="n">
        <v>49900</v>
      </c>
      <c r="D168" s="88">
        <f>ROUND((C168*1.06)/100,0)*100</f>
        <v/>
      </c>
      <c r="E168" s="88">
        <f>ROUND((C168*1.15)/100,0)*100</f>
        <v/>
      </c>
      <c r="F168" s="88">
        <f>ROUND((C168*1.23)/100,0)*100</f>
        <v/>
      </c>
      <c r="G168" s="88">
        <f>ROUND((C168*1.29)/100,0)*100</f>
        <v/>
      </c>
      <c r="H168" s="88">
        <f>ROUND((C168*1.35)/100,0)*100</f>
        <v/>
      </c>
      <c r="I168" s="88">
        <f>ROUND((C168*1.39)/100,0)*100</f>
        <v/>
      </c>
      <c r="J168" s="88">
        <f>ROUND((C168*1.43)/100,0)*100</f>
        <v/>
      </c>
      <c r="K168" s="88">
        <f>ROUND((C168*1.48)/100,0)*100</f>
        <v/>
      </c>
      <c r="L168" s="88">
        <f>ROUND((D168*1.48)/100,0)*100</f>
        <v/>
      </c>
      <c r="M168" s="52" t="n"/>
      <c r="P168" s="117" t="n"/>
      <c r="R168" s="117" t="n"/>
      <c r="T168" s="117">
        <f>C168*U168</f>
        <v/>
      </c>
      <c r="U168" s="18" t="n">
        <v>1.03</v>
      </c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</row>
    <row r="169">
      <c r="A169" s="145" t="inlineStr">
        <is>
          <t>7354</t>
        </is>
      </c>
      <c r="B169" s="118" t="inlineStr">
        <is>
          <t>NEW STAR BUZO ALG C/FRIZA</t>
        </is>
      </c>
      <c r="C169" s="88" t="n">
        <v>44400</v>
      </c>
      <c r="D169" s="88">
        <f>ROUND((C169*1.06)/100,0)*100</f>
        <v/>
      </c>
      <c r="E169" s="88">
        <f>ROUND((C169*1.15)/100,0)*100</f>
        <v/>
      </c>
      <c r="F169" s="88">
        <f>ROUND((C169*1.23)/100,0)*100</f>
        <v/>
      </c>
      <c r="G169" s="88">
        <f>ROUND((C169*1.29)/100,0)*100</f>
        <v/>
      </c>
      <c r="H169" s="88">
        <f>ROUND((C169*1.35)/100,0)*100</f>
        <v/>
      </c>
      <c r="I169" s="88">
        <f>ROUND((C169*1.39)/100,0)*100</f>
        <v/>
      </c>
      <c r="J169" s="88">
        <f>ROUND((C169*1.43)/100,0)*100</f>
        <v/>
      </c>
      <c r="K169" s="88">
        <f>ROUND((C169*1.48)/100,0)*100</f>
        <v/>
      </c>
      <c r="L169" s="88">
        <f>ROUND((D169*1.48)/100,0)*100</f>
        <v/>
      </c>
      <c r="M169" s="52" t="n"/>
      <c r="P169" s="117" t="n"/>
      <c r="R169" s="117" t="n"/>
      <c r="T169" s="117">
        <f>C169*U169</f>
        <v/>
      </c>
      <c r="U169" s="18" t="n">
        <v>1.03</v>
      </c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</row>
    <row r="170">
      <c r="A170" s="145" t="inlineStr">
        <is>
          <t>7454</t>
        </is>
      </c>
      <c r="B170" s="118" t="inlineStr">
        <is>
          <t>NEW STAR BUZO ALG C/FRIZA</t>
        </is>
      </c>
      <c r="C170" s="88" t="n">
        <v>44400</v>
      </c>
      <c r="D170" s="88">
        <f>ROUND((C170*1.06)/100,0)*100</f>
        <v/>
      </c>
      <c r="E170" s="88">
        <f>ROUND((C170*1.15)/100,0)*100</f>
        <v/>
      </c>
      <c r="F170" s="88">
        <f>ROUND((C170*1.23)/100,0)*100</f>
        <v/>
      </c>
      <c r="G170" s="88">
        <f>ROUND((C170*1.29)/100,0)*100</f>
        <v/>
      </c>
      <c r="H170" s="88">
        <f>ROUND((C170*1.35)/100,0)*100</f>
        <v/>
      </c>
      <c r="I170" s="88">
        <f>ROUND((C170*1.39)/100,0)*100</f>
        <v/>
      </c>
      <c r="J170" s="88">
        <f>ROUND((C170*1.43)/100,0)*100</f>
        <v/>
      </c>
      <c r="K170" s="88">
        <f>ROUND((C170*1.48)/100,0)*100</f>
        <v/>
      </c>
      <c r="L170" s="88">
        <f>ROUND((D170*1.48)/100,0)*100</f>
        <v/>
      </c>
      <c r="M170" s="52" t="n"/>
      <c r="P170" s="117" t="n"/>
      <c r="R170" s="117" t="n"/>
      <c r="T170" s="117">
        <f>C170*U170</f>
        <v/>
      </c>
      <c r="U170" s="18" t="n">
        <v>1.03</v>
      </c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</row>
    <row r="171">
      <c r="A171" s="134" t="inlineStr">
        <is>
          <t>8600</t>
        </is>
      </c>
      <c r="B171" s="248" t="inlineStr">
        <is>
          <t>CALL&amp;JEANS</t>
        </is>
      </c>
      <c r="C171" s="88" t="n">
        <v>49900</v>
      </c>
      <c r="D171" s="88">
        <f>ROUND((C171*1.06)/100,0)*100</f>
        <v/>
      </c>
      <c r="E171" s="88">
        <f>ROUND((C171*1.15)/100,0)*100</f>
        <v/>
      </c>
      <c r="F171" s="88">
        <f>ROUND((C171*1.23)/100,0)*100</f>
        <v/>
      </c>
      <c r="G171" s="88">
        <f>ROUND((C171*1.29)/100,0)*100</f>
        <v/>
      </c>
      <c r="H171" s="88">
        <f>ROUND((C171*1.35)/100,0)*100</f>
        <v/>
      </c>
      <c r="I171" s="88">
        <f>ROUND((C171*1.39)/100,0)*100</f>
        <v/>
      </c>
      <c r="J171" s="88">
        <f>ROUND((C171*1.43)/100,0)*100</f>
        <v/>
      </c>
      <c r="K171" s="88">
        <f>ROUND((C171*1.48)/100,0)*100</f>
        <v/>
      </c>
      <c r="L171" s="88">
        <f>ROUND((D171*1.48)/100,0)*100</f>
        <v/>
      </c>
      <c r="M171" s="52" t="n"/>
      <c r="P171" s="117" t="n"/>
      <c r="R171" s="117" t="n"/>
      <c r="T171" s="117">
        <f>C171*U171</f>
        <v/>
      </c>
      <c r="U171" s="18" t="n">
        <v>1.03</v>
      </c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</row>
    <row r="172">
      <c r="A172" s="134" t="inlineStr">
        <is>
          <t>8640</t>
        </is>
      </c>
      <c r="B172" s="248" t="inlineStr">
        <is>
          <t>CALL&amp;JEANS</t>
        </is>
      </c>
      <c r="C172" s="88" t="n">
        <v>59300</v>
      </c>
      <c r="D172" s="88">
        <f>ROUND((C172*1.06)/100,0)*100</f>
        <v/>
      </c>
      <c r="E172" s="88">
        <f>ROUND((C172*1.15)/100,0)*100</f>
        <v/>
      </c>
      <c r="F172" s="88">
        <f>ROUND((C172*1.23)/100,0)*100</f>
        <v/>
      </c>
      <c r="G172" s="88">
        <f>ROUND((C172*1.29)/100,0)*100</f>
        <v/>
      </c>
      <c r="H172" s="88">
        <f>ROUND((C172*1.35)/100,0)*100</f>
        <v/>
      </c>
      <c r="I172" s="88">
        <f>ROUND((C172*1.39)/100,0)*100</f>
        <v/>
      </c>
      <c r="J172" s="88">
        <f>ROUND((C172*1.43)/100,0)*100</f>
        <v/>
      </c>
      <c r="K172" s="88">
        <f>ROUND((C172*1.48)/100,0)*100</f>
        <v/>
      </c>
      <c r="L172" s="88">
        <f>ROUND((D172*1.48)/100,0)*100</f>
        <v/>
      </c>
      <c r="M172" s="52" t="n"/>
      <c r="P172" s="117" t="n"/>
      <c r="R172" s="117" t="n"/>
      <c r="T172" s="117">
        <f>C172*U172</f>
        <v/>
      </c>
      <c r="U172" s="18" t="n">
        <v>1.03</v>
      </c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</row>
    <row r="173">
      <c r="A173" s="134" t="inlineStr">
        <is>
          <t>8642</t>
        </is>
      </c>
      <c r="B173" s="248" t="inlineStr">
        <is>
          <t>CALL&amp;JEANS</t>
        </is>
      </c>
      <c r="C173" s="88" t="n">
        <v>49900</v>
      </c>
      <c r="D173" s="88">
        <f>ROUND((C173*1.06)/100,0)*100</f>
        <v/>
      </c>
      <c r="E173" s="88">
        <f>ROUND((C173*1.15)/100,0)*100</f>
        <v/>
      </c>
      <c r="F173" s="88">
        <f>ROUND((C173*1.23)/100,0)*100</f>
        <v/>
      </c>
      <c r="G173" s="88">
        <f>ROUND((C173*1.29)/100,0)*100</f>
        <v/>
      </c>
      <c r="H173" s="88">
        <f>ROUND((C173*1.35)/100,0)*100</f>
        <v/>
      </c>
      <c r="I173" s="88">
        <f>ROUND((C173*1.39)/100,0)*100</f>
        <v/>
      </c>
      <c r="J173" s="88">
        <f>ROUND((C173*1.43)/100,0)*100</f>
        <v/>
      </c>
      <c r="K173" s="88">
        <f>ROUND((C173*1.48)/100,0)*100</f>
        <v/>
      </c>
      <c r="L173" s="88">
        <f>ROUND((D173*1.48)/100,0)*100</f>
        <v/>
      </c>
      <c r="M173" s="52" t="n"/>
      <c r="P173" s="117" t="n"/>
      <c r="R173" s="117" t="n"/>
      <c r="T173" s="117">
        <f>C173*U173</f>
        <v/>
      </c>
      <c r="U173" s="18" t="n">
        <v>1.03</v>
      </c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</row>
    <row r="174">
      <c r="A174" s="134" t="n"/>
      <c r="C174" s="219" t="n"/>
      <c r="D174" s="219" t="n"/>
      <c r="E174" s="219" t="n"/>
      <c r="F174" s="219" t="n"/>
      <c r="G174" s="219" t="n"/>
      <c r="H174" s="219" t="n"/>
      <c r="I174" s="219" t="n"/>
      <c r="J174" s="219" t="n"/>
      <c r="K174" s="219" t="n"/>
      <c r="L174" s="219" t="n"/>
      <c r="M174" s="52" t="n"/>
      <c r="P174" s="117" t="n"/>
      <c r="R174" s="117" t="n"/>
      <c r="T174" s="117" t="n"/>
      <c r="U174" s="22" t="n"/>
    </row>
    <row r="175">
      <c r="A175" s="134" t="n"/>
      <c r="C175" s="219" t="n"/>
      <c r="D175" s="219" t="n"/>
      <c r="E175" s="219" t="n"/>
      <c r="F175" s="219" t="n"/>
      <c r="G175" s="219" t="n"/>
      <c r="H175" s="219" t="n"/>
      <c r="I175" s="219" t="n"/>
      <c r="J175" s="219" t="n"/>
      <c r="K175" s="219" t="n"/>
      <c r="L175" s="219" t="n"/>
      <c r="M175" s="52" t="n"/>
      <c r="P175" s="117" t="n"/>
      <c r="R175" s="117" t="n"/>
      <c r="T175" s="117" t="n"/>
      <c r="U175" s="22" t="n"/>
    </row>
    <row r="176">
      <c r="A176" s="134" t="n"/>
      <c r="C176" s="219" t="n"/>
      <c r="D176" s="219" t="n"/>
      <c r="E176" s="219" t="n"/>
      <c r="F176" s="219" t="n"/>
      <c r="G176" s="219" t="n"/>
      <c r="H176" s="219" t="n"/>
      <c r="I176" s="219" t="n"/>
      <c r="J176" s="219" t="n"/>
      <c r="K176" s="219" t="n"/>
      <c r="L176" s="219" t="n"/>
      <c r="M176" s="52" t="n"/>
      <c r="P176" s="117" t="n"/>
      <c r="R176" s="117" t="n"/>
      <c r="T176" s="117" t="n"/>
      <c r="U176" s="22" t="n"/>
    </row>
    <row r="177">
      <c r="A177" s="134" t="n"/>
      <c r="C177" s="219" t="n"/>
      <c r="D177" s="219" t="n"/>
      <c r="E177" s="219" t="n"/>
      <c r="F177" s="219" t="n"/>
      <c r="G177" s="219" t="n"/>
      <c r="H177" s="219" t="n"/>
      <c r="I177" s="219" t="n"/>
      <c r="J177" s="219" t="n"/>
      <c r="K177" s="219" t="n"/>
      <c r="L177" s="219" t="n"/>
      <c r="M177" s="52" t="n"/>
      <c r="P177" s="117" t="n"/>
      <c r="R177" s="117" t="n"/>
      <c r="T177" s="117" t="n"/>
      <c r="U177" s="22" t="n"/>
    </row>
    <row r="178">
      <c r="A178" s="134" t="n"/>
      <c r="C178" s="219" t="n"/>
      <c r="D178" s="219" t="n"/>
      <c r="E178" s="219" t="n"/>
      <c r="F178" s="219" t="n"/>
      <c r="G178" s="219" t="n"/>
      <c r="H178" s="219" t="n"/>
      <c r="I178" s="219" t="n"/>
      <c r="J178" s="219" t="n"/>
      <c r="K178" s="219" t="n"/>
      <c r="L178" s="219" t="n"/>
      <c r="M178" s="52" t="n"/>
      <c r="P178" s="117" t="n"/>
      <c r="R178" s="117" t="n"/>
      <c r="T178" s="117" t="n"/>
    </row>
    <row r="179">
      <c r="A179" s="134" t="n"/>
      <c r="C179" s="219" t="n"/>
      <c r="D179" s="219" t="n"/>
      <c r="E179" s="219" t="n"/>
      <c r="F179" s="219" t="n"/>
      <c r="G179" s="219" t="n"/>
      <c r="H179" s="219" t="n"/>
      <c r="I179" s="219" t="n"/>
      <c r="J179" s="219" t="n"/>
      <c r="K179" s="219" t="n"/>
      <c r="L179" s="219" t="n"/>
      <c r="M179" s="52" t="n"/>
      <c r="P179" s="117" t="n"/>
      <c r="R179" s="117" t="n"/>
      <c r="T179" s="117" t="n"/>
    </row>
    <row r="180">
      <c r="A180" s="148" t="n"/>
      <c r="B180" s="46" t="inlineStr">
        <is>
          <t>RELOJES TAVERNITI</t>
        </is>
      </c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148" t="inlineStr">
        <is>
          <t>03/24</t>
        </is>
      </c>
      <c r="P180" s="117" t="n"/>
      <c r="R180" s="117" t="n"/>
      <c r="T180" s="117" t="n"/>
    </row>
    <row r="181">
      <c r="A181" s="134" t="inlineStr">
        <is>
          <t>1</t>
        </is>
      </c>
      <c r="B181" s="248" t="inlineStr">
        <is>
          <t>RELOJ TAVERNITI</t>
        </is>
      </c>
      <c r="C181" s="42" t="n">
        <v>39000</v>
      </c>
      <c r="D181" s="219" t="n"/>
      <c r="E181" s="219" t="n"/>
      <c r="F181" s="219" t="n"/>
      <c r="G181" s="219" t="n"/>
      <c r="H181" s="219" t="n"/>
      <c r="I181" s="219" t="n"/>
      <c r="J181" s="219" t="n"/>
      <c r="K181" s="219" t="n"/>
      <c r="L181" s="219" t="n"/>
      <c r="M181" s="219">
        <f>P181*C181</f>
        <v/>
      </c>
      <c r="P181" s="43" t="n">
        <v>1.2</v>
      </c>
      <c r="Q181" s="18" t="n"/>
      <c r="R181" s="43" t="n"/>
      <c r="T181" s="20" t="n"/>
    </row>
    <row r="182">
      <c r="A182" s="134" t="inlineStr">
        <is>
          <t>11</t>
        </is>
      </c>
      <c r="B182" s="248" t="inlineStr">
        <is>
          <t>RELOJ TAVERNITI</t>
        </is>
      </c>
      <c r="C182" s="42" t="n">
        <v>39000</v>
      </c>
      <c r="D182" s="219" t="n"/>
      <c r="E182" s="219" t="n"/>
      <c r="F182" s="219" t="n"/>
      <c r="G182" s="219" t="n"/>
      <c r="H182" s="219" t="n"/>
      <c r="I182" s="219" t="n"/>
      <c r="J182" s="219" t="n"/>
      <c r="K182" s="219" t="n"/>
      <c r="L182" s="219" t="n"/>
      <c r="M182" s="219">
        <f>P182*C182</f>
        <v/>
      </c>
      <c r="P182" s="43" t="n">
        <v>1.2</v>
      </c>
      <c r="Q182" s="18" t="n"/>
      <c r="R182" s="43" t="n"/>
      <c r="T182" s="117" t="n"/>
    </row>
    <row r="183">
      <c r="A183" s="134" t="inlineStr">
        <is>
          <t>150XXX</t>
        </is>
      </c>
      <c r="B183" s="248" t="inlineStr">
        <is>
          <t>RELOJ TAVERNITI</t>
        </is>
      </c>
      <c r="C183" s="42" t="n">
        <v>39000</v>
      </c>
      <c r="D183" s="219" t="n"/>
      <c r="E183" s="219" t="n"/>
      <c r="F183" s="219" t="n"/>
      <c r="G183" s="219" t="n"/>
      <c r="H183" s="219" t="n"/>
      <c r="I183" s="219" t="n"/>
      <c r="J183" s="219" t="n"/>
      <c r="K183" s="219" t="n"/>
      <c r="L183" s="219" t="n"/>
      <c r="M183" s="219">
        <f>P183*C183</f>
        <v/>
      </c>
      <c r="P183" s="43" t="n">
        <v>1.2</v>
      </c>
      <c r="Q183" s="18" t="n"/>
      <c r="R183" s="43" t="n"/>
      <c r="T183" s="117" t="n"/>
    </row>
    <row r="184">
      <c r="A184" s="134" t="inlineStr">
        <is>
          <t>152XXX</t>
        </is>
      </c>
      <c r="B184" s="248" t="inlineStr">
        <is>
          <t>RELOJ TAVERNITI</t>
        </is>
      </c>
      <c r="C184" s="42" t="n">
        <v>39000</v>
      </c>
      <c r="D184" s="219" t="n"/>
      <c r="E184" s="219" t="n"/>
      <c r="F184" s="219" t="n"/>
      <c r="G184" s="219" t="n"/>
      <c r="H184" s="219" t="n"/>
      <c r="I184" s="219" t="n"/>
      <c r="J184" s="219" t="n"/>
      <c r="K184" s="219" t="n"/>
      <c r="L184" s="219" t="n"/>
      <c r="M184" s="219">
        <f>P184*C184</f>
        <v/>
      </c>
      <c r="P184" s="43" t="n">
        <v>1.2</v>
      </c>
      <c r="Q184" s="18" t="n"/>
      <c r="R184" s="43" t="n"/>
      <c r="T184" s="117" t="n"/>
    </row>
    <row r="185">
      <c r="A185" s="134" t="inlineStr">
        <is>
          <t>156XXX</t>
        </is>
      </c>
      <c r="B185" s="248" t="inlineStr">
        <is>
          <t>RELOJ TAVERNITI</t>
        </is>
      </c>
      <c r="C185" s="42" t="n">
        <v>39000</v>
      </c>
      <c r="D185" s="219" t="n"/>
      <c r="E185" s="219" t="n"/>
      <c r="F185" s="219" t="n"/>
      <c r="G185" s="219" t="n"/>
      <c r="H185" s="219" t="n"/>
      <c r="I185" s="219" t="n"/>
      <c r="J185" s="219" t="n"/>
      <c r="K185" s="219" t="n"/>
      <c r="L185" s="219" t="n"/>
      <c r="M185" s="219">
        <f>P185*C185</f>
        <v/>
      </c>
      <c r="P185" s="43" t="n">
        <v>1.2</v>
      </c>
      <c r="Q185" s="18" t="n"/>
      <c r="R185" s="43" t="n"/>
      <c r="T185" s="117" t="n"/>
    </row>
    <row r="186">
      <c r="A186" s="134" t="inlineStr">
        <is>
          <t>158XXX</t>
        </is>
      </c>
      <c r="B186" s="248" t="inlineStr">
        <is>
          <t>RELOJ TAVERNITI</t>
        </is>
      </c>
      <c r="C186" s="42" t="n">
        <v>39000</v>
      </c>
      <c r="D186" s="219" t="n"/>
      <c r="E186" s="219" t="n"/>
      <c r="F186" s="219" t="n"/>
      <c r="G186" s="219" t="n"/>
      <c r="H186" s="219" t="n"/>
      <c r="I186" s="219" t="n"/>
      <c r="J186" s="219" t="n"/>
      <c r="K186" s="219" t="n"/>
      <c r="L186" s="219" t="n"/>
      <c r="M186" s="219">
        <f>P186*C186</f>
        <v/>
      </c>
      <c r="P186" s="43" t="n">
        <v>1.2</v>
      </c>
      <c r="Q186" s="18" t="n"/>
      <c r="R186" s="43" t="n"/>
      <c r="T186" s="117" t="n"/>
    </row>
    <row r="187">
      <c r="A187" s="145" t="n"/>
      <c r="C187" s="117" t="n"/>
      <c r="O187" s="45" t="n"/>
      <c r="P187" s="117" t="n"/>
      <c r="R187" s="117" t="n"/>
      <c r="T187" s="117" t="n"/>
    </row>
    <row r="188">
      <c r="A188" s="148" t="n"/>
      <c r="B188" s="46" t="inlineStr">
        <is>
          <t>BUZO SIN FRIZA</t>
        </is>
      </c>
      <c r="C188" s="42" t="inlineStr">
        <is>
          <t>1-4</t>
        </is>
      </c>
      <c r="D188" s="42" t="n">
        <v>5</v>
      </c>
      <c r="E188" s="42" t="n">
        <v>6</v>
      </c>
      <c r="F188" s="42" t="n">
        <v>7</v>
      </c>
      <c r="G188" s="42" t="n">
        <v>8</v>
      </c>
      <c r="H188" s="42" t="n">
        <v>9</v>
      </c>
      <c r="I188" s="42" t="n">
        <v>10</v>
      </c>
      <c r="J188" s="42" t="n">
        <v>12</v>
      </c>
      <c r="K188" s="42" t="n">
        <v>14</v>
      </c>
      <c r="L188" s="42" t="n">
        <v>16</v>
      </c>
      <c r="M188" s="148" t="inlineStr">
        <is>
          <t>03/24 COD.</t>
        </is>
      </c>
      <c r="O188" s="45" t="n"/>
      <c r="P188" s="117" t="n"/>
      <c r="R188" s="117" t="n"/>
      <c r="T188" s="117" t="n"/>
    </row>
    <row r="189">
      <c r="A189" s="134" t="n"/>
      <c r="B189" s="246" t="n"/>
      <c r="C189" s="49" t="inlineStr">
        <is>
          <t>S-XL</t>
        </is>
      </c>
      <c r="D189" s="42" t="inlineStr">
        <is>
          <t>XXL</t>
        </is>
      </c>
      <c r="E189" s="42" t="inlineStr">
        <is>
          <t>3XL</t>
        </is>
      </c>
      <c r="F189" s="153" t="n"/>
      <c r="G189" s="153" t="n"/>
      <c r="H189" s="153" t="n"/>
      <c r="I189" s="153" t="n"/>
      <c r="J189" s="153" t="n"/>
      <c r="K189" s="153" t="n"/>
      <c r="L189" s="221" t="n"/>
      <c r="M189" s="219" t="n"/>
      <c r="O189" s="45" t="n"/>
      <c r="P189" s="117" t="n"/>
      <c r="Q189" s="18" t="n"/>
      <c r="R189" s="117" t="n"/>
      <c r="T189" s="117" t="n"/>
    </row>
    <row r="190">
      <c r="A190" s="134" t="inlineStr">
        <is>
          <t>5080</t>
        </is>
      </c>
      <c r="B190" s="246" t="inlineStr">
        <is>
          <t>DISCOBOLO ALGODÓN RUSTICO</t>
        </is>
      </c>
      <c r="C190" s="88" t="n">
        <v>8800</v>
      </c>
      <c r="D190" s="88">
        <f>ROUND((C190*1.06)/100,0)*100</f>
        <v/>
      </c>
      <c r="E190" s="88">
        <f>ROUND((C190*1.15)/100,0)*100</f>
        <v/>
      </c>
      <c r="F190" s="88">
        <f>ROUND((C190*1.23)/100,0)*100</f>
        <v/>
      </c>
      <c r="G190" s="88">
        <f>ROUND((C190*1.29)/100,0)*100</f>
        <v/>
      </c>
      <c r="H190" s="88">
        <f>ROUND((C190*1.35)/100,0)*100</f>
        <v/>
      </c>
      <c r="I190" s="88">
        <f>ROUND((C190*1.39)/100,0)*100</f>
        <v/>
      </c>
      <c r="J190" s="88">
        <f>ROUND((C190*1.43)/100,0)*100</f>
        <v/>
      </c>
      <c r="K190" s="88">
        <f>ROUND((C190*1.48)/100,0)*100</f>
        <v/>
      </c>
      <c r="L190" s="88">
        <f>ROUND((D190*1.48)/100,0)*100</f>
        <v/>
      </c>
      <c r="M190" s="219" t="n"/>
      <c r="O190" s="45" t="n"/>
      <c r="P190" s="117">
        <f>Q190*C190</f>
        <v/>
      </c>
      <c r="Q190" s="18" t="n">
        <v>1.5</v>
      </c>
      <c r="R190" s="117" t="n"/>
      <c r="T190" s="117" t="n"/>
      <c r="Y190" s="22" t="n"/>
    </row>
    <row r="191">
      <c r="A191" s="134" t="inlineStr">
        <is>
          <t>6122XXX</t>
        </is>
      </c>
      <c r="B191" s="248" t="inlineStr">
        <is>
          <t>TAVERNITI S. FRIZA</t>
        </is>
      </c>
      <c r="C191" s="88" t="n">
        <v>37400</v>
      </c>
      <c r="D191" s="219" t="n"/>
      <c r="E191" s="219" t="n"/>
      <c r="F191" s="219" t="n"/>
      <c r="G191" s="219" t="n"/>
      <c r="H191" s="219" t="n"/>
      <c r="I191" s="219" t="n"/>
      <c r="J191" s="219" t="n"/>
      <c r="K191" s="219" t="n"/>
      <c r="L191" s="219" t="n"/>
      <c r="M191" s="52" t="n"/>
      <c r="O191" s="45" t="n"/>
      <c r="P191" s="117">
        <f>Q191*C191</f>
        <v/>
      </c>
      <c r="Q191" s="18" t="n">
        <v>1.5</v>
      </c>
      <c r="R191" s="117" t="n"/>
      <c r="T191" s="117" t="n"/>
    </row>
    <row r="192">
      <c r="A192" s="134" t="inlineStr">
        <is>
          <t>6124XXX</t>
        </is>
      </c>
      <c r="B192" s="248" t="inlineStr">
        <is>
          <t>TAVERNITI S. FRIZA</t>
        </is>
      </c>
      <c r="C192" s="88" t="n">
        <v>37400</v>
      </c>
      <c r="D192" s="219" t="n"/>
      <c r="E192" s="219" t="n"/>
      <c r="F192" s="219" t="n"/>
      <c r="G192" s="219" t="n"/>
      <c r="H192" s="219" t="n"/>
      <c r="I192" s="219" t="n"/>
      <c r="J192" s="219" t="n"/>
      <c r="K192" s="219" t="n"/>
      <c r="L192" s="219" t="n"/>
      <c r="M192" s="52" t="n"/>
      <c r="O192" s="45" t="n"/>
      <c r="P192" s="117">
        <f>Q192*C192</f>
        <v/>
      </c>
      <c r="Q192" s="18" t="n">
        <v>1.5</v>
      </c>
      <c r="R192" s="117" t="n"/>
      <c r="T192" s="117" t="n"/>
    </row>
    <row r="193">
      <c r="A193" s="134" t="inlineStr">
        <is>
          <t>6136XXX</t>
        </is>
      </c>
      <c r="B193" s="248" t="inlineStr">
        <is>
          <t>TAVERNITI S. FRIZA</t>
        </is>
      </c>
      <c r="C193" s="88" t="n">
        <v>31200</v>
      </c>
      <c r="D193" s="219" t="n"/>
      <c r="E193" s="219" t="n"/>
      <c r="F193" s="219" t="n"/>
      <c r="G193" s="219" t="n"/>
      <c r="H193" s="219" t="n"/>
      <c r="I193" s="219" t="n"/>
      <c r="J193" s="219" t="n"/>
      <c r="K193" s="219" t="n"/>
      <c r="L193" s="219" t="n"/>
      <c r="M193" s="52" t="n"/>
      <c r="O193" s="45" t="n"/>
      <c r="P193" s="117">
        <f>Q193*C193</f>
        <v/>
      </c>
      <c r="Q193" s="18" t="n">
        <v>1.5</v>
      </c>
      <c r="R193" s="117" t="n"/>
      <c r="T193" s="117" t="n"/>
    </row>
    <row r="194">
      <c r="A194" s="134" t="inlineStr">
        <is>
          <t>8607</t>
        </is>
      </c>
      <c r="B194" s="248" t="inlineStr">
        <is>
          <t>CALL&amp;JEANS</t>
        </is>
      </c>
      <c r="C194" s="219" t="n">
        <v>22700</v>
      </c>
      <c r="D194" s="219" t="n"/>
      <c r="E194" s="219" t="n"/>
      <c r="F194" s="219" t="n"/>
      <c r="G194" s="219" t="n"/>
      <c r="H194" s="219" t="n"/>
      <c r="I194" s="219" t="n"/>
      <c r="J194" s="219" t="n"/>
      <c r="K194" s="219" t="n"/>
      <c r="L194" s="219" t="n"/>
      <c r="M194" s="52" t="n"/>
      <c r="O194" s="45" t="n"/>
      <c r="P194" s="117">
        <f>Q194*C194</f>
        <v/>
      </c>
      <c r="Q194" s="18" t="n">
        <v>1.5</v>
      </c>
      <c r="R194" s="117" t="n"/>
      <c r="T194" s="117" t="n"/>
    </row>
    <row r="195">
      <c r="A195" s="134" t="n"/>
      <c r="C195" s="219" t="n"/>
      <c r="D195" s="219" t="n"/>
      <c r="E195" s="219" t="n"/>
      <c r="F195" s="219" t="n"/>
      <c r="G195" s="219" t="n"/>
      <c r="H195" s="219" t="n"/>
      <c r="I195" s="219" t="n"/>
      <c r="J195" s="219" t="n"/>
      <c r="K195" s="219" t="n"/>
      <c r="L195" s="219" t="n"/>
      <c r="M195" s="52" t="n"/>
      <c r="O195" s="45" t="n"/>
      <c r="P195" s="117" t="n"/>
      <c r="Q195" s="18" t="n"/>
      <c r="R195" s="117" t="n"/>
      <c r="T195" s="117" t="n"/>
    </row>
    <row r="196">
      <c r="A196" s="11" t="n"/>
      <c r="B196" s="12" t="inlineStr">
        <is>
          <t xml:space="preserve"> POLAR CAMPERA</t>
        </is>
      </c>
      <c r="C196" s="14" t="inlineStr">
        <is>
          <t>1 al 4</t>
        </is>
      </c>
      <c r="D196" s="14" t="n">
        <v>5</v>
      </c>
      <c r="E196" s="14" t="n">
        <v>6</v>
      </c>
      <c r="F196" s="14" t="n">
        <v>7</v>
      </c>
      <c r="G196" s="14" t="n">
        <v>8</v>
      </c>
      <c r="H196" s="14" t="n">
        <v>9</v>
      </c>
      <c r="I196" s="14" t="n">
        <v>10</v>
      </c>
      <c r="J196" s="14" t="n">
        <v>12</v>
      </c>
      <c r="K196" s="14" t="n">
        <v>14</v>
      </c>
      <c r="L196" s="14" t="n">
        <v>16</v>
      </c>
      <c r="M196" s="11" t="inlineStr">
        <is>
          <t>03/24</t>
        </is>
      </c>
      <c r="O196" s="45" t="n"/>
      <c r="P196" s="117" t="n"/>
      <c r="Q196" s="18" t="n"/>
      <c r="R196" s="117" t="n"/>
      <c r="T196" s="117" t="n"/>
    </row>
    <row r="197">
      <c r="A197" s="145" t="inlineStr">
        <is>
          <t>2500</t>
        </is>
      </c>
      <c r="B197" s="118" t="inlineStr">
        <is>
          <t>M. POINT CAMPERA POLAR</t>
        </is>
      </c>
      <c r="C197" s="88" t="n">
        <v>33600</v>
      </c>
      <c r="D197" s="88">
        <f>ROUND((C197*1.06)/100,0)*100</f>
        <v/>
      </c>
      <c r="E197" s="88">
        <f>ROUND((C197*1.15)/100,0)*100</f>
        <v/>
      </c>
      <c r="F197" s="88">
        <f>ROUND((C197*1.23)/100,0)*100</f>
        <v/>
      </c>
      <c r="G197" s="88">
        <f>ROUND((C197*1.29)/100,0)*100</f>
        <v/>
      </c>
      <c r="H197" s="88">
        <f>ROUND((C197*1.35)/100,0)*100</f>
        <v/>
      </c>
      <c r="I197" s="88">
        <f>ROUND((C197*1.39)/100,0)*100</f>
        <v/>
      </c>
      <c r="J197" s="88">
        <f>ROUND((C197*1.43)/100,0)*100</f>
        <v/>
      </c>
      <c r="K197" s="88">
        <f>ROUND((C197*1.48)/100,0)*100</f>
        <v/>
      </c>
      <c r="L197" s="88">
        <f>ROUND((D197*1.48)/100,0)*100</f>
        <v/>
      </c>
      <c r="M197" s="52" t="n"/>
      <c r="O197" s="45" t="n"/>
      <c r="P197" s="117">
        <f>C197*Q197</f>
        <v/>
      </c>
      <c r="Q197" s="18" t="n">
        <v>2</v>
      </c>
      <c r="R197" s="117" t="n"/>
      <c r="T197" s="117" t="n"/>
      <c r="AL197" s="22" t="n"/>
    </row>
    <row r="198">
      <c r="A198" s="145" t="inlineStr">
        <is>
          <t>2501</t>
        </is>
      </c>
      <c r="B198" s="118" t="inlineStr">
        <is>
          <t>GOLDWN / ANDERS</t>
        </is>
      </c>
      <c r="C198" s="88" t="n">
        <v>33600</v>
      </c>
      <c r="D198" s="88">
        <f>ROUND((C198*1.06)/100,0)*100</f>
        <v/>
      </c>
      <c r="E198" s="88">
        <f>ROUND((C198*1.15)/100,0)*100</f>
        <v/>
      </c>
      <c r="F198" s="88">
        <f>ROUND((C198*1.23)/100,0)*100</f>
        <v/>
      </c>
      <c r="G198" s="88">
        <f>ROUND((C198*1.29)/100,0)*100</f>
        <v/>
      </c>
      <c r="H198" s="88">
        <f>ROUND((C198*1.35)/100,0)*100</f>
        <v/>
      </c>
      <c r="I198" s="88">
        <f>ROUND((C198*1.39)/100,0)*100</f>
        <v/>
      </c>
      <c r="J198" s="88">
        <f>ROUND((C198*1.43)/100,0)*100</f>
        <v/>
      </c>
      <c r="K198" s="88">
        <f>ROUND((C198*1.48)/100,0)*100</f>
        <v/>
      </c>
      <c r="L198" s="88">
        <f>ROUND((D198*1.48)/100,0)*100</f>
        <v/>
      </c>
      <c r="M198" s="52" t="n"/>
      <c r="O198" s="45" t="n"/>
      <c r="P198" s="117">
        <f>C198*Q198</f>
        <v/>
      </c>
      <c r="Q198" s="18" t="n">
        <v>2</v>
      </c>
      <c r="R198" s="117" t="n"/>
      <c r="T198" s="117" t="n"/>
    </row>
    <row r="199">
      <c r="A199" s="145" t="inlineStr">
        <is>
          <t>2502</t>
        </is>
      </c>
      <c r="B199" s="118" t="n"/>
      <c r="C199" s="88" t="n">
        <v>33600</v>
      </c>
      <c r="D199" s="88">
        <f>ROUND((C199*1.06)/100,0)*100</f>
        <v/>
      </c>
      <c r="E199" s="88">
        <f>ROUND((C199*1.15)/100,0)*100</f>
        <v/>
      </c>
      <c r="F199" s="88">
        <f>ROUND((C199*1.23)/100,0)*100</f>
        <v/>
      </c>
      <c r="G199" s="88">
        <f>ROUND((C199*1.29)/100,0)*100</f>
        <v/>
      </c>
      <c r="H199" s="88">
        <f>ROUND((C199*1.35)/100,0)*100</f>
        <v/>
      </c>
      <c r="I199" s="88">
        <f>ROUND((C199*1.39)/100,0)*100</f>
        <v/>
      </c>
      <c r="J199" s="88">
        <f>ROUND((C199*1.43)/100,0)*100</f>
        <v/>
      </c>
      <c r="K199" s="88">
        <f>ROUND((C199*1.48)/100,0)*100</f>
        <v/>
      </c>
      <c r="L199" s="88">
        <f>ROUND((D199*1.48)/100,0)*100</f>
        <v/>
      </c>
      <c r="M199" s="52" t="n"/>
      <c r="O199" s="45" t="n"/>
      <c r="P199" s="117">
        <f>C199*Q199</f>
        <v/>
      </c>
      <c r="Q199" s="18" t="n">
        <v>2</v>
      </c>
      <c r="R199" s="117" t="n"/>
      <c r="T199" s="117" t="n"/>
    </row>
    <row r="200">
      <c r="A200" s="134" t="inlineStr">
        <is>
          <t>780</t>
        </is>
      </c>
      <c r="B200" s="118" t="n"/>
      <c r="C200" s="88" t="n">
        <v>33600</v>
      </c>
      <c r="D200" s="88">
        <f>ROUND((C200*1.06)/100,0)*100</f>
        <v/>
      </c>
      <c r="E200" s="88">
        <f>ROUND((C200*1.15)/100,0)*100</f>
        <v/>
      </c>
      <c r="F200" s="88">
        <f>ROUND((C200*1.23)/100,0)*100</f>
        <v/>
      </c>
      <c r="G200" s="88">
        <f>ROUND((C200*1.29)/100,0)*100</f>
        <v/>
      </c>
      <c r="H200" s="88">
        <f>ROUND((C200*1.35)/100,0)*100</f>
        <v/>
      </c>
      <c r="I200" s="88">
        <f>ROUND((C200*1.39)/100,0)*100</f>
        <v/>
      </c>
      <c r="J200" s="88">
        <f>ROUND((C200*1.43)/100,0)*100</f>
        <v/>
      </c>
      <c r="K200" s="88">
        <f>ROUND((C200*1.48)/100,0)*100</f>
        <v/>
      </c>
      <c r="L200" s="88">
        <f>ROUND((D200*1.48)/100,0)*100</f>
        <v/>
      </c>
      <c r="M200" s="219" t="n"/>
      <c r="O200" s="45" t="n"/>
      <c r="P200" s="117">
        <f>C200*Q200</f>
        <v/>
      </c>
      <c r="Q200" s="18" t="n">
        <v>2</v>
      </c>
      <c r="R200" s="117" t="n"/>
      <c r="T200" s="117" t="n"/>
    </row>
    <row r="201">
      <c r="A201" s="134" t="n"/>
      <c r="B201" s="246" t="n"/>
      <c r="C201" s="219" t="n"/>
      <c r="D201" s="219" t="n"/>
      <c r="E201" s="219" t="n"/>
      <c r="F201" s="219" t="n"/>
      <c r="G201" s="219" t="n"/>
      <c r="H201" s="219" t="n"/>
      <c r="I201" s="219" t="n"/>
      <c r="J201" s="219" t="n"/>
      <c r="K201" s="219" t="n"/>
      <c r="L201" s="219" t="n"/>
      <c r="M201" s="219" t="n"/>
      <c r="O201" s="45" t="n"/>
      <c r="P201" s="117" t="n"/>
      <c r="R201" s="117" t="n"/>
      <c r="T201" s="117" t="n"/>
    </row>
    <row r="202">
      <c r="A202" s="148" t="n"/>
      <c r="B202" s="54" t="inlineStr">
        <is>
          <t>CAMISAS MANGA CORTA</t>
        </is>
      </c>
      <c r="C202" s="42" t="inlineStr">
        <is>
          <t>38-44</t>
        </is>
      </c>
      <c r="D202" s="42" t="inlineStr">
        <is>
          <t>46-48</t>
        </is>
      </c>
      <c r="E202" s="42" t="inlineStr">
        <is>
          <t>50-52</t>
        </is>
      </c>
      <c r="F202" s="42" t="inlineStr">
        <is>
          <t>54-56</t>
        </is>
      </c>
      <c r="G202" s="42" t="n"/>
      <c r="H202" s="42" t="n">
        <v>54</v>
      </c>
      <c r="I202" s="42" t="n">
        <v>56</v>
      </c>
      <c r="J202" s="42" t="n">
        <v>58</v>
      </c>
      <c r="K202" s="42" t="n">
        <v>60</v>
      </c>
      <c r="L202" s="42" t="n"/>
      <c r="M202" s="148" t="inlineStr">
        <is>
          <t>12/25 COD.</t>
        </is>
      </c>
      <c r="P202" s="117" t="n"/>
      <c r="R202" s="117" t="n"/>
      <c r="T202" s="117" t="n"/>
    </row>
    <row r="203">
      <c r="A203" s="134" t="n"/>
      <c r="B203" s="246" t="n"/>
      <c r="C203" s="49" t="inlineStr">
        <is>
          <t>S-XL</t>
        </is>
      </c>
      <c r="D203" s="42" t="inlineStr">
        <is>
          <t>XXL</t>
        </is>
      </c>
      <c r="E203" s="42" t="inlineStr">
        <is>
          <t>3XL</t>
        </is>
      </c>
      <c r="F203" s="153" t="n"/>
      <c r="G203" s="153" t="n"/>
      <c r="H203" s="153" t="n"/>
      <c r="I203" s="153" t="n"/>
      <c r="J203" s="153" t="n"/>
      <c r="K203" s="153" t="n"/>
      <c r="L203" s="221" t="n"/>
      <c r="M203" s="219" t="n"/>
      <c r="P203" s="117" t="n"/>
      <c r="R203" s="117" t="n"/>
      <c r="T203" s="117" t="n"/>
    </row>
    <row r="204">
      <c r="A204" s="134" t="n"/>
      <c r="B204" s="55" t="inlineStr">
        <is>
          <t>CAMISAS POLO CLUB</t>
        </is>
      </c>
      <c r="C204" s="88" t="n">
        <v>52900</v>
      </c>
      <c r="D204" s="88">
        <f>ROUND((C204*1.06)/100,0)*100</f>
        <v/>
      </c>
      <c r="E204" s="88">
        <f>ROUND((C204*1.15)/100,0)*100</f>
        <v/>
      </c>
      <c r="F204" s="22" t="n"/>
      <c r="G204" s="22" t="n"/>
      <c r="H204" s="22" t="n"/>
      <c r="I204" s="22" t="n"/>
      <c r="J204" s="22" t="n"/>
      <c r="K204" s="22" t="n"/>
      <c r="L204" s="219" t="n"/>
      <c r="M204" s="219">
        <f>N204*C204</f>
        <v/>
      </c>
      <c r="N204" s="118" t="n">
        <v>1.05</v>
      </c>
      <c r="O204" s="117" t="n"/>
      <c r="P204" s="43" t="n"/>
      <c r="Q204" s="18" t="n"/>
      <c r="R204" s="43" t="n"/>
      <c r="T204" s="22" t="n"/>
    </row>
    <row r="205">
      <c r="A205" s="134" t="n"/>
      <c r="B205" s="55" t="inlineStr">
        <is>
          <t>CAMISAS ALL SEASONS SPORT</t>
        </is>
      </c>
      <c r="C205" s="218" t="n">
        <v>50400</v>
      </c>
      <c r="D205" s="88">
        <f>ROUND((C205*1.06)/100,0)*100</f>
        <v/>
      </c>
      <c r="E205" s="88">
        <f>ROUND((C205*1.15)/100,0)*100</f>
        <v/>
      </c>
      <c r="F205" s="22" t="n"/>
      <c r="G205" s="22" t="n"/>
      <c r="H205" s="22" t="n"/>
      <c r="I205" s="22" t="n"/>
      <c r="J205" s="22" t="n"/>
      <c r="K205" s="22" t="n"/>
      <c r="L205" s="219" t="n"/>
      <c r="M205" s="219">
        <f>N205*C205</f>
        <v/>
      </c>
      <c r="N205" s="118" t="n">
        <v>1.05</v>
      </c>
      <c r="O205" s="117" t="n"/>
      <c r="P205" s="43" t="n"/>
      <c r="Q205" s="18" t="n"/>
      <c r="R205" s="43" t="n"/>
      <c r="T205" s="117" t="n"/>
    </row>
    <row r="206">
      <c r="A206" s="134" t="n"/>
      <c r="B206" s="55" t="inlineStr">
        <is>
          <t>SCUADRA</t>
        </is>
      </c>
      <c r="C206" s="88" t="n">
        <v>16500</v>
      </c>
      <c r="D206" s="88">
        <f>ROUND((C206*1.06)/100,0)*100</f>
        <v/>
      </c>
      <c r="E206" s="88">
        <f>ROUND((C206*1.15)/100,0)*100</f>
        <v/>
      </c>
      <c r="F206" s="22" t="n"/>
      <c r="G206" s="22" t="n"/>
      <c r="H206" s="22" t="n"/>
      <c r="I206" s="22" t="n"/>
      <c r="J206" s="22" t="n"/>
      <c r="K206" s="22" t="n"/>
      <c r="L206" s="219" t="n"/>
      <c r="M206" s="219">
        <f>N206*C206</f>
        <v/>
      </c>
      <c r="N206" s="118" t="n">
        <v>1.05</v>
      </c>
      <c r="O206" s="117" t="n"/>
      <c r="P206" s="43" t="n"/>
      <c r="Q206" s="18" t="n"/>
      <c r="R206" s="43" t="n"/>
      <c r="T206" s="117" t="n"/>
    </row>
    <row r="207">
      <c r="A207" s="134" t="n"/>
      <c r="B207" s="55" t="inlineStr">
        <is>
          <t>WRGE</t>
        </is>
      </c>
      <c r="C207" s="88" t="n">
        <v>35200</v>
      </c>
      <c r="D207" s="88">
        <f>ROUND((C207*1.06)/100,0)*100</f>
        <v/>
      </c>
      <c r="E207" s="88">
        <f>ROUND((C207*1.15)/100,0)*100</f>
        <v/>
      </c>
      <c r="F207" s="22" t="n"/>
      <c r="G207" s="22" t="n"/>
      <c r="H207" s="22" t="n"/>
      <c r="I207" s="22" t="n"/>
      <c r="J207" s="22" t="n"/>
      <c r="K207" s="22" t="n"/>
      <c r="L207" s="219" t="n"/>
      <c r="M207" s="219">
        <f>N207*C207</f>
        <v/>
      </c>
      <c r="N207" s="118" t="n">
        <v>1.05</v>
      </c>
      <c r="O207" s="117" t="n"/>
      <c r="P207" s="43" t="n"/>
      <c r="Q207" s="18" t="n"/>
      <c r="R207" s="43" t="n"/>
      <c r="T207" s="117" t="n"/>
    </row>
    <row r="208">
      <c r="A208" s="134" t="inlineStr">
        <is>
          <t>02436XXX</t>
        </is>
      </c>
      <c r="B208" s="135" t="inlineStr">
        <is>
          <t>TAVERNITI CAMISA</t>
        </is>
      </c>
      <c r="C208" s="22" t="n">
        <v>69700</v>
      </c>
      <c r="D208" s="88">
        <f>ROUND((C208*1.06)/100,0)*100</f>
        <v/>
      </c>
      <c r="E208" s="88">
        <f>ROUND((C208*1.15)/100,0)*100</f>
        <v/>
      </c>
      <c r="F208" s="22" t="n"/>
      <c r="G208" s="22" t="n"/>
      <c r="H208" s="22" t="n"/>
      <c r="I208" s="22" t="n"/>
      <c r="J208" s="22" t="n"/>
      <c r="K208" s="22" t="n"/>
      <c r="L208" s="219" t="n"/>
      <c r="M208" s="219">
        <f>N208*C208</f>
        <v/>
      </c>
      <c r="N208" s="118" t="n">
        <v>1.05</v>
      </c>
      <c r="O208" s="117" t="n"/>
      <c r="P208" s="43" t="n"/>
      <c r="Q208" s="18" t="n"/>
      <c r="R208" s="43" t="n"/>
      <c r="T208" s="117" t="n"/>
    </row>
    <row r="209">
      <c r="A209" s="89" t="inlineStr">
        <is>
          <t>22002XXX</t>
        </is>
      </c>
      <c r="B209" s="135" t="inlineStr">
        <is>
          <t>TAVERNITI CAMISA</t>
        </is>
      </c>
      <c r="C209" s="88" t="n">
        <v>91500</v>
      </c>
      <c r="D209" s="88">
        <f>ROUND((C209*1.06)/100,0)*100</f>
        <v/>
      </c>
      <c r="E209" s="88">
        <f>ROUND((C209*1.15)/100,0)*100</f>
        <v/>
      </c>
      <c r="F209" s="170" t="n"/>
      <c r="G209" s="170" t="n"/>
      <c r="H209" s="170" t="n"/>
      <c r="I209" s="170" t="n"/>
      <c r="J209" s="170" t="n"/>
      <c r="K209" s="170" t="n"/>
      <c r="L209" s="170" t="n"/>
      <c r="M209" s="219">
        <f>N209*C209</f>
        <v/>
      </c>
      <c r="N209" s="118" t="n">
        <v>1.05</v>
      </c>
      <c r="O209" s="117" t="n"/>
      <c r="P209" s="59" t="n"/>
      <c r="Q209" s="34" t="n"/>
      <c r="R209" s="59" t="n"/>
      <c r="S209" s="30" t="n"/>
      <c r="T209" s="170" t="n"/>
      <c r="U209" s="30" t="n"/>
      <c r="V209" s="30" t="n"/>
      <c r="W209" s="30" t="n"/>
      <c r="X209" s="30" t="n"/>
      <c r="Y209" s="30" t="n"/>
      <c r="Z209" s="30" t="n"/>
      <c r="AA209" s="30" t="n"/>
      <c r="AB209" s="30" t="n"/>
      <c r="AC209" s="30" t="n"/>
      <c r="AD209" s="30" t="n"/>
      <c r="AE209" s="30" t="n"/>
      <c r="AF209" s="30" t="n"/>
      <c r="AG209" s="30" t="n"/>
      <c r="AH209" s="30" t="n"/>
      <c r="AI209" s="30" t="n"/>
      <c r="AJ209" s="30" t="n"/>
      <c r="AK209" s="30" t="n"/>
      <c r="AL209" s="30" t="n"/>
      <c r="AM209" s="30" t="n"/>
      <c r="AN209" s="30" t="n"/>
    </row>
    <row r="210">
      <c r="A210" s="134" t="inlineStr">
        <is>
          <t>22006XXX</t>
        </is>
      </c>
      <c r="B210" s="62" t="inlineStr">
        <is>
          <t>TAVERNITI CAMISA</t>
        </is>
      </c>
      <c r="C210" s="88" t="n">
        <v>66300</v>
      </c>
      <c r="D210" s="88">
        <f>ROUND((C210*1.06)/100,0)*100</f>
        <v/>
      </c>
      <c r="E210" s="88">
        <f>ROUND((C210*1.15)/100,0)*100</f>
        <v/>
      </c>
      <c r="F210" s="22" t="n"/>
      <c r="G210" s="22" t="n"/>
      <c r="H210" s="22" t="n"/>
      <c r="I210" s="22" t="n"/>
      <c r="J210" s="22" t="n"/>
      <c r="K210" s="22" t="n"/>
      <c r="L210" s="219" t="n"/>
      <c r="M210" s="219">
        <f>N210*C210</f>
        <v/>
      </c>
      <c r="N210" s="118" t="n">
        <v>1.05</v>
      </c>
      <c r="O210" s="117" t="n"/>
      <c r="P210" s="43" t="n"/>
      <c r="Q210" s="18" t="n"/>
      <c r="R210" s="43" t="n"/>
      <c r="T210" s="117" t="n"/>
    </row>
    <row r="211">
      <c r="A211" s="134" t="inlineStr">
        <is>
          <t>22136XXX</t>
        </is>
      </c>
      <c r="B211" s="62" t="inlineStr">
        <is>
          <t>TAVERNITI CAMISA</t>
        </is>
      </c>
      <c r="C211" s="88" t="n">
        <v>66300</v>
      </c>
      <c r="D211" s="88">
        <f>ROUND((C211*1.06)/100,0)*100</f>
        <v/>
      </c>
      <c r="E211" s="88">
        <f>ROUND((C211*1.15)/100,0)*100</f>
        <v/>
      </c>
      <c r="F211" s="22" t="n"/>
      <c r="G211" s="22" t="n"/>
      <c r="H211" s="22" t="n"/>
      <c r="I211" s="22" t="n"/>
      <c r="J211" s="22" t="n"/>
      <c r="K211" s="22" t="n"/>
      <c r="L211" s="219" t="n"/>
      <c r="M211" s="219">
        <f>N211*C211</f>
        <v/>
      </c>
      <c r="N211" s="118" t="n">
        <v>1.05</v>
      </c>
      <c r="O211" s="117" t="n"/>
      <c r="P211" s="43" t="n"/>
      <c r="Q211" s="18" t="n"/>
      <c r="R211" s="43" t="n"/>
      <c r="T211" s="117" t="n"/>
    </row>
    <row r="212">
      <c r="A212" s="134" t="inlineStr">
        <is>
          <t>22136XXX</t>
        </is>
      </c>
      <c r="B212" s="62" t="inlineStr">
        <is>
          <t>TAVERNITI CAMISA</t>
        </is>
      </c>
      <c r="C212" s="88" t="n">
        <v>66300</v>
      </c>
      <c r="D212" s="88">
        <f>ROUND((C212*1.06)/100,0)*100</f>
        <v/>
      </c>
      <c r="E212" s="88">
        <f>ROUND((C212*1.15)/100,0)*100</f>
        <v/>
      </c>
      <c r="F212" s="22" t="n"/>
      <c r="G212" s="22" t="n"/>
      <c r="H212" s="22" t="n"/>
      <c r="I212" s="22" t="n"/>
      <c r="J212" s="22" t="n"/>
      <c r="K212" s="22" t="n"/>
      <c r="L212" s="219" t="n"/>
      <c r="M212" s="219">
        <f>N212*C212</f>
        <v/>
      </c>
      <c r="N212" s="118" t="n">
        <v>1.05</v>
      </c>
      <c r="O212" s="117" t="n"/>
      <c r="P212" s="43" t="n"/>
      <c r="Q212" s="18" t="n"/>
      <c r="R212" s="43" t="n"/>
      <c r="T212" s="117" t="n"/>
    </row>
    <row r="213">
      <c r="A213" s="134" t="inlineStr">
        <is>
          <t>22346XXX</t>
        </is>
      </c>
      <c r="B213" s="62" t="inlineStr">
        <is>
          <t>TAVERNITI CAMISA</t>
        </is>
      </c>
      <c r="C213" s="88" t="n">
        <v>66300</v>
      </c>
      <c r="D213" s="88">
        <f>ROUND((C213*1.06)/100,0)*100</f>
        <v/>
      </c>
      <c r="E213" s="88">
        <f>ROUND((C213*1.15)/100,0)*100</f>
        <v/>
      </c>
      <c r="F213" s="22" t="n"/>
      <c r="G213" s="22" t="n"/>
      <c r="H213" s="22" t="n"/>
      <c r="I213" s="22" t="n"/>
      <c r="J213" s="22" t="n"/>
      <c r="K213" s="22" t="n"/>
      <c r="L213" s="219" t="n"/>
      <c r="M213" s="219">
        <f>N213*C213</f>
        <v/>
      </c>
      <c r="N213" s="118" t="n">
        <v>1.05</v>
      </c>
      <c r="O213" s="117" t="n"/>
      <c r="P213" s="43" t="n"/>
      <c r="Q213" s="18" t="n"/>
      <c r="R213" s="43" t="n"/>
      <c r="T213" s="117" t="n"/>
    </row>
    <row r="214">
      <c r="A214" s="134" t="inlineStr">
        <is>
          <t>22368603</t>
        </is>
      </c>
      <c r="B214" s="62" t="inlineStr">
        <is>
          <t>TAVERNITI CAMISA</t>
        </is>
      </c>
      <c r="C214" s="88" t="n">
        <v>75700</v>
      </c>
      <c r="D214" s="88">
        <f>ROUND((C214*1.06)/100,0)*100</f>
        <v/>
      </c>
      <c r="E214" s="88">
        <f>ROUND((C214*1.15)/100,0)*100</f>
        <v/>
      </c>
      <c r="F214" s="22" t="n"/>
      <c r="G214" s="22" t="n"/>
      <c r="H214" s="22" t="n"/>
      <c r="I214" s="22" t="n"/>
      <c r="J214" s="22" t="n"/>
      <c r="K214" s="22" t="n"/>
      <c r="L214" s="219" t="n"/>
      <c r="M214" s="219">
        <f>N214*C214</f>
        <v/>
      </c>
      <c r="N214" s="118" t="n">
        <v>1.05</v>
      </c>
      <c r="O214" s="117" t="n"/>
      <c r="P214" s="43" t="n"/>
      <c r="Q214" s="18" t="n"/>
      <c r="R214" s="43" t="n"/>
      <c r="T214" s="117" t="n"/>
    </row>
    <row r="215">
      <c r="A215" s="134" t="inlineStr">
        <is>
          <t>22526XXX</t>
        </is>
      </c>
      <c r="B215" s="62" t="inlineStr">
        <is>
          <t>TAVERNITI CAMISA</t>
        </is>
      </c>
      <c r="C215" s="88" t="n">
        <v>66300</v>
      </c>
      <c r="D215" s="88">
        <f>ROUND((C215*1.06)/100,0)*100</f>
        <v/>
      </c>
      <c r="E215" s="88">
        <f>ROUND((C215*1.15)/100,0)*100</f>
        <v/>
      </c>
      <c r="F215" s="22" t="n"/>
      <c r="G215" s="22" t="n"/>
      <c r="H215" s="22" t="n"/>
      <c r="I215" s="22" t="n"/>
      <c r="J215" s="22" t="n"/>
      <c r="K215" s="22" t="n"/>
      <c r="L215" s="219" t="n"/>
      <c r="M215" s="219">
        <f>N215*C215</f>
        <v/>
      </c>
      <c r="N215" s="118" t="n">
        <v>1.05</v>
      </c>
      <c r="O215" s="117" t="n"/>
      <c r="P215" s="43" t="n"/>
      <c r="Q215" s="18" t="n"/>
      <c r="R215" s="43" t="n"/>
      <c r="T215" s="117" t="n"/>
    </row>
    <row r="216">
      <c r="A216" s="134" t="inlineStr">
        <is>
          <t>22576602</t>
        </is>
      </c>
      <c r="B216" s="62" t="inlineStr">
        <is>
          <t>TAVERNITI CAMISA</t>
        </is>
      </c>
      <c r="C216" s="88" t="n">
        <v>66300</v>
      </c>
      <c r="D216" s="88">
        <f>ROUND((C216*1.06)/100,0)*100</f>
        <v/>
      </c>
      <c r="E216" s="88">
        <f>ROUND((C216*1.15)/100,0)*100</f>
        <v/>
      </c>
      <c r="F216" s="22" t="n"/>
      <c r="G216" s="22" t="n"/>
      <c r="H216" s="22" t="n"/>
      <c r="I216" s="22" t="n"/>
      <c r="J216" s="22" t="n"/>
      <c r="K216" s="22" t="n"/>
      <c r="L216" s="219" t="n"/>
      <c r="M216" s="219">
        <f>N216*C216</f>
        <v/>
      </c>
      <c r="N216" s="118" t="n">
        <v>1.05</v>
      </c>
      <c r="O216" s="117" t="n"/>
      <c r="P216" s="43" t="n"/>
      <c r="Q216" s="18" t="n"/>
      <c r="R216" s="43" t="n"/>
      <c r="T216" s="117" t="n"/>
    </row>
    <row r="217">
      <c r="A217" s="134" t="inlineStr">
        <is>
          <t>22602323</t>
        </is>
      </c>
      <c r="B217" s="62" t="inlineStr">
        <is>
          <t>TAVERNITI CAMISA</t>
        </is>
      </c>
      <c r="C217" s="88" t="n">
        <v>66300</v>
      </c>
      <c r="D217" s="88">
        <f>ROUND((C217*1.06)/100,0)*100</f>
        <v/>
      </c>
      <c r="E217" s="88">
        <f>ROUND((C217*1.15)/100,0)*100</f>
        <v/>
      </c>
      <c r="F217" s="22" t="n"/>
      <c r="G217" s="22" t="n"/>
      <c r="H217" s="22" t="n"/>
      <c r="I217" s="22" t="n"/>
      <c r="J217" s="22" t="n"/>
      <c r="K217" s="22" t="n"/>
      <c r="L217" s="219" t="n"/>
      <c r="M217" s="219">
        <f>N217*C217</f>
        <v/>
      </c>
      <c r="N217" s="118" t="n">
        <v>1.05</v>
      </c>
      <c r="O217" s="117" t="n"/>
      <c r="P217" s="43" t="n"/>
      <c r="Q217" s="18" t="n"/>
      <c r="R217" s="43" t="n"/>
      <c r="T217" s="117" t="n"/>
    </row>
    <row r="218">
      <c r="A218" s="134" t="inlineStr">
        <is>
          <t>22602603</t>
        </is>
      </c>
      <c r="B218" s="62" t="inlineStr">
        <is>
          <t>TAVERNITI CAMISA</t>
        </is>
      </c>
      <c r="C218" s="88" t="n">
        <v>66300</v>
      </c>
      <c r="D218" s="88">
        <f>ROUND((C218*1.06)/100,0)*100</f>
        <v/>
      </c>
      <c r="E218" s="88">
        <f>ROUND((C218*1.15)/100,0)*100</f>
        <v/>
      </c>
      <c r="F218" s="22" t="n"/>
      <c r="G218" s="22" t="n"/>
      <c r="H218" s="22" t="n"/>
      <c r="I218" s="22" t="n"/>
      <c r="J218" s="22" t="n"/>
      <c r="K218" s="22" t="n"/>
      <c r="L218" s="219" t="n"/>
      <c r="M218" s="219">
        <f>N218*C218</f>
        <v/>
      </c>
      <c r="N218" s="118" t="n">
        <v>1.05</v>
      </c>
      <c r="O218" s="117" t="n"/>
      <c r="P218" s="43" t="n"/>
      <c r="Q218" s="18" t="n"/>
      <c r="R218" s="43" t="n"/>
      <c r="T218" s="117" t="n"/>
    </row>
    <row r="219">
      <c r="A219" s="134" t="inlineStr">
        <is>
          <t>22604632</t>
        </is>
      </c>
      <c r="B219" s="62" t="inlineStr">
        <is>
          <t>TAVERNITI CAMISA</t>
        </is>
      </c>
      <c r="C219" s="88" t="n">
        <v>66300</v>
      </c>
      <c r="D219" s="88">
        <f>ROUND((C219*1.06)/100,0)*100</f>
        <v/>
      </c>
      <c r="E219" s="88">
        <f>ROUND((C219*1.15)/100,0)*100</f>
        <v/>
      </c>
      <c r="F219" s="22" t="n"/>
      <c r="G219" s="22" t="n"/>
      <c r="H219" s="22" t="n"/>
      <c r="I219" s="22" t="n"/>
      <c r="J219" s="22" t="n"/>
      <c r="K219" s="22" t="n"/>
      <c r="L219" s="219" t="n"/>
      <c r="M219" s="219">
        <f>N219*C219</f>
        <v/>
      </c>
      <c r="N219" s="118" t="n">
        <v>1.05</v>
      </c>
      <c r="O219" s="117" t="n"/>
      <c r="P219" s="43" t="n"/>
      <c r="Q219" s="18" t="n"/>
      <c r="R219" s="43" t="n"/>
      <c r="T219" s="117" t="n"/>
    </row>
    <row r="220">
      <c r="A220" s="134" t="inlineStr">
        <is>
          <t>22604988</t>
        </is>
      </c>
      <c r="B220" s="62" t="inlineStr">
        <is>
          <t>TAVERNITI CAMISA</t>
        </is>
      </c>
      <c r="C220" s="88" t="n">
        <v>66300</v>
      </c>
      <c r="D220" s="88">
        <f>ROUND((C220*1.06)/100,0)*100</f>
        <v/>
      </c>
      <c r="E220" s="88">
        <f>ROUND((C220*1.15)/100,0)*100</f>
        <v/>
      </c>
      <c r="F220" s="22" t="n"/>
      <c r="G220" s="22" t="n"/>
      <c r="H220" s="22" t="n"/>
      <c r="I220" s="22" t="n"/>
      <c r="J220" s="22" t="n"/>
      <c r="K220" s="22" t="n"/>
      <c r="L220" s="219" t="n"/>
      <c r="M220" s="219">
        <f>N220*C220</f>
        <v/>
      </c>
      <c r="N220" s="118" t="n">
        <v>1.05</v>
      </c>
      <c r="O220" s="117" t="n"/>
      <c r="P220" s="43" t="n"/>
      <c r="Q220" s="18" t="n"/>
      <c r="R220" s="43" t="n"/>
      <c r="T220" s="117" t="n"/>
    </row>
    <row r="221">
      <c r="A221" s="134" t="inlineStr">
        <is>
          <t>22622626</t>
        </is>
      </c>
      <c r="B221" s="62" t="inlineStr">
        <is>
          <t>TAVERNITI CAMISA</t>
        </is>
      </c>
      <c r="C221" s="88" t="n">
        <v>66300</v>
      </c>
      <c r="D221" s="88">
        <f>ROUND((C221*1.06)/100,0)*100</f>
        <v/>
      </c>
      <c r="E221" s="88">
        <f>ROUND((C221*1.15)/100,0)*100</f>
        <v/>
      </c>
      <c r="F221" s="22" t="n"/>
      <c r="G221" s="22" t="n"/>
      <c r="H221" s="22" t="n"/>
      <c r="I221" s="22" t="n"/>
      <c r="J221" s="22" t="n"/>
      <c r="K221" s="22" t="n"/>
      <c r="L221" s="219" t="n"/>
      <c r="M221" s="219">
        <f>N221*C221</f>
        <v/>
      </c>
      <c r="N221" s="118" t="n">
        <v>1.05</v>
      </c>
      <c r="O221" s="117" t="n"/>
      <c r="P221" s="43" t="n"/>
      <c r="Q221" s="18" t="n"/>
      <c r="R221" s="43" t="n"/>
      <c r="T221" s="117" t="n"/>
    </row>
    <row r="222">
      <c r="A222" s="134" t="inlineStr">
        <is>
          <t>22712XXX</t>
        </is>
      </c>
      <c r="B222" s="62" t="inlineStr">
        <is>
          <t>TAVERNITI CAMISA</t>
        </is>
      </c>
      <c r="C222" s="88" t="n">
        <v>66300</v>
      </c>
      <c r="D222" s="88">
        <f>ROUND((C222*1.06)/100,0)*100</f>
        <v/>
      </c>
      <c r="E222" s="88">
        <f>ROUND((C222*1.15)/100,0)*100</f>
        <v/>
      </c>
      <c r="F222" s="22" t="n"/>
      <c r="G222" s="22" t="n"/>
      <c r="H222" s="22" t="n"/>
      <c r="I222" s="22" t="n"/>
      <c r="J222" s="22" t="n"/>
      <c r="K222" s="22" t="n"/>
      <c r="L222" s="219" t="n"/>
      <c r="M222" s="219">
        <f>N222*C222</f>
        <v/>
      </c>
      <c r="N222" s="118" t="n">
        <v>1.05</v>
      </c>
      <c r="O222" s="117" t="n"/>
      <c r="P222" s="43" t="n"/>
      <c r="Q222" s="18" t="n"/>
      <c r="R222" s="43" t="n"/>
      <c r="T222" s="117" t="n"/>
    </row>
    <row r="223">
      <c r="A223" s="134" t="inlineStr">
        <is>
          <t>22722XXX</t>
        </is>
      </c>
      <c r="B223" s="62" t="inlineStr">
        <is>
          <t>TAVERNITI CAMISA</t>
        </is>
      </c>
      <c r="C223" s="88" t="n">
        <v>66300</v>
      </c>
      <c r="D223" s="88">
        <f>ROUND((C223*1.06)/100,0)*100</f>
        <v/>
      </c>
      <c r="E223" s="88">
        <f>ROUND((C223*1.15)/100,0)*100</f>
        <v/>
      </c>
      <c r="F223" s="22" t="n"/>
      <c r="G223" s="22" t="n"/>
      <c r="H223" s="22" t="n"/>
      <c r="I223" s="22" t="n"/>
      <c r="J223" s="22" t="n"/>
      <c r="K223" s="22" t="n"/>
      <c r="L223" s="219" t="n"/>
      <c r="M223" s="219">
        <f>N223*C223</f>
        <v/>
      </c>
      <c r="N223" s="118" t="n">
        <v>1.05</v>
      </c>
      <c r="O223" s="117" t="n"/>
      <c r="P223" s="43" t="n"/>
      <c r="Q223" s="18" t="n"/>
      <c r="R223" s="43" t="n"/>
      <c r="T223" s="117" t="n"/>
    </row>
    <row r="224">
      <c r="A224" s="134" t="inlineStr">
        <is>
          <t>22754XXX</t>
        </is>
      </c>
      <c r="B224" s="62" t="inlineStr">
        <is>
          <t>TAVERNITI CAMISA</t>
        </is>
      </c>
      <c r="C224" s="88" t="n">
        <v>83500</v>
      </c>
      <c r="D224" s="88">
        <f>ROUND((C224*1.06)/100,0)*100</f>
        <v/>
      </c>
      <c r="E224" s="88">
        <f>ROUND((C224*1.15)/100,0)*100</f>
        <v/>
      </c>
      <c r="F224" s="22" t="n"/>
      <c r="G224" s="22" t="n"/>
      <c r="H224" s="22" t="n"/>
      <c r="I224" s="22" t="n"/>
      <c r="J224" s="22" t="n"/>
      <c r="K224" s="22" t="n"/>
      <c r="L224" s="219" t="n"/>
      <c r="M224" s="219">
        <f>N224*C224</f>
        <v/>
      </c>
      <c r="N224" s="118" t="n">
        <v>1.05</v>
      </c>
      <c r="O224" s="117" t="n"/>
      <c r="P224" s="43" t="n"/>
      <c r="Q224" s="18" t="n"/>
      <c r="R224" s="43" t="n"/>
      <c r="T224" s="117" t="n"/>
    </row>
    <row r="225">
      <c r="A225" s="134" t="inlineStr">
        <is>
          <t>22834XXX</t>
        </is>
      </c>
      <c r="B225" s="62" t="inlineStr">
        <is>
          <t>TAVERNITI CAMISA</t>
        </is>
      </c>
      <c r="C225" s="88" t="n">
        <v>66300</v>
      </c>
      <c r="D225" s="88">
        <f>ROUND((C225*1.06)/100,0)*100</f>
        <v/>
      </c>
      <c r="E225" s="88">
        <f>ROUND((C225*1.15)/100,0)*100</f>
        <v/>
      </c>
      <c r="F225" s="22" t="n"/>
      <c r="G225" s="22" t="n"/>
      <c r="H225" s="22" t="n"/>
      <c r="I225" s="22" t="n"/>
      <c r="J225" s="22" t="n"/>
      <c r="K225" s="22" t="n"/>
      <c r="L225" s="219" t="n"/>
      <c r="M225" s="219">
        <f>N225*C225</f>
        <v/>
      </c>
      <c r="N225" s="118" t="n">
        <v>1.05</v>
      </c>
      <c r="O225" s="117" t="n"/>
      <c r="P225" s="43" t="n"/>
      <c r="Q225" s="18" t="n"/>
      <c r="R225" s="43" t="n"/>
      <c r="T225" s="117" t="n"/>
    </row>
    <row r="226">
      <c r="A226" s="89" t="inlineStr">
        <is>
          <t>26136XXX</t>
        </is>
      </c>
      <c r="B226" s="135" t="inlineStr">
        <is>
          <t>TAVERNITI CAMISA</t>
        </is>
      </c>
      <c r="C226" s="88" t="n">
        <v>66300</v>
      </c>
      <c r="D226" s="88">
        <f>ROUND((C226*1.06)/100,0)*100</f>
        <v/>
      </c>
      <c r="E226" s="88">
        <f>ROUND((C226*1.15)/100,0)*100</f>
        <v/>
      </c>
      <c r="F226" s="170" t="n"/>
      <c r="G226" s="170" t="n"/>
      <c r="H226" s="170" t="n"/>
      <c r="I226" s="170" t="n"/>
      <c r="J226" s="170" t="n"/>
      <c r="K226" s="170" t="n"/>
      <c r="L226" s="170" t="n"/>
      <c r="M226" s="219">
        <f>N226*C226</f>
        <v/>
      </c>
      <c r="N226" s="118" t="n">
        <v>1.05</v>
      </c>
      <c r="O226" s="117" t="n"/>
      <c r="P226" s="43" t="n"/>
      <c r="Q226" s="18" t="n"/>
      <c r="R226" s="43" t="n"/>
      <c r="S226" s="30" t="n"/>
      <c r="T226" s="170" t="n"/>
      <c r="U226" s="30" t="n"/>
      <c r="V226" s="30" t="n"/>
      <c r="W226" s="30" t="n"/>
      <c r="X226" s="30" t="n"/>
      <c r="Y226" s="30" t="n"/>
      <c r="Z226" s="30" t="n"/>
      <c r="AA226" s="30" t="n"/>
      <c r="AB226" s="30" t="n"/>
      <c r="AC226" s="30" t="n"/>
      <c r="AD226" s="30" t="n"/>
      <c r="AE226" s="30" t="n"/>
      <c r="AF226" s="30" t="n"/>
      <c r="AG226" s="30" t="n"/>
      <c r="AH226" s="30" t="n"/>
      <c r="AI226" s="30" t="n"/>
      <c r="AJ226" s="30" t="n"/>
      <c r="AK226" s="30" t="n"/>
      <c r="AL226" s="30" t="n"/>
      <c r="AM226" s="30" t="n"/>
      <c r="AN226" s="30" t="n"/>
    </row>
    <row r="227">
      <c r="A227" s="89" t="inlineStr">
        <is>
          <t>26138XXX</t>
        </is>
      </c>
      <c r="B227" s="135" t="inlineStr">
        <is>
          <t>TAVERNITI CAMISA</t>
        </is>
      </c>
      <c r="C227" s="88" t="n">
        <v>66300</v>
      </c>
      <c r="D227" s="88">
        <f>ROUND((C227*1.06)/100,0)*100</f>
        <v/>
      </c>
      <c r="E227" s="88">
        <f>ROUND((C227*1.15)/100,0)*100</f>
        <v/>
      </c>
      <c r="F227" s="170" t="n"/>
      <c r="G227" s="170" t="n"/>
      <c r="H227" s="170" t="n"/>
      <c r="I227" s="170" t="n"/>
      <c r="J227" s="170" t="n"/>
      <c r="K227" s="170" t="n"/>
      <c r="L227" s="170" t="n"/>
      <c r="M227" s="219">
        <f>N227*C227</f>
        <v/>
      </c>
      <c r="N227" s="118" t="n">
        <v>1.05</v>
      </c>
      <c r="O227" s="117" t="n"/>
      <c r="P227" s="43" t="n"/>
      <c r="Q227" s="18" t="n"/>
      <c r="R227" s="43" t="n"/>
      <c r="S227" s="30" t="n"/>
      <c r="T227" s="170" t="n"/>
      <c r="U227" s="30" t="n"/>
      <c r="V227" s="30" t="n"/>
      <c r="W227" s="30" t="n"/>
      <c r="X227" s="30" t="n"/>
      <c r="Y227" s="30" t="n"/>
      <c r="Z227" s="30" t="n"/>
      <c r="AA227" s="30" t="n"/>
      <c r="AB227" s="30" t="n"/>
      <c r="AC227" s="30" t="n"/>
      <c r="AD227" s="30" t="n"/>
      <c r="AE227" s="30" t="n"/>
      <c r="AF227" s="30" t="n"/>
      <c r="AG227" s="30" t="n"/>
      <c r="AH227" s="30" t="n"/>
      <c r="AI227" s="30" t="n"/>
      <c r="AJ227" s="30" t="n"/>
      <c r="AK227" s="30" t="n"/>
      <c r="AL227" s="30" t="n"/>
      <c r="AM227" s="30" t="n"/>
      <c r="AN227" s="30" t="n"/>
    </row>
    <row r="228">
      <c r="A228" s="89" t="inlineStr">
        <is>
          <t>26142XXX</t>
        </is>
      </c>
      <c r="B228" s="135" t="inlineStr">
        <is>
          <t>TAVERNITI CAMISA</t>
        </is>
      </c>
      <c r="C228" s="88" t="n">
        <v>88200</v>
      </c>
      <c r="D228" s="88">
        <f>ROUND((C228*1.06)/100,0)*100</f>
        <v/>
      </c>
      <c r="E228" s="88">
        <f>ROUND((C228*1.15)/100,0)*100</f>
        <v/>
      </c>
      <c r="F228" s="170" t="n"/>
      <c r="G228" s="170" t="n"/>
      <c r="H228" s="170" t="n"/>
      <c r="I228" s="170" t="n"/>
      <c r="J228" s="170" t="n"/>
      <c r="K228" s="170" t="n"/>
      <c r="L228" s="170" t="n"/>
      <c r="M228" s="219">
        <f>N228*C228</f>
        <v/>
      </c>
      <c r="N228" s="118" t="n">
        <v>1.05</v>
      </c>
      <c r="O228" s="117" t="n"/>
      <c r="P228" s="59" t="n"/>
      <c r="Q228" s="34" t="n"/>
      <c r="R228" s="59" t="n"/>
      <c r="S228" s="30" t="n"/>
      <c r="T228" s="170" t="n"/>
      <c r="U228" s="30" t="n"/>
      <c r="V228" s="30" t="n"/>
      <c r="W228" s="30" t="n"/>
      <c r="X228" s="30" t="n"/>
      <c r="Y228" s="30" t="n"/>
      <c r="Z228" s="30" t="n"/>
      <c r="AA228" s="30" t="n"/>
      <c r="AB228" s="30" t="n"/>
      <c r="AC228" s="30" t="n"/>
      <c r="AD228" s="30" t="n"/>
      <c r="AE228" s="30" t="n"/>
      <c r="AF228" s="30" t="n"/>
      <c r="AG228" s="30" t="n"/>
      <c r="AH228" s="30" t="n"/>
      <c r="AI228" s="30" t="n"/>
      <c r="AJ228" s="30" t="n"/>
      <c r="AK228" s="30" t="n"/>
      <c r="AL228" s="30" t="n"/>
      <c r="AM228" s="30" t="n"/>
      <c r="AN228" s="30" t="n"/>
    </row>
    <row r="229">
      <c r="A229" s="89" t="inlineStr">
        <is>
          <t>26146XXX</t>
        </is>
      </c>
      <c r="B229" s="135" t="inlineStr">
        <is>
          <t>TAVERNITI CAMISA</t>
        </is>
      </c>
      <c r="C229" s="88" t="n">
        <v>66300</v>
      </c>
      <c r="D229" s="88">
        <f>ROUND((C229*1.06)/100,0)*100</f>
        <v/>
      </c>
      <c r="E229" s="88">
        <f>ROUND((C229*1.15)/100,0)*100</f>
        <v/>
      </c>
      <c r="F229" s="170" t="n"/>
      <c r="G229" s="170" t="n"/>
      <c r="H229" s="170" t="n"/>
      <c r="I229" s="170" t="n"/>
      <c r="J229" s="170" t="n"/>
      <c r="K229" s="170" t="n"/>
      <c r="L229" s="170" t="n"/>
      <c r="M229" s="219">
        <f>N229*C229</f>
        <v/>
      </c>
      <c r="N229" s="118" t="n">
        <v>1.05</v>
      </c>
      <c r="O229" s="117" t="n"/>
      <c r="P229" s="59" t="n"/>
      <c r="Q229" s="34" t="n"/>
      <c r="R229" s="59" t="n"/>
      <c r="S229" s="30" t="n"/>
      <c r="T229" s="170" t="n"/>
      <c r="U229" s="30" t="n"/>
      <c r="V229" s="30" t="n"/>
      <c r="W229" s="30" t="n"/>
      <c r="X229" s="30" t="n"/>
      <c r="Y229" s="30" t="n"/>
      <c r="Z229" s="30" t="n"/>
      <c r="AA229" s="30" t="n"/>
      <c r="AB229" s="30" t="n"/>
      <c r="AC229" s="30" t="n"/>
      <c r="AD229" s="30" t="n"/>
      <c r="AE229" s="30" t="n"/>
      <c r="AF229" s="30" t="n"/>
      <c r="AG229" s="30" t="n"/>
      <c r="AH229" s="30" t="n"/>
      <c r="AI229" s="30" t="n"/>
      <c r="AJ229" s="30" t="n"/>
      <c r="AK229" s="30" t="n"/>
      <c r="AL229" s="30" t="n"/>
      <c r="AM229" s="30" t="n"/>
      <c r="AN229" s="30" t="n"/>
    </row>
    <row r="230">
      <c r="A230" s="134" t="inlineStr">
        <is>
          <t>26174XXX</t>
        </is>
      </c>
      <c r="B230" s="62" t="inlineStr">
        <is>
          <t>TAVERNITI CAMISA</t>
        </is>
      </c>
      <c r="C230" s="88" t="n">
        <v>66300</v>
      </c>
      <c r="D230" s="88">
        <f>ROUND((C230*1.06)/100,0)*100</f>
        <v/>
      </c>
      <c r="E230" s="88">
        <f>ROUND((C230*1.15)/100,0)*100</f>
        <v/>
      </c>
      <c r="F230" s="22" t="n"/>
      <c r="G230" s="22" t="n"/>
      <c r="H230" s="22" t="n"/>
      <c r="I230" s="22" t="n"/>
      <c r="J230" s="22" t="n"/>
      <c r="K230" s="22" t="n"/>
      <c r="L230" s="219" t="n"/>
      <c r="M230" s="219">
        <f>N230*C230</f>
        <v/>
      </c>
      <c r="N230" s="118" t="n">
        <v>1.05</v>
      </c>
      <c r="O230" s="117" t="n"/>
      <c r="P230" s="43" t="n"/>
      <c r="Q230" s="18" t="n"/>
      <c r="R230" s="43" t="n"/>
      <c r="T230" s="117" t="n"/>
    </row>
    <row r="231">
      <c r="A231" s="134" t="inlineStr">
        <is>
          <t>26176XXX</t>
        </is>
      </c>
      <c r="B231" s="62" t="inlineStr">
        <is>
          <t>TAVERNITI CAMISA</t>
        </is>
      </c>
      <c r="C231" s="88" t="n">
        <v>66300</v>
      </c>
      <c r="D231" s="88">
        <f>ROUND((C231*1.06)/100,0)*100</f>
        <v/>
      </c>
      <c r="E231" s="88">
        <f>ROUND((C231*1.15)/100,0)*100</f>
        <v/>
      </c>
      <c r="F231" s="22" t="n"/>
      <c r="G231" s="22" t="n"/>
      <c r="H231" s="22" t="n"/>
      <c r="I231" s="22" t="n"/>
      <c r="J231" s="22" t="n"/>
      <c r="K231" s="22" t="n"/>
      <c r="L231" s="219" t="n"/>
      <c r="M231" s="219">
        <f>N231*C231</f>
        <v/>
      </c>
      <c r="N231" s="118" t="n">
        <v>1.05</v>
      </c>
      <c r="O231" s="117" t="n"/>
      <c r="P231" s="43" t="n"/>
      <c r="Q231" s="18" t="n"/>
      <c r="R231" s="43" t="n"/>
      <c r="T231" s="117" t="n"/>
    </row>
    <row r="232">
      <c r="A232" s="134" t="inlineStr">
        <is>
          <t>26190XXX</t>
        </is>
      </c>
      <c r="B232" s="62" t="inlineStr">
        <is>
          <t>TAVERNITI CAMISA</t>
        </is>
      </c>
      <c r="C232" s="88" t="n">
        <v>66300</v>
      </c>
      <c r="D232" s="88">
        <f>ROUND((C232*1.06)/100,0)*100</f>
        <v/>
      </c>
      <c r="E232" s="88">
        <f>ROUND((C232*1.15)/100,0)*100</f>
        <v/>
      </c>
      <c r="F232" s="22" t="n"/>
      <c r="G232" s="22" t="n"/>
      <c r="H232" s="22" t="n"/>
      <c r="I232" s="22" t="n"/>
      <c r="J232" s="22" t="n"/>
      <c r="K232" s="22" t="n"/>
      <c r="L232" s="219" t="n"/>
      <c r="M232" s="219">
        <f>N232*C232</f>
        <v/>
      </c>
      <c r="N232" s="118" t="n">
        <v>1.05</v>
      </c>
      <c r="O232" s="117" t="n"/>
      <c r="P232" s="43" t="n"/>
      <c r="Q232" s="18" t="n"/>
      <c r="R232" s="43" t="n"/>
      <c r="T232" s="117" t="n"/>
    </row>
    <row r="233">
      <c r="A233" s="134" t="inlineStr">
        <is>
          <t>26202XXX</t>
        </is>
      </c>
      <c r="B233" s="62" t="inlineStr">
        <is>
          <t>TAVERNITI CAMISA</t>
        </is>
      </c>
      <c r="C233" s="88" t="n">
        <v>68500</v>
      </c>
      <c r="D233" s="88">
        <f>ROUND((C233*1.06)/100,0)*100</f>
        <v/>
      </c>
      <c r="E233" s="88">
        <f>ROUND((C233*1.15)/100,0)*100</f>
        <v/>
      </c>
      <c r="F233" s="22" t="n"/>
      <c r="G233" s="22" t="n"/>
      <c r="H233" s="22" t="n"/>
      <c r="I233" s="22" t="n"/>
      <c r="J233" s="22" t="n"/>
      <c r="K233" s="22" t="n"/>
      <c r="L233" s="219" t="n"/>
      <c r="M233" s="219">
        <f>N233*C233</f>
        <v/>
      </c>
      <c r="N233" s="118" t="n">
        <v>1.05</v>
      </c>
      <c r="O233" s="117" t="n"/>
      <c r="P233" s="43" t="n"/>
      <c r="Q233" s="18" t="n"/>
      <c r="R233" s="43" t="n"/>
      <c r="T233" s="117" t="n"/>
    </row>
    <row r="234">
      <c r="A234" s="134" t="inlineStr">
        <is>
          <t>26226XXX</t>
        </is>
      </c>
      <c r="B234" s="62" t="inlineStr">
        <is>
          <t>TAVERNITI CAMISA</t>
        </is>
      </c>
      <c r="C234" s="88" t="n">
        <v>73500</v>
      </c>
      <c r="D234" s="88">
        <f>ROUND((C234*1.06)/100,0)*100</f>
        <v/>
      </c>
      <c r="E234" s="88">
        <f>ROUND((C234*1.15)/100,0)*100</f>
        <v/>
      </c>
      <c r="F234" s="22" t="n"/>
      <c r="G234" s="22" t="n"/>
      <c r="H234" s="22" t="n"/>
      <c r="I234" s="22" t="n"/>
      <c r="J234" s="22" t="n"/>
      <c r="K234" s="22" t="n"/>
      <c r="L234" s="219" t="n"/>
      <c r="M234" s="219">
        <f>N234*C234</f>
        <v/>
      </c>
      <c r="N234" s="118" t="n">
        <v>1.05</v>
      </c>
      <c r="O234" s="117" t="n"/>
      <c r="P234" s="43" t="n"/>
      <c r="Q234" s="18" t="n"/>
      <c r="R234" s="43" t="n"/>
      <c r="T234" s="117" t="n"/>
    </row>
    <row r="235">
      <c r="A235" s="134" t="inlineStr">
        <is>
          <t>26228XXX</t>
        </is>
      </c>
      <c r="B235" s="62" t="inlineStr">
        <is>
          <t>TAVERNITI CAMISA</t>
        </is>
      </c>
      <c r="C235" s="88" t="n">
        <v>73500</v>
      </c>
      <c r="D235" s="88">
        <f>ROUND((C235*1.06)/100,0)*100</f>
        <v/>
      </c>
      <c r="E235" s="88">
        <f>ROUND((C235*1.15)/100,0)*100</f>
        <v/>
      </c>
      <c r="F235" s="22" t="n"/>
      <c r="G235" s="22" t="n"/>
      <c r="H235" s="22" t="n"/>
      <c r="I235" s="22" t="n"/>
      <c r="J235" s="22" t="n"/>
      <c r="K235" s="22" t="n"/>
      <c r="L235" s="219" t="n"/>
      <c r="M235" s="219">
        <f>N235*C235</f>
        <v/>
      </c>
      <c r="N235" s="118" t="n">
        <v>1.05</v>
      </c>
      <c r="O235" s="117" t="n"/>
      <c r="P235" s="43" t="n"/>
      <c r="Q235" s="18" t="n"/>
      <c r="R235" s="43" t="n"/>
      <c r="T235" s="117" t="n"/>
    </row>
    <row r="236">
      <c r="A236" s="134" t="inlineStr">
        <is>
          <t>26236XXX</t>
        </is>
      </c>
      <c r="B236" s="62" t="inlineStr">
        <is>
          <t>TAVERNITI CAMISA</t>
        </is>
      </c>
      <c r="C236" s="88" t="n">
        <v>73500</v>
      </c>
      <c r="D236" s="88">
        <f>ROUND((C236*1.06)/100,0)*100</f>
        <v/>
      </c>
      <c r="E236" s="88">
        <f>ROUND((C236*1.15)/100,0)*100</f>
        <v/>
      </c>
      <c r="F236" s="22" t="n"/>
      <c r="G236" s="22" t="n"/>
      <c r="H236" s="22" t="n"/>
      <c r="I236" s="22" t="n"/>
      <c r="J236" s="22" t="n"/>
      <c r="K236" s="22" t="n"/>
      <c r="L236" s="219" t="n"/>
      <c r="M236" s="219">
        <f>N236*C236</f>
        <v/>
      </c>
      <c r="N236" s="118" t="n">
        <v>1.05</v>
      </c>
      <c r="O236" s="117" t="n"/>
      <c r="P236" s="43" t="n"/>
      <c r="Q236" s="18" t="n"/>
      <c r="R236" s="43" t="n"/>
      <c r="T236" s="117" t="n"/>
    </row>
    <row r="237">
      <c r="A237" s="134" t="inlineStr">
        <is>
          <t>26238XXX</t>
        </is>
      </c>
      <c r="B237" s="62" t="inlineStr">
        <is>
          <t>TAVERNITI CAMISA</t>
        </is>
      </c>
      <c r="C237" s="88" t="n">
        <v>59000</v>
      </c>
      <c r="D237" s="88">
        <f>ROUND((C237*1.06)/100,0)*100</f>
        <v/>
      </c>
      <c r="E237" s="88">
        <f>ROUND((C237*1.15)/100,0)*100</f>
        <v/>
      </c>
      <c r="F237" s="22" t="n"/>
      <c r="G237" s="22" t="n"/>
      <c r="H237" s="22" t="n"/>
      <c r="I237" s="22" t="n"/>
      <c r="J237" s="22" t="n"/>
      <c r="K237" s="22" t="n"/>
      <c r="L237" s="219" t="n"/>
      <c r="M237" s="219">
        <f>N237*C237</f>
        <v/>
      </c>
      <c r="N237" s="118" t="n">
        <v>1.05</v>
      </c>
      <c r="O237" s="117" t="n"/>
      <c r="P237" s="43" t="n"/>
      <c r="Q237" s="18" t="n"/>
      <c r="R237" s="43" t="n"/>
      <c r="T237" s="117" t="n"/>
    </row>
    <row r="238">
      <c r="A238" s="134" t="inlineStr">
        <is>
          <t>26244XXX</t>
        </is>
      </c>
      <c r="B238" s="62" t="inlineStr">
        <is>
          <t>TAVERNITI CAMISA</t>
        </is>
      </c>
      <c r="C238" s="88" t="n">
        <v>73500</v>
      </c>
      <c r="D238" s="88">
        <f>ROUND((C238*1.06)/100,0)*100</f>
        <v/>
      </c>
      <c r="E238" s="88">
        <f>ROUND((C238*1.15)/100,0)*100</f>
        <v/>
      </c>
      <c r="F238" s="22" t="n"/>
      <c r="G238" s="22" t="n"/>
      <c r="H238" s="22" t="n"/>
      <c r="I238" s="22" t="n"/>
      <c r="J238" s="22" t="n"/>
      <c r="K238" s="22" t="n"/>
      <c r="L238" s="219" t="n"/>
      <c r="M238" s="219">
        <f>N238*C238</f>
        <v/>
      </c>
      <c r="N238" s="118" t="n">
        <v>1.05</v>
      </c>
      <c r="O238" s="117" t="n"/>
      <c r="P238" s="43" t="n"/>
      <c r="Q238" s="18" t="n"/>
      <c r="R238" s="43" t="n"/>
      <c r="T238" s="117" t="n"/>
    </row>
    <row r="239">
      <c r="A239" s="134" t="inlineStr">
        <is>
          <t>26246XXX</t>
        </is>
      </c>
      <c r="B239" s="62" t="inlineStr">
        <is>
          <t>TAVERNITI CAMISA</t>
        </is>
      </c>
      <c r="C239" s="88" t="n">
        <v>60300</v>
      </c>
      <c r="D239" s="88">
        <f>ROUND((C239*1.06)/100,0)*100</f>
        <v/>
      </c>
      <c r="E239" s="88">
        <f>ROUND((C239*1.15)/100,0)*100</f>
        <v/>
      </c>
      <c r="F239" s="22" t="n"/>
      <c r="G239" s="22" t="n"/>
      <c r="H239" s="22" t="n"/>
      <c r="I239" s="22" t="n"/>
      <c r="J239" s="22" t="n"/>
      <c r="K239" s="22" t="n"/>
      <c r="L239" s="219" t="n"/>
      <c r="M239" s="219">
        <f>N239*C239</f>
        <v/>
      </c>
      <c r="N239" s="118" t="n">
        <v>1.05</v>
      </c>
      <c r="O239" s="117" t="n"/>
      <c r="P239" s="43" t="n"/>
      <c r="Q239" s="18" t="n"/>
      <c r="R239" s="43" t="n"/>
      <c r="T239" s="117" t="n"/>
    </row>
    <row r="240">
      <c r="A240" s="89" t="inlineStr">
        <is>
          <t>26154XXX</t>
        </is>
      </c>
      <c r="B240" s="135" t="inlineStr">
        <is>
          <t>TAVERNITI CAMISA</t>
        </is>
      </c>
      <c r="C240" s="88" t="n">
        <v>75500</v>
      </c>
      <c r="D240" s="88">
        <f>ROUND((C240*1.06)/100,0)*100</f>
        <v/>
      </c>
      <c r="E240" s="88">
        <f>ROUND((C240*1.15)/100,0)*100</f>
        <v/>
      </c>
      <c r="F240" s="170" t="n"/>
      <c r="G240" s="170" t="n"/>
      <c r="H240" s="170" t="n"/>
      <c r="I240" s="170" t="n"/>
      <c r="J240" s="170" t="n"/>
      <c r="K240" s="170" t="n"/>
      <c r="L240" s="170" t="n"/>
      <c r="M240" s="219">
        <f>N240*C240</f>
        <v/>
      </c>
      <c r="N240" s="118" t="n">
        <v>1.05</v>
      </c>
      <c r="O240" s="117" t="n"/>
      <c r="P240" s="59" t="n"/>
      <c r="Q240" s="34" t="n"/>
      <c r="R240" s="59" t="n"/>
      <c r="S240" s="30" t="n"/>
      <c r="T240" s="170" t="n"/>
      <c r="U240" s="30" t="n"/>
      <c r="V240" s="30" t="n"/>
      <c r="W240" s="30" t="n"/>
      <c r="X240" s="30" t="n"/>
      <c r="Y240" s="30" t="n"/>
      <c r="Z240" s="30" t="n"/>
      <c r="AA240" s="30" t="n"/>
      <c r="AB240" s="30" t="n"/>
      <c r="AC240" s="30" t="n"/>
      <c r="AD240" s="30" t="n"/>
      <c r="AE240" s="30" t="n"/>
      <c r="AF240" s="30" t="n"/>
      <c r="AG240" s="30" t="n"/>
      <c r="AH240" s="30" t="n"/>
      <c r="AI240" s="30" t="n"/>
      <c r="AJ240" s="30" t="n"/>
      <c r="AK240" s="30" t="n"/>
      <c r="AL240" s="30" t="n"/>
      <c r="AM240" s="30" t="n"/>
      <c r="AN240" s="30" t="n"/>
    </row>
    <row r="241">
      <c r="A241" s="89" t="inlineStr">
        <is>
          <t>26252XXX</t>
        </is>
      </c>
      <c r="B241" s="135" t="inlineStr">
        <is>
          <t>TAVERNITI CAMISA</t>
        </is>
      </c>
      <c r="C241" s="88" t="n">
        <v>75500</v>
      </c>
      <c r="D241" s="88">
        <f>ROUND((C241*1.06)/100,0)*100</f>
        <v/>
      </c>
      <c r="E241" s="88">
        <f>ROUND((C241*1.15)/100,0)*100</f>
        <v/>
      </c>
      <c r="F241" s="170" t="n"/>
      <c r="G241" s="170" t="n"/>
      <c r="H241" s="170" t="n"/>
      <c r="I241" s="170" t="n"/>
      <c r="J241" s="170" t="n"/>
      <c r="K241" s="170" t="n"/>
      <c r="L241" s="170" t="n"/>
      <c r="M241" s="219">
        <f>N241*C241</f>
        <v/>
      </c>
      <c r="N241" s="118" t="n">
        <v>1.05</v>
      </c>
      <c r="O241" s="117" t="n"/>
      <c r="P241" s="59" t="n"/>
      <c r="Q241" s="34" t="n"/>
      <c r="R241" s="59" t="n"/>
      <c r="S241" s="30" t="n"/>
      <c r="T241" s="170" t="n"/>
      <c r="U241" s="30" t="n"/>
      <c r="V241" s="30" t="n"/>
      <c r="W241" s="30" t="n"/>
      <c r="X241" s="30" t="n"/>
      <c r="Y241" s="30" t="n"/>
      <c r="Z241" s="30" t="n"/>
      <c r="AA241" s="30" t="n"/>
      <c r="AB241" s="30" t="n"/>
      <c r="AC241" s="30" t="n"/>
      <c r="AD241" s="30" t="n"/>
      <c r="AE241" s="30" t="n"/>
      <c r="AF241" s="30" t="n"/>
      <c r="AG241" s="30" t="n"/>
      <c r="AH241" s="30" t="n"/>
      <c r="AI241" s="30" t="n"/>
      <c r="AJ241" s="30" t="n"/>
      <c r="AK241" s="30" t="n"/>
      <c r="AL241" s="30" t="n"/>
      <c r="AM241" s="30" t="n"/>
      <c r="AN241" s="30" t="n"/>
    </row>
    <row r="242">
      <c r="A242" s="89" t="inlineStr">
        <is>
          <t>26268XXX</t>
        </is>
      </c>
      <c r="B242" s="135" t="inlineStr">
        <is>
          <t>TAVERNITI CAMISA</t>
        </is>
      </c>
      <c r="C242" s="88" t="n">
        <v>83000</v>
      </c>
      <c r="D242" s="88">
        <f>ROUND((C242*1.06)/100,0)*100</f>
        <v/>
      </c>
      <c r="E242" s="88">
        <f>ROUND((C242*1.15)/100,0)*100</f>
        <v/>
      </c>
      <c r="F242" s="170" t="n"/>
      <c r="G242" s="170" t="n"/>
      <c r="H242" s="170" t="n"/>
      <c r="I242" s="170" t="n"/>
      <c r="J242" s="170" t="n"/>
      <c r="K242" s="170" t="n"/>
      <c r="L242" s="170" t="n"/>
      <c r="M242" s="219">
        <f>N242*C242</f>
        <v/>
      </c>
      <c r="N242" s="118" t="n">
        <v>1.05</v>
      </c>
      <c r="O242" s="117" t="n"/>
      <c r="P242" s="59" t="n"/>
      <c r="Q242" s="34" t="n"/>
      <c r="R242" s="59" t="n"/>
      <c r="S242" s="30" t="n"/>
      <c r="T242" s="170" t="n"/>
      <c r="U242" s="30" t="n"/>
      <c r="V242" s="30" t="n"/>
      <c r="W242" s="30" t="n"/>
      <c r="X242" s="30" t="n"/>
      <c r="Y242" s="30" t="n"/>
      <c r="Z242" s="30" t="n"/>
      <c r="AA242" s="30" t="n"/>
      <c r="AB242" s="30" t="n"/>
      <c r="AC242" s="30" t="n"/>
      <c r="AD242" s="30" t="n"/>
      <c r="AE242" s="30" t="n"/>
      <c r="AF242" s="30" t="n"/>
      <c r="AG242" s="30" t="n"/>
      <c r="AH242" s="30" t="n"/>
      <c r="AI242" s="30" t="n"/>
      <c r="AJ242" s="30" t="n"/>
      <c r="AK242" s="30" t="n"/>
      <c r="AL242" s="30" t="n"/>
      <c r="AM242" s="30" t="n"/>
      <c r="AN242" s="30" t="n"/>
    </row>
    <row r="243">
      <c r="A243" s="134" t="inlineStr">
        <is>
          <t>26270XXX</t>
        </is>
      </c>
      <c r="B243" s="62" t="inlineStr">
        <is>
          <t>TAVERNITI CAMISA</t>
        </is>
      </c>
      <c r="C243" s="88" t="n">
        <v>83000</v>
      </c>
      <c r="D243" s="88">
        <f>ROUND((C243*1.06)/100,0)*100</f>
        <v/>
      </c>
      <c r="E243" s="88">
        <f>ROUND((C243*1.15)/100,0)*100</f>
        <v/>
      </c>
      <c r="F243" s="22" t="n"/>
      <c r="G243" s="22" t="n"/>
      <c r="H243" s="22" t="n"/>
      <c r="I243" s="22" t="n"/>
      <c r="J243" s="22" t="n"/>
      <c r="K243" s="22" t="n"/>
      <c r="L243" s="219" t="n"/>
      <c r="M243" s="219">
        <f>N243*C243</f>
        <v/>
      </c>
      <c r="N243" s="118" t="n">
        <v>1.05</v>
      </c>
      <c r="O243" s="117" t="n"/>
      <c r="P243" s="43" t="n"/>
      <c r="Q243" s="18" t="n"/>
      <c r="R243" s="43" t="n"/>
      <c r="T243" s="117" t="n"/>
    </row>
    <row r="244">
      <c r="A244" s="134" t="inlineStr">
        <is>
          <t>26286XXX</t>
        </is>
      </c>
      <c r="B244" s="62" t="inlineStr">
        <is>
          <t>TAVERNITI CAMISA</t>
        </is>
      </c>
      <c r="C244" s="88" t="n">
        <v>83000</v>
      </c>
      <c r="D244" s="88">
        <f>ROUND((C244*1.06)/100,0)*100</f>
        <v/>
      </c>
      <c r="E244" s="88">
        <f>ROUND((C244*1.15)/100,0)*100</f>
        <v/>
      </c>
      <c r="F244" s="22" t="n"/>
      <c r="G244" s="22" t="n"/>
      <c r="H244" s="22" t="n"/>
      <c r="I244" s="22" t="n"/>
      <c r="J244" s="22" t="n"/>
      <c r="K244" s="22" t="n"/>
      <c r="L244" s="219" t="n"/>
      <c r="M244" s="219">
        <f>N244*C244</f>
        <v/>
      </c>
      <c r="N244" s="118" t="n">
        <v>1.05</v>
      </c>
      <c r="O244" s="117" t="n"/>
      <c r="P244" s="43" t="n"/>
      <c r="Q244" s="18" t="n"/>
      <c r="R244" s="43" t="n"/>
      <c r="T244" s="117" t="n"/>
    </row>
    <row r="245">
      <c r="A245" s="89" t="inlineStr">
        <is>
          <t>26300XXX</t>
        </is>
      </c>
      <c r="B245" s="135" t="inlineStr">
        <is>
          <t>TAVERNITI CAMISA</t>
        </is>
      </c>
      <c r="C245" s="88" t="n">
        <v>83200</v>
      </c>
      <c r="D245" s="88">
        <f>ROUND((C245*1.06)/100,0)*100</f>
        <v/>
      </c>
      <c r="E245" s="88">
        <f>ROUND((C245*1.15)/100,0)*100</f>
        <v/>
      </c>
      <c r="F245" s="170" t="n"/>
      <c r="G245" s="170" t="n"/>
      <c r="H245" s="170" t="n"/>
      <c r="I245" s="170" t="n"/>
      <c r="J245" s="170" t="n"/>
      <c r="K245" s="170" t="n"/>
      <c r="L245" s="170" t="n"/>
      <c r="M245" s="219">
        <f>N245*C245</f>
        <v/>
      </c>
      <c r="N245" s="118" t="n">
        <v>1.05</v>
      </c>
      <c r="O245" s="117" t="n"/>
      <c r="P245" s="59" t="n"/>
      <c r="Q245" s="34" t="n"/>
      <c r="R245" s="59" t="n"/>
      <c r="S245" s="30" t="n"/>
      <c r="T245" s="170" t="n"/>
      <c r="U245" s="30" t="n"/>
      <c r="V245" s="30" t="n"/>
      <c r="W245" s="30" t="n"/>
      <c r="X245" s="30" t="n"/>
      <c r="Y245" s="30" t="n"/>
      <c r="Z245" s="30" t="n"/>
      <c r="AA245" s="30" t="n"/>
      <c r="AB245" s="30" t="n"/>
      <c r="AC245" s="30" t="n"/>
      <c r="AD245" s="30" t="n"/>
      <c r="AE245" s="30" t="n"/>
      <c r="AF245" s="30" t="n"/>
      <c r="AG245" s="30" t="n"/>
      <c r="AH245" s="30" t="n"/>
      <c r="AI245" s="30" t="n"/>
      <c r="AJ245" s="30" t="n"/>
      <c r="AK245" s="30" t="n"/>
      <c r="AL245" s="30" t="n"/>
      <c r="AM245" s="30" t="n"/>
      <c r="AN245" s="30" t="n"/>
    </row>
    <row r="246">
      <c r="A246" s="134" t="inlineStr">
        <is>
          <t>26304XXX</t>
        </is>
      </c>
      <c r="B246" s="62" t="inlineStr">
        <is>
          <t>TAVERNITI CAMISA</t>
        </is>
      </c>
      <c r="C246" s="88" t="n">
        <v>79000</v>
      </c>
      <c r="D246" s="88">
        <f>ROUND((C246*1.06)/100,0)*100</f>
        <v/>
      </c>
      <c r="E246" s="88">
        <f>ROUND((C246*1.15)/100,0)*100</f>
        <v/>
      </c>
      <c r="F246" s="22" t="n"/>
      <c r="G246" s="22" t="n"/>
      <c r="H246" s="22" t="n"/>
      <c r="I246" s="22" t="n"/>
      <c r="J246" s="22" t="n"/>
      <c r="K246" s="22" t="n"/>
      <c r="L246" s="219" t="n"/>
      <c r="M246" s="219">
        <f>N246*C246</f>
        <v/>
      </c>
      <c r="N246" s="118" t="n">
        <v>1.05</v>
      </c>
      <c r="O246" s="117" t="n"/>
      <c r="P246" s="43" t="n"/>
      <c r="Q246" s="18" t="n"/>
      <c r="R246" s="43" t="n"/>
      <c r="T246" s="117" t="n"/>
    </row>
    <row r="247">
      <c r="A247" s="134" t="inlineStr">
        <is>
          <t>26310XXX</t>
        </is>
      </c>
      <c r="B247" s="62" t="inlineStr">
        <is>
          <t>TAVERNITI CAMISA</t>
        </is>
      </c>
      <c r="C247" s="88" t="n">
        <v>87600</v>
      </c>
      <c r="D247" s="88">
        <f>ROUND((C247*1.06)/100,0)*100</f>
        <v/>
      </c>
      <c r="E247" s="88">
        <f>ROUND((C247*1.15)/100,0)*100</f>
        <v/>
      </c>
      <c r="F247" s="22" t="n"/>
      <c r="G247" s="22" t="n"/>
      <c r="H247" s="22" t="n"/>
      <c r="I247" s="22" t="n"/>
      <c r="J247" s="22" t="n"/>
      <c r="K247" s="22" t="n"/>
      <c r="L247" s="219" t="n"/>
      <c r="M247" s="219">
        <f>N247*C247</f>
        <v/>
      </c>
      <c r="N247" s="118" t="n">
        <v>1.05</v>
      </c>
      <c r="O247" s="117" t="n"/>
      <c r="P247" s="43" t="n"/>
      <c r="Q247" s="18" t="n"/>
      <c r="R247" s="43" t="n"/>
      <c r="T247" s="117" t="n"/>
    </row>
    <row r="248">
      <c r="A248" s="134" t="inlineStr">
        <is>
          <t>26312XXX</t>
        </is>
      </c>
      <c r="B248" s="62" t="inlineStr">
        <is>
          <t>TAVERNITI CAMISA</t>
        </is>
      </c>
      <c r="C248" s="88" t="n">
        <v>89000</v>
      </c>
      <c r="D248" s="88">
        <f>ROUND((C248*1.06)/100,0)*100</f>
        <v/>
      </c>
      <c r="E248" s="88">
        <f>ROUND((C248*1.15)/100,0)*100</f>
        <v/>
      </c>
      <c r="F248" s="22" t="n"/>
      <c r="G248" s="22" t="n"/>
      <c r="H248" s="22" t="n"/>
      <c r="I248" s="22" t="n"/>
      <c r="J248" s="22" t="n"/>
      <c r="K248" s="22" t="n"/>
      <c r="L248" s="219" t="n"/>
      <c r="M248" s="219">
        <f>N248*C248</f>
        <v/>
      </c>
      <c r="N248" s="118" t="n">
        <v>1.05</v>
      </c>
      <c r="O248" s="117" t="n"/>
      <c r="P248" s="43" t="n"/>
      <c r="Q248" s="18" t="n"/>
      <c r="R248" s="43" t="n"/>
      <c r="T248" s="117" t="n"/>
    </row>
    <row r="249">
      <c r="A249" s="134" t="inlineStr">
        <is>
          <t>26316XXX</t>
        </is>
      </c>
      <c r="B249" s="62" t="inlineStr">
        <is>
          <t>TAVERNITI CAMISA</t>
        </is>
      </c>
      <c r="C249" s="88" t="n">
        <v>88900</v>
      </c>
      <c r="D249" s="88">
        <f>ROUND((C249*1.06)/100,0)*100</f>
        <v/>
      </c>
      <c r="E249" s="88">
        <f>ROUND((C249*1.15)/100,0)*100</f>
        <v/>
      </c>
      <c r="F249" s="22" t="n"/>
      <c r="G249" s="22" t="n"/>
      <c r="H249" s="22" t="n"/>
      <c r="I249" s="22" t="n"/>
      <c r="J249" s="22" t="n"/>
      <c r="K249" s="22" t="n"/>
      <c r="L249" s="219" t="n"/>
      <c r="M249" s="219">
        <f>N249*C249</f>
        <v/>
      </c>
      <c r="N249" s="118" t="n">
        <v>1.05</v>
      </c>
      <c r="O249" s="117" t="n"/>
      <c r="P249" s="43" t="n"/>
      <c r="Q249" s="18" t="n"/>
      <c r="R249" s="43" t="n"/>
      <c r="T249" s="117" t="n"/>
    </row>
    <row r="250">
      <c r="A250" s="89" t="inlineStr">
        <is>
          <t>26456XXX</t>
        </is>
      </c>
      <c r="B250" s="135" t="inlineStr">
        <is>
          <t>TAVERNITI CAMISA</t>
        </is>
      </c>
      <c r="C250" s="88" t="n">
        <v>88600</v>
      </c>
      <c r="D250" s="88">
        <f>ROUND((C250*1.06)/100,0)*100</f>
        <v/>
      </c>
      <c r="E250" s="88">
        <f>ROUND((C250*1.15)/100,0)*100</f>
        <v/>
      </c>
      <c r="F250" s="170" t="n"/>
      <c r="G250" s="170" t="n"/>
      <c r="H250" s="170" t="n"/>
      <c r="I250" s="170" t="n"/>
      <c r="J250" s="170" t="n"/>
      <c r="K250" s="170" t="n"/>
      <c r="L250" s="170" t="n"/>
      <c r="M250" s="88">
        <f>N250*C250</f>
        <v/>
      </c>
      <c r="N250" s="118" t="n">
        <v>1.05</v>
      </c>
      <c r="O250" s="170" t="n"/>
      <c r="P250" s="170" t="n"/>
      <c r="Q250" s="30" t="n"/>
      <c r="R250" s="170" t="n"/>
      <c r="S250" s="30" t="n"/>
      <c r="T250" s="170" t="n"/>
      <c r="U250" s="30" t="n"/>
      <c r="V250" s="30" t="n"/>
      <c r="W250" s="30" t="n"/>
      <c r="X250" s="30" t="n"/>
      <c r="Y250" s="30" t="n"/>
      <c r="Z250" s="30" t="n"/>
      <c r="AA250" s="30" t="n"/>
      <c r="AB250" s="30" t="n"/>
      <c r="AC250" s="30" t="n"/>
      <c r="AD250" s="30" t="n"/>
      <c r="AE250" s="30" t="n"/>
      <c r="AF250" s="30" t="n"/>
      <c r="AG250" s="30" t="n"/>
      <c r="AH250" s="30" t="n"/>
      <c r="AI250" s="30" t="n"/>
      <c r="AJ250" s="30" t="n"/>
      <c r="AK250" s="30" t="n"/>
      <c r="AL250" s="30" t="n"/>
      <c r="AM250" s="30" t="n"/>
      <c r="AN250" s="30" t="n"/>
      <c r="AO250" s="30" t="n"/>
    </row>
    <row r="251">
      <c r="A251" s="134" t="inlineStr">
        <is>
          <t>26484XXX</t>
        </is>
      </c>
      <c r="B251" s="62" t="inlineStr">
        <is>
          <t>TAVERNITI CAMISA</t>
        </is>
      </c>
      <c r="C251" s="88" t="n">
        <v>88600</v>
      </c>
      <c r="D251" s="88">
        <f>ROUND((C251*1.06)/100,0)*100</f>
        <v/>
      </c>
      <c r="E251" s="88">
        <f>ROUND((C251*1.15)/100,0)*100</f>
        <v/>
      </c>
      <c r="F251" s="22" t="n"/>
      <c r="G251" s="22" t="n"/>
      <c r="H251" s="22" t="n"/>
      <c r="I251" s="22" t="n"/>
      <c r="J251" s="22" t="n"/>
      <c r="K251" s="22" t="n"/>
      <c r="L251" s="219" t="n"/>
      <c r="M251" s="219">
        <f>N251*C251</f>
        <v/>
      </c>
      <c r="N251" s="118" t="n">
        <v>1.05</v>
      </c>
      <c r="O251" s="117" t="n"/>
      <c r="P251" s="43" t="n"/>
      <c r="Q251" s="18" t="n"/>
      <c r="R251" s="43" t="n"/>
      <c r="T251" s="117" t="n"/>
    </row>
    <row r="252">
      <c r="A252" s="134" t="inlineStr">
        <is>
          <t>26486XXX</t>
        </is>
      </c>
      <c r="B252" s="62" t="inlineStr">
        <is>
          <t>TAVERNITI CAMISA</t>
        </is>
      </c>
      <c r="C252" s="88" t="n">
        <v>89000</v>
      </c>
      <c r="D252" s="88">
        <f>ROUND((C252*1.06)/100,0)*100</f>
        <v/>
      </c>
      <c r="E252" s="88">
        <f>ROUND((C252*1.15)/100,0)*100</f>
        <v/>
      </c>
      <c r="F252" s="22" t="n"/>
      <c r="G252" s="22" t="n"/>
      <c r="H252" s="22" t="n"/>
      <c r="I252" s="22" t="n"/>
      <c r="J252" s="22" t="n"/>
      <c r="K252" s="22" t="n"/>
      <c r="L252" s="219" t="n"/>
      <c r="M252" s="219">
        <f>N252*C252</f>
        <v/>
      </c>
      <c r="N252" s="118" t="n">
        <v>1.05</v>
      </c>
      <c r="O252" s="117" t="n"/>
      <c r="P252" s="43" t="n"/>
      <c r="Q252" s="18" t="n"/>
      <c r="R252" s="43" t="n"/>
      <c r="T252" s="117" t="n"/>
    </row>
    <row r="253">
      <c r="A253" s="134" t="inlineStr">
        <is>
          <t>26496XXX</t>
        </is>
      </c>
      <c r="B253" s="62" t="inlineStr">
        <is>
          <t>TAVERNITI CAMISA</t>
        </is>
      </c>
      <c r="C253" s="88" t="n">
        <v>89000</v>
      </c>
      <c r="D253" s="88">
        <f>ROUND((C253*1.06)/100,0)*100</f>
        <v/>
      </c>
      <c r="E253" s="88">
        <f>ROUND((C253*1.15)/100,0)*100</f>
        <v/>
      </c>
      <c r="F253" s="22" t="n"/>
      <c r="G253" s="22" t="n"/>
      <c r="H253" s="22" t="n"/>
      <c r="I253" s="22" t="n"/>
      <c r="J253" s="22" t="n"/>
      <c r="K253" s="22" t="n"/>
      <c r="L253" s="219" t="n"/>
      <c r="M253" s="219">
        <f>N253*C253</f>
        <v/>
      </c>
      <c r="N253" s="118" t="n">
        <v>1.05</v>
      </c>
      <c r="O253" s="117" t="n"/>
      <c r="P253" s="43" t="n"/>
      <c r="Q253" s="18" t="n"/>
      <c r="R253" s="43" t="n"/>
      <c r="T253" s="117" t="n"/>
    </row>
    <row r="254">
      <c r="A254" s="89" t="inlineStr">
        <is>
          <t>26522XXX</t>
        </is>
      </c>
      <c r="B254" s="135" t="inlineStr">
        <is>
          <t>TAVERNITI CAMISA</t>
        </is>
      </c>
      <c r="C254" s="88" t="n">
        <v>89000</v>
      </c>
      <c r="D254" s="88">
        <f>ROUND((C254*1.06)/100,0)*100</f>
        <v/>
      </c>
      <c r="E254" s="88">
        <f>ROUND((C254*1.15)/100,0)*100</f>
        <v/>
      </c>
      <c r="F254" s="170" t="n"/>
      <c r="G254" s="170" t="n"/>
      <c r="H254" s="170" t="n"/>
      <c r="I254" s="170" t="n"/>
      <c r="J254" s="170" t="n"/>
      <c r="K254" s="170" t="n"/>
      <c r="L254" s="170" t="n"/>
      <c r="M254" s="88">
        <f>N254*C254</f>
        <v/>
      </c>
      <c r="N254" s="118" t="n">
        <v>1.05</v>
      </c>
      <c r="O254" s="170" t="n"/>
      <c r="P254" s="170" t="n"/>
      <c r="Q254" s="30" t="n"/>
      <c r="R254" s="170" t="n"/>
      <c r="S254" s="30" t="n"/>
      <c r="T254" s="170" t="n"/>
      <c r="U254" s="30" t="n"/>
      <c r="V254" s="30" t="n"/>
      <c r="W254" s="30" t="n"/>
      <c r="X254" s="30" t="n"/>
      <c r="Y254" s="30" t="n"/>
      <c r="Z254" s="30" t="n"/>
      <c r="AA254" s="30" t="n"/>
      <c r="AB254" s="30" t="n"/>
      <c r="AC254" s="30" t="n"/>
      <c r="AD254" s="30" t="n"/>
      <c r="AE254" s="30" t="n"/>
      <c r="AF254" s="30" t="n"/>
      <c r="AG254" s="30" t="n"/>
      <c r="AH254" s="30" t="n"/>
      <c r="AI254" s="30" t="n"/>
      <c r="AJ254" s="30" t="n"/>
      <c r="AK254" s="30" t="n"/>
      <c r="AL254" s="30" t="n"/>
      <c r="AM254" s="30" t="n"/>
      <c r="AN254" s="30" t="n"/>
      <c r="AO254" s="30" t="n"/>
    </row>
    <row r="255">
      <c r="A255" s="89" t="inlineStr">
        <is>
          <t>26524XXX</t>
        </is>
      </c>
      <c r="B255" s="135" t="inlineStr">
        <is>
          <t>TAVERNITI CAMISA</t>
        </is>
      </c>
      <c r="C255" s="88" t="n">
        <v>89000</v>
      </c>
      <c r="D255" s="88">
        <f>ROUND((C255*1.06)/100,0)*100</f>
        <v/>
      </c>
      <c r="E255" s="88">
        <f>ROUND((C255*1.15)/100,0)*100</f>
        <v/>
      </c>
      <c r="F255" s="170" t="n"/>
      <c r="G255" s="170" t="n"/>
      <c r="H255" s="170" t="n"/>
      <c r="I255" s="170" t="n"/>
      <c r="J255" s="170" t="n"/>
      <c r="K255" s="170" t="n"/>
      <c r="L255" s="170" t="n"/>
      <c r="M255" s="88">
        <f>N255*C255</f>
        <v/>
      </c>
      <c r="N255" s="118" t="n">
        <v>1.05</v>
      </c>
      <c r="O255" s="170" t="n"/>
      <c r="P255" s="170" t="n"/>
      <c r="Q255" s="30" t="n"/>
      <c r="R255" s="170" t="n"/>
      <c r="S255" s="30" t="n"/>
      <c r="T255" s="170" t="n"/>
      <c r="U255" s="30" t="n"/>
      <c r="V255" s="30" t="n"/>
      <c r="W255" s="30" t="n"/>
      <c r="X255" s="30" t="n"/>
      <c r="Y255" s="30" t="n"/>
      <c r="Z255" s="30" t="n"/>
      <c r="AA255" s="30" t="n"/>
      <c r="AB255" s="30" t="n"/>
      <c r="AC255" s="30" t="n"/>
      <c r="AD255" s="30" t="n"/>
      <c r="AE255" s="30" t="n"/>
      <c r="AF255" s="30" t="n"/>
      <c r="AG255" s="30" t="n"/>
      <c r="AH255" s="30" t="n"/>
      <c r="AI255" s="30" t="n"/>
      <c r="AJ255" s="30" t="n"/>
      <c r="AK255" s="30" t="n"/>
      <c r="AL255" s="30" t="n"/>
      <c r="AM255" s="30" t="n"/>
      <c r="AN255" s="30" t="n"/>
      <c r="AO255" s="30" t="n"/>
    </row>
    <row r="256">
      <c r="A256" s="89" t="inlineStr">
        <is>
          <t>26526XXX</t>
        </is>
      </c>
      <c r="B256" s="135" t="inlineStr">
        <is>
          <t>TAVERNITI CAMISA</t>
        </is>
      </c>
      <c r="C256" s="88" t="n">
        <v>89000</v>
      </c>
      <c r="D256" s="88">
        <f>ROUND((C256*1.06)/100,0)*100</f>
        <v/>
      </c>
      <c r="E256" s="88">
        <f>ROUND((C256*1.15)/100,0)*100</f>
        <v/>
      </c>
      <c r="F256" s="170" t="n"/>
      <c r="G256" s="170" t="n"/>
      <c r="H256" s="170" t="n"/>
      <c r="I256" s="170" t="n"/>
      <c r="J256" s="170" t="n"/>
      <c r="K256" s="170" t="n"/>
      <c r="L256" s="170" t="n"/>
      <c r="M256" s="88">
        <f>N256*C256</f>
        <v/>
      </c>
      <c r="N256" s="118" t="n">
        <v>1.05</v>
      </c>
      <c r="O256" s="170" t="n"/>
      <c r="P256" s="170" t="n"/>
      <c r="Q256" s="30" t="n"/>
      <c r="R256" s="170" t="n"/>
      <c r="S256" s="30" t="n"/>
      <c r="T256" s="170" t="n"/>
      <c r="U256" s="30" t="n"/>
      <c r="V256" s="30" t="n"/>
      <c r="W256" s="30" t="n"/>
      <c r="X256" s="30" t="n"/>
      <c r="Y256" s="30" t="n"/>
      <c r="Z256" s="30" t="n"/>
      <c r="AA256" s="30" t="n"/>
      <c r="AB256" s="30" t="n"/>
      <c r="AC256" s="30" t="n"/>
      <c r="AD256" s="30" t="n"/>
      <c r="AE256" s="30" t="n"/>
      <c r="AF256" s="30" t="n"/>
      <c r="AG256" s="30" t="n"/>
      <c r="AH256" s="30" t="n"/>
      <c r="AI256" s="30" t="n"/>
      <c r="AJ256" s="30" t="n"/>
      <c r="AK256" s="30" t="n"/>
      <c r="AL256" s="30" t="n"/>
      <c r="AM256" s="30" t="n"/>
      <c r="AN256" s="30" t="n"/>
      <c r="AO256" s="30" t="n"/>
    </row>
    <row r="257">
      <c r="A257" s="134" t="inlineStr">
        <is>
          <t>26530XXX</t>
        </is>
      </c>
      <c r="B257" s="62" t="inlineStr">
        <is>
          <t>TAVERNITI CAMISA</t>
        </is>
      </c>
      <c r="C257" s="88" t="n">
        <v>89000</v>
      </c>
      <c r="D257" s="88">
        <f>ROUND((C257*1.06)/100,0)*100</f>
        <v/>
      </c>
      <c r="E257" s="88">
        <f>ROUND((C257*1.15)/100,0)*100</f>
        <v/>
      </c>
      <c r="F257" s="22" t="n"/>
      <c r="G257" s="22" t="n"/>
      <c r="H257" s="22" t="n"/>
      <c r="I257" s="22" t="n"/>
      <c r="J257" s="22" t="n"/>
      <c r="K257" s="22" t="n"/>
      <c r="L257" s="219" t="n"/>
      <c r="M257" s="219">
        <f>N257*C257</f>
        <v/>
      </c>
      <c r="N257" s="118" t="n">
        <v>1.05</v>
      </c>
      <c r="O257" s="117" t="n"/>
      <c r="P257" s="43" t="n"/>
      <c r="Q257" s="18" t="n"/>
      <c r="R257" s="43" t="n"/>
      <c r="T257" s="117" t="n"/>
    </row>
    <row r="258">
      <c r="A258" s="134" t="inlineStr">
        <is>
          <t>26538XXX</t>
        </is>
      </c>
      <c r="B258" s="62" t="inlineStr">
        <is>
          <t>TAVERNITI CAMISA</t>
        </is>
      </c>
      <c r="C258" s="88" t="n">
        <v>89000</v>
      </c>
      <c r="D258" s="88">
        <f>ROUND((C258*1.06)/100,0)*100</f>
        <v/>
      </c>
      <c r="E258" s="88">
        <f>ROUND((C258*1.15)/100,0)*100</f>
        <v/>
      </c>
      <c r="F258" s="22" t="n"/>
      <c r="G258" s="22" t="n"/>
      <c r="H258" s="22" t="n"/>
      <c r="I258" s="22" t="n"/>
      <c r="J258" s="22" t="n"/>
      <c r="K258" s="22" t="n"/>
      <c r="L258" s="219" t="n"/>
      <c r="M258" s="219">
        <f>N258*C258</f>
        <v/>
      </c>
      <c r="N258" s="118" t="n">
        <v>1.05</v>
      </c>
      <c r="O258" s="117" t="n"/>
      <c r="P258" s="43" t="n"/>
      <c r="Q258" s="18" t="n"/>
      <c r="R258" s="43" t="n"/>
      <c r="T258" s="117" t="n"/>
    </row>
    <row r="259">
      <c r="A259" s="134" t="inlineStr">
        <is>
          <t>26544XXX</t>
        </is>
      </c>
      <c r="B259" s="62" t="inlineStr">
        <is>
          <t>TAVERNITI CAMISA</t>
        </is>
      </c>
      <c r="C259" s="88" t="n">
        <v>88600</v>
      </c>
      <c r="D259" s="88">
        <f>ROUND((C259*1.06)/100,0)*100</f>
        <v/>
      </c>
      <c r="E259" s="88">
        <f>ROUND((C259*1.15)/100,0)*100</f>
        <v/>
      </c>
      <c r="F259" s="22" t="n"/>
      <c r="G259" s="22" t="n"/>
      <c r="H259" s="22" t="n"/>
      <c r="I259" s="22" t="n"/>
      <c r="J259" s="22" t="n"/>
      <c r="K259" s="22" t="n"/>
      <c r="L259" s="219" t="n"/>
      <c r="M259" s="219">
        <f>N259*C259</f>
        <v/>
      </c>
      <c r="N259" s="118" t="n">
        <v>1.05</v>
      </c>
      <c r="O259" s="117" t="n"/>
      <c r="P259" s="43" t="n"/>
      <c r="Q259" s="18" t="n"/>
      <c r="R259" s="43" t="n"/>
      <c r="T259" s="117" t="n"/>
    </row>
    <row r="260">
      <c r="A260" s="134" t="inlineStr">
        <is>
          <t>26548XXX</t>
        </is>
      </c>
      <c r="B260" s="62" t="inlineStr">
        <is>
          <t>TAVERNITI CAMISA</t>
        </is>
      </c>
      <c r="C260" s="88" t="n">
        <v>88600</v>
      </c>
      <c r="D260" s="88">
        <f>ROUND((C260*1.06)/100,0)*100</f>
        <v/>
      </c>
      <c r="E260" s="88">
        <f>ROUND((C260*1.15)/100,0)*100</f>
        <v/>
      </c>
      <c r="F260" s="22" t="n"/>
      <c r="G260" s="22" t="n"/>
      <c r="H260" s="22" t="n"/>
      <c r="I260" s="22" t="n"/>
      <c r="J260" s="22" t="n"/>
      <c r="K260" s="22" t="n"/>
      <c r="L260" s="219" t="n"/>
      <c r="M260" s="219">
        <f>N260*C260</f>
        <v/>
      </c>
      <c r="N260" s="118" t="n">
        <v>1.05</v>
      </c>
      <c r="O260" s="117" t="n"/>
      <c r="P260" s="43" t="n"/>
      <c r="Q260" s="18" t="n"/>
      <c r="R260" s="43" t="n"/>
      <c r="T260" s="117" t="n"/>
    </row>
    <row r="261">
      <c r="A261" s="134" t="inlineStr">
        <is>
          <t>26550XXX</t>
        </is>
      </c>
      <c r="B261" s="62" t="inlineStr">
        <is>
          <t>TAVERNITI CAMISA</t>
        </is>
      </c>
      <c r="C261" s="88" t="n">
        <v>88600</v>
      </c>
      <c r="D261" s="88">
        <f>ROUND((C261*1.06)/100,0)*100</f>
        <v/>
      </c>
      <c r="E261" s="88">
        <f>ROUND((C261*1.15)/100,0)*100</f>
        <v/>
      </c>
      <c r="F261" s="22" t="n"/>
      <c r="G261" s="22" t="n"/>
      <c r="H261" s="22" t="n"/>
      <c r="I261" s="22" t="n"/>
      <c r="J261" s="22" t="n"/>
      <c r="K261" s="22" t="n"/>
      <c r="L261" s="219" t="n"/>
      <c r="M261" s="219">
        <f>N261*C261</f>
        <v/>
      </c>
      <c r="N261" s="118" t="n">
        <v>1.05</v>
      </c>
      <c r="O261" s="117" t="n"/>
      <c r="P261" s="43" t="n"/>
      <c r="Q261" s="18" t="n"/>
      <c r="R261" s="43" t="n"/>
      <c r="T261" s="117" t="n"/>
    </row>
    <row r="262">
      <c r="A262" s="134" t="inlineStr">
        <is>
          <t>26552XXX</t>
        </is>
      </c>
      <c r="B262" s="62" t="inlineStr">
        <is>
          <t>TAVERNITI CAMISA</t>
        </is>
      </c>
      <c r="C262" s="88" t="n">
        <v>88600</v>
      </c>
      <c r="D262" s="88">
        <f>ROUND((C262*1.06)/100,0)*100</f>
        <v/>
      </c>
      <c r="E262" s="88">
        <f>ROUND((C262*1.15)/100,0)*100</f>
        <v/>
      </c>
      <c r="F262" s="22" t="n"/>
      <c r="G262" s="22" t="n"/>
      <c r="H262" s="22" t="n"/>
      <c r="I262" s="22" t="n"/>
      <c r="J262" s="22" t="n"/>
      <c r="K262" s="22" t="n"/>
      <c r="L262" s="219" t="n"/>
      <c r="M262" s="219">
        <f>N262*C262</f>
        <v/>
      </c>
      <c r="N262" s="118" t="n">
        <v>1.05</v>
      </c>
      <c r="O262" s="117" t="n"/>
      <c r="P262" s="43" t="n"/>
      <c r="Q262" s="18" t="n"/>
      <c r="R262" s="43" t="n"/>
      <c r="T262" s="117" t="n"/>
    </row>
    <row r="263">
      <c r="A263" s="134" t="inlineStr">
        <is>
          <t>26652XXX</t>
        </is>
      </c>
      <c r="B263" s="62" t="inlineStr">
        <is>
          <t>TAVERNITI CAMISA</t>
        </is>
      </c>
      <c r="C263" s="88" t="n">
        <v>99400</v>
      </c>
      <c r="D263" s="88">
        <f>ROUND((C263*1.06)/100,0)*100</f>
        <v/>
      </c>
      <c r="E263" s="88">
        <f>ROUND((C263*1.15)/100,0)*100</f>
        <v/>
      </c>
      <c r="F263" s="22" t="n"/>
      <c r="G263" s="22" t="n"/>
      <c r="H263" s="22" t="n"/>
      <c r="I263" s="22" t="n"/>
      <c r="J263" s="22" t="n"/>
      <c r="K263" s="22" t="n"/>
      <c r="L263" s="219" t="n"/>
      <c r="M263" s="219">
        <f>N263*C263</f>
        <v/>
      </c>
      <c r="N263" s="118" t="n">
        <v>1.05</v>
      </c>
      <c r="O263" s="117" t="n"/>
      <c r="P263" s="43" t="n"/>
      <c r="Q263" s="18" t="n"/>
      <c r="R263" s="43" t="n"/>
      <c r="T263" s="117" t="n"/>
    </row>
    <row r="264">
      <c r="A264" s="134" t="inlineStr">
        <is>
          <t>26658XXX</t>
        </is>
      </c>
      <c r="B264" s="62" t="inlineStr">
        <is>
          <t>TAVERNITI CAMISA</t>
        </is>
      </c>
      <c r="C264" s="88" t="n">
        <v>89600</v>
      </c>
      <c r="D264" s="88">
        <f>ROUND((C264*1.06)/100,0)*100</f>
        <v/>
      </c>
      <c r="E264" s="88">
        <f>ROUND((C264*1.15)/100,0)*100</f>
        <v/>
      </c>
      <c r="F264" s="22" t="n"/>
      <c r="G264" s="22" t="n"/>
      <c r="H264" s="22" t="n"/>
      <c r="I264" s="22" t="n"/>
      <c r="J264" s="22" t="n"/>
      <c r="K264" s="22" t="n"/>
      <c r="L264" s="219" t="n"/>
      <c r="M264" s="219">
        <f>N264*C264</f>
        <v/>
      </c>
      <c r="N264" s="118" t="n">
        <v>1.05</v>
      </c>
      <c r="O264" s="117" t="n"/>
      <c r="P264" s="43" t="n"/>
      <c r="Q264" s="18" t="n"/>
      <c r="R264" s="43" t="n"/>
      <c r="T264" s="117" t="n"/>
    </row>
    <row r="265">
      <c r="A265" s="134" t="inlineStr">
        <is>
          <t>26662XXX</t>
        </is>
      </c>
      <c r="B265" s="62" t="inlineStr">
        <is>
          <t>TAVERNITI CAMISA</t>
        </is>
      </c>
      <c r="C265" s="88" t="n">
        <v>89600</v>
      </c>
      <c r="D265" s="88">
        <f>ROUND((C265*1.06)/100,0)*100</f>
        <v/>
      </c>
      <c r="E265" s="88">
        <f>ROUND((C265*1.15)/100,0)*100</f>
        <v/>
      </c>
      <c r="F265" s="22" t="n"/>
      <c r="G265" s="22" t="n"/>
      <c r="H265" s="22" t="n"/>
      <c r="I265" s="22" t="n"/>
      <c r="J265" s="22" t="n"/>
      <c r="K265" s="22" t="n"/>
      <c r="L265" s="219" t="n"/>
      <c r="M265" s="219">
        <f>N265*C265</f>
        <v/>
      </c>
      <c r="N265" s="118" t="n">
        <v>1.05</v>
      </c>
      <c r="O265" s="117" t="n"/>
      <c r="P265" s="43" t="n"/>
      <c r="Q265" s="18" t="n"/>
      <c r="R265" s="43" t="n"/>
      <c r="T265" s="117" t="n"/>
    </row>
    <row r="266">
      <c r="A266" s="134" t="inlineStr">
        <is>
          <t>26666XXX</t>
        </is>
      </c>
      <c r="B266" s="62" t="inlineStr">
        <is>
          <t>TAVERNITI CAMISA</t>
        </is>
      </c>
      <c r="C266" s="88" t="n">
        <v>89600</v>
      </c>
      <c r="D266" s="88">
        <f>ROUND((C266*1.06)/100,0)*100</f>
        <v/>
      </c>
      <c r="E266" s="88">
        <f>ROUND((C266*1.15)/100,0)*100</f>
        <v/>
      </c>
      <c r="F266" s="22" t="n"/>
      <c r="G266" s="22" t="n"/>
      <c r="H266" s="22" t="n"/>
      <c r="I266" s="22" t="n"/>
      <c r="J266" s="22" t="n"/>
      <c r="K266" s="22" t="n"/>
      <c r="L266" s="219" t="n"/>
      <c r="M266" s="219">
        <f>N266*C266</f>
        <v/>
      </c>
      <c r="N266" s="118" t="n">
        <v>1.05</v>
      </c>
      <c r="O266" s="117" t="n"/>
      <c r="P266" s="43" t="n"/>
      <c r="Q266" s="18" t="n"/>
      <c r="R266" s="43" t="n"/>
      <c r="T266" s="117" t="n"/>
    </row>
    <row r="267">
      <c r="A267" s="134" t="inlineStr">
        <is>
          <t>26692XXX</t>
        </is>
      </c>
      <c r="B267" s="62" t="inlineStr">
        <is>
          <t>02621-878</t>
        </is>
      </c>
      <c r="C267" s="88" t="n">
        <v>89600</v>
      </c>
      <c r="D267" s="88">
        <f>ROUND((C267*1.06)/100,0)*100</f>
        <v/>
      </c>
      <c r="E267" s="88">
        <f>ROUND((C267*1.15)/100,0)*100</f>
        <v/>
      </c>
      <c r="F267" s="22" t="n"/>
      <c r="G267" s="22" t="n"/>
      <c r="H267" s="22" t="n"/>
      <c r="I267" s="22" t="n"/>
      <c r="J267" s="22" t="n"/>
      <c r="K267" s="22" t="n"/>
      <c r="L267" s="219" t="n"/>
      <c r="M267" s="219">
        <f>N267*C267</f>
        <v/>
      </c>
      <c r="N267" s="118" t="n">
        <v>1.05</v>
      </c>
      <c r="O267" s="117" t="n"/>
      <c r="P267" s="43" t="n"/>
      <c r="Q267" s="18" t="n"/>
      <c r="R267" s="43" t="n"/>
      <c r="T267" s="117" t="n"/>
    </row>
    <row r="268">
      <c r="A268" s="134" t="inlineStr">
        <is>
          <t>26696XXX</t>
        </is>
      </c>
      <c r="B268" s="62" t="inlineStr">
        <is>
          <t>TAVERNITI CAMISA</t>
        </is>
      </c>
      <c r="C268" s="88" t="n">
        <v>83500</v>
      </c>
      <c r="D268" s="88">
        <f>ROUND((C268*1.06)/100,0)*100</f>
        <v/>
      </c>
      <c r="E268" s="88">
        <f>ROUND((C268*1.15)/100,0)*100</f>
        <v/>
      </c>
      <c r="F268" s="22" t="n"/>
      <c r="G268" s="22" t="n"/>
      <c r="H268" s="22" t="n"/>
      <c r="I268" s="22" t="n"/>
      <c r="J268" s="22" t="n"/>
      <c r="K268" s="22" t="n"/>
      <c r="L268" s="219" t="n"/>
      <c r="M268" s="219">
        <f>N268*C268</f>
        <v/>
      </c>
      <c r="N268" s="118" t="n">
        <v>1.05</v>
      </c>
      <c r="O268" s="117" t="n"/>
      <c r="P268" s="43" t="n"/>
      <c r="Q268" s="18" t="n"/>
      <c r="R268" s="43" t="n"/>
      <c r="T268" s="117" t="n"/>
    </row>
    <row r="269">
      <c r="A269" s="134" t="inlineStr">
        <is>
          <t>26698XXX</t>
        </is>
      </c>
      <c r="B269" s="62" t="inlineStr">
        <is>
          <t>TAVERNITI CAMISA</t>
        </is>
      </c>
      <c r="C269" s="88" t="n">
        <v>83500</v>
      </c>
      <c r="D269" s="88">
        <f>ROUND((C269*1.06)/100,0)*100</f>
        <v/>
      </c>
      <c r="E269" s="88">
        <f>ROUND((C269*1.15)/100,0)*100</f>
        <v/>
      </c>
      <c r="F269" s="22" t="n"/>
      <c r="G269" s="22" t="n"/>
      <c r="H269" s="22" t="n"/>
      <c r="I269" s="22" t="n"/>
      <c r="J269" s="22" t="n"/>
      <c r="K269" s="22" t="n"/>
      <c r="L269" s="219" t="n"/>
      <c r="M269" s="219">
        <f>N269*C269</f>
        <v/>
      </c>
      <c r="N269" s="118" t="n">
        <v>1.05</v>
      </c>
      <c r="O269" s="117" t="n"/>
      <c r="P269" s="43" t="n"/>
      <c r="Q269" s="18" t="n"/>
      <c r="R269" s="43" t="n"/>
      <c r="T269" s="117" t="n"/>
    </row>
    <row r="270">
      <c r="A270" s="89" t="inlineStr">
        <is>
          <t>26722XXX</t>
        </is>
      </c>
      <c r="B270" s="135" t="inlineStr">
        <is>
          <t>TAVERNITI CAMISA</t>
        </is>
      </c>
      <c r="C270" s="88" t="n">
        <v>83500</v>
      </c>
      <c r="D270" s="88">
        <f>ROUND((C270*1.06)/100,0)*100</f>
        <v/>
      </c>
      <c r="E270" s="88">
        <f>ROUND((C270*1.15)/100,0)*100</f>
        <v/>
      </c>
      <c r="F270" s="170" t="n"/>
      <c r="G270" s="170" t="n"/>
      <c r="H270" s="170" t="n"/>
      <c r="I270" s="170" t="n"/>
      <c r="J270" s="170" t="n"/>
      <c r="K270" s="170" t="n"/>
      <c r="L270" s="170" t="n"/>
      <c r="M270" s="88">
        <f>N270*C270</f>
        <v/>
      </c>
      <c r="N270" s="118" t="n">
        <v>1.05</v>
      </c>
      <c r="O270" s="170" t="n"/>
      <c r="P270" s="170" t="n"/>
      <c r="Q270" s="30" t="n"/>
      <c r="R270" s="170" t="n"/>
      <c r="S270" s="30" t="n"/>
      <c r="T270" s="170" t="n"/>
      <c r="U270" s="30" t="n"/>
      <c r="V270" s="30" t="n"/>
      <c r="W270" s="30" t="n"/>
      <c r="X270" s="30" t="n"/>
      <c r="Y270" s="30" t="n"/>
      <c r="Z270" s="30" t="n"/>
      <c r="AA270" s="30" t="n"/>
      <c r="AB270" s="30" t="n"/>
      <c r="AC270" s="30" t="n"/>
      <c r="AD270" s="30" t="n"/>
      <c r="AE270" s="30" t="n"/>
      <c r="AF270" s="30" t="n"/>
      <c r="AG270" s="30" t="n"/>
      <c r="AH270" s="30" t="n"/>
      <c r="AI270" s="30" t="n"/>
      <c r="AJ270" s="30" t="n"/>
      <c r="AK270" s="30" t="n"/>
      <c r="AL270" s="30" t="n"/>
      <c r="AM270" s="30" t="n"/>
      <c r="AN270" s="30" t="n"/>
      <c r="AO270" s="30" t="n"/>
    </row>
    <row r="271">
      <c r="A271" s="134" t="inlineStr">
        <is>
          <t>26726XXX</t>
        </is>
      </c>
      <c r="B271" s="62" t="inlineStr">
        <is>
          <t>TAVERNITI CAMISA</t>
        </is>
      </c>
      <c r="C271" s="88" t="n">
        <v>83500</v>
      </c>
      <c r="D271" s="88">
        <f>ROUND((C271*1.06)/100,0)*100</f>
        <v/>
      </c>
      <c r="E271" s="88">
        <f>ROUND((C271*1.15)/100,0)*100</f>
        <v/>
      </c>
      <c r="F271" s="22" t="n"/>
      <c r="G271" s="22" t="n"/>
      <c r="H271" s="22" t="n"/>
      <c r="I271" s="22" t="n"/>
      <c r="J271" s="22" t="n"/>
      <c r="K271" s="22" t="n"/>
      <c r="L271" s="219" t="n"/>
      <c r="M271" s="219">
        <f>N271*C271</f>
        <v/>
      </c>
      <c r="N271" s="118" t="n">
        <v>1.05</v>
      </c>
      <c r="O271" s="117" t="n"/>
      <c r="P271" s="43" t="n"/>
      <c r="Q271" s="18" t="n"/>
      <c r="R271" s="43" t="n"/>
      <c r="T271" s="117" t="n"/>
    </row>
    <row r="272">
      <c r="A272" s="89" t="inlineStr">
        <is>
          <t>26814XXX</t>
        </is>
      </c>
      <c r="B272" s="135" t="inlineStr">
        <is>
          <t>TAVERNITI CAMISA</t>
        </is>
      </c>
      <c r="C272" s="88" t="n">
        <v>93000</v>
      </c>
      <c r="D272" s="88">
        <f>ROUND((C272*1.06)/100,0)*100</f>
        <v/>
      </c>
      <c r="E272" s="88">
        <f>ROUND((C272*1.15)/100,0)*100</f>
        <v/>
      </c>
      <c r="F272" s="170" t="n"/>
      <c r="G272" s="170" t="n"/>
      <c r="H272" s="170" t="n"/>
      <c r="I272" s="170" t="n"/>
      <c r="J272" s="170" t="n"/>
      <c r="K272" s="170" t="n"/>
      <c r="L272" s="170" t="n"/>
      <c r="M272" s="88">
        <f>N272*C272</f>
        <v/>
      </c>
      <c r="N272" s="96" t="n">
        <v>1.05</v>
      </c>
      <c r="O272" s="170" t="n"/>
      <c r="P272" s="170" t="n"/>
      <c r="Q272" s="30" t="n"/>
      <c r="R272" s="170" t="n"/>
      <c r="S272" s="30" t="n"/>
      <c r="T272" s="170" t="n"/>
      <c r="U272" s="30" t="n"/>
      <c r="V272" s="30" t="n"/>
      <c r="W272" s="30" t="n"/>
      <c r="X272" s="30" t="n"/>
      <c r="Y272" s="30" t="n"/>
      <c r="Z272" s="30" t="n"/>
      <c r="AA272" s="30" t="n"/>
      <c r="AB272" s="30" t="n"/>
      <c r="AC272" s="30" t="n"/>
      <c r="AD272" s="30" t="n"/>
      <c r="AE272" s="30" t="n"/>
      <c r="AF272" s="30" t="n"/>
      <c r="AG272" s="30" t="n"/>
      <c r="AH272" s="30" t="n"/>
      <c r="AI272" s="30" t="n"/>
      <c r="AJ272" s="30" t="n"/>
      <c r="AK272" s="30" t="n"/>
      <c r="AL272" s="30" t="n"/>
      <c r="AM272" s="30" t="n"/>
      <c r="AN272" s="30" t="n"/>
      <c r="AO272" s="30" t="n"/>
    </row>
    <row r="273">
      <c r="A273" s="89" t="inlineStr">
        <is>
          <t>26864XXX</t>
        </is>
      </c>
      <c r="B273" s="135" t="inlineStr">
        <is>
          <t>TAVERNITI CAMISA</t>
        </is>
      </c>
      <c r="C273" s="88" t="n">
        <v>89000</v>
      </c>
      <c r="D273" s="88">
        <f>ROUND((C273*1.06)/100,0)*100</f>
        <v/>
      </c>
      <c r="E273" s="88">
        <f>ROUND((C273*1.15)/100,0)*100</f>
        <v/>
      </c>
      <c r="F273" s="170" t="n"/>
      <c r="G273" s="170" t="n"/>
      <c r="H273" s="170" t="n"/>
      <c r="I273" s="170" t="n"/>
      <c r="J273" s="170" t="n"/>
      <c r="K273" s="170" t="n"/>
      <c r="L273" s="170" t="n"/>
      <c r="M273" s="88">
        <f>N273*C273</f>
        <v/>
      </c>
      <c r="N273" s="118" t="n">
        <v>1.05</v>
      </c>
      <c r="O273" s="170" t="n"/>
      <c r="P273" s="170" t="n"/>
      <c r="Q273" s="30" t="n"/>
      <c r="R273" s="170" t="n"/>
      <c r="S273" s="30" t="n"/>
      <c r="T273" s="170" t="n"/>
      <c r="U273" s="30" t="n"/>
      <c r="V273" s="30" t="n"/>
      <c r="W273" s="30" t="n"/>
      <c r="X273" s="30" t="n"/>
      <c r="Y273" s="30" t="n"/>
      <c r="Z273" s="30" t="n"/>
      <c r="AA273" s="30" t="n"/>
      <c r="AB273" s="30" t="n"/>
      <c r="AC273" s="30" t="n"/>
      <c r="AD273" s="30" t="n"/>
      <c r="AE273" s="30" t="n"/>
      <c r="AF273" s="30" t="n"/>
      <c r="AG273" s="30" t="n"/>
      <c r="AH273" s="30" t="n"/>
      <c r="AI273" s="30" t="n"/>
      <c r="AJ273" s="30" t="n"/>
      <c r="AK273" s="30" t="n"/>
      <c r="AL273" s="30" t="n"/>
      <c r="AM273" s="30" t="n"/>
      <c r="AN273" s="30" t="n"/>
      <c r="AO273" s="30" t="n"/>
    </row>
    <row r="274">
      <c r="A274" s="89" t="inlineStr">
        <is>
          <t>26878XXX</t>
        </is>
      </c>
      <c r="B274" s="135" t="inlineStr">
        <is>
          <t>TAVERNITI CAMISA</t>
        </is>
      </c>
      <c r="C274" s="88" t="n">
        <v>86500</v>
      </c>
      <c r="D274" s="88">
        <f>ROUND((C274*1.06)/100,0)*100</f>
        <v/>
      </c>
      <c r="E274" s="88">
        <f>ROUND((C274*1.15)/100,0)*100</f>
        <v/>
      </c>
      <c r="F274" s="170" t="n"/>
      <c r="G274" s="170" t="n"/>
      <c r="H274" s="170" t="n"/>
      <c r="I274" s="170" t="n"/>
      <c r="J274" s="170" t="n"/>
      <c r="K274" s="170" t="n"/>
      <c r="L274" s="170" t="n"/>
      <c r="M274" s="88">
        <f>N274*C274</f>
        <v/>
      </c>
      <c r="N274" s="96" t="n">
        <v>1.05</v>
      </c>
      <c r="O274" s="170" t="n"/>
      <c r="P274" s="170" t="n"/>
      <c r="Q274" s="30" t="n"/>
      <c r="R274" s="170" t="n"/>
      <c r="S274" s="30" t="n"/>
      <c r="T274" s="170" t="n"/>
      <c r="U274" s="30" t="n"/>
      <c r="V274" s="30" t="n"/>
      <c r="W274" s="30" t="n"/>
      <c r="X274" s="30" t="n"/>
      <c r="Y274" s="30" t="n"/>
      <c r="Z274" s="30" t="n"/>
      <c r="AA274" s="30" t="n"/>
      <c r="AB274" s="30" t="n"/>
      <c r="AC274" s="30" t="n"/>
      <c r="AD274" s="30" t="n"/>
      <c r="AE274" s="30" t="n"/>
      <c r="AF274" s="30" t="n"/>
      <c r="AG274" s="30" t="n"/>
      <c r="AH274" s="30" t="n"/>
      <c r="AI274" s="30" t="n"/>
      <c r="AJ274" s="30" t="n"/>
      <c r="AK274" s="30" t="n"/>
      <c r="AL274" s="30" t="n"/>
      <c r="AM274" s="30" t="n"/>
      <c r="AN274" s="30" t="n"/>
      <c r="AO274" s="30" t="n"/>
    </row>
    <row r="275">
      <c r="A275" s="134" t="inlineStr">
        <is>
          <t>26880XXX</t>
        </is>
      </c>
      <c r="B275" s="62" t="inlineStr">
        <is>
          <t>TAVERNITI CAMISA</t>
        </is>
      </c>
      <c r="C275" s="88" t="n">
        <v>89000</v>
      </c>
      <c r="D275" s="88">
        <f>ROUND((C275*1.06)/100,0)*100</f>
        <v/>
      </c>
      <c r="E275" s="88">
        <f>ROUND((C275*1.15)/100,0)*100</f>
        <v/>
      </c>
      <c r="F275" s="22" t="n"/>
      <c r="G275" s="22" t="n"/>
      <c r="H275" s="22" t="n"/>
      <c r="I275" s="22" t="n"/>
      <c r="J275" s="22" t="n"/>
      <c r="K275" s="22" t="n"/>
      <c r="L275" s="219" t="n"/>
      <c r="M275" s="219">
        <f>N275*C275</f>
        <v/>
      </c>
      <c r="N275" s="118" t="n">
        <v>1.05</v>
      </c>
      <c r="O275" s="117" t="n"/>
      <c r="P275" s="43" t="n"/>
      <c r="Q275" s="18" t="n"/>
      <c r="R275" s="43" t="n"/>
      <c r="T275" s="117" t="n"/>
    </row>
    <row r="276">
      <c r="A276" s="134" t="inlineStr">
        <is>
          <t>26882XXX</t>
        </is>
      </c>
      <c r="B276" s="62" t="inlineStr">
        <is>
          <t>TAVERNITI CAMISA</t>
        </is>
      </c>
      <c r="C276" s="88" t="n">
        <v>89000</v>
      </c>
      <c r="D276" s="88">
        <f>ROUND((C276*1.06)/100,0)*100</f>
        <v/>
      </c>
      <c r="E276" s="88">
        <f>ROUND((C276*1.15)/100,0)*100</f>
        <v/>
      </c>
      <c r="F276" s="22" t="n"/>
      <c r="G276" s="22" t="n"/>
      <c r="H276" s="22" t="n"/>
      <c r="I276" s="22" t="n"/>
      <c r="J276" s="22" t="n"/>
      <c r="K276" s="22" t="n"/>
      <c r="L276" s="219" t="n"/>
      <c r="M276" s="219">
        <f>N276*C276</f>
        <v/>
      </c>
      <c r="N276" s="118" t="n">
        <v>1.05</v>
      </c>
      <c r="O276" s="117" t="n"/>
      <c r="P276" s="43" t="n"/>
      <c r="Q276" s="18" t="n"/>
      <c r="R276" s="43" t="n"/>
      <c r="T276" s="117" t="n"/>
    </row>
    <row r="277">
      <c r="A277" s="134" t="inlineStr">
        <is>
          <t>26888XXX</t>
        </is>
      </c>
      <c r="B277" s="62" t="inlineStr">
        <is>
          <t>TAVERNITI CAMISA</t>
        </is>
      </c>
      <c r="C277" s="88" t="n">
        <v>91500</v>
      </c>
      <c r="D277" s="88">
        <f>ROUND((C277*1.06)/100,0)*100</f>
        <v/>
      </c>
      <c r="E277" s="88">
        <f>ROUND((C277*1.15)/100,0)*100</f>
        <v/>
      </c>
      <c r="F277" s="22" t="n"/>
      <c r="G277" s="22" t="n"/>
      <c r="H277" s="22" t="n"/>
      <c r="I277" s="22" t="n"/>
      <c r="J277" s="22" t="n"/>
      <c r="K277" s="22" t="n"/>
      <c r="L277" s="219" t="n"/>
      <c r="M277" s="219">
        <f>N277*C277</f>
        <v/>
      </c>
      <c r="N277" s="118" t="n">
        <v>1.05</v>
      </c>
      <c r="O277" s="117" t="n"/>
      <c r="P277" s="43" t="n"/>
      <c r="Q277" s="18" t="n"/>
      <c r="R277" s="43" t="n"/>
      <c r="T277" s="117" t="n"/>
    </row>
    <row r="278">
      <c r="A278" s="134" t="inlineStr">
        <is>
          <t>26894XXX</t>
        </is>
      </c>
      <c r="B278" s="62" t="inlineStr">
        <is>
          <t>TAVERNITI CAMISA</t>
        </is>
      </c>
      <c r="C278" s="88" t="n">
        <v>83500</v>
      </c>
      <c r="D278" s="88">
        <f>ROUND((C278*1.06)/100,0)*100</f>
        <v/>
      </c>
      <c r="E278" s="88">
        <f>ROUND((C278*1.15)/100,0)*100</f>
        <v/>
      </c>
      <c r="F278" s="22" t="n"/>
      <c r="G278" s="22" t="n"/>
      <c r="H278" s="22" t="n"/>
      <c r="I278" s="22" t="n"/>
      <c r="J278" s="22" t="n"/>
      <c r="K278" s="22" t="n"/>
      <c r="L278" s="219" t="n"/>
      <c r="M278" s="219">
        <f>N278*C278</f>
        <v/>
      </c>
      <c r="N278" s="118" t="n">
        <v>1.05</v>
      </c>
      <c r="O278" s="117" t="n"/>
      <c r="P278" s="43" t="n"/>
      <c r="Q278" s="18" t="n"/>
      <c r="R278" s="43" t="n"/>
      <c r="T278" s="117" t="n"/>
    </row>
    <row r="279">
      <c r="A279" s="134" t="inlineStr">
        <is>
          <t>26918XXX</t>
        </is>
      </c>
      <c r="B279" s="62" t="inlineStr">
        <is>
          <t>TAVERNITI CAMISA</t>
        </is>
      </c>
      <c r="C279" s="88" t="n">
        <v>82500</v>
      </c>
      <c r="D279" s="88">
        <f>ROUND((C279*1.06)/100,0)*100</f>
        <v/>
      </c>
      <c r="E279" s="88">
        <f>ROUND((C279*1.15)/100,0)*100</f>
        <v/>
      </c>
      <c r="F279" s="22" t="n"/>
      <c r="G279" s="22" t="n"/>
      <c r="H279" s="22" t="n"/>
      <c r="I279" s="22" t="n"/>
      <c r="J279" s="22" t="n"/>
      <c r="K279" s="22" t="n"/>
      <c r="L279" s="219" t="n"/>
      <c r="M279" s="219">
        <f>N279*C279</f>
        <v/>
      </c>
      <c r="N279" s="118" t="n">
        <v>1.05</v>
      </c>
      <c r="O279" s="117" t="n"/>
      <c r="P279" s="43" t="n"/>
      <c r="Q279" s="18" t="n"/>
      <c r="R279" s="43" t="n"/>
      <c r="T279" s="117" t="n"/>
    </row>
    <row r="280">
      <c r="A280" s="134" t="inlineStr">
        <is>
          <t>26976XXX</t>
        </is>
      </c>
      <c r="B280" s="62" t="inlineStr">
        <is>
          <t>TAVERNITI CAMISA</t>
        </is>
      </c>
      <c r="C280" s="88" t="n">
        <v>89000</v>
      </c>
      <c r="D280" s="88">
        <f>ROUND((C280*1.06)/100,0)*100</f>
        <v/>
      </c>
      <c r="E280" s="88">
        <f>ROUND((C280*1.15)/100,0)*100</f>
        <v/>
      </c>
      <c r="F280" s="22" t="n"/>
      <c r="G280" s="22" t="n"/>
      <c r="H280" s="22" t="n"/>
      <c r="I280" s="22" t="n"/>
      <c r="J280" s="22" t="n"/>
      <c r="K280" s="22" t="n"/>
      <c r="L280" s="219" t="n"/>
      <c r="M280" s="219">
        <f>N280*C280</f>
        <v/>
      </c>
      <c r="N280" s="118" t="n">
        <v>1.05</v>
      </c>
      <c r="O280" s="117" t="n"/>
      <c r="P280" s="43" t="n"/>
      <c r="Q280" s="18" t="n"/>
      <c r="R280" s="43" t="n"/>
      <c r="T280" s="117" t="n"/>
    </row>
    <row r="281">
      <c r="A281" s="134" t="inlineStr">
        <is>
          <t>05-4365-2105-86-01</t>
        </is>
      </c>
      <c r="B281" s="62" t="inlineStr">
        <is>
          <t>WRANGLER COOLMAX INTELIGENTE</t>
        </is>
      </c>
      <c r="C281" s="88" t="n">
        <v>43400</v>
      </c>
      <c r="D281" s="88">
        <f>ROUND((C281*1.06)/100,0)*100</f>
        <v/>
      </c>
      <c r="E281" s="88">
        <f>ROUND((C281*1.15)/100,0)*100</f>
        <v/>
      </c>
      <c r="F281" s="22" t="n"/>
      <c r="G281" s="22" t="n"/>
      <c r="H281" s="22" t="n"/>
      <c r="I281" s="22" t="n"/>
      <c r="J281" s="22" t="n"/>
      <c r="K281" s="22" t="n"/>
      <c r="L281" s="219" t="n"/>
      <c r="M281" s="219">
        <f>N281*C281</f>
        <v/>
      </c>
      <c r="N281" s="118" t="n">
        <v>1.05</v>
      </c>
      <c r="O281" s="117" t="n"/>
      <c r="P281" s="43" t="n"/>
      <c r="Q281" s="18" t="n"/>
      <c r="R281" s="43" t="n"/>
      <c r="T281" s="117" t="n"/>
    </row>
    <row r="282">
      <c r="A282" s="134" t="inlineStr">
        <is>
          <t>05-4365-2105-94-01</t>
        </is>
      </c>
      <c r="B282" s="62" t="inlineStr">
        <is>
          <t>WRANGLER COOLMAX INTELIGENTE</t>
        </is>
      </c>
      <c r="C282" s="88" t="n">
        <v>43400</v>
      </c>
      <c r="D282" s="88">
        <f>ROUND((C282*1.06)/100,0)*100</f>
        <v/>
      </c>
      <c r="E282" s="88">
        <f>ROUND((C282*1.15)/100,0)*100</f>
        <v/>
      </c>
      <c r="F282" s="22" t="n"/>
      <c r="G282" s="22" t="n"/>
      <c r="H282" s="22" t="n"/>
      <c r="I282" s="22" t="n"/>
      <c r="J282" s="22" t="n"/>
      <c r="K282" s="22" t="n"/>
      <c r="L282" s="219" t="n"/>
      <c r="M282" s="219">
        <f>N282*C282</f>
        <v/>
      </c>
      <c r="N282" s="118" t="n">
        <v>1.05</v>
      </c>
      <c r="O282" s="117" t="n"/>
      <c r="P282" s="43" t="n"/>
      <c r="Q282" s="18" t="n"/>
      <c r="R282" s="43" t="n"/>
      <c r="T282" s="117" t="n"/>
    </row>
    <row r="283">
      <c r="A283" s="134" t="inlineStr">
        <is>
          <t>22050609</t>
        </is>
      </c>
      <c r="B283" s="62" t="inlineStr">
        <is>
          <t>TAVERNITI</t>
        </is>
      </c>
      <c r="C283" s="88" t="n">
        <v>37500</v>
      </c>
      <c r="D283" s="88">
        <f>ROUND((C283*1.06)/100,0)*100</f>
        <v/>
      </c>
      <c r="E283" s="88">
        <f>ROUND((C283*1.15)/100,0)*100</f>
        <v/>
      </c>
      <c r="F283" s="22" t="n"/>
      <c r="G283" s="22" t="n"/>
      <c r="H283" s="22" t="n"/>
      <c r="I283" s="22" t="n"/>
      <c r="J283" s="22" t="n"/>
      <c r="K283" s="22" t="n"/>
      <c r="L283" s="219" t="n"/>
      <c r="M283" s="219">
        <f>N283*C283</f>
        <v/>
      </c>
      <c r="N283" s="118" t="n">
        <v>1.05</v>
      </c>
      <c r="O283" s="117" t="n"/>
      <c r="P283" s="43" t="n"/>
      <c r="Q283" s="18" t="n"/>
      <c r="R283" s="43" t="n"/>
      <c r="T283" s="117" t="n"/>
    </row>
    <row r="284">
      <c r="A284" s="68" t="inlineStr">
        <is>
          <t>1268</t>
        </is>
      </c>
      <c r="B284" s="64" t="inlineStr">
        <is>
          <t>CAMISA M/CORTA</t>
        </is>
      </c>
      <c r="C284" s="88" t="n">
        <v>37700</v>
      </c>
      <c r="D284" s="88">
        <f>ROUND((C284*1.06)/100,0)*100</f>
        <v/>
      </c>
      <c r="E284" s="88">
        <f>ROUND((C284*1.15)/100,0)*100</f>
        <v/>
      </c>
      <c r="F284" s="88" t="n"/>
      <c r="G284" s="22" t="n"/>
      <c r="H284" s="22" t="n"/>
      <c r="I284" s="22" t="n"/>
      <c r="J284" s="22" t="n"/>
      <c r="K284" s="22" t="n"/>
      <c r="L284" s="219" t="n"/>
      <c r="M284" s="219">
        <f>N284*C284</f>
        <v/>
      </c>
      <c r="N284" s="118" t="n">
        <v>1.05</v>
      </c>
      <c r="O284" s="117" t="n"/>
      <c r="P284" s="43" t="n"/>
      <c r="Q284" s="18" t="n"/>
      <c r="R284" s="43" t="n"/>
      <c r="T284" s="117" t="n"/>
    </row>
    <row r="285">
      <c r="A285" s="68" t="inlineStr">
        <is>
          <t>1349</t>
        </is>
      </c>
      <c r="B285" s="64" t="inlineStr">
        <is>
          <t>CAMISA M/CORTA</t>
        </is>
      </c>
      <c r="C285" s="88" t="n">
        <v>37700</v>
      </c>
      <c r="D285" s="88">
        <f>ROUND((C285*1.06)/100,0)*100</f>
        <v/>
      </c>
      <c r="E285" s="88">
        <f>ROUND((C285*1.15)/100,0)*100</f>
        <v/>
      </c>
      <c r="F285" s="88" t="n"/>
      <c r="G285" s="22" t="n"/>
      <c r="H285" s="22" t="n"/>
      <c r="I285" s="22" t="n"/>
      <c r="J285" s="22" t="n"/>
      <c r="K285" s="22" t="n"/>
      <c r="L285" s="219" t="n"/>
      <c r="M285" s="219">
        <f>N285*C285</f>
        <v/>
      </c>
      <c r="N285" s="118" t="n">
        <v>1.05</v>
      </c>
      <c r="O285" s="117" t="n"/>
      <c r="P285" s="43" t="n"/>
      <c r="Q285" s="18" t="n"/>
      <c r="R285" s="43" t="n"/>
      <c r="T285" s="117" t="n"/>
    </row>
    <row r="286">
      <c r="A286" s="68" t="inlineStr">
        <is>
          <t>1356</t>
        </is>
      </c>
      <c r="B286" s="65" t="inlineStr">
        <is>
          <t>CAMISA M/C ESCOSES COMBINADA</t>
        </is>
      </c>
      <c r="C286" s="88" t="n">
        <v>37700</v>
      </c>
      <c r="D286" s="88">
        <f>ROUND((C286*1.06)/100,0)*100</f>
        <v/>
      </c>
      <c r="E286" s="88">
        <f>ROUND((C286*1.15)/100,0)*100</f>
        <v/>
      </c>
      <c r="F286" s="88" t="n"/>
      <c r="G286" s="22" t="n"/>
      <c r="H286" s="22" t="n"/>
      <c r="I286" s="22" t="n"/>
      <c r="J286" s="22" t="n"/>
      <c r="K286" s="22" t="n"/>
      <c r="L286" s="219" t="n"/>
      <c r="M286" s="219">
        <f>N286*C286</f>
        <v/>
      </c>
      <c r="N286" s="118" t="n">
        <v>1.05</v>
      </c>
      <c r="O286" s="117" t="n"/>
      <c r="P286" s="43" t="n"/>
      <c r="Q286" s="18" t="n"/>
      <c r="R286" s="43" t="n"/>
      <c r="T286" s="117" t="n"/>
    </row>
    <row r="287">
      <c r="A287" s="68" t="inlineStr">
        <is>
          <t>1367</t>
        </is>
      </c>
      <c r="B287" s="109" t="inlineStr">
        <is>
          <t>CAMISA CUADROS MODA ALG. 70%</t>
        </is>
      </c>
      <c r="C287" s="88" t="n">
        <v>37700</v>
      </c>
      <c r="D287" s="88">
        <f>ROUND((C287*1.06)/100,0)*100</f>
        <v/>
      </c>
      <c r="E287" s="88">
        <f>ROUND((C287*1.15)/100,0)*100</f>
        <v/>
      </c>
      <c r="F287" s="88" t="n"/>
      <c r="G287" s="22" t="n"/>
      <c r="H287" s="22" t="n"/>
      <c r="I287" s="22" t="n"/>
      <c r="J287" s="22" t="n"/>
      <c r="K287" s="22" t="n"/>
      <c r="L287" s="219" t="n"/>
      <c r="M287" s="219">
        <f>N287*C287</f>
        <v/>
      </c>
      <c r="N287" s="118" t="n">
        <v>1.05</v>
      </c>
      <c r="O287" s="117" t="n"/>
      <c r="P287" s="43" t="n"/>
      <c r="Q287" s="18" t="n"/>
      <c r="R287" s="43" t="n"/>
      <c r="T287" s="117" t="n"/>
    </row>
    <row r="288">
      <c r="A288" s="68" t="inlineStr">
        <is>
          <t>1371</t>
        </is>
      </c>
      <c r="B288" s="109" t="inlineStr">
        <is>
          <t>CAMISA M/C ESTAMPADA Y COMBINADA</t>
        </is>
      </c>
      <c r="C288" s="88" t="n">
        <v>37700</v>
      </c>
      <c r="D288" s="88">
        <f>ROUND((C288*1.06)/100,0)*100</f>
        <v/>
      </c>
      <c r="E288" s="88">
        <f>ROUND((C288*1.15)/100,0)*100</f>
        <v/>
      </c>
      <c r="F288" s="88" t="n"/>
      <c r="G288" s="22" t="n"/>
      <c r="H288" s="22" t="n"/>
      <c r="I288" s="22" t="n"/>
      <c r="J288" s="22" t="n"/>
      <c r="K288" s="22" t="n"/>
      <c r="L288" s="219" t="n"/>
      <c r="M288" s="219">
        <f>N288*C288</f>
        <v/>
      </c>
      <c r="N288" s="118" t="n">
        <v>1.05</v>
      </c>
      <c r="O288" s="117" t="n"/>
      <c r="P288" s="43" t="n"/>
      <c r="Q288" s="18" t="n"/>
      <c r="R288" s="43" t="n"/>
      <c r="T288" s="117" t="n"/>
    </row>
    <row r="289">
      <c r="A289" s="68" t="inlineStr">
        <is>
          <t>1376</t>
        </is>
      </c>
      <c r="B289" s="109" t="inlineStr">
        <is>
          <t>CAMISA ESCOSES COMB C/ BROCHES</t>
        </is>
      </c>
      <c r="C289" s="88" t="n">
        <v>37700</v>
      </c>
      <c r="D289" s="88">
        <f>ROUND((C289*1.06)/100,0)*100</f>
        <v/>
      </c>
      <c r="E289" s="88">
        <f>ROUND((C289*1.15)/100,0)*100</f>
        <v/>
      </c>
      <c r="F289" s="88" t="n"/>
      <c r="G289" s="88" t="n"/>
      <c r="H289" s="88" t="n"/>
      <c r="I289" s="22" t="n"/>
      <c r="J289" s="22" t="n"/>
      <c r="K289" s="22" t="n"/>
      <c r="L289" s="219" t="n"/>
      <c r="M289" s="219">
        <f>N289*C289</f>
        <v/>
      </c>
      <c r="N289" s="118" t="n">
        <v>1.05</v>
      </c>
      <c r="O289" s="117" t="n"/>
      <c r="P289" s="43" t="n"/>
      <c r="Q289" s="18" t="n"/>
      <c r="R289" s="43" t="n"/>
      <c r="T289" s="117" t="n"/>
    </row>
    <row r="290">
      <c r="A290" s="68" t="inlineStr">
        <is>
          <t>1388</t>
        </is>
      </c>
      <c r="B290" s="109" t="inlineStr">
        <is>
          <t>CAMISA ESCOSES POLO CLUB</t>
        </is>
      </c>
      <c r="C290" s="88" t="n">
        <v>37700</v>
      </c>
      <c r="D290" s="88">
        <f>ROUND((C290*1.06)/100,0)*100</f>
        <v/>
      </c>
      <c r="E290" s="88">
        <f>ROUND((C290*1.15)/100,0)*100</f>
        <v/>
      </c>
      <c r="F290" s="88" t="n"/>
      <c r="G290" s="88" t="n"/>
      <c r="H290" s="88" t="n"/>
      <c r="I290" s="22" t="n"/>
      <c r="J290" s="22" t="n"/>
      <c r="K290" s="22" t="n"/>
      <c r="L290" s="219" t="n"/>
      <c r="M290" s="219">
        <f>N290*C290</f>
        <v/>
      </c>
      <c r="N290" s="118" t="n">
        <v>1.05</v>
      </c>
      <c r="O290" s="117" t="n"/>
      <c r="P290" s="43" t="n"/>
      <c r="Q290" s="18" t="n"/>
      <c r="R290" s="43" t="n"/>
      <c r="T290" s="117" t="n"/>
    </row>
    <row r="291">
      <c r="A291" s="68" t="inlineStr">
        <is>
          <t>1389</t>
        </is>
      </c>
      <c r="B291" s="109" t="inlineStr">
        <is>
          <t>CAMISA ESCOSES MODA PREMIUM</t>
        </is>
      </c>
      <c r="C291" s="88" t="n">
        <v>37700</v>
      </c>
      <c r="D291" s="88">
        <f>ROUND((C291*1.06)/100,0)*100</f>
        <v/>
      </c>
      <c r="E291" s="88">
        <f>ROUND((C291*1.15)/100,0)*100</f>
        <v/>
      </c>
      <c r="F291" s="88" t="n"/>
      <c r="G291" s="88" t="n"/>
      <c r="H291" s="88" t="n"/>
      <c r="I291" s="22" t="n"/>
      <c r="J291" s="22" t="n"/>
      <c r="K291" s="22" t="n"/>
      <c r="L291" s="219" t="n"/>
      <c r="M291" s="219">
        <f>N291*C291</f>
        <v/>
      </c>
      <c r="N291" s="118" t="n">
        <v>1.05</v>
      </c>
      <c r="O291" s="117" t="n"/>
      <c r="P291" s="43" t="n"/>
      <c r="Q291" s="18" t="n"/>
      <c r="R291" s="43" t="n"/>
      <c r="T291" s="117" t="n"/>
    </row>
    <row r="292">
      <c r="A292" s="68" t="inlineStr">
        <is>
          <t>1390</t>
        </is>
      </c>
      <c r="B292" s="109" t="inlineStr">
        <is>
          <t>CAMISA ESCOSES MODA PREMIUM</t>
        </is>
      </c>
      <c r="C292" s="88" t="n">
        <v>37700</v>
      </c>
      <c r="D292" s="88">
        <f>ROUND((C292*1.06)/100,0)*100</f>
        <v/>
      </c>
      <c r="E292" s="88">
        <f>ROUND((C292*1.15)/100,0)*100</f>
        <v/>
      </c>
      <c r="F292" s="88" t="n"/>
      <c r="G292" s="88" t="n"/>
      <c r="H292" s="88" t="n"/>
      <c r="I292" s="22" t="n"/>
      <c r="J292" s="22" t="n"/>
      <c r="K292" s="22" t="n"/>
      <c r="L292" s="219" t="n"/>
      <c r="M292" s="219">
        <f>N292*C292</f>
        <v/>
      </c>
      <c r="N292" s="118" t="n">
        <v>1.05</v>
      </c>
      <c r="O292" s="117" t="n"/>
      <c r="P292" s="43" t="n"/>
      <c r="Q292" s="18" t="n"/>
      <c r="R292" s="43" t="n"/>
      <c r="T292" s="117" t="n"/>
    </row>
    <row r="293">
      <c r="A293" s="68" t="inlineStr">
        <is>
          <t>1392</t>
        </is>
      </c>
      <c r="B293" s="109" t="inlineStr">
        <is>
          <t>CAMISA MODA ESCOSES PREMIUM</t>
        </is>
      </c>
      <c r="C293" s="88" t="n">
        <v>37700</v>
      </c>
      <c r="D293" s="88">
        <f>ROUND((C293*1.06)/100,0)*100</f>
        <v/>
      </c>
      <c r="E293" s="88">
        <f>ROUND((C293*1.15)/100,0)*100</f>
        <v/>
      </c>
      <c r="F293" s="88" t="n"/>
      <c r="G293" s="88" t="n"/>
      <c r="H293" s="88" t="n"/>
      <c r="I293" s="22" t="n"/>
      <c r="J293" s="22" t="n"/>
      <c r="K293" s="22" t="n"/>
      <c r="L293" s="219" t="n"/>
      <c r="M293" s="219">
        <f>N293*C293</f>
        <v/>
      </c>
      <c r="N293" s="118" t="n">
        <v>1.05</v>
      </c>
      <c r="O293" s="117" t="n"/>
      <c r="P293" s="43" t="n"/>
      <c r="Q293" s="18" t="n"/>
      <c r="R293" s="43" t="n"/>
      <c r="T293" s="117" t="n"/>
    </row>
    <row r="294">
      <c r="A294" s="68" t="inlineStr">
        <is>
          <t>1395</t>
        </is>
      </c>
      <c r="B294" s="109" t="inlineStr">
        <is>
          <t>CAMISA CUADRILLE ALGODÓN 70/30</t>
        </is>
      </c>
      <c r="C294" s="88" t="n">
        <v>37700</v>
      </c>
      <c r="D294" s="88">
        <f>ROUND((C294*1.06)/100,0)*100</f>
        <v/>
      </c>
      <c r="E294" s="88">
        <f>ROUND((C294*1.15)/100,0)*100</f>
        <v/>
      </c>
      <c r="F294" s="88" t="n"/>
      <c r="G294" s="88" t="n"/>
      <c r="H294" s="88" t="n"/>
      <c r="I294" s="22" t="n"/>
      <c r="J294" s="22" t="n"/>
      <c r="K294" s="22" t="n"/>
      <c r="L294" s="219" t="n"/>
      <c r="M294" s="219">
        <f>N294*C294</f>
        <v/>
      </c>
      <c r="N294" s="118" t="n">
        <v>1.05</v>
      </c>
      <c r="O294" s="117" t="n"/>
      <c r="P294" s="43" t="n"/>
      <c r="Q294" s="18" t="n"/>
      <c r="R294" s="43" t="n"/>
      <c r="T294" s="117" t="n"/>
    </row>
    <row r="295">
      <c r="A295" s="68" t="inlineStr">
        <is>
          <t>1398</t>
        </is>
      </c>
      <c r="B295" s="109" t="inlineStr">
        <is>
          <t>CAMISA CUADRILLE ALGODÓN 70%</t>
        </is>
      </c>
      <c r="C295" s="88" t="n">
        <v>37700</v>
      </c>
      <c r="D295" s="88">
        <f>ROUND((C295*1.06)/100,0)*100</f>
        <v/>
      </c>
      <c r="E295" s="88">
        <f>ROUND((C295*1.15)/100,0)*100</f>
        <v/>
      </c>
      <c r="F295" s="88" t="n"/>
      <c r="G295" s="88" t="n"/>
      <c r="H295" s="88" t="n"/>
      <c r="I295" s="22" t="n"/>
      <c r="J295" s="22" t="n"/>
      <c r="K295" s="22" t="n"/>
      <c r="L295" s="219" t="n"/>
      <c r="M295" s="219">
        <f>N295*C295</f>
        <v/>
      </c>
      <c r="N295" s="118" t="n">
        <v>1.05</v>
      </c>
      <c r="O295" s="117" t="n"/>
      <c r="P295" s="43" t="n"/>
      <c r="Q295" s="18" t="n"/>
      <c r="R295" s="43" t="n"/>
      <c r="T295" s="117" t="n"/>
    </row>
    <row r="296">
      <c r="A296" s="68" t="inlineStr">
        <is>
          <t>1399</t>
        </is>
      </c>
      <c r="B296" s="109" t="inlineStr">
        <is>
          <t>CAMISA ESCOSES COMBINADA ESTAMPADA</t>
        </is>
      </c>
      <c r="C296" s="88" t="n">
        <v>37700</v>
      </c>
      <c r="D296" s="88">
        <f>ROUND((C296*1.06)/100,0)*100</f>
        <v/>
      </c>
      <c r="E296" s="88">
        <f>ROUND((C296*1.15)/100,0)*100</f>
        <v/>
      </c>
      <c r="F296" s="88" t="n"/>
      <c r="G296" s="22" t="n"/>
      <c r="H296" s="22" t="n"/>
      <c r="I296" s="22" t="n"/>
      <c r="J296" s="22" t="n"/>
      <c r="K296" s="22" t="n"/>
      <c r="L296" s="219" t="n"/>
      <c r="M296" s="219">
        <f>N296*C296</f>
        <v/>
      </c>
      <c r="N296" s="118" t="n">
        <v>1.05</v>
      </c>
      <c r="O296" s="117" t="n"/>
      <c r="P296" s="43" t="n"/>
      <c r="Q296" s="18" t="n"/>
      <c r="R296" s="43" t="n"/>
      <c r="T296" s="117" t="n"/>
    </row>
    <row r="297">
      <c r="A297" s="68" t="inlineStr">
        <is>
          <t>1411</t>
        </is>
      </c>
      <c r="B297" s="109" t="inlineStr">
        <is>
          <t>CAMISA M/C RAYADA Y COMBINADA</t>
        </is>
      </c>
      <c r="C297" s="88" t="n">
        <v>37700</v>
      </c>
      <c r="D297" s="88">
        <f>ROUND((C297*1.06)/100,0)*100</f>
        <v/>
      </c>
      <c r="E297" s="88">
        <f>ROUND((C297*1.15)/100,0)*100</f>
        <v/>
      </c>
      <c r="F297" s="88" t="n"/>
      <c r="G297" s="22" t="n"/>
      <c r="H297" s="22" t="n"/>
      <c r="I297" s="22" t="n"/>
      <c r="J297" s="22" t="n"/>
      <c r="K297" s="22" t="n"/>
      <c r="L297" s="219" t="n"/>
      <c r="M297" s="219">
        <f>N297*C297</f>
        <v/>
      </c>
      <c r="N297" s="118" t="n">
        <v>1.05</v>
      </c>
      <c r="O297" s="117" t="n"/>
      <c r="P297" s="43" t="n"/>
      <c r="Q297" s="18" t="n"/>
      <c r="R297" s="43" t="n"/>
      <c r="T297" s="117" t="n"/>
    </row>
    <row r="298">
      <c r="A298" s="68" t="inlineStr">
        <is>
          <t>1432</t>
        </is>
      </c>
      <c r="B298" s="246" t="inlineStr">
        <is>
          <t>AERO CAMISA</t>
        </is>
      </c>
      <c r="C298" s="88" t="n">
        <v>37700</v>
      </c>
      <c r="D298" s="88">
        <f>ROUND((C298*1.06)/100,0)*100</f>
        <v/>
      </c>
      <c r="E298" s="88">
        <f>ROUND((C298*1.15)/100,0)*100</f>
        <v/>
      </c>
      <c r="F298" s="22" t="n"/>
      <c r="G298" s="22" t="n"/>
      <c r="H298" s="22" t="n"/>
      <c r="I298" s="22" t="n"/>
      <c r="J298" s="22" t="n"/>
      <c r="K298" s="22" t="n"/>
      <c r="L298" s="219" t="n"/>
      <c r="M298" s="219">
        <f>N298*C298</f>
        <v/>
      </c>
      <c r="N298" s="118" t="n">
        <v>1.05</v>
      </c>
      <c r="O298" s="117" t="n"/>
      <c r="P298" s="43" t="n"/>
      <c r="Q298" s="18" t="n"/>
      <c r="R298" s="43" t="n"/>
      <c r="T298" s="117" t="n"/>
    </row>
    <row r="299">
      <c r="A299" s="68" t="inlineStr">
        <is>
          <t>1448</t>
        </is>
      </c>
      <c r="B299" s="246" t="inlineStr">
        <is>
          <t>AERO CAMISA</t>
        </is>
      </c>
      <c r="C299" s="88" t="n">
        <v>37700</v>
      </c>
      <c r="D299" s="88">
        <f>ROUND((C299*1.06)/100,0)*100</f>
        <v/>
      </c>
      <c r="E299" s="88">
        <f>ROUND((C299*1.15)/100,0)*100</f>
        <v/>
      </c>
      <c r="F299" s="88" t="n"/>
      <c r="G299" s="22" t="n"/>
      <c r="H299" s="22" t="n"/>
      <c r="I299" s="22" t="n"/>
      <c r="J299" s="22" t="n"/>
      <c r="K299" s="88" t="n"/>
      <c r="L299" s="219" t="n"/>
      <c r="M299" s="219">
        <f>N299*C299</f>
        <v/>
      </c>
      <c r="N299" s="118" t="n">
        <v>1.05</v>
      </c>
      <c r="O299" s="117" t="n"/>
      <c r="P299" s="43" t="n"/>
      <c r="Q299" s="18" t="n"/>
      <c r="R299" s="43" t="n"/>
      <c r="T299" s="117" t="n"/>
    </row>
    <row r="300">
      <c r="A300" s="68" t="inlineStr">
        <is>
          <t>1454</t>
        </is>
      </c>
      <c r="B300" s="246" t="inlineStr">
        <is>
          <t>AERO CAMISA</t>
        </is>
      </c>
      <c r="C300" s="88" t="n">
        <v>37700</v>
      </c>
      <c r="D300" s="88">
        <f>ROUND((C300*1.06)/100,0)*100</f>
        <v/>
      </c>
      <c r="E300" s="88">
        <f>ROUND((C300*1.15)/100,0)*100</f>
        <v/>
      </c>
      <c r="F300" s="22" t="n"/>
      <c r="G300" s="22" t="n"/>
      <c r="H300" s="22" t="n"/>
      <c r="I300" s="22" t="n"/>
      <c r="J300" s="22" t="n"/>
      <c r="K300" s="22" t="n"/>
      <c r="L300" s="219" t="n"/>
      <c r="M300" s="219">
        <f>N300*C300</f>
        <v/>
      </c>
      <c r="N300" s="118" t="n">
        <v>1.05</v>
      </c>
      <c r="O300" s="117" t="n"/>
      <c r="P300" s="43" t="n"/>
      <c r="Q300" s="18" t="n"/>
      <c r="R300" s="43" t="n"/>
      <c r="T300" s="117" t="n"/>
    </row>
    <row r="301">
      <c r="A301" s="68" t="inlineStr">
        <is>
          <t>1457</t>
        </is>
      </c>
      <c r="B301" s="246" t="inlineStr">
        <is>
          <t>AERO CAMISA</t>
        </is>
      </c>
      <c r="C301" s="88" t="n">
        <v>37700</v>
      </c>
      <c r="D301" s="88">
        <f>ROUND((C301*1.06)/100,0)*100</f>
        <v/>
      </c>
      <c r="E301" s="88">
        <f>ROUND((C301*1.15)/100,0)*100</f>
        <v/>
      </c>
      <c r="F301" s="22" t="n"/>
      <c r="G301" s="22" t="n"/>
      <c r="H301" s="22" t="n"/>
      <c r="I301" s="22" t="n"/>
      <c r="J301" s="22" t="n"/>
      <c r="K301" s="22" t="n"/>
      <c r="L301" s="219" t="n"/>
      <c r="M301" s="219">
        <f>N301*C301</f>
        <v/>
      </c>
      <c r="N301" s="118" t="n">
        <v>1.05</v>
      </c>
      <c r="O301" s="117" t="n"/>
      <c r="P301" s="43" t="n"/>
      <c r="Q301" s="18" t="n"/>
      <c r="R301" s="43" t="n"/>
      <c r="T301" s="117" t="n"/>
    </row>
    <row r="302">
      <c r="A302" s="68" t="inlineStr">
        <is>
          <t>1467</t>
        </is>
      </c>
      <c r="B302" s="246" t="inlineStr">
        <is>
          <t>AERO CAMISA</t>
        </is>
      </c>
      <c r="C302" s="88" t="n">
        <v>37700</v>
      </c>
      <c r="D302" s="88">
        <f>ROUND((C302*1.06)/100,0)*100</f>
        <v/>
      </c>
      <c r="E302" s="88">
        <f>ROUND((C302*1.15)/100,0)*100</f>
        <v/>
      </c>
      <c r="F302" s="22" t="n"/>
      <c r="G302" s="22" t="n"/>
      <c r="H302" s="22" t="n"/>
      <c r="I302" s="22" t="n"/>
      <c r="J302" s="22" t="n"/>
      <c r="K302" s="22" t="n"/>
      <c r="L302" s="219" t="n"/>
      <c r="M302" s="219">
        <f>N302*C302</f>
        <v/>
      </c>
      <c r="N302" s="118" t="n">
        <v>1.05</v>
      </c>
      <c r="O302" s="117" t="n"/>
      <c r="P302" s="43" t="n"/>
      <c r="Q302" s="18" t="n"/>
      <c r="R302" s="43" t="n"/>
      <c r="T302" s="117" t="n"/>
    </row>
    <row r="303">
      <c r="A303" s="68" t="inlineStr">
        <is>
          <t>1473</t>
        </is>
      </c>
      <c r="B303" s="246" t="inlineStr">
        <is>
          <t>AERO CAMISA</t>
        </is>
      </c>
      <c r="C303" s="88" t="n">
        <v>37700</v>
      </c>
      <c r="D303" s="88">
        <f>ROUND((C303*1.06)/100,0)*100</f>
        <v/>
      </c>
      <c r="E303" s="88">
        <f>ROUND((C303*1.15)/100,0)*100</f>
        <v/>
      </c>
      <c r="F303" s="22" t="n"/>
      <c r="G303" s="22" t="n"/>
      <c r="H303" s="22" t="n"/>
      <c r="I303" s="22" t="n"/>
      <c r="J303" s="22" t="n"/>
      <c r="K303" s="22" t="n"/>
      <c r="L303" s="219" t="n"/>
      <c r="M303" s="219">
        <f>N303*C303</f>
        <v/>
      </c>
      <c r="N303" s="118" t="n">
        <v>1.05</v>
      </c>
      <c r="O303" s="117" t="n"/>
      <c r="P303" s="43" t="n"/>
      <c r="Q303" s="18" t="n"/>
      <c r="R303" s="43" t="n"/>
      <c r="T303" s="117" t="n"/>
    </row>
    <row r="304">
      <c r="A304" s="68" t="inlineStr">
        <is>
          <t>1480</t>
        </is>
      </c>
      <c r="B304" s="246" t="inlineStr">
        <is>
          <t>AERO CAMISA</t>
        </is>
      </c>
      <c r="C304" s="88" t="n">
        <v>37700</v>
      </c>
      <c r="D304" s="88">
        <f>ROUND((C304*1.06)/100,0)*100</f>
        <v/>
      </c>
      <c r="E304" s="88">
        <f>ROUND((C304*1.15)/100,0)*100</f>
        <v/>
      </c>
      <c r="F304" s="88" t="n"/>
      <c r="G304" s="88" t="n"/>
      <c r="H304" s="88" t="n"/>
      <c r="I304" s="22" t="n"/>
      <c r="J304" s="22" t="n"/>
      <c r="K304" s="22" t="n"/>
      <c r="L304" s="219" t="n"/>
      <c r="M304" s="219">
        <f>N304*C304</f>
        <v/>
      </c>
      <c r="N304" s="118" t="n">
        <v>1.05</v>
      </c>
      <c r="O304" s="117" t="n"/>
      <c r="P304" s="43" t="n"/>
      <c r="Q304" s="18" t="n"/>
      <c r="R304" s="43" t="n"/>
      <c r="T304" s="117" t="n"/>
    </row>
    <row r="305">
      <c r="A305" s="68" t="inlineStr">
        <is>
          <t>1482</t>
        </is>
      </c>
      <c r="B305" s="246" t="inlineStr">
        <is>
          <t>AERO CAMISA</t>
        </is>
      </c>
      <c r="C305" s="88" t="n">
        <v>37700</v>
      </c>
      <c r="D305" s="88">
        <f>ROUND((C305*1.06)/100,0)*100</f>
        <v/>
      </c>
      <c r="E305" s="88">
        <f>ROUND((C305*1.15)/100,0)*100</f>
        <v/>
      </c>
      <c r="F305" s="22" t="n"/>
      <c r="G305" s="22" t="n"/>
      <c r="H305" s="22" t="n"/>
      <c r="I305" s="22" t="n"/>
      <c r="J305" s="22" t="n"/>
      <c r="K305" s="22" t="n"/>
      <c r="L305" s="219" t="n"/>
      <c r="M305" s="219">
        <f>N305*C305</f>
        <v/>
      </c>
      <c r="N305" s="118" t="n">
        <v>1.05</v>
      </c>
      <c r="O305" s="117" t="n"/>
      <c r="P305" s="43" t="n"/>
      <c r="Q305" s="18" t="n"/>
      <c r="R305" s="43" t="n"/>
      <c r="T305" s="117" t="n"/>
    </row>
    <row r="306">
      <c r="A306" s="68" t="inlineStr">
        <is>
          <t>1489</t>
        </is>
      </c>
      <c r="B306" s="246" t="inlineStr">
        <is>
          <t>AERO CAMISA</t>
        </is>
      </c>
      <c r="C306" s="88" t="n">
        <v>37700</v>
      </c>
      <c r="D306" s="88">
        <f>ROUND((C306*1.06)/100,0)*100</f>
        <v/>
      </c>
      <c r="E306" s="88">
        <f>ROUND((C306*1.15)/100,0)*100</f>
        <v/>
      </c>
      <c r="F306" s="22" t="n"/>
      <c r="G306" s="22" t="n"/>
      <c r="H306" s="22" t="n"/>
      <c r="I306" s="22" t="n"/>
      <c r="J306" s="22" t="n"/>
      <c r="K306" s="22" t="n"/>
      <c r="L306" s="219" t="n"/>
      <c r="M306" s="219">
        <f>N306*C306</f>
        <v/>
      </c>
      <c r="N306" s="118" t="n">
        <v>1.05</v>
      </c>
      <c r="O306" s="117" t="n"/>
      <c r="P306" s="43" t="n"/>
      <c r="Q306" s="18" t="n"/>
      <c r="R306" s="43" t="n"/>
      <c r="T306" s="117" t="n"/>
    </row>
    <row r="307">
      <c r="A307" s="68" t="inlineStr">
        <is>
          <t>1505</t>
        </is>
      </c>
      <c r="B307" s="246" t="inlineStr">
        <is>
          <t>AERO CAMISA</t>
        </is>
      </c>
      <c r="C307" s="88" t="n">
        <v>37700</v>
      </c>
      <c r="D307" s="88">
        <f>ROUND((C307*1.06)/100,0)*100</f>
        <v/>
      </c>
      <c r="E307" s="88">
        <f>ROUND((C307*1.15)/100,0)*100</f>
        <v/>
      </c>
      <c r="F307" s="22" t="n"/>
      <c r="G307" s="22" t="n"/>
      <c r="H307" s="22" t="n"/>
      <c r="I307" s="22" t="n"/>
      <c r="J307" s="22" t="n"/>
      <c r="K307" s="22" t="n"/>
      <c r="L307" s="219" t="n"/>
      <c r="M307" s="219">
        <f>N307*C307</f>
        <v/>
      </c>
      <c r="N307" s="118" t="n">
        <v>1.05</v>
      </c>
      <c r="O307" s="117" t="n"/>
      <c r="P307" s="43" t="n"/>
      <c r="Q307" s="18" t="n"/>
      <c r="R307" s="43" t="n"/>
      <c r="T307" s="117" t="n"/>
    </row>
    <row r="308">
      <c r="A308" s="68" t="inlineStr">
        <is>
          <t>1641</t>
        </is>
      </c>
      <c r="B308" s="246" t="inlineStr">
        <is>
          <t>AERO CAMISA</t>
        </is>
      </c>
      <c r="C308" s="88" t="n">
        <v>37700</v>
      </c>
      <c r="D308" s="88">
        <f>ROUND((C308*1.06)/100,0)*100</f>
        <v/>
      </c>
      <c r="E308" s="88">
        <f>ROUND((C308*1.15)/100,0)*100</f>
        <v/>
      </c>
      <c r="F308" s="22" t="n"/>
      <c r="G308" s="22" t="n"/>
      <c r="H308" s="22" t="n"/>
      <c r="I308" s="22" t="n"/>
      <c r="J308" s="22" t="n"/>
      <c r="K308" s="22" t="n"/>
      <c r="L308" s="219" t="n"/>
      <c r="M308" s="219">
        <f>N308*C308</f>
        <v/>
      </c>
      <c r="N308" s="118" t="n">
        <v>1.05</v>
      </c>
      <c r="O308" s="117" t="n"/>
      <c r="P308" s="43" t="n"/>
      <c r="Q308" s="18" t="n"/>
      <c r="R308" s="43" t="n"/>
      <c r="T308" s="117" t="n"/>
    </row>
    <row r="309">
      <c r="A309" s="68" t="inlineStr">
        <is>
          <t>1680</t>
        </is>
      </c>
      <c r="B309" s="246" t="inlineStr">
        <is>
          <t>AERO CAMISA</t>
        </is>
      </c>
      <c r="C309" s="88" t="n">
        <v>37700</v>
      </c>
      <c r="D309" s="88">
        <f>ROUND((C309*1.06)/100,0)*100</f>
        <v/>
      </c>
      <c r="E309" s="88">
        <f>ROUND((C309*1.15)/100,0)*100</f>
        <v/>
      </c>
      <c r="F309" s="22" t="n"/>
      <c r="G309" s="22" t="n"/>
      <c r="H309" s="22" t="n"/>
      <c r="I309" s="22" t="n"/>
      <c r="J309" s="22" t="n"/>
      <c r="K309" s="22" t="n"/>
      <c r="L309" s="219" t="n"/>
      <c r="M309" s="219">
        <f>N309*C309</f>
        <v/>
      </c>
      <c r="N309" s="118" t="n">
        <v>1.05</v>
      </c>
      <c r="O309" s="117" t="n"/>
      <c r="P309" s="43" t="n"/>
      <c r="Q309" s="18" t="n"/>
      <c r="R309" s="43" t="n"/>
      <c r="T309" s="117" t="n"/>
    </row>
    <row r="310">
      <c r="A310" s="68" t="inlineStr">
        <is>
          <t>1683</t>
        </is>
      </c>
      <c r="B310" s="246" t="inlineStr">
        <is>
          <t>AERO CAMISA</t>
        </is>
      </c>
      <c r="C310" s="88" t="n">
        <v>37700</v>
      </c>
      <c r="D310" s="88">
        <f>ROUND((C310*1.06)/100,0)*100</f>
        <v/>
      </c>
      <c r="E310" s="88">
        <f>ROUND((C310*1.15)/100,0)*100</f>
        <v/>
      </c>
      <c r="F310" s="22" t="n"/>
      <c r="G310" s="22" t="n"/>
      <c r="H310" s="22" t="n"/>
      <c r="I310" s="22" t="n"/>
      <c r="J310" s="22" t="n"/>
      <c r="K310" s="22" t="n"/>
      <c r="L310" s="219" t="n"/>
      <c r="M310" s="219">
        <f>N310*C310</f>
        <v/>
      </c>
      <c r="N310" s="118" t="n">
        <v>1.05</v>
      </c>
      <c r="O310" s="117" t="n"/>
      <c r="P310" s="43" t="n"/>
      <c r="Q310" s="18" t="n"/>
      <c r="R310" s="43" t="n"/>
      <c r="T310" s="117" t="n"/>
    </row>
    <row r="311">
      <c r="A311" s="68" t="inlineStr">
        <is>
          <t>1689</t>
        </is>
      </c>
      <c r="B311" s="246" t="inlineStr">
        <is>
          <t>AERO CAMISA</t>
        </is>
      </c>
      <c r="C311" s="88" t="n">
        <v>37700</v>
      </c>
      <c r="D311" s="88">
        <f>ROUND((C311*1.06)/100,0)*100</f>
        <v/>
      </c>
      <c r="E311" s="88">
        <f>ROUND((C311*1.15)/100,0)*100</f>
        <v/>
      </c>
      <c r="F311" s="22" t="n"/>
      <c r="G311" s="22" t="n"/>
      <c r="H311" s="22" t="n"/>
      <c r="I311" s="22" t="n"/>
      <c r="J311" s="22" t="n"/>
      <c r="K311" s="22" t="n"/>
      <c r="L311" s="219" t="n"/>
      <c r="M311" s="219">
        <f>N311*C311</f>
        <v/>
      </c>
      <c r="N311" s="118" t="n">
        <v>1.05</v>
      </c>
      <c r="O311" s="117" t="n"/>
      <c r="P311" s="43" t="n"/>
      <c r="Q311" s="18" t="n"/>
      <c r="R311" s="43" t="n"/>
      <c r="T311" s="117" t="n"/>
    </row>
    <row r="312">
      <c r="A312" s="68" t="inlineStr">
        <is>
          <t>1691</t>
        </is>
      </c>
      <c r="B312" s="246" t="inlineStr">
        <is>
          <t>AERO CAMISA</t>
        </is>
      </c>
      <c r="C312" s="88" t="n">
        <v>37700</v>
      </c>
      <c r="D312" s="88">
        <f>ROUND((C312*1.06)/100,0)*100</f>
        <v/>
      </c>
      <c r="E312" s="88">
        <f>ROUND((C312*1.15)/100,0)*100</f>
        <v/>
      </c>
      <c r="F312" s="22" t="n"/>
      <c r="G312" s="22" t="n"/>
      <c r="H312" s="22" t="n"/>
      <c r="I312" s="22" t="n"/>
      <c r="J312" s="22" t="n"/>
      <c r="K312" s="22" t="n"/>
      <c r="L312" s="219" t="n"/>
      <c r="M312" s="219">
        <f>N312*C312</f>
        <v/>
      </c>
      <c r="N312" s="118" t="n">
        <v>1.05</v>
      </c>
      <c r="O312" s="117" t="n"/>
      <c r="P312" s="43" t="n"/>
      <c r="Q312" s="18" t="n"/>
      <c r="R312" s="43" t="n"/>
      <c r="T312" s="117" t="n"/>
    </row>
    <row r="313">
      <c r="A313" s="68" t="inlineStr">
        <is>
          <t>00</t>
        </is>
      </c>
      <c r="B313" s="246" t="inlineStr">
        <is>
          <t>AERO CAMISA</t>
        </is>
      </c>
      <c r="C313" s="88" t="n">
        <v>37700</v>
      </c>
      <c r="D313" s="88">
        <f>ROUND((C313*1.06)/100,0)*100</f>
        <v/>
      </c>
      <c r="E313" s="88">
        <f>ROUND((C313*1.15)/100,0)*100</f>
        <v/>
      </c>
      <c r="F313" s="22" t="n"/>
      <c r="G313" s="22" t="n"/>
      <c r="H313" s="22" t="n"/>
      <c r="I313" s="22" t="n"/>
      <c r="J313" s="22" t="n"/>
      <c r="K313" s="22" t="n"/>
      <c r="L313" s="219" t="n"/>
      <c r="M313" s="219">
        <f>N313*C313</f>
        <v/>
      </c>
      <c r="N313" s="118" t="n">
        <v>1.05</v>
      </c>
      <c r="O313" s="117" t="n"/>
      <c r="P313" s="43" t="n"/>
      <c r="Q313" s="18" t="n"/>
      <c r="R313" s="43" t="n"/>
      <c r="T313" s="117" t="n"/>
    </row>
    <row r="314">
      <c r="A314" s="68" t="inlineStr">
        <is>
          <t>01</t>
        </is>
      </c>
      <c r="B314" s="246" t="inlineStr">
        <is>
          <t>AERO CAMISA</t>
        </is>
      </c>
      <c r="C314" s="88" t="n">
        <v>37700</v>
      </c>
      <c r="D314" s="88">
        <f>ROUND((C314*1.06)/100,0)*100</f>
        <v/>
      </c>
      <c r="E314" s="88">
        <f>ROUND((C314*1.15)/100,0)*100</f>
        <v/>
      </c>
      <c r="F314" s="22" t="n"/>
      <c r="G314" s="22" t="n"/>
      <c r="H314" s="22" t="n"/>
      <c r="I314" s="22" t="n"/>
      <c r="J314" s="22" t="n"/>
      <c r="K314" s="22" t="n"/>
      <c r="L314" s="219" t="n"/>
      <c r="M314" s="219">
        <f>N314*C314</f>
        <v/>
      </c>
      <c r="N314" s="118" t="n">
        <v>1.05</v>
      </c>
      <c r="O314" s="117" t="n"/>
      <c r="P314" s="43" t="n"/>
      <c r="Q314" s="18" t="n"/>
      <c r="R314" s="43" t="n"/>
      <c r="T314" s="117" t="n"/>
    </row>
    <row r="315">
      <c r="A315" s="68" t="inlineStr">
        <is>
          <t>04</t>
        </is>
      </c>
      <c r="B315" s="246" t="inlineStr">
        <is>
          <t>AERO CAMISA</t>
        </is>
      </c>
      <c r="C315" s="88" t="n">
        <v>37700</v>
      </c>
      <c r="D315" s="88">
        <f>ROUND((C315*1.06)/100,0)*100</f>
        <v/>
      </c>
      <c r="E315" s="88">
        <f>ROUND((C315*1.15)/100,0)*100</f>
        <v/>
      </c>
      <c r="F315" s="22" t="n"/>
      <c r="G315" s="22" t="n"/>
      <c r="H315" s="22" t="n"/>
      <c r="I315" s="22" t="n"/>
      <c r="J315" s="22" t="n"/>
      <c r="K315" s="22" t="n"/>
      <c r="L315" s="219" t="n"/>
      <c r="M315" s="219">
        <f>N315*C315</f>
        <v/>
      </c>
      <c r="N315" s="118" t="n">
        <v>1.05</v>
      </c>
      <c r="O315" s="117" t="n"/>
      <c r="P315" s="43" t="n"/>
      <c r="Q315" s="18" t="n"/>
      <c r="R315" s="43" t="n"/>
      <c r="T315" s="117" t="n"/>
    </row>
    <row r="316">
      <c r="A316" s="134" t="inlineStr">
        <is>
          <t>55</t>
        </is>
      </c>
      <c r="B316" s="246" t="inlineStr">
        <is>
          <t>AERO CAMISA</t>
        </is>
      </c>
      <c r="C316" s="88" t="n">
        <v>37700</v>
      </c>
      <c r="D316" s="88">
        <f>ROUND((C316*1.06)/100,0)*100</f>
        <v/>
      </c>
      <c r="E316" s="88">
        <f>ROUND((C316*1.15)/100,0)*100</f>
        <v/>
      </c>
      <c r="F316" s="22" t="n"/>
      <c r="G316" s="22" t="n"/>
      <c r="H316" s="22" t="n"/>
      <c r="I316" s="22" t="n"/>
      <c r="J316" s="22" t="n"/>
      <c r="K316" s="22" t="n"/>
      <c r="L316" s="219" t="n"/>
      <c r="M316" s="219">
        <f>N316*C316</f>
        <v/>
      </c>
      <c r="N316" s="118" t="n">
        <v>1.05</v>
      </c>
      <c r="O316" s="117" t="n"/>
      <c r="P316" s="43" t="n"/>
      <c r="Q316" s="18" t="n"/>
      <c r="R316" s="43" t="n"/>
      <c r="T316" s="117" t="n"/>
    </row>
    <row r="317">
      <c r="A317" s="134" t="inlineStr">
        <is>
          <t>69</t>
        </is>
      </c>
      <c r="B317" s="246" t="inlineStr">
        <is>
          <t>AERO CAMISA</t>
        </is>
      </c>
      <c r="C317" s="88" t="n">
        <v>37700</v>
      </c>
      <c r="D317" s="88">
        <f>ROUND((C317*1.06)/100,0)*100</f>
        <v/>
      </c>
      <c r="E317" s="88">
        <f>ROUND((C317*1.15)/100,0)*100</f>
        <v/>
      </c>
      <c r="F317" s="22" t="n"/>
      <c r="G317" s="22" t="n"/>
      <c r="H317" s="22" t="n"/>
      <c r="I317" s="22" t="n"/>
      <c r="J317" s="22" t="n"/>
      <c r="K317" s="22" t="n"/>
      <c r="L317" s="219" t="n"/>
      <c r="M317" s="219">
        <f>N317*C317</f>
        <v/>
      </c>
      <c r="N317" s="118" t="n">
        <v>1.05</v>
      </c>
      <c r="O317" s="117" t="n"/>
      <c r="P317" s="43" t="n"/>
      <c r="Q317" s="18" t="n"/>
      <c r="R317" s="43" t="n"/>
      <c r="T317" s="117" t="n"/>
    </row>
    <row r="318">
      <c r="A318" s="134" t="inlineStr">
        <is>
          <t>1904</t>
        </is>
      </c>
      <c r="B318" s="246" t="inlineStr">
        <is>
          <t>AERO CAMISA</t>
        </is>
      </c>
      <c r="C318" s="88" t="n">
        <v>37700</v>
      </c>
      <c r="D318" s="88">
        <f>ROUND((C318*1.06)/100,0)*100</f>
        <v/>
      </c>
      <c r="E318" s="88">
        <f>ROUND((C318*1.15)/100,0)*100</f>
        <v/>
      </c>
      <c r="F318" s="22" t="n"/>
      <c r="G318" s="22" t="n"/>
      <c r="H318" s="22" t="n"/>
      <c r="I318" s="22" t="n"/>
      <c r="J318" s="22" t="n"/>
      <c r="K318" s="22" t="n"/>
      <c r="L318" s="219" t="n"/>
      <c r="M318" s="219">
        <f>N318*C318</f>
        <v/>
      </c>
      <c r="N318" s="118" t="n">
        <v>1.05</v>
      </c>
      <c r="O318" s="117" t="n"/>
      <c r="P318" s="43" t="n"/>
      <c r="Q318" s="18" t="n"/>
      <c r="R318" s="43" t="n"/>
      <c r="T318" s="117" t="n"/>
    </row>
    <row r="319">
      <c r="A319" s="134" t="inlineStr">
        <is>
          <t>1946</t>
        </is>
      </c>
      <c r="B319" s="246" t="inlineStr">
        <is>
          <t>AERO CAMISA</t>
        </is>
      </c>
      <c r="C319" s="88" t="n">
        <v>37700</v>
      </c>
      <c r="D319" s="88">
        <f>ROUND((C319*1.06)/100,0)*100</f>
        <v/>
      </c>
      <c r="E319" s="88">
        <f>ROUND((C319*1.15)/100,0)*100</f>
        <v/>
      </c>
      <c r="F319" s="22" t="n"/>
      <c r="G319" s="22" t="n"/>
      <c r="H319" s="22" t="n"/>
      <c r="I319" s="22" t="n"/>
      <c r="J319" s="22" t="n"/>
      <c r="K319" s="22" t="n"/>
      <c r="L319" s="219" t="n"/>
      <c r="M319" s="219">
        <f>N319*C319</f>
        <v/>
      </c>
      <c r="N319" s="118" t="n">
        <v>1.05</v>
      </c>
      <c r="O319" s="117" t="n"/>
      <c r="P319" s="43" t="n"/>
      <c r="Q319" s="18" t="n"/>
      <c r="R319" s="43" t="n"/>
      <c r="T319" s="117" t="n"/>
    </row>
    <row r="320">
      <c r="A320" s="134" t="inlineStr">
        <is>
          <t>1949</t>
        </is>
      </c>
      <c r="B320" s="246" t="inlineStr">
        <is>
          <t>AERO CAMISA</t>
        </is>
      </c>
      <c r="C320" s="88" t="n">
        <v>37700</v>
      </c>
      <c r="D320" s="88">
        <f>ROUND((C320*1.06)/100,0)*100</f>
        <v/>
      </c>
      <c r="E320" s="88">
        <f>ROUND((C320*1.15)/100,0)*100</f>
        <v/>
      </c>
      <c r="F320" s="22" t="n"/>
      <c r="G320" s="22" t="n"/>
      <c r="H320" s="22" t="n"/>
      <c r="I320" s="22" t="n"/>
      <c r="J320" s="22" t="n"/>
      <c r="K320" s="22" t="n"/>
      <c r="L320" s="219" t="n"/>
      <c r="M320" s="219">
        <f>N320*C320</f>
        <v/>
      </c>
      <c r="N320" s="118" t="n">
        <v>1.05</v>
      </c>
      <c r="O320" s="117" t="n"/>
      <c r="P320" s="43" t="n"/>
      <c r="Q320" s="18" t="n"/>
      <c r="R320" s="43" t="n"/>
      <c r="T320" s="117" t="n"/>
    </row>
    <row r="321">
      <c r="A321" s="134" t="n"/>
      <c r="B321" s="246" t="n"/>
      <c r="C321" s="219" t="n"/>
      <c r="D321" s="219" t="n"/>
      <c r="E321" s="219" t="n"/>
      <c r="F321" s="219" t="n"/>
      <c r="G321" s="219" t="n"/>
      <c r="H321" s="219" t="n"/>
      <c r="I321" s="219" t="n"/>
      <c r="J321" s="219" t="n"/>
      <c r="K321" s="219" t="n"/>
      <c r="L321" s="219" t="n"/>
      <c r="M321" s="219" t="n"/>
      <c r="P321" s="117" t="n"/>
      <c r="R321" s="117" t="n"/>
      <c r="T321" s="117" t="n"/>
    </row>
    <row r="322">
      <c r="A322" s="134" t="n"/>
      <c r="B322" s="69" t="inlineStr">
        <is>
          <t>CAMISAS M LARGA HOMBRE</t>
        </is>
      </c>
      <c r="C322" s="71" t="inlineStr">
        <is>
          <t>38-44</t>
        </is>
      </c>
      <c r="D322" s="71" t="n">
        <v>46</v>
      </c>
      <c r="E322" s="71" t="n">
        <v>48</v>
      </c>
      <c r="F322" s="71" t="n">
        <v>50</v>
      </c>
      <c r="G322" s="71" t="n">
        <v>52</v>
      </c>
      <c r="H322" s="71" t="n">
        <v>54</v>
      </c>
      <c r="I322" s="134" t="inlineStr">
        <is>
          <t>03/26</t>
        </is>
      </c>
      <c r="J322" s="219" t="n"/>
      <c r="K322" s="219" t="n"/>
      <c r="L322" s="219" t="n"/>
      <c r="M322" s="219" t="n"/>
      <c r="O322" s="137" t="n"/>
      <c r="P322" s="117" t="n"/>
      <c r="R322" s="117" t="n"/>
      <c r="T322" s="117" t="n"/>
    </row>
    <row r="323" ht="15.75" customHeight="1" s="253">
      <c r="A323" s="134" t="n"/>
      <c r="B323" s="246" t="inlineStr">
        <is>
          <t>LAGOS VIYELA</t>
        </is>
      </c>
      <c r="C323" s="88" t="n">
        <v>16500</v>
      </c>
      <c r="D323" s="22" t="n">
        <v>10400</v>
      </c>
      <c r="E323" s="22" t="n">
        <v>11000</v>
      </c>
      <c r="F323" s="22" t="n">
        <v>11600</v>
      </c>
      <c r="G323" s="22" t="n">
        <v>100</v>
      </c>
      <c r="H323" s="22" t="n">
        <v>1</v>
      </c>
      <c r="I323" s="219" t="n">
        <v>1.2</v>
      </c>
      <c r="J323" s="219" t="n"/>
      <c r="K323" s="219" t="n"/>
      <c r="L323" s="219">
        <f>ROUND((M323*C323)/100,0)*100</f>
        <v/>
      </c>
      <c r="M323" s="96" t="n">
        <v>1.05</v>
      </c>
      <c r="N323" s="219" t="n"/>
      <c r="O323" s="219" t="n"/>
      <c r="P323" s="219" t="n"/>
      <c r="Q323" s="219" t="n"/>
      <c r="R323" s="117" t="n"/>
      <c r="T323" s="117" t="n"/>
      <c r="Y323" s="20" t="n"/>
    </row>
    <row r="324">
      <c r="A324" s="134" t="n"/>
      <c r="B324" s="246" t="inlineStr">
        <is>
          <t>AERO VIYELA - PILU</t>
        </is>
      </c>
      <c r="C324" s="88" t="n">
        <v>18900</v>
      </c>
      <c r="D324" s="88" t="n">
        <v>11900</v>
      </c>
      <c r="E324" s="88" t="n">
        <v>12600</v>
      </c>
      <c r="F324" s="88" t="n">
        <v>13300</v>
      </c>
      <c r="G324" s="88" t="n">
        <v>13900</v>
      </c>
      <c r="H324" s="22" t="n">
        <v>14600</v>
      </c>
      <c r="I324" s="219" t="inlineStr">
        <is>
          <t>G</t>
        </is>
      </c>
      <c r="J324" s="219" t="n"/>
      <c r="K324" s="219" t="n"/>
      <c r="L324" s="219">
        <f>ROUND((M324*C324)/100,0)*100</f>
        <v/>
      </c>
      <c r="M324" s="96" t="n">
        <v>1.05</v>
      </c>
      <c r="N324" s="219" t="n"/>
      <c r="O324" s="219" t="n"/>
      <c r="P324" s="219" t="n"/>
      <c r="Q324" s="219" t="n"/>
      <c r="R324" s="117" t="n"/>
      <c r="T324" s="117" t="n"/>
    </row>
    <row r="325">
      <c r="A325" s="134" t="inlineStr">
        <is>
          <t>26</t>
        </is>
      </c>
      <c r="B325" s="246" t="inlineStr">
        <is>
          <t>AERO CAMISA GABARDINA</t>
        </is>
      </c>
      <c r="C325" s="88" t="n">
        <v>41900</v>
      </c>
      <c r="D325" s="88" t="n">
        <v>26400</v>
      </c>
      <c r="E325" s="22" t="n">
        <v>27900</v>
      </c>
      <c r="F325" s="22" t="n">
        <v>29300</v>
      </c>
      <c r="G325" s="22" t="n">
        <v>30800</v>
      </c>
      <c r="H325" s="22" t="n">
        <v>32300</v>
      </c>
      <c r="I325" s="219" t="n"/>
      <c r="J325" s="219" t="n"/>
      <c r="K325" s="219" t="n"/>
      <c r="L325" s="219">
        <f>ROUND((M325*C325)/100,0)*100</f>
        <v/>
      </c>
      <c r="M325" s="96" t="n">
        <v>1.05</v>
      </c>
      <c r="N325" s="219" t="n"/>
      <c r="O325" s="219" t="n"/>
      <c r="P325" s="219" t="n"/>
      <c r="Q325" s="219" t="n"/>
      <c r="R325" s="117" t="n"/>
      <c r="T325" s="117" t="n"/>
    </row>
    <row r="326">
      <c r="A326" s="68" t="inlineStr">
        <is>
          <t>040</t>
        </is>
      </c>
      <c r="B326" s="110" t="inlineStr">
        <is>
          <t>AERO CAMISA ESCOSES M/L</t>
        </is>
      </c>
      <c r="C326" s="88" t="n">
        <v>21300</v>
      </c>
      <c r="D326" s="88" t="n">
        <v>13400</v>
      </c>
      <c r="E326" s="88" t="n">
        <v>14200</v>
      </c>
      <c r="F326" s="88" t="n">
        <v>14900</v>
      </c>
      <c r="G326" s="88" t="n">
        <v>15700</v>
      </c>
      <c r="H326" s="22" t="n">
        <v>16400</v>
      </c>
      <c r="I326" s="183" t="n"/>
      <c r="J326" s="219" t="n"/>
      <c r="K326" s="219" t="n"/>
      <c r="L326" s="219">
        <f>ROUND((M326*C326)/100,0)*100</f>
        <v/>
      </c>
      <c r="M326" s="96" t="n">
        <v>1.05</v>
      </c>
      <c r="N326" s="219" t="n"/>
      <c r="O326" s="219" t="n"/>
      <c r="P326" s="219" t="n"/>
      <c r="Q326" s="219" t="n"/>
      <c r="R326" s="117" t="n"/>
      <c r="T326" s="117" t="n"/>
    </row>
    <row r="327">
      <c r="A327" s="134" t="inlineStr">
        <is>
          <t>047</t>
        </is>
      </c>
      <c r="B327" s="110" t="inlineStr">
        <is>
          <t>AERO</t>
        </is>
      </c>
      <c r="C327" s="88" t="n">
        <v>21200</v>
      </c>
      <c r="D327" s="22" t="n">
        <v>13400</v>
      </c>
      <c r="E327" s="88" t="n">
        <v>14100</v>
      </c>
      <c r="F327" s="22" t="n">
        <v>14900</v>
      </c>
      <c r="G327" s="22" t="n">
        <v>15600</v>
      </c>
      <c r="H327" s="22" t="n">
        <v>16400</v>
      </c>
      <c r="I327" s="219" t="n"/>
      <c r="J327" s="219" t="n"/>
      <c r="K327" s="219" t="n"/>
      <c r="L327" s="219">
        <f>ROUND((M327*C327)/100,0)*100</f>
        <v/>
      </c>
      <c r="M327" s="96" t="n">
        <v>1.05</v>
      </c>
      <c r="N327" s="219" t="n"/>
      <c r="O327" s="219" t="n"/>
      <c r="P327" s="219" t="n"/>
      <c r="Q327" s="219" t="n"/>
      <c r="R327" s="117" t="n"/>
      <c r="T327" s="117" t="n"/>
    </row>
    <row r="328">
      <c r="A328" s="68" t="inlineStr">
        <is>
          <t>1593</t>
        </is>
      </c>
      <c r="B328" s="110" t="inlineStr">
        <is>
          <t>AERO</t>
        </is>
      </c>
      <c r="C328" s="88" t="n">
        <v>17300</v>
      </c>
      <c r="D328" s="22" t="n">
        <v>10900</v>
      </c>
      <c r="E328" s="22" t="n">
        <v>11500</v>
      </c>
      <c r="F328" s="22" t="n">
        <v>12100</v>
      </c>
      <c r="G328" s="22" t="n">
        <v>12700</v>
      </c>
      <c r="H328" s="22" t="n">
        <v>13300</v>
      </c>
      <c r="I328" s="183" t="n"/>
      <c r="J328" s="219" t="n"/>
      <c r="K328" s="219" t="n"/>
      <c r="L328" s="219">
        <f>ROUND((M328*C328)/100,0)*100</f>
        <v/>
      </c>
      <c r="M328" s="96" t="n">
        <v>1.05</v>
      </c>
      <c r="N328" s="219" t="n"/>
      <c r="O328" s="219" t="n"/>
      <c r="P328" s="219" t="n"/>
      <c r="Q328" s="219" t="n"/>
      <c r="R328" s="117" t="n"/>
      <c r="T328" s="117" t="n"/>
    </row>
    <row r="329">
      <c r="A329" s="68" t="inlineStr">
        <is>
          <t>1602</t>
        </is>
      </c>
      <c r="B329" s="76" t="inlineStr">
        <is>
          <t>AERO CAMISA CUADROS COMBINADA</t>
        </is>
      </c>
      <c r="C329" s="88" t="n">
        <v>21300</v>
      </c>
      <c r="D329" s="88" t="n">
        <v>13400</v>
      </c>
      <c r="E329" s="88" t="n">
        <v>14200</v>
      </c>
      <c r="F329" s="88" t="n">
        <v>14900</v>
      </c>
      <c r="G329" s="88" t="n">
        <v>15700</v>
      </c>
      <c r="H329" s="22" t="n">
        <v>16400</v>
      </c>
      <c r="I329" s="183" t="n"/>
      <c r="J329" s="219" t="n"/>
      <c r="K329" s="219" t="n"/>
      <c r="L329" s="219">
        <f>ROUND((M329*C329)/100,0)*100</f>
        <v/>
      </c>
      <c r="M329" s="96" t="n">
        <v>1.05</v>
      </c>
      <c r="N329" s="219" t="n"/>
      <c r="O329" s="219" t="n"/>
      <c r="P329" s="219" t="n"/>
      <c r="Q329" s="219" t="n"/>
      <c r="R329" s="117" t="n"/>
      <c r="T329" s="117" t="n"/>
    </row>
    <row r="330">
      <c r="A330" s="68" t="inlineStr">
        <is>
          <t>1606</t>
        </is>
      </c>
      <c r="B330" s="76" t="inlineStr">
        <is>
          <t>AERO CAMISA CUADROS COMBINADA</t>
        </is>
      </c>
      <c r="C330" s="88" t="n">
        <v>15900</v>
      </c>
      <c r="D330" s="88" t="n">
        <v>10000</v>
      </c>
      <c r="E330" s="88" t="n">
        <v>10600</v>
      </c>
      <c r="F330" s="88" t="n">
        <v>0</v>
      </c>
      <c r="G330" s="88" t="n">
        <v>11700</v>
      </c>
      <c r="H330" s="88" t="n">
        <v>12300</v>
      </c>
      <c r="I330" s="183" t="n"/>
      <c r="J330" s="219" t="n"/>
      <c r="K330" s="219" t="n"/>
      <c r="L330" s="219">
        <f>ROUND((M330*C330)/100,0)*100</f>
        <v/>
      </c>
      <c r="M330" s="96" t="n">
        <v>1.05</v>
      </c>
      <c r="N330" s="219" t="n"/>
      <c r="O330" s="219" t="n"/>
      <c r="P330" s="219" t="n"/>
      <c r="Q330" s="219" t="n"/>
      <c r="R330" s="117" t="n"/>
      <c r="T330" s="117" t="n"/>
    </row>
    <row r="331">
      <c r="A331" s="68" t="inlineStr">
        <is>
          <t>1610</t>
        </is>
      </c>
      <c r="B331" s="110" t="inlineStr">
        <is>
          <t>AERO</t>
        </is>
      </c>
      <c r="C331" s="88" t="n">
        <v>15300</v>
      </c>
      <c r="D331" s="22" t="n">
        <v>9600</v>
      </c>
      <c r="E331" s="22" t="n">
        <v>10200</v>
      </c>
      <c r="F331" s="22" t="n">
        <v>10700</v>
      </c>
      <c r="G331" s="22" t="n">
        <v>11300</v>
      </c>
      <c r="H331" s="22" t="n">
        <v>100</v>
      </c>
      <c r="I331" s="183" t="n"/>
      <c r="J331" s="219" t="n"/>
      <c r="K331" s="219" t="n"/>
      <c r="L331" s="219">
        <f>ROUND((M331*C331)/100,0)*100</f>
        <v/>
      </c>
      <c r="M331" s="96" t="n">
        <v>1.05</v>
      </c>
      <c r="N331" s="219" t="n"/>
      <c r="O331" s="219" t="n"/>
      <c r="P331" s="219" t="n"/>
      <c r="Q331" s="219" t="n"/>
      <c r="R331" s="117" t="n"/>
      <c r="T331" s="117" t="n"/>
    </row>
    <row r="332">
      <c r="A332" s="68" t="inlineStr">
        <is>
          <t>1617</t>
        </is>
      </c>
      <c r="B332" s="110" t="inlineStr">
        <is>
          <t>AERO</t>
        </is>
      </c>
      <c r="C332" s="88" t="n">
        <v>15300</v>
      </c>
      <c r="D332" s="88" t="n">
        <v>9600</v>
      </c>
      <c r="E332" s="88" t="n">
        <v>10200</v>
      </c>
      <c r="F332" s="88" t="n">
        <v>10700</v>
      </c>
      <c r="G332" s="22" t="n">
        <v>11300</v>
      </c>
      <c r="H332" s="22" t="n">
        <v>100</v>
      </c>
      <c r="I332" s="183" t="n"/>
      <c r="J332" s="219" t="n"/>
      <c r="K332" s="219" t="n"/>
      <c r="L332" s="219">
        <f>ROUND((M332*C332)/100,0)*100</f>
        <v/>
      </c>
      <c r="M332" s="96" t="n">
        <v>1.05</v>
      </c>
      <c r="N332" s="219" t="n"/>
      <c r="O332" s="219" t="n"/>
      <c r="P332" s="219" t="n"/>
      <c r="Q332" s="219" t="n"/>
      <c r="R332" s="117" t="n"/>
      <c r="T332" s="117" t="n"/>
    </row>
    <row r="333">
      <c r="A333" s="68" t="inlineStr">
        <is>
          <t>1624</t>
        </is>
      </c>
      <c r="B333" s="110" t="inlineStr">
        <is>
          <t>AERO</t>
        </is>
      </c>
      <c r="C333" s="88" t="n">
        <v>20700</v>
      </c>
      <c r="D333" s="22" t="n">
        <v>13000</v>
      </c>
      <c r="E333" s="22" t="n">
        <v>13800</v>
      </c>
      <c r="F333" s="22" t="n">
        <v>14500</v>
      </c>
      <c r="G333" s="22" t="n">
        <v>15200</v>
      </c>
      <c r="H333" s="22" t="n">
        <v>16000</v>
      </c>
      <c r="I333" s="183" t="n"/>
      <c r="J333" s="219" t="n"/>
      <c r="K333" s="219" t="n"/>
      <c r="L333" s="219">
        <f>ROUND((M333*C333)/100,0)*100</f>
        <v/>
      </c>
      <c r="M333" s="96" t="n">
        <v>1.05</v>
      </c>
      <c r="N333" s="219" t="n"/>
      <c r="O333" s="219" t="n"/>
      <c r="P333" s="219" t="n"/>
      <c r="Q333" s="219" t="n"/>
      <c r="R333" s="117" t="n"/>
      <c r="T333" s="117" t="n"/>
    </row>
    <row r="334">
      <c r="A334" s="68" t="inlineStr">
        <is>
          <t>1625</t>
        </is>
      </c>
      <c r="B334" s="110" t="inlineStr">
        <is>
          <t>AERO VESTIR</t>
        </is>
      </c>
      <c r="C334" s="88" t="n">
        <v>15300</v>
      </c>
      <c r="D334" s="22" t="n">
        <v>9600</v>
      </c>
      <c r="E334" s="22" t="n">
        <v>10200</v>
      </c>
      <c r="F334" s="22" t="n">
        <v>10700</v>
      </c>
      <c r="G334" s="22" t="n">
        <v>11300</v>
      </c>
      <c r="H334" s="22" t="n">
        <v>100</v>
      </c>
      <c r="I334" s="183" t="n"/>
      <c r="J334" s="219" t="n"/>
      <c r="K334" s="219" t="n"/>
      <c r="L334" s="219">
        <f>ROUND((M334*C334)/100,0)*100</f>
        <v/>
      </c>
      <c r="M334" s="96" t="n">
        <v>1.05</v>
      </c>
      <c r="N334" s="219" t="n"/>
      <c r="O334" s="219" t="n"/>
      <c r="P334" s="219" t="n"/>
      <c r="Q334" s="219" t="n"/>
      <c r="R334" s="117" t="n"/>
      <c r="T334" s="117" t="n"/>
    </row>
    <row r="335">
      <c r="A335" s="68" t="inlineStr">
        <is>
          <t>1626</t>
        </is>
      </c>
      <c r="B335" s="110" t="inlineStr">
        <is>
          <t>AERO</t>
        </is>
      </c>
      <c r="C335" s="88" t="n">
        <v>17300</v>
      </c>
      <c r="D335" s="22" t="n">
        <v>10900</v>
      </c>
      <c r="E335" s="22" t="n">
        <v>11500</v>
      </c>
      <c r="F335" s="22" t="n">
        <v>12100</v>
      </c>
      <c r="G335" s="22" t="n">
        <v>12700</v>
      </c>
      <c r="H335" s="22" t="n">
        <v>13300</v>
      </c>
      <c r="I335" s="183" t="n"/>
      <c r="J335" s="219" t="n"/>
      <c r="K335" s="219" t="n"/>
      <c r="L335" s="219">
        <f>ROUND((M335*C335)/100,0)*100</f>
        <v/>
      </c>
      <c r="M335" s="96" t="n">
        <v>1.05</v>
      </c>
      <c r="N335" s="219" t="n"/>
      <c r="O335" s="219" t="n"/>
      <c r="P335" s="219" t="n"/>
      <c r="Q335" s="219" t="n"/>
      <c r="R335" s="117" t="n"/>
      <c r="T335" s="117" t="n"/>
    </row>
    <row r="336">
      <c r="A336" s="68" t="inlineStr">
        <is>
          <t>1628</t>
        </is>
      </c>
      <c r="B336" s="110" t="inlineStr">
        <is>
          <t>AERO</t>
        </is>
      </c>
      <c r="C336" s="88" t="n">
        <v>17300</v>
      </c>
      <c r="D336" s="22" t="n">
        <v>10900</v>
      </c>
      <c r="E336" s="22" t="n">
        <v>11500</v>
      </c>
      <c r="F336" s="22" t="n">
        <v>12100</v>
      </c>
      <c r="G336" s="22" t="n">
        <v>12700</v>
      </c>
      <c r="H336" s="22" t="n">
        <v>13300</v>
      </c>
      <c r="I336" s="183" t="n"/>
      <c r="J336" s="219" t="n"/>
      <c r="K336" s="219" t="n"/>
      <c r="L336" s="219">
        <f>ROUND((M336*C336)/100,0)*100</f>
        <v/>
      </c>
      <c r="M336" s="96" t="n">
        <v>1.05</v>
      </c>
      <c r="N336" s="219" t="n"/>
      <c r="O336" s="219" t="n"/>
      <c r="P336" s="219" t="n"/>
      <c r="Q336" s="219" t="n"/>
      <c r="R336" s="117" t="n"/>
      <c r="T336" s="117" t="n"/>
    </row>
    <row r="337">
      <c r="A337" s="68" t="inlineStr">
        <is>
          <t>1653</t>
        </is>
      </c>
      <c r="B337" s="110" t="inlineStr">
        <is>
          <t>AERO</t>
        </is>
      </c>
      <c r="C337" s="88" t="n">
        <v>15900</v>
      </c>
      <c r="D337" s="22" t="n">
        <v>10000</v>
      </c>
      <c r="E337" s="22" t="n">
        <v>10600</v>
      </c>
      <c r="F337" s="22" t="n">
        <v>0</v>
      </c>
      <c r="G337" s="22" t="n">
        <v>11700</v>
      </c>
      <c r="H337" s="22" t="n">
        <v>12300</v>
      </c>
      <c r="I337" s="183" t="n"/>
      <c r="J337" s="219" t="n"/>
      <c r="K337" s="219" t="n"/>
      <c r="L337" s="219">
        <f>ROUND((M337*C337)/100,0)*100</f>
        <v/>
      </c>
      <c r="M337" s="96" t="n">
        <v>1.05</v>
      </c>
      <c r="N337" s="219" t="n"/>
      <c r="O337" s="219" t="n"/>
      <c r="P337" s="219" t="n"/>
      <c r="Q337" s="219" t="n"/>
      <c r="R337" s="117" t="n"/>
      <c r="T337" s="117" t="n"/>
    </row>
    <row r="338">
      <c r="A338" s="68" t="inlineStr">
        <is>
          <t>1659</t>
        </is>
      </c>
      <c r="B338" s="110" t="inlineStr">
        <is>
          <t>AERO</t>
        </is>
      </c>
      <c r="C338" s="88" t="n">
        <v>16000</v>
      </c>
      <c r="D338" s="22" t="n">
        <v>10100</v>
      </c>
      <c r="E338" s="22" t="n">
        <v>10700</v>
      </c>
      <c r="F338" s="22" t="n">
        <v>11200</v>
      </c>
      <c r="G338" s="22" t="n">
        <v>100</v>
      </c>
      <c r="H338" s="22" t="n">
        <v>12400</v>
      </c>
      <c r="I338" s="183" t="n"/>
      <c r="J338" s="219" t="n"/>
      <c r="K338" s="219" t="n"/>
      <c r="L338" s="219">
        <f>ROUND((M338*C338)/100,0)*100</f>
        <v/>
      </c>
      <c r="M338" s="96" t="n">
        <v>1.05</v>
      </c>
      <c r="N338" s="219" t="n"/>
      <c r="O338" s="219" t="n"/>
      <c r="P338" s="219" t="n"/>
      <c r="Q338" s="219" t="n"/>
      <c r="R338" s="117" t="n"/>
      <c r="T338" s="117" t="n"/>
    </row>
    <row r="339">
      <c r="A339" s="68" t="inlineStr">
        <is>
          <t>1</t>
        </is>
      </c>
      <c r="B339" s="110" t="inlineStr">
        <is>
          <t>AERO</t>
        </is>
      </c>
      <c r="C339" s="88" t="n">
        <v>15900</v>
      </c>
      <c r="D339" s="22" t="n">
        <v>10000</v>
      </c>
      <c r="E339" s="22" t="n">
        <v>10600</v>
      </c>
      <c r="F339" s="22" t="n">
        <v>0</v>
      </c>
      <c r="G339" s="22" t="n">
        <v>11700</v>
      </c>
      <c r="H339" s="22" t="n">
        <v>12300</v>
      </c>
      <c r="I339" s="183" t="n"/>
      <c r="J339" s="219" t="n"/>
      <c r="K339" s="219" t="n"/>
      <c r="L339" s="219">
        <f>ROUND((M339*C339)/100,0)*100</f>
        <v/>
      </c>
      <c r="M339" s="96" t="n">
        <v>1.05</v>
      </c>
      <c r="N339" s="219" t="n"/>
      <c r="O339" s="219" t="n"/>
      <c r="P339" s="219" t="n"/>
      <c r="Q339" s="219" t="n"/>
      <c r="R339" s="117" t="n"/>
      <c r="T339" s="117" t="n"/>
    </row>
    <row r="340">
      <c r="A340" s="68" t="inlineStr">
        <is>
          <t>3</t>
        </is>
      </c>
      <c r="B340" s="110" t="inlineStr">
        <is>
          <t>AERO</t>
        </is>
      </c>
      <c r="C340" s="88" t="n">
        <v>15900</v>
      </c>
      <c r="D340" s="22" t="n">
        <v>10000</v>
      </c>
      <c r="E340" s="22" t="n">
        <v>10600</v>
      </c>
      <c r="F340" s="22" t="n">
        <v>0</v>
      </c>
      <c r="G340" s="22" t="n">
        <v>11700</v>
      </c>
      <c r="H340" s="22" t="n">
        <v>12300</v>
      </c>
      <c r="I340" s="183" t="n"/>
      <c r="J340" s="219" t="n"/>
      <c r="K340" s="219" t="n"/>
      <c r="L340" s="219">
        <f>ROUND((M340*C340)/100,0)*100</f>
        <v/>
      </c>
      <c r="M340" s="96" t="n">
        <v>1.05</v>
      </c>
      <c r="N340" s="219" t="n"/>
      <c r="O340" s="219" t="n"/>
      <c r="P340" s="219" t="n"/>
      <c r="Q340" s="219" t="n"/>
      <c r="R340" s="117" t="n"/>
      <c r="T340" s="117" t="n"/>
    </row>
    <row r="341">
      <c r="A341" s="134" t="inlineStr">
        <is>
          <t>1674</t>
        </is>
      </c>
      <c r="B341" s="110" t="inlineStr">
        <is>
          <t>AERO</t>
        </is>
      </c>
      <c r="C341" s="88" t="n">
        <v>16400</v>
      </c>
      <c r="D341" s="22" t="n">
        <v>10300</v>
      </c>
      <c r="E341" s="22" t="n">
        <v>10900</v>
      </c>
      <c r="F341" s="22" t="n">
        <v>11500</v>
      </c>
      <c r="G341" s="22" t="n">
        <v>12100</v>
      </c>
      <c r="H341" s="22" t="n">
        <v>12700</v>
      </c>
      <c r="I341" s="219" t="n"/>
      <c r="J341" s="219" t="n"/>
      <c r="K341" s="219" t="n"/>
      <c r="L341" s="219">
        <f>ROUND((M341*C341)/100,0)*100</f>
        <v/>
      </c>
      <c r="M341" s="96" t="n">
        <v>1.05</v>
      </c>
      <c r="N341" s="219" t="n"/>
      <c r="O341" s="219" t="n"/>
      <c r="P341" s="219" t="n"/>
      <c r="Q341" s="219" t="n"/>
      <c r="R341" s="117" t="n"/>
      <c r="T341" s="117" t="n"/>
    </row>
    <row r="342">
      <c r="A342" s="134" t="inlineStr">
        <is>
          <t>2342</t>
        </is>
      </c>
      <c r="B342" s="110" t="inlineStr">
        <is>
          <t>AERO</t>
        </is>
      </c>
      <c r="C342" s="88" t="n">
        <v>19200</v>
      </c>
      <c r="D342" s="22" t="n">
        <v>12100</v>
      </c>
      <c r="E342" s="22" t="n">
        <v>12800</v>
      </c>
      <c r="F342" s="22" t="n">
        <v>13400</v>
      </c>
      <c r="G342" s="22" t="n">
        <v>14100</v>
      </c>
      <c r="H342" s="22" t="n">
        <v>14800</v>
      </c>
      <c r="I342" s="219" t="n"/>
      <c r="J342" s="219" t="n"/>
      <c r="K342" s="219" t="n"/>
      <c r="L342" s="219">
        <f>ROUND((M342*C342)/100,0)*100</f>
        <v/>
      </c>
      <c r="M342" s="96" t="n">
        <v>1.05</v>
      </c>
      <c r="N342" s="219" t="n"/>
      <c r="O342" s="219" t="n"/>
      <c r="P342" s="219" t="n"/>
      <c r="Q342" s="219" t="n"/>
      <c r="R342" s="117" t="n"/>
      <c r="T342" s="117" t="n"/>
    </row>
    <row r="343">
      <c r="A343" s="134" t="inlineStr">
        <is>
          <t>2368</t>
        </is>
      </c>
      <c r="B343" s="110" t="inlineStr">
        <is>
          <t>AERO</t>
        </is>
      </c>
      <c r="C343" s="88" t="n">
        <v>21100</v>
      </c>
      <c r="D343" s="22" t="n">
        <v>13300</v>
      </c>
      <c r="E343" s="22" t="n">
        <v>14000</v>
      </c>
      <c r="F343" s="22" t="n">
        <v>14800</v>
      </c>
      <c r="G343" s="22" t="n">
        <v>15500</v>
      </c>
      <c r="H343" s="22" t="n">
        <v>16300</v>
      </c>
      <c r="I343" s="219" t="n"/>
      <c r="J343" s="219" t="n"/>
      <c r="K343" s="219" t="n"/>
      <c r="L343" s="219">
        <f>ROUND((M343*C343)/100,0)*100</f>
        <v/>
      </c>
      <c r="M343" s="96" t="n">
        <v>1.05</v>
      </c>
      <c r="N343" s="219" t="n"/>
      <c r="O343" s="219" t="n"/>
      <c r="P343" s="219" t="n"/>
      <c r="Q343" s="219" t="n"/>
      <c r="R343" s="117" t="n"/>
      <c r="T343" s="117" t="n"/>
    </row>
    <row r="344">
      <c r="A344" s="134" t="inlineStr">
        <is>
          <t>2376</t>
        </is>
      </c>
      <c r="B344" s="110" t="inlineStr">
        <is>
          <t>AERO</t>
        </is>
      </c>
      <c r="C344" s="88" t="n">
        <v>26300</v>
      </c>
      <c r="D344" s="22" t="n">
        <v>16600</v>
      </c>
      <c r="E344" s="22" t="n">
        <v>17500</v>
      </c>
      <c r="F344" s="22" t="n">
        <v>500</v>
      </c>
      <c r="G344" s="22" t="n">
        <v>19400</v>
      </c>
      <c r="H344" s="22" t="n">
        <v>20300</v>
      </c>
      <c r="I344" s="219" t="n"/>
      <c r="J344" s="219" t="n"/>
      <c r="K344" s="219" t="n"/>
      <c r="L344" s="219">
        <f>ROUND((M344*C344)/100,0)*100</f>
        <v/>
      </c>
      <c r="M344" s="96" t="n">
        <v>1.05</v>
      </c>
      <c r="N344" s="219" t="n"/>
      <c r="O344" s="219" t="n"/>
      <c r="P344" s="219" t="n"/>
      <c r="Q344" s="219" t="n"/>
      <c r="R344" s="117" t="n"/>
      <c r="T344" s="117" t="n"/>
    </row>
    <row r="345">
      <c r="A345" s="134" t="inlineStr">
        <is>
          <t>2613</t>
        </is>
      </c>
      <c r="B345" s="110" t="inlineStr">
        <is>
          <t>AERO</t>
        </is>
      </c>
      <c r="C345" s="88" t="n">
        <v>26300</v>
      </c>
      <c r="D345" s="22" t="n">
        <v>16600</v>
      </c>
      <c r="E345" s="22" t="n">
        <v>17500</v>
      </c>
      <c r="F345" s="22" t="n">
        <v>500</v>
      </c>
      <c r="G345" s="22" t="n">
        <v>19400</v>
      </c>
      <c r="H345" s="22" t="n">
        <v>20300</v>
      </c>
      <c r="I345" s="219" t="n"/>
      <c r="J345" s="219" t="n"/>
      <c r="K345" s="219" t="n"/>
      <c r="L345" s="219">
        <f>ROUND((M345*C345)/100,0)*100</f>
        <v/>
      </c>
      <c r="M345" s="96" t="n">
        <v>1.05</v>
      </c>
      <c r="N345" s="219" t="n"/>
      <c r="O345" s="219" t="n"/>
      <c r="P345" s="219" t="n"/>
      <c r="Q345" s="219" t="n"/>
      <c r="R345" s="117" t="n"/>
      <c r="T345" s="117" t="n"/>
    </row>
    <row r="346">
      <c r="A346" s="134" t="inlineStr">
        <is>
          <t>4038</t>
        </is>
      </c>
      <c r="B346" s="110" t="inlineStr">
        <is>
          <t>AERO</t>
        </is>
      </c>
      <c r="C346" s="88" t="n">
        <v>17200</v>
      </c>
      <c r="D346" s="22" t="n">
        <v>10800</v>
      </c>
      <c r="E346" s="22" t="n">
        <v>11500</v>
      </c>
      <c r="F346" s="22" t="n">
        <v>12100</v>
      </c>
      <c r="G346" s="22" t="n">
        <v>12700</v>
      </c>
      <c r="H346" s="22" t="n">
        <v>13300</v>
      </c>
      <c r="I346" s="219" t="n"/>
      <c r="J346" s="219" t="n"/>
      <c r="K346" s="219" t="n"/>
      <c r="L346" s="219">
        <f>ROUND((M346*C346)/100,0)*100</f>
        <v/>
      </c>
      <c r="M346" s="96" t="n">
        <v>1.05</v>
      </c>
      <c r="N346" s="219" t="n"/>
      <c r="O346" s="219" t="n"/>
      <c r="P346" s="219" t="n"/>
      <c r="Q346" s="219" t="n"/>
      <c r="R346" s="117" t="n"/>
      <c r="T346" s="117" t="n"/>
    </row>
    <row r="347">
      <c r="A347" s="134" t="inlineStr">
        <is>
          <t>CAM040</t>
        </is>
      </c>
      <c r="B347" s="110" t="inlineStr">
        <is>
          <t>AERO</t>
        </is>
      </c>
      <c r="C347" s="88" t="n">
        <v>18400</v>
      </c>
      <c r="D347" s="22" t="n">
        <v>11600</v>
      </c>
      <c r="E347" s="22" t="n">
        <v>12200</v>
      </c>
      <c r="F347" s="22" t="n">
        <v>12900</v>
      </c>
      <c r="G347" s="22" t="n">
        <v>13500</v>
      </c>
      <c r="H347" s="22" t="n">
        <v>1</v>
      </c>
      <c r="I347" s="219" t="n"/>
      <c r="J347" s="219" t="n"/>
      <c r="K347" s="219" t="n"/>
      <c r="L347" s="219">
        <f>ROUND((M347*C347)/100,0)*100</f>
        <v/>
      </c>
      <c r="M347" s="96" t="n">
        <v>1.05</v>
      </c>
      <c r="N347" s="219" t="n"/>
      <c r="O347" s="219" t="n"/>
      <c r="P347" s="219" t="n"/>
      <c r="Q347" s="219" t="n"/>
      <c r="R347" s="117" t="n"/>
      <c r="T347" s="117" t="n"/>
    </row>
    <row r="348">
      <c r="A348" s="134" t="n"/>
      <c r="B348" s="246" t="inlineStr">
        <is>
          <t>AERO LEÑADORA 2 BOLS</t>
        </is>
      </c>
      <c r="C348" s="88" t="n">
        <v>26700</v>
      </c>
      <c r="D348" s="88" t="n">
        <v>16800</v>
      </c>
      <c r="E348" s="88" t="n">
        <v>17800</v>
      </c>
      <c r="F348" s="22" t="n">
        <v>700</v>
      </c>
      <c r="G348" s="22" t="n">
        <v>19700</v>
      </c>
      <c r="H348" s="22" t="n">
        <v>20600</v>
      </c>
      <c r="I348" s="219" t="n"/>
      <c r="J348" s="219" t="n"/>
      <c r="K348" s="219" t="n"/>
      <c r="L348" s="219">
        <f>ROUND((M348*C348)/100,0)*100</f>
        <v/>
      </c>
      <c r="M348" s="96" t="n">
        <v>1.05</v>
      </c>
      <c r="N348" s="219" t="n"/>
      <c r="O348" s="219" t="n"/>
      <c r="P348" s="219" t="n"/>
      <c r="Q348" s="219" t="n"/>
      <c r="R348" s="117" t="n"/>
      <c r="T348" s="117" t="n"/>
    </row>
    <row r="349">
      <c r="A349" s="134" t="n"/>
      <c r="B349" s="246" t="inlineStr">
        <is>
          <t>AERO JEANS</t>
        </is>
      </c>
      <c r="C349" s="88" t="n">
        <v>33800</v>
      </c>
      <c r="D349" s="88" t="n">
        <v>21300</v>
      </c>
      <c r="E349" s="88" t="n">
        <v>22500</v>
      </c>
      <c r="F349" s="88" t="n">
        <v>23700</v>
      </c>
      <c r="G349" s="22" t="n">
        <v>24900</v>
      </c>
      <c r="H349" s="22" t="n">
        <v>26100</v>
      </c>
      <c r="I349" s="219" t="n"/>
      <c r="J349" s="219" t="n"/>
      <c r="K349" s="219" t="n"/>
      <c r="L349" s="219">
        <f>ROUND((M349*C349)/100,0)*100</f>
        <v/>
      </c>
      <c r="M349" s="96" t="n">
        <v>1.05</v>
      </c>
      <c r="N349" s="219" t="n"/>
      <c r="O349" s="219" t="n"/>
      <c r="P349" s="219" t="n"/>
      <c r="Q349" s="219" t="n"/>
      <c r="R349" s="117" t="n"/>
      <c r="T349" s="117" t="n"/>
    </row>
    <row r="350">
      <c r="A350" s="134" t="n"/>
      <c r="B350" s="246" t="inlineStr">
        <is>
          <t>AERO VESTIR RATIER</t>
        </is>
      </c>
      <c r="C350" s="88" t="n">
        <v>36900</v>
      </c>
      <c r="D350" s="88" t="n">
        <v>15600</v>
      </c>
      <c r="E350" s="88" t="n">
        <v>16500</v>
      </c>
      <c r="F350" s="88" t="n">
        <v>17400</v>
      </c>
      <c r="G350" s="88" t="n">
        <v>200</v>
      </c>
      <c r="H350" s="22" t="n">
        <v>19100</v>
      </c>
      <c r="I350" s="219" t="n"/>
      <c r="J350" s="219" t="n"/>
      <c r="K350" s="219" t="n"/>
      <c r="L350" s="219">
        <f>ROUND((M350*C350)/100,0)*100</f>
        <v/>
      </c>
      <c r="M350" s="96" t="n">
        <v>1.05</v>
      </c>
      <c r="N350" s="219" t="n"/>
      <c r="O350" s="219" t="n"/>
      <c r="P350" s="219" t="n"/>
      <c r="Q350" s="219" t="n"/>
      <c r="R350" s="117" t="n"/>
      <c r="T350" s="117" t="n"/>
    </row>
    <row r="351">
      <c r="A351" s="134" t="n"/>
      <c r="B351" s="246" t="inlineStr">
        <is>
          <t>AERO RATIER 2 BOLS Y BROCHES</t>
        </is>
      </c>
      <c r="C351" s="88" t="n">
        <v>21600</v>
      </c>
      <c r="D351" s="22" t="n">
        <v>13600</v>
      </c>
      <c r="E351" s="22" t="n">
        <v>14300</v>
      </c>
      <c r="F351" s="22" t="n">
        <v>15100</v>
      </c>
      <c r="G351" s="22" t="n">
        <v>15900</v>
      </c>
      <c r="H351" s="22" t="n">
        <v>16600</v>
      </c>
      <c r="I351" s="219" t="n"/>
      <c r="J351" s="219" t="n"/>
      <c r="K351" s="219" t="n"/>
      <c r="L351" s="219">
        <f>ROUND((M351*C351)/100,0)*100</f>
        <v/>
      </c>
      <c r="M351" s="96" t="n">
        <v>1.05</v>
      </c>
      <c r="N351" s="219" t="n"/>
      <c r="O351" s="219" t="n"/>
      <c r="P351" s="219" t="n"/>
      <c r="Q351" s="219" t="n"/>
      <c r="R351" s="117" t="n"/>
      <c r="T351" s="117" t="n"/>
    </row>
    <row r="352">
      <c r="A352" s="134" t="n"/>
      <c r="B352" s="246" t="inlineStr">
        <is>
          <t>AERO SPORT RATIER</t>
        </is>
      </c>
      <c r="C352" s="88" t="n">
        <v>20900</v>
      </c>
      <c r="D352" s="88" t="n">
        <v>13200</v>
      </c>
      <c r="E352" s="88" t="n">
        <v>13900</v>
      </c>
      <c r="F352" s="88" t="n">
        <v>14600</v>
      </c>
      <c r="G352" s="88" t="n">
        <v>15400</v>
      </c>
      <c r="H352" s="88" t="n">
        <v>16100</v>
      </c>
      <c r="I352" s="219" t="n"/>
      <c r="J352" s="219" t="n"/>
      <c r="K352" s="219" t="n"/>
      <c r="L352" s="219">
        <f>ROUND((M352*C352)/100,0)*100</f>
        <v/>
      </c>
      <c r="M352" s="96" t="n">
        <v>1.05</v>
      </c>
      <c r="N352" s="219" t="n"/>
      <c r="P352" s="219" t="n"/>
      <c r="Q352" s="219" t="n"/>
      <c r="R352" s="117" t="n"/>
      <c r="T352" s="117" t="n"/>
    </row>
    <row r="353">
      <c r="A353" s="134" t="inlineStr">
        <is>
          <t>10069501</t>
        </is>
      </c>
      <c r="B353" s="246" t="inlineStr">
        <is>
          <t>WRANGLER JEAN</t>
        </is>
      </c>
      <c r="C353" s="88" t="n">
        <v>103100</v>
      </c>
      <c r="D353" s="88">
        <f>ROUND((C353*1.06)/100,0)*100</f>
        <v/>
      </c>
      <c r="E353" s="88">
        <f>ROUND((C353*1.12)/100,0)*100</f>
        <v/>
      </c>
      <c r="F353" s="219" t="n"/>
      <c r="G353" s="219" t="n"/>
      <c r="H353" s="219" t="n"/>
      <c r="I353" s="219" t="n"/>
      <c r="J353" s="219" t="n"/>
      <c r="K353" s="219" t="n"/>
      <c r="L353" s="219">
        <f>ROUND((M353*C353)/100,0)*100</f>
        <v/>
      </c>
      <c r="M353" s="96" t="n">
        <v>1.2</v>
      </c>
      <c r="N353" s="219" t="n"/>
      <c r="O353" s="137" t="n"/>
      <c r="P353" s="117" t="n"/>
      <c r="R353" s="117" t="n"/>
      <c r="T353" s="117" t="n"/>
      <c r="Y353" s="20" t="n"/>
    </row>
    <row r="354">
      <c r="A354" s="134" t="n"/>
      <c r="B354" s="246" t="inlineStr">
        <is>
          <t>ALL SEASONS SPORT</t>
        </is>
      </c>
      <c r="C354" s="88" t="n">
        <v>71800</v>
      </c>
      <c r="D354" s="88">
        <f>ROUND((C354*1.06)/100,0)*100</f>
        <v/>
      </c>
      <c r="E354" s="88">
        <f>ROUND((C354*1.12)/100,0)*100</f>
        <v/>
      </c>
      <c r="F354" s="219" t="n"/>
      <c r="G354" s="219" t="n"/>
      <c r="H354" s="219" t="n"/>
      <c r="I354" s="219" t="n"/>
      <c r="J354" s="219" t="n"/>
      <c r="K354" s="219" t="n"/>
      <c r="L354" s="219">
        <f>ROUND((M354*C354)/100,0)*100</f>
        <v/>
      </c>
      <c r="M354" s="96" t="n">
        <v>1.2</v>
      </c>
      <c r="N354" s="219" t="n"/>
      <c r="O354" s="137" t="n"/>
      <c r="P354" s="117" t="n"/>
      <c r="R354" s="117" t="n"/>
      <c r="T354" s="117" t="n"/>
    </row>
    <row r="355">
      <c r="A355" s="134" t="n"/>
      <c r="B355" s="246" t="inlineStr">
        <is>
          <t>ALL SEASONS VESTIR</t>
        </is>
      </c>
      <c r="C355" s="88" t="n">
        <v>77500</v>
      </c>
      <c r="D355" s="88">
        <f>ROUND((C355*1.06)/100,0)*100</f>
        <v/>
      </c>
      <c r="E355" s="88">
        <f>ROUND((C355*1.12)/100,0)*100</f>
        <v/>
      </c>
      <c r="F355" s="219" t="n"/>
      <c r="G355" s="219" t="n"/>
      <c r="H355" s="219" t="n"/>
      <c r="I355" s="219" t="n"/>
      <c r="J355" s="219" t="n"/>
      <c r="K355" s="219" t="n"/>
      <c r="L355" s="219">
        <f>ROUND((M355*C355)/100,0)*100</f>
        <v/>
      </c>
      <c r="M355" s="96" t="n">
        <v>1.2</v>
      </c>
      <c r="N355" s="219" t="n"/>
      <c r="O355" s="137" t="n"/>
      <c r="P355" s="117" t="n"/>
      <c r="R355" s="117" t="n"/>
      <c r="T355" s="117" t="n"/>
    </row>
    <row r="356">
      <c r="A356" s="134" t="n"/>
      <c r="B356" s="246" t="inlineStr">
        <is>
          <t>JEAN CARTIER VESTIR</t>
        </is>
      </c>
      <c r="C356" s="88" t="n">
        <v>55300</v>
      </c>
      <c r="D356" s="88">
        <f>ROUND((C356*1.06)/100,0)*100</f>
        <v/>
      </c>
      <c r="E356" s="88">
        <f>ROUND((C356*1.12)/100,0)*100</f>
        <v/>
      </c>
      <c r="F356" s="219" t="n"/>
      <c r="G356" s="219" t="n"/>
      <c r="H356" s="219" t="n"/>
      <c r="I356" s="219" t="n"/>
      <c r="J356" s="219" t="n"/>
      <c r="K356" s="219" t="n"/>
      <c r="L356" s="219">
        <f>ROUND((M356*C356)/100,0)*100</f>
        <v/>
      </c>
      <c r="M356" s="96" t="n">
        <v>1.2</v>
      </c>
      <c r="N356" s="219" t="n"/>
      <c r="O356" s="137" t="n"/>
      <c r="P356" s="117" t="n"/>
      <c r="R356" s="117" t="n"/>
      <c r="T356" s="117" t="n"/>
    </row>
    <row r="357">
      <c r="A357" s="134" t="n"/>
      <c r="B357" s="246" t="inlineStr">
        <is>
          <t>JEAN CARTIER CORDEROY</t>
        </is>
      </c>
      <c r="C357" s="88" t="n">
        <v>117000</v>
      </c>
      <c r="D357" s="88">
        <f>ROUND((C357*1.06)/100,0)*100</f>
        <v/>
      </c>
      <c r="E357" s="88">
        <f>ROUND((C357*1.12)/100,0)*100</f>
        <v/>
      </c>
      <c r="F357" s="219" t="n"/>
      <c r="G357" s="219" t="n"/>
      <c r="H357" s="219" t="n"/>
      <c r="I357" s="219" t="n"/>
      <c r="J357" s="219" t="n"/>
      <c r="K357" s="219" t="n"/>
      <c r="L357" s="219">
        <f>ROUND((M357*C357)/100,0)*100</f>
        <v/>
      </c>
      <c r="M357" s="96" t="n">
        <v>1.2</v>
      </c>
      <c r="N357" s="219" t="n"/>
      <c r="O357" s="137" t="n"/>
      <c r="P357" s="117" t="n"/>
      <c r="R357" s="117" t="n"/>
      <c r="T357" s="117" t="n"/>
    </row>
    <row r="358">
      <c r="A358" s="134" t="n"/>
      <c r="B358" s="246" t="inlineStr">
        <is>
          <t>CRHISTIAN DIOR VESTIR</t>
        </is>
      </c>
      <c r="C358" s="88" t="n">
        <v>107800</v>
      </c>
      <c r="D358" s="88">
        <f>ROUND((C358*1.06)/100,0)*100</f>
        <v/>
      </c>
      <c r="E358" s="88">
        <f>ROUND((C358*1.12)/100,0)*100</f>
        <v/>
      </c>
      <c r="F358" s="219" t="n"/>
      <c r="G358" s="219" t="n"/>
      <c r="H358" s="219" t="n"/>
      <c r="I358" s="219" t="n"/>
      <c r="J358" s="219" t="n"/>
      <c r="K358" s="219" t="n"/>
      <c r="L358" s="219">
        <f>ROUND((M358*C358)/100,0)*100</f>
        <v/>
      </c>
      <c r="M358" s="96" t="n">
        <v>1.2</v>
      </c>
      <c r="N358" s="219" t="n"/>
      <c r="O358" s="137" t="n"/>
      <c r="P358" s="117" t="n"/>
      <c r="R358" s="117" t="n"/>
      <c r="T358" s="117" t="n"/>
    </row>
    <row r="359">
      <c r="A359" s="134" t="n"/>
      <c r="B359" s="246" t="inlineStr">
        <is>
          <t>CRHISTIAN DIOR SPORT</t>
        </is>
      </c>
      <c r="C359" s="88" t="n">
        <v>61800</v>
      </c>
      <c r="D359" s="88">
        <f>ROUND((C359*1.06)/100,0)*100</f>
        <v/>
      </c>
      <c r="E359" s="88">
        <f>ROUND((C359*1.12)/100,0)*100</f>
        <v/>
      </c>
      <c r="F359" s="219" t="n"/>
      <c r="G359" s="219" t="n"/>
      <c r="H359" s="219" t="n"/>
      <c r="I359" s="219" t="n"/>
      <c r="J359" s="219" t="n"/>
      <c r="K359" s="219" t="n"/>
      <c r="L359" s="219">
        <f>ROUND((M359*C359)/100,0)*100</f>
        <v/>
      </c>
      <c r="M359" s="96" t="n">
        <v>1.2</v>
      </c>
      <c r="N359" s="219" t="n"/>
      <c r="O359" s="137" t="n"/>
      <c r="P359" s="117" t="n"/>
      <c r="R359" s="117" t="n"/>
      <c r="T359" s="117" t="n"/>
    </row>
    <row r="360" ht="18" customHeight="1" s="253">
      <c r="A360" s="134" t="n"/>
      <c r="B360" s="246" t="inlineStr">
        <is>
          <t>POLO CLUB SPORT</t>
        </is>
      </c>
      <c r="C360" s="88" t="n">
        <v>80200</v>
      </c>
      <c r="D360" s="88">
        <f>ROUND((C360*1.06)/100,0)*100</f>
        <v/>
      </c>
      <c r="E360" s="88">
        <f>ROUND((C360*1.12)/100,0)*100</f>
        <v/>
      </c>
      <c r="F360" s="219" t="n"/>
      <c r="G360" s="219" t="n"/>
      <c r="H360" s="219" t="n"/>
      <c r="I360" s="219" t="n"/>
      <c r="J360" s="219" t="n"/>
      <c r="K360" s="219" t="n"/>
      <c r="L360" s="219">
        <f>ROUND((M360*C360)/100,0)*100</f>
        <v/>
      </c>
      <c r="M360" s="96" t="n">
        <v>1.2</v>
      </c>
      <c r="O360" s="137" t="n"/>
      <c r="P360" s="117" t="n"/>
      <c r="R360" s="117" t="n"/>
      <c r="T360" s="117" t="n"/>
    </row>
    <row r="361">
      <c r="A361" s="134" t="n"/>
      <c r="B361" s="246" t="inlineStr">
        <is>
          <t>POLO CLUB CORDEROY</t>
        </is>
      </c>
      <c r="C361" s="88" t="n">
        <v>81900</v>
      </c>
      <c r="D361" s="88">
        <f>ROUND((C361*1.06)/100,0)*100</f>
        <v/>
      </c>
      <c r="E361" s="88">
        <f>ROUND((C361*1.12)/100,0)*100</f>
        <v/>
      </c>
      <c r="F361" s="219" t="n"/>
      <c r="G361" s="219" t="n"/>
      <c r="H361" s="219" t="n"/>
      <c r="I361" s="219" t="n"/>
      <c r="J361" s="219" t="n"/>
      <c r="K361" s="219" t="n"/>
      <c r="L361" s="219">
        <f>ROUND((M361*C361)/100,0)*100</f>
        <v/>
      </c>
      <c r="M361" s="96" t="n">
        <v>1.2</v>
      </c>
      <c r="O361" s="137" t="n"/>
      <c r="P361" s="117" t="n"/>
      <c r="R361" s="117" t="n"/>
      <c r="T361" s="117" t="n"/>
    </row>
    <row r="362">
      <c r="A362" s="134" t="n"/>
      <c r="B362" s="246" t="inlineStr">
        <is>
          <t>POLO CLUB JEANS</t>
        </is>
      </c>
      <c r="C362" s="88" t="n">
        <v>98300</v>
      </c>
      <c r="D362" s="88">
        <f>ROUND((C362*1.06)/100,0)*100</f>
        <v/>
      </c>
      <c r="E362" s="88">
        <f>ROUND((C362*1.12)/100,0)*100</f>
        <v/>
      </c>
      <c r="F362" s="219" t="n"/>
      <c r="G362" s="219" t="n"/>
      <c r="H362" s="219" t="n"/>
      <c r="I362" s="219" t="n"/>
      <c r="J362" s="219" t="n"/>
      <c r="K362" s="219" t="n"/>
      <c r="L362" s="219">
        <f>ROUND((M362*C362)/100,0)*100</f>
        <v/>
      </c>
      <c r="M362" s="96" t="n">
        <v>1.2</v>
      </c>
      <c r="O362" s="137" t="n"/>
      <c r="P362" s="117" t="n"/>
      <c r="R362" s="117" t="n"/>
      <c r="T362" s="117" t="n"/>
    </row>
    <row r="363">
      <c r="A363" s="134" t="n"/>
      <c r="B363" s="246" t="inlineStr">
        <is>
          <t>WRGE</t>
        </is>
      </c>
      <c r="C363" s="88" t="n">
        <v>49700</v>
      </c>
      <c r="D363" s="88">
        <f>ROUND((C363*1.06)/100,0)*100</f>
        <v/>
      </c>
      <c r="E363" s="88">
        <f>ROUND((C363*1.12)/100,0)*100</f>
        <v/>
      </c>
      <c r="F363" s="219" t="n"/>
      <c r="G363" s="219" t="n"/>
      <c r="H363" s="219" t="n"/>
      <c r="I363" s="219" t="n"/>
      <c r="J363" s="219" t="n"/>
      <c r="K363" s="219" t="n"/>
      <c r="L363" s="219">
        <f>ROUND((M363*C363)/100,0)*100</f>
        <v/>
      </c>
      <c r="M363" s="96" t="n">
        <v>1.2</v>
      </c>
      <c r="O363" s="137" t="n"/>
      <c r="P363" s="117" t="n"/>
      <c r="R363" s="117" t="n"/>
      <c r="T363" s="117" t="n"/>
    </row>
    <row r="364">
      <c r="A364" s="134" t="n"/>
      <c r="B364" s="246" t="inlineStr">
        <is>
          <t>TIZIANA LEÑADORA</t>
        </is>
      </c>
      <c r="C364" s="88" t="n">
        <v>61800</v>
      </c>
      <c r="D364" s="88">
        <f>ROUND((C364*1.06)/100,0)*100</f>
        <v/>
      </c>
      <c r="E364" s="88">
        <f>ROUND((C364*1.12)/100,0)*100</f>
        <v/>
      </c>
      <c r="F364" s="219" t="n"/>
      <c r="G364" s="219" t="n"/>
      <c r="H364" s="219" t="n"/>
      <c r="I364" s="219" t="n"/>
      <c r="J364" s="219" t="n"/>
      <c r="K364" s="219" t="n"/>
      <c r="L364" s="219">
        <f>ROUND((M364*C364)/100,0)*100</f>
        <v/>
      </c>
      <c r="M364" s="96" t="n">
        <v>1.2</v>
      </c>
      <c r="O364" s="137" t="n"/>
      <c r="P364" s="117" t="n"/>
      <c r="R364" s="117" t="n"/>
      <c r="T364" s="117" t="n"/>
    </row>
    <row r="365">
      <c r="A365" s="134" t="n"/>
      <c r="B365" s="246" t="inlineStr">
        <is>
          <t>MOJO CAMISA JEAN MANGA LARGA</t>
        </is>
      </c>
      <c r="C365" s="88" t="n">
        <v>40400</v>
      </c>
      <c r="D365" s="22" t="n"/>
      <c r="E365" s="22" t="n"/>
      <c r="F365" s="219" t="n"/>
      <c r="G365" s="219" t="n"/>
      <c r="H365" s="219" t="n"/>
      <c r="I365" s="219" t="n"/>
      <c r="J365" s="219" t="n"/>
      <c r="K365" s="219" t="n"/>
      <c r="L365" s="219">
        <f>ROUND((M365*C365)/100,0)*100</f>
        <v/>
      </c>
      <c r="M365" s="96" t="n">
        <v>1.2</v>
      </c>
      <c r="O365" s="137" t="n"/>
      <c r="P365" s="117" t="n"/>
      <c r="R365" s="117" t="n"/>
      <c r="T365" s="117" t="n"/>
    </row>
    <row r="366">
      <c r="A366" s="134" t="n"/>
      <c r="B366" s="246" t="inlineStr">
        <is>
          <t>JEAN M. LARGA American Tiger</t>
        </is>
      </c>
      <c r="C366" s="88" t="n">
        <v>61600</v>
      </c>
      <c r="D366" s="22" t="n"/>
      <c r="E366" s="22" t="n"/>
      <c r="F366" s="219" t="n"/>
      <c r="G366" s="219" t="n"/>
      <c r="H366" s="219" t="n"/>
      <c r="I366" s="219" t="n"/>
      <c r="J366" s="219" t="n"/>
      <c r="K366" s="219" t="n"/>
      <c r="L366" s="219">
        <f>ROUND((M366*C366)/100,0)*100</f>
        <v/>
      </c>
      <c r="M366" s="96" t="n">
        <v>1.2</v>
      </c>
      <c r="O366" s="137" t="n"/>
      <c r="P366" s="117" t="n"/>
      <c r="R366" s="117" t="n"/>
      <c r="T366" s="117" t="n"/>
    </row>
    <row r="367">
      <c r="A367" s="134" t="n"/>
      <c r="B367" s="246" t="inlineStr">
        <is>
          <t>KORCEL OXFORD</t>
        </is>
      </c>
      <c r="C367" s="88" t="n">
        <v>49800</v>
      </c>
      <c r="D367" s="22" t="n"/>
      <c r="E367" s="22" t="n"/>
      <c r="F367" s="219" t="n"/>
      <c r="G367" s="219" t="n"/>
      <c r="H367" s="219" t="n"/>
      <c r="I367" s="219" t="n"/>
      <c r="J367" s="219" t="n"/>
      <c r="K367" s="219" t="n"/>
      <c r="L367" s="219">
        <f>ROUND((M367*C367)/100,0)*100</f>
        <v/>
      </c>
      <c r="M367" s="96" t="n">
        <v>1.2</v>
      </c>
      <c r="O367" s="137" t="n"/>
      <c r="P367" s="117" t="n"/>
      <c r="R367" s="117" t="n"/>
      <c r="T367" s="117" t="n"/>
    </row>
    <row r="368">
      <c r="A368" s="134" t="inlineStr">
        <is>
          <t>02086XXX</t>
        </is>
      </c>
      <c r="B368" s="118" t="inlineStr">
        <is>
          <t>TAVERNITI JEAN</t>
        </is>
      </c>
      <c r="C368" s="88" t="n">
        <v>115000</v>
      </c>
      <c r="D368" s="22" t="n"/>
      <c r="E368" s="22" t="n"/>
      <c r="F368" s="219" t="n"/>
      <c r="G368" s="219" t="n"/>
      <c r="H368" s="219" t="n"/>
      <c r="I368" s="219" t="n"/>
      <c r="J368" s="219" t="n"/>
      <c r="K368" s="219" t="n"/>
      <c r="L368" s="219">
        <f>ROUND((M368*C368)/100,0)*100</f>
        <v/>
      </c>
      <c r="M368" s="96" t="n">
        <v>1.2</v>
      </c>
      <c r="O368" s="137" t="n"/>
      <c r="P368" s="117" t="n"/>
      <c r="R368" s="117" t="n"/>
      <c r="T368" s="117" t="n"/>
    </row>
    <row r="369">
      <c r="A369" s="134" t="inlineStr">
        <is>
          <t>12876XXX</t>
        </is>
      </c>
      <c r="B369" s="118" t="inlineStr">
        <is>
          <t>TAVERNITI CAMISA M LARGA</t>
        </is>
      </c>
      <c r="C369" s="88" t="n">
        <v>97800</v>
      </c>
      <c r="D369" s="22" t="n"/>
      <c r="E369" s="22" t="n"/>
      <c r="F369" s="219" t="n"/>
      <c r="G369" s="219" t="n"/>
      <c r="H369" s="219" t="n"/>
      <c r="I369" s="219" t="n"/>
      <c r="J369" s="219" t="n"/>
      <c r="K369" s="219" t="n"/>
      <c r="L369" s="219">
        <f>ROUND((M369*C369)/100,0)*100</f>
        <v/>
      </c>
      <c r="M369" s="96" t="n">
        <v>1.2</v>
      </c>
      <c r="O369" s="137" t="n"/>
      <c r="P369" s="117" t="n"/>
      <c r="R369" s="117" t="n"/>
      <c r="T369" s="117" t="n"/>
    </row>
    <row r="370">
      <c r="A370" s="134" t="inlineStr">
        <is>
          <t>12966XXX</t>
        </is>
      </c>
      <c r="B370" s="118" t="inlineStr">
        <is>
          <t>TAVERNITI CAMISA M LARGA</t>
        </is>
      </c>
      <c r="C370" s="88" t="n">
        <v>107000</v>
      </c>
      <c r="D370" s="22" t="n"/>
      <c r="E370" s="22" t="n"/>
      <c r="F370" s="219" t="n"/>
      <c r="G370" s="219" t="n"/>
      <c r="H370" s="219" t="n"/>
      <c r="I370" s="219" t="n"/>
      <c r="J370" s="219" t="n"/>
      <c r="K370" s="219" t="n"/>
      <c r="L370" s="219">
        <f>ROUND((M370*C370)/100,0)*100</f>
        <v/>
      </c>
      <c r="M370" s="96" t="n">
        <v>1.2</v>
      </c>
      <c r="O370" s="137" t="n"/>
      <c r="P370" s="117" t="n"/>
      <c r="R370" s="117" t="n"/>
      <c r="T370" s="117" t="n"/>
    </row>
    <row r="371">
      <c r="A371" s="134" t="inlineStr">
        <is>
          <t>22002XXX</t>
        </is>
      </c>
      <c r="B371" s="118" t="inlineStr">
        <is>
          <t>TAVERNITI CAMISA M LARGA</t>
        </is>
      </c>
      <c r="C371" s="88" t="n">
        <v>109800</v>
      </c>
      <c r="D371" s="22" t="n"/>
      <c r="E371" s="22" t="n"/>
      <c r="F371" s="219" t="n"/>
      <c r="G371" s="219" t="n"/>
      <c r="H371" s="219" t="n"/>
      <c r="I371" s="219" t="n"/>
      <c r="J371" s="219" t="n"/>
      <c r="K371" s="219" t="n"/>
      <c r="L371" s="219">
        <f>ROUND((M371*C371)/100,0)*100</f>
        <v/>
      </c>
      <c r="M371" s="96" t="n">
        <v>1.2</v>
      </c>
      <c r="O371" s="137" t="n"/>
      <c r="P371" s="117" t="n"/>
      <c r="R371" s="117" t="n"/>
      <c r="T371" s="117" t="n"/>
    </row>
    <row r="372">
      <c r="A372" s="134" t="inlineStr">
        <is>
          <t>22330XXX</t>
        </is>
      </c>
      <c r="B372" s="118" t="inlineStr">
        <is>
          <t>TAVERNITI CAMISA M LARGA</t>
        </is>
      </c>
      <c r="C372" s="88" t="n">
        <v>97800</v>
      </c>
      <c r="D372" s="22" t="n"/>
      <c r="E372" s="22" t="n"/>
      <c r="F372" s="219" t="n"/>
      <c r="G372" s="219" t="n"/>
      <c r="H372" s="219" t="n"/>
      <c r="I372" s="219" t="n"/>
      <c r="J372" s="219" t="n"/>
      <c r="K372" s="219" t="n"/>
      <c r="L372" s="219">
        <f>ROUND((M372*C372)/100,0)*100</f>
        <v/>
      </c>
      <c r="M372" s="96" t="n">
        <v>1.2</v>
      </c>
      <c r="O372" s="137" t="n"/>
      <c r="P372" s="117" t="n"/>
      <c r="R372" s="117" t="n"/>
      <c r="T372" s="117" t="n"/>
    </row>
    <row r="373">
      <c r="A373" s="134" t="inlineStr">
        <is>
          <t>22316XXX</t>
        </is>
      </c>
      <c r="B373" s="118" t="inlineStr">
        <is>
          <t>TAVERNITI CAMISA M LARGA</t>
        </is>
      </c>
      <c r="C373" s="88" t="n">
        <v>97800</v>
      </c>
      <c r="D373" s="22" t="n"/>
      <c r="E373" s="22" t="n"/>
      <c r="F373" s="219" t="n"/>
      <c r="G373" s="219" t="n"/>
      <c r="H373" s="219" t="n"/>
      <c r="I373" s="219" t="n"/>
      <c r="J373" s="219" t="n"/>
      <c r="K373" s="219" t="n"/>
      <c r="L373" s="219">
        <f>ROUND((M373*C373)/100,0)*100</f>
        <v/>
      </c>
      <c r="M373" s="96" t="n">
        <v>1.2</v>
      </c>
      <c r="O373" s="137" t="n"/>
      <c r="P373" s="117" t="n"/>
      <c r="R373" s="117" t="n"/>
      <c r="T373" s="117" t="n"/>
    </row>
    <row r="374">
      <c r="A374" s="134" t="inlineStr">
        <is>
          <t>22360XXX</t>
        </is>
      </c>
      <c r="B374" s="118" t="inlineStr">
        <is>
          <t>TAVERNITI CAMISA M LARGA</t>
        </is>
      </c>
      <c r="C374" s="88" t="n">
        <v>97800</v>
      </c>
      <c r="D374" s="22" t="n"/>
      <c r="E374" s="22" t="n"/>
      <c r="F374" s="219" t="n"/>
      <c r="G374" s="219" t="n"/>
      <c r="H374" s="219" t="n"/>
      <c r="I374" s="219" t="n"/>
      <c r="J374" s="219" t="n"/>
      <c r="K374" s="219" t="n"/>
      <c r="L374" s="219">
        <f>ROUND((M374*C374)/100,0)*100</f>
        <v/>
      </c>
      <c r="M374" s="96" t="n">
        <v>1.2</v>
      </c>
      <c r="O374" s="137" t="n"/>
      <c r="P374" s="117" t="n"/>
      <c r="R374" s="117" t="n"/>
      <c r="T374" s="117" t="n"/>
    </row>
    <row r="375">
      <c r="A375" s="134" t="inlineStr">
        <is>
          <t>22390XXX</t>
        </is>
      </c>
      <c r="B375" s="118" t="inlineStr">
        <is>
          <t>TAVERNITI CAMISA M LARGA</t>
        </is>
      </c>
      <c r="C375" s="88" t="n">
        <v>97800</v>
      </c>
      <c r="D375" s="22" t="n"/>
      <c r="E375" s="22" t="n"/>
      <c r="F375" s="219" t="n"/>
      <c r="G375" s="219" t="n"/>
      <c r="H375" s="219" t="n"/>
      <c r="I375" s="219" t="n"/>
      <c r="J375" s="219" t="n"/>
      <c r="K375" s="219" t="n"/>
      <c r="L375" s="219">
        <f>ROUND((M375*C375)/100,0)*100</f>
        <v/>
      </c>
      <c r="M375" s="96" t="n">
        <v>1.2</v>
      </c>
      <c r="O375" s="137" t="n"/>
      <c r="P375" s="117" t="n"/>
      <c r="R375" s="117" t="n"/>
      <c r="T375" s="117" t="n"/>
    </row>
    <row r="376">
      <c r="A376" s="134" t="inlineStr">
        <is>
          <t>22380323</t>
        </is>
      </c>
      <c r="B376" s="118" t="inlineStr">
        <is>
          <t>TAVERNITI CAMISA M LARGA</t>
        </is>
      </c>
      <c r="C376" s="88" t="n">
        <v>97800</v>
      </c>
      <c r="D376" s="22" t="n"/>
      <c r="E376" s="22" t="n"/>
      <c r="F376" s="219" t="n"/>
      <c r="G376" s="219" t="n"/>
      <c r="H376" s="219" t="n"/>
      <c r="I376" s="219" t="n"/>
      <c r="J376" s="219" t="n"/>
      <c r="K376" s="219" t="n"/>
      <c r="L376" s="219">
        <f>ROUND((M376*C376)/100,0)*100</f>
        <v/>
      </c>
      <c r="M376" s="96" t="n">
        <v>1.2</v>
      </c>
      <c r="O376" s="137" t="n"/>
      <c r="P376" s="117" t="n"/>
      <c r="R376" s="117" t="n"/>
      <c r="T376" s="117" t="n"/>
    </row>
    <row r="377">
      <c r="A377" s="134" t="inlineStr">
        <is>
          <t>22380644</t>
        </is>
      </c>
      <c r="B377" s="118" t="inlineStr">
        <is>
          <t>TAVERNITI CAMISA M LARGA</t>
        </is>
      </c>
      <c r="C377" s="88" t="n">
        <v>97800</v>
      </c>
      <c r="D377" s="22" t="n"/>
      <c r="E377" s="22" t="n"/>
      <c r="F377" s="219" t="n"/>
      <c r="G377" s="219" t="n"/>
      <c r="H377" s="219" t="n"/>
      <c r="I377" s="219" t="n"/>
      <c r="J377" s="219" t="n"/>
      <c r="K377" s="219" t="n"/>
      <c r="L377" s="219">
        <f>ROUND((M377*C377)/100,0)*100</f>
        <v/>
      </c>
      <c r="M377" s="96" t="n">
        <v>1.2</v>
      </c>
      <c r="O377" s="137" t="n"/>
      <c r="P377" s="117" t="n"/>
      <c r="R377" s="117" t="n"/>
      <c r="T377" s="117" t="n"/>
    </row>
    <row r="378">
      <c r="A378" s="134" t="inlineStr">
        <is>
          <t>22382626</t>
        </is>
      </c>
      <c r="B378" s="118" t="inlineStr">
        <is>
          <t>TAVERNITI CAMISA M LARGA</t>
        </is>
      </c>
      <c r="C378" s="88" t="n">
        <v>97800</v>
      </c>
      <c r="D378" s="22" t="n"/>
      <c r="E378" s="22" t="n"/>
      <c r="F378" s="219" t="n"/>
      <c r="G378" s="219" t="n"/>
      <c r="H378" s="219" t="n"/>
      <c r="I378" s="219" t="n"/>
      <c r="J378" s="219" t="n"/>
      <c r="K378" s="219" t="n"/>
      <c r="L378" s="219">
        <f>ROUND((M378*C378)/100,0)*100</f>
        <v/>
      </c>
      <c r="M378" s="96" t="n">
        <v>1.2</v>
      </c>
      <c r="O378" s="137" t="n"/>
      <c r="P378" s="117" t="n"/>
      <c r="R378" s="117" t="n"/>
      <c r="T378" s="117" t="n"/>
    </row>
    <row r="379">
      <c r="A379" s="134" t="inlineStr">
        <is>
          <t>22382632</t>
        </is>
      </c>
      <c r="B379" s="118" t="inlineStr">
        <is>
          <t>TAVERNITI CAMISA M LARGA</t>
        </is>
      </c>
      <c r="C379" s="88" t="n">
        <v>97800</v>
      </c>
      <c r="D379" s="22" t="n"/>
      <c r="E379" s="22" t="n"/>
      <c r="F379" s="219" t="n"/>
      <c r="G379" s="219" t="n"/>
      <c r="H379" s="219" t="n"/>
      <c r="I379" s="219" t="n"/>
      <c r="J379" s="219" t="n"/>
      <c r="K379" s="219" t="n"/>
      <c r="L379" s="219">
        <f>ROUND((M379*C379)/100,0)*100</f>
        <v/>
      </c>
      <c r="M379" s="96" t="n">
        <v>1.2</v>
      </c>
      <c r="O379" s="137" t="n"/>
      <c r="P379" s="117" t="n"/>
      <c r="R379" s="117" t="n"/>
      <c r="T379" s="117" t="n"/>
    </row>
    <row r="380">
      <c r="A380" s="134" t="inlineStr">
        <is>
          <t>22386323</t>
        </is>
      </c>
      <c r="B380" s="118" t="inlineStr">
        <is>
          <t>TAVERNITI CAMISA M LARGA</t>
        </is>
      </c>
      <c r="C380" s="88" t="n">
        <v>97800</v>
      </c>
      <c r="D380" s="22" t="n"/>
      <c r="E380" s="22" t="n"/>
      <c r="F380" s="219" t="n"/>
      <c r="G380" s="219" t="n"/>
      <c r="H380" s="219" t="n"/>
      <c r="I380" s="219" t="n"/>
      <c r="J380" s="219" t="n"/>
      <c r="K380" s="219" t="n"/>
      <c r="L380" s="219">
        <f>ROUND((M380*C380)/100,0)*100</f>
        <v/>
      </c>
      <c r="M380" s="96" t="n">
        <v>1.2</v>
      </c>
      <c r="O380" s="137" t="n"/>
      <c r="P380" s="117" t="n"/>
      <c r="R380" s="117" t="n"/>
      <c r="T380" s="117" t="n"/>
    </row>
    <row r="381">
      <c r="A381" s="134" t="inlineStr">
        <is>
          <t>22386630</t>
        </is>
      </c>
      <c r="B381" s="118" t="inlineStr">
        <is>
          <t>TAVERNITI CAMISA M LARGA</t>
        </is>
      </c>
      <c r="C381" s="88" t="n">
        <v>97800</v>
      </c>
      <c r="D381" s="22" t="n"/>
      <c r="E381" s="22" t="n"/>
      <c r="F381" s="219" t="n"/>
      <c r="G381" s="219" t="n"/>
      <c r="H381" s="219" t="n"/>
      <c r="I381" s="219" t="n"/>
      <c r="J381" s="219" t="n"/>
      <c r="K381" s="219" t="n"/>
      <c r="L381" s="219">
        <f>ROUND((M381*C381)/100,0)*100</f>
        <v/>
      </c>
      <c r="M381" s="96" t="n">
        <v>1.2</v>
      </c>
      <c r="O381" s="137" t="n"/>
      <c r="P381" s="117" t="n"/>
      <c r="R381" s="117" t="n"/>
      <c r="T381" s="117" t="n"/>
    </row>
    <row r="382">
      <c r="A382" s="134" t="inlineStr">
        <is>
          <t>22390603</t>
        </is>
      </c>
      <c r="B382" s="118" t="inlineStr">
        <is>
          <t>TAVERNITI CAMISA M LARGA</t>
        </is>
      </c>
      <c r="C382" s="88" t="n">
        <v>97800</v>
      </c>
      <c r="D382" s="22" t="n"/>
      <c r="E382" s="22" t="n"/>
      <c r="F382" s="219" t="n"/>
      <c r="G382" s="219" t="n"/>
      <c r="H382" s="219" t="n"/>
      <c r="I382" s="219" t="n"/>
      <c r="J382" s="219" t="n"/>
      <c r="K382" s="219" t="n"/>
      <c r="L382" s="219">
        <f>ROUND((M382*C382)/100,0)*100</f>
        <v/>
      </c>
      <c r="M382" s="96" t="n">
        <v>1.2</v>
      </c>
      <c r="O382" s="137" t="n"/>
      <c r="P382" s="117" t="n"/>
      <c r="R382" s="117" t="n"/>
      <c r="T382" s="117" t="n"/>
    </row>
    <row r="383">
      <c r="A383" s="134" t="inlineStr">
        <is>
          <t>22390626</t>
        </is>
      </c>
      <c r="B383" s="118" t="inlineStr">
        <is>
          <t>TAVERNITI CAMISA M LARGA</t>
        </is>
      </c>
      <c r="C383" s="88" t="n">
        <v>97800</v>
      </c>
      <c r="D383" s="22" t="n"/>
      <c r="E383" s="22" t="n"/>
      <c r="F383" s="219" t="n"/>
      <c r="G383" s="219" t="n"/>
      <c r="H383" s="219" t="n"/>
      <c r="I383" s="219" t="n"/>
      <c r="J383" s="219" t="n"/>
      <c r="K383" s="219" t="n"/>
      <c r="L383" s="219">
        <f>ROUND((M383*C383)/100,0)*100</f>
        <v/>
      </c>
      <c r="M383" s="96" t="n">
        <v>1.2</v>
      </c>
      <c r="O383" s="137" t="n"/>
      <c r="P383" s="117" t="n"/>
      <c r="R383" s="117" t="n"/>
      <c r="T383" s="117" t="n"/>
    </row>
    <row r="384">
      <c r="A384" s="134" t="inlineStr">
        <is>
          <t>22396323</t>
        </is>
      </c>
      <c r="B384" s="118" t="inlineStr">
        <is>
          <t>TAVERNITI CAMISA M LARGA</t>
        </is>
      </c>
      <c r="C384" s="88" t="n">
        <v>97800</v>
      </c>
      <c r="D384" s="22" t="n"/>
      <c r="E384" s="22" t="n"/>
      <c r="F384" s="219" t="n"/>
      <c r="G384" s="219" t="n"/>
      <c r="H384" s="219" t="n"/>
      <c r="I384" s="219" t="n"/>
      <c r="J384" s="219" t="n"/>
      <c r="K384" s="219" t="n"/>
      <c r="L384" s="219">
        <f>ROUND((M384*C384)/100,0)*100</f>
        <v/>
      </c>
      <c r="M384" s="96" t="n">
        <v>1.2</v>
      </c>
      <c r="O384" s="137" t="n"/>
      <c r="P384" s="117" t="n"/>
      <c r="R384" s="117" t="n"/>
      <c r="T384" s="117" t="n"/>
    </row>
    <row r="385">
      <c r="A385" s="134" t="inlineStr">
        <is>
          <t>22398870</t>
        </is>
      </c>
      <c r="B385" s="118" t="inlineStr">
        <is>
          <t>TAVERNITI CAMISA M LARGA</t>
        </is>
      </c>
      <c r="C385" s="88" t="n">
        <v>97800</v>
      </c>
      <c r="D385" s="22" t="n"/>
      <c r="E385" s="22" t="n"/>
      <c r="F385" s="219" t="n"/>
      <c r="G385" s="219" t="n"/>
      <c r="H385" s="219" t="n"/>
      <c r="I385" s="219" t="n"/>
      <c r="J385" s="219" t="n"/>
      <c r="K385" s="219" t="n"/>
      <c r="L385" s="219">
        <f>ROUND((M385*C385)/100,0)*100</f>
        <v/>
      </c>
      <c r="M385" s="96" t="n">
        <v>1.2</v>
      </c>
      <c r="O385" s="137" t="n"/>
      <c r="P385" s="117" t="n"/>
      <c r="R385" s="117" t="n"/>
      <c r="T385" s="117" t="n"/>
    </row>
    <row r="386">
      <c r="A386" s="134" t="inlineStr">
        <is>
          <t>22428619</t>
        </is>
      </c>
      <c r="B386" s="118" t="inlineStr">
        <is>
          <t>TAVERNITI CAMISA M LARGA</t>
        </is>
      </c>
      <c r="C386" s="88" t="n">
        <v>97800</v>
      </c>
      <c r="D386" s="22" t="n"/>
      <c r="E386" s="22" t="n"/>
      <c r="F386" s="219" t="n"/>
      <c r="G386" s="219" t="n"/>
      <c r="H386" s="219" t="n"/>
      <c r="I386" s="219" t="n"/>
      <c r="J386" s="219" t="n"/>
      <c r="K386" s="219" t="n"/>
      <c r="L386" s="219">
        <f>ROUND((M386*C386)/100,0)*100</f>
        <v/>
      </c>
      <c r="M386" s="96" t="n">
        <v>1.2</v>
      </c>
      <c r="O386" s="137" t="n"/>
      <c r="P386" s="117" t="n"/>
      <c r="R386" s="117" t="n"/>
      <c r="T386" s="117" t="n"/>
    </row>
    <row r="387">
      <c r="A387" s="134" t="inlineStr">
        <is>
          <t>22428626</t>
        </is>
      </c>
      <c r="B387" s="118" t="inlineStr">
        <is>
          <t>TAVERNITI CAMISA M LARGA</t>
        </is>
      </c>
      <c r="C387" s="88" t="n">
        <v>97800</v>
      </c>
      <c r="D387" s="22" t="n"/>
      <c r="E387" s="22" t="n"/>
      <c r="F387" s="219" t="n"/>
      <c r="G387" s="219" t="n"/>
      <c r="H387" s="219" t="n"/>
      <c r="I387" s="219" t="n"/>
      <c r="J387" s="219" t="n"/>
      <c r="K387" s="219" t="n"/>
      <c r="L387" s="219">
        <f>ROUND((M387*C387)/100,0)*100</f>
        <v/>
      </c>
      <c r="M387" s="96" t="n">
        <v>1.2</v>
      </c>
      <c r="O387" s="137" t="n"/>
      <c r="P387" s="117" t="n"/>
      <c r="R387" s="117" t="n"/>
      <c r="T387" s="117" t="n"/>
    </row>
    <row r="388">
      <c r="A388" s="89" t="inlineStr">
        <is>
          <t>22460XXX</t>
        </is>
      </c>
      <c r="B388" s="30" t="inlineStr">
        <is>
          <t>TAVERNITI CAMISA M LARGA</t>
        </is>
      </c>
      <c r="C388" s="88" t="n">
        <v>97800</v>
      </c>
      <c r="D388" s="170" t="n"/>
      <c r="E388" s="170" t="n"/>
      <c r="F388" s="170" t="n"/>
      <c r="G388" s="170" t="n"/>
      <c r="H388" s="170" t="n"/>
      <c r="I388" s="170" t="n"/>
      <c r="J388" s="170" t="n"/>
      <c r="K388" s="170" t="n"/>
      <c r="L388" s="219">
        <f>ROUND((M388*C388)/100,0)*100</f>
        <v/>
      </c>
      <c r="M388" s="96" t="n">
        <v>1.2</v>
      </c>
      <c r="N388" s="30" t="n"/>
      <c r="O388" s="78" t="n"/>
      <c r="P388" s="170" t="n"/>
      <c r="Q388" s="30" t="n"/>
      <c r="R388" s="117" t="n"/>
      <c r="S388" s="30" t="n"/>
      <c r="T388" s="170" t="n"/>
      <c r="U388" s="30" t="n"/>
      <c r="V388" s="30" t="n"/>
      <c r="W388" s="30" t="n"/>
      <c r="X388" s="30" t="n"/>
      <c r="Y388" s="30" t="n"/>
      <c r="Z388" s="30" t="n"/>
      <c r="AA388" s="30" t="n"/>
      <c r="AB388" s="30" t="n"/>
      <c r="AC388" s="30" t="n"/>
      <c r="AD388" s="30" t="n"/>
      <c r="AE388" s="30" t="n"/>
      <c r="AF388" s="30" t="n"/>
      <c r="AG388" s="30" t="n"/>
      <c r="AH388" s="30" t="n"/>
      <c r="AI388" s="30" t="n"/>
      <c r="AJ388" s="30" t="n"/>
      <c r="AK388" s="30" t="n"/>
      <c r="AL388" s="30" t="n"/>
      <c r="AM388" s="30" t="n"/>
      <c r="AN388" s="30" t="n"/>
    </row>
    <row r="389">
      <c r="A389" s="134" t="inlineStr">
        <is>
          <t>22468323</t>
        </is>
      </c>
      <c r="B389" s="118" t="inlineStr">
        <is>
          <t>TAVERNITI CAMISA M LARGA</t>
        </is>
      </c>
      <c r="C389" s="88" t="n">
        <v>97800</v>
      </c>
      <c r="D389" s="22" t="n"/>
      <c r="E389" s="22" t="n"/>
      <c r="F389" s="219" t="n"/>
      <c r="G389" s="219" t="n"/>
      <c r="H389" s="219" t="n"/>
      <c r="I389" s="219" t="n"/>
      <c r="J389" s="219" t="n"/>
      <c r="K389" s="219" t="n"/>
      <c r="L389" s="219">
        <f>ROUND((M389*C389)/100,0)*100</f>
        <v/>
      </c>
      <c r="M389" s="96" t="n">
        <v>1.2</v>
      </c>
      <c r="O389" s="137" t="n"/>
      <c r="P389" s="117" t="n"/>
      <c r="R389" s="117" t="n"/>
      <c r="T389" s="117" t="n"/>
    </row>
    <row r="390">
      <c r="A390" s="134" t="inlineStr">
        <is>
          <t>22468603</t>
        </is>
      </c>
      <c r="B390" s="118" t="inlineStr">
        <is>
          <t>TAVERNITI CAMISA M LARGA</t>
        </is>
      </c>
      <c r="C390" s="88" t="n">
        <v>97800</v>
      </c>
      <c r="D390" s="22" t="n"/>
      <c r="E390" s="22" t="n"/>
      <c r="F390" s="219" t="n"/>
      <c r="G390" s="219" t="n"/>
      <c r="H390" s="219" t="n"/>
      <c r="I390" s="219" t="n"/>
      <c r="J390" s="219" t="n"/>
      <c r="K390" s="219" t="n"/>
      <c r="L390" s="219">
        <f>ROUND((M390*C390)/100,0)*100</f>
        <v/>
      </c>
      <c r="M390" s="96" t="n">
        <v>1.2</v>
      </c>
      <c r="O390" s="137" t="n"/>
      <c r="P390" s="117" t="n"/>
      <c r="R390" s="117" t="n"/>
      <c r="T390" s="117" t="n"/>
    </row>
    <row r="391">
      <c r="A391" s="134" t="inlineStr">
        <is>
          <t>22488603</t>
        </is>
      </c>
      <c r="B391" s="118" t="inlineStr">
        <is>
          <t>TAVERNITI CAMISA M LARGA</t>
        </is>
      </c>
      <c r="C391" s="88" t="n">
        <v>97800</v>
      </c>
      <c r="D391" s="22" t="n"/>
      <c r="E391" s="22" t="n"/>
      <c r="F391" s="219" t="n"/>
      <c r="G391" s="219" t="n"/>
      <c r="H391" s="219" t="n"/>
      <c r="I391" s="219" t="n"/>
      <c r="J391" s="219" t="n"/>
      <c r="K391" s="219" t="n"/>
      <c r="L391" s="219">
        <f>ROUND((M391*C391)/100,0)*100</f>
        <v/>
      </c>
      <c r="M391" s="96" t="n">
        <v>1.2</v>
      </c>
      <c r="O391" s="137" t="n"/>
      <c r="P391" s="117" t="n"/>
      <c r="R391" s="117" t="n"/>
      <c r="T391" s="117" t="n"/>
    </row>
    <row r="392">
      <c r="A392" s="134" t="inlineStr">
        <is>
          <t>22488934</t>
        </is>
      </c>
      <c r="B392" s="118" t="inlineStr">
        <is>
          <t>TAVERNITI CAMISA M LARGA</t>
        </is>
      </c>
      <c r="C392" s="88" t="n">
        <v>97800</v>
      </c>
      <c r="D392" s="22" t="n"/>
      <c r="E392" s="22" t="n"/>
      <c r="F392" s="219" t="n"/>
      <c r="G392" s="219" t="n"/>
      <c r="H392" s="219" t="n"/>
      <c r="I392" s="219" t="n"/>
      <c r="J392" s="219" t="n"/>
      <c r="K392" s="219" t="n"/>
      <c r="L392" s="219">
        <f>ROUND((M392*C392)/100,0)*100</f>
        <v/>
      </c>
      <c r="M392" s="96" t="n">
        <v>1.2</v>
      </c>
      <c r="O392" s="137" t="n"/>
      <c r="P392" s="117" t="n"/>
      <c r="R392" s="117" t="n"/>
      <c r="T392" s="117" t="n"/>
    </row>
    <row r="393">
      <c r="A393" s="134" t="inlineStr">
        <is>
          <t>22490602</t>
        </is>
      </c>
      <c r="B393" s="118" t="inlineStr">
        <is>
          <t>TAVERNITI CAMISA M LARGA</t>
        </is>
      </c>
      <c r="C393" s="88" t="n">
        <v>97800</v>
      </c>
      <c r="D393" s="22" t="n"/>
      <c r="E393" s="22" t="n"/>
      <c r="F393" s="219" t="n"/>
      <c r="G393" s="219" t="n"/>
      <c r="H393" s="219" t="n"/>
      <c r="I393" s="219" t="n"/>
      <c r="J393" s="219" t="n"/>
      <c r="K393" s="219" t="n"/>
      <c r="L393" s="219">
        <f>ROUND((M393*C393)/100,0)*100</f>
        <v/>
      </c>
      <c r="M393" s="96" t="n">
        <v>1.2</v>
      </c>
      <c r="O393" s="137" t="n"/>
      <c r="P393" s="117" t="n"/>
      <c r="R393" s="117" t="n"/>
      <c r="T393" s="117" t="n"/>
    </row>
    <row r="394">
      <c r="A394" s="134" t="inlineStr">
        <is>
          <t>22490603</t>
        </is>
      </c>
      <c r="B394" s="118" t="inlineStr">
        <is>
          <t>TAVERNITI CAMISA M LARGA</t>
        </is>
      </c>
      <c r="C394" s="88" t="n">
        <v>97800</v>
      </c>
      <c r="D394" s="22" t="n"/>
      <c r="E394" s="22" t="n"/>
      <c r="F394" s="219" t="n"/>
      <c r="G394" s="219" t="n"/>
      <c r="H394" s="219" t="n"/>
      <c r="I394" s="219" t="n"/>
      <c r="J394" s="219" t="n"/>
      <c r="K394" s="219" t="n"/>
      <c r="L394" s="219">
        <f>ROUND((M394*C394)/100,0)*100</f>
        <v/>
      </c>
      <c r="M394" s="96" t="n">
        <v>1.2</v>
      </c>
      <c r="O394" s="137" t="n"/>
      <c r="P394" s="117" t="n"/>
      <c r="R394" s="117" t="n"/>
      <c r="T394" s="117" t="n"/>
    </row>
    <row r="395">
      <c r="A395" s="134" t="inlineStr">
        <is>
          <t>22496626</t>
        </is>
      </c>
      <c r="B395" s="118" t="inlineStr">
        <is>
          <t>TAVERNITI CAMISA M LARGA</t>
        </is>
      </c>
      <c r="C395" s="88" t="n">
        <v>97800</v>
      </c>
      <c r="D395" s="22" t="n"/>
      <c r="E395" s="22" t="n"/>
      <c r="F395" s="219" t="n"/>
      <c r="G395" s="219" t="n"/>
      <c r="H395" s="219" t="n"/>
      <c r="I395" s="219" t="n"/>
      <c r="J395" s="219" t="n"/>
      <c r="K395" s="219" t="n"/>
      <c r="L395" s="219">
        <f>ROUND((M395*C395)/100,0)*100</f>
        <v/>
      </c>
      <c r="M395" s="96" t="n">
        <v>1.2</v>
      </c>
      <c r="O395" s="137" t="n"/>
      <c r="P395" s="117" t="n"/>
      <c r="R395" s="117" t="n"/>
      <c r="T395" s="117" t="n"/>
    </row>
    <row r="396">
      <c r="A396" s="134" t="inlineStr">
        <is>
          <t>22496681</t>
        </is>
      </c>
      <c r="B396" s="118" t="inlineStr">
        <is>
          <t>TAVERNITI CAMISA M LARGA</t>
        </is>
      </c>
      <c r="C396" s="88" t="n">
        <v>97800</v>
      </c>
      <c r="D396" s="22" t="n"/>
      <c r="E396" s="22" t="n"/>
      <c r="F396" s="219" t="n"/>
      <c r="G396" s="219" t="n"/>
      <c r="H396" s="219" t="n"/>
      <c r="I396" s="219" t="n"/>
      <c r="J396" s="219" t="n"/>
      <c r="K396" s="219" t="n"/>
      <c r="L396" s="219">
        <f>ROUND((M396*C396)/100,0)*100</f>
        <v/>
      </c>
      <c r="M396" s="96" t="n">
        <v>1.2</v>
      </c>
      <c r="O396" s="137" t="n"/>
      <c r="P396" s="117" t="n"/>
      <c r="R396" s="117" t="n"/>
      <c r="T396" s="117" t="n"/>
    </row>
    <row r="397">
      <c r="A397" s="134" t="inlineStr">
        <is>
          <t>22512XXX</t>
        </is>
      </c>
      <c r="B397" s="118" t="inlineStr">
        <is>
          <t>TAVERNITI CAMISA M LARGA</t>
        </is>
      </c>
      <c r="C397" s="88" t="n">
        <v>97800</v>
      </c>
      <c r="D397" s="22" t="n"/>
      <c r="E397" s="22" t="n"/>
      <c r="F397" s="219" t="n"/>
      <c r="G397" s="219" t="n"/>
      <c r="H397" s="219" t="n"/>
      <c r="I397" s="219" t="n"/>
      <c r="J397" s="219" t="n"/>
      <c r="K397" s="219" t="n"/>
      <c r="L397" s="219">
        <f>ROUND((M397*C397)/100,0)*100</f>
        <v/>
      </c>
      <c r="M397" s="96" t="n">
        <v>1.2</v>
      </c>
      <c r="O397" s="137" t="n"/>
      <c r="P397" s="117" t="n"/>
      <c r="R397" s="117" t="n"/>
      <c r="T397" s="117" t="n"/>
    </row>
    <row r="398">
      <c r="A398" s="134" t="inlineStr">
        <is>
          <t>26516XXX</t>
        </is>
      </c>
      <c r="B398" s="118" t="inlineStr">
        <is>
          <t>TAVERNITI CAMISA M LARGA</t>
        </is>
      </c>
      <c r="C398" s="88" t="n">
        <v>97800</v>
      </c>
      <c r="D398" s="22" t="n"/>
      <c r="E398" s="22" t="n"/>
      <c r="F398" s="219" t="n"/>
      <c r="G398" s="219" t="n"/>
      <c r="H398" s="219" t="n"/>
      <c r="I398" s="219" t="n"/>
      <c r="J398" s="219" t="n"/>
      <c r="K398" s="219" t="n"/>
      <c r="L398" s="219">
        <f>ROUND((M398*C398)/100,0)*100</f>
        <v/>
      </c>
      <c r="M398" s="96" t="n">
        <v>1.2</v>
      </c>
      <c r="O398" s="137" t="n"/>
      <c r="P398" s="117" t="n"/>
      <c r="R398" s="117" t="n"/>
      <c r="T398" s="117" t="n"/>
    </row>
    <row r="399">
      <c r="A399" s="89" t="inlineStr">
        <is>
          <t>22566XXX</t>
        </is>
      </c>
      <c r="B399" s="30" t="inlineStr">
        <is>
          <t>TAVERNITI CAMISA M LARGA</t>
        </is>
      </c>
      <c r="C399" s="88" t="n">
        <v>97800</v>
      </c>
      <c r="D399" s="170" t="n"/>
      <c r="E399" s="170" t="n"/>
      <c r="F399" s="170" t="n"/>
      <c r="G399" s="170" t="n"/>
      <c r="H399" s="170" t="n"/>
      <c r="I399" s="170" t="n"/>
      <c r="J399" s="170" t="n"/>
      <c r="K399" s="170" t="n"/>
      <c r="L399" s="88">
        <f>ROUND((M399*C399)/100,0)*100</f>
        <v/>
      </c>
      <c r="M399" s="96" t="n">
        <v>1.2</v>
      </c>
      <c r="N399" s="30" t="n"/>
      <c r="O399" s="78" t="n"/>
      <c r="P399" s="170" t="n"/>
      <c r="Q399" s="30" t="n"/>
      <c r="R399" s="170" t="n"/>
      <c r="S399" s="30" t="n"/>
      <c r="T399" s="170" t="n"/>
      <c r="U399" s="30" t="n"/>
      <c r="V399" s="30" t="n"/>
      <c r="W399" s="30" t="n"/>
      <c r="X399" s="30" t="n"/>
      <c r="Y399" s="30" t="n"/>
      <c r="Z399" s="30" t="n"/>
      <c r="AA399" s="30" t="n"/>
      <c r="AB399" s="30" t="n"/>
      <c r="AC399" s="30" t="n"/>
      <c r="AD399" s="30" t="n"/>
      <c r="AE399" s="30" t="n"/>
      <c r="AF399" s="30" t="n"/>
      <c r="AG399" s="30" t="n"/>
      <c r="AH399" s="30" t="n"/>
      <c r="AI399" s="30" t="n"/>
      <c r="AJ399" s="30" t="n"/>
      <c r="AK399" s="30" t="n"/>
      <c r="AL399" s="30" t="n"/>
      <c r="AM399" s="30" t="n"/>
      <c r="AN399" s="30" t="n"/>
      <c r="AO399" s="30" t="n"/>
    </row>
    <row r="400">
      <c r="A400" s="134" t="inlineStr">
        <is>
          <t>22574603</t>
        </is>
      </c>
      <c r="B400" s="118" t="inlineStr">
        <is>
          <t>TAVERNITI CAMISA M LARGA</t>
        </is>
      </c>
      <c r="C400" s="88" t="n">
        <v>97800</v>
      </c>
      <c r="D400" s="22" t="n"/>
      <c r="E400" s="22" t="n"/>
      <c r="F400" s="219" t="n"/>
      <c r="G400" s="219" t="n"/>
      <c r="H400" s="219" t="n"/>
      <c r="I400" s="219" t="n"/>
      <c r="J400" s="219" t="n"/>
      <c r="K400" s="219" t="n"/>
      <c r="L400" s="219">
        <f>ROUND((M400*C400)/100,0)*100</f>
        <v/>
      </c>
      <c r="M400" s="96" t="n">
        <v>1.2</v>
      </c>
      <c r="O400" s="137" t="n"/>
      <c r="P400" s="117" t="n"/>
      <c r="R400" s="117" t="n"/>
      <c r="T400" s="117" t="n"/>
    </row>
    <row r="401">
      <c r="A401" s="134" t="inlineStr">
        <is>
          <t>22582323</t>
        </is>
      </c>
      <c r="B401" s="118" t="inlineStr">
        <is>
          <t>TAVERNITI CAMISA M LARGA</t>
        </is>
      </c>
      <c r="C401" s="88" t="n">
        <v>97800</v>
      </c>
      <c r="D401" s="22" t="n"/>
      <c r="E401" s="22" t="n"/>
      <c r="F401" s="219" t="n"/>
      <c r="G401" s="219" t="n"/>
      <c r="H401" s="219" t="n"/>
      <c r="I401" s="219" t="n"/>
      <c r="J401" s="219" t="n"/>
      <c r="K401" s="219" t="n"/>
      <c r="L401" s="219">
        <f>ROUND((M401*C401)/100,0)*100</f>
        <v/>
      </c>
      <c r="M401" s="96" t="n">
        <v>1.2</v>
      </c>
      <c r="O401" s="137" t="n"/>
      <c r="P401" s="117" t="n"/>
      <c r="R401" s="117" t="n"/>
      <c r="T401" s="117" t="n"/>
    </row>
    <row r="402">
      <c r="A402" s="134" t="inlineStr">
        <is>
          <t>22592XXX</t>
        </is>
      </c>
      <c r="B402" s="118" t="inlineStr">
        <is>
          <t>TAVERNITI CAMISA M LARGA</t>
        </is>
      </c>
      <c r="C402" s="88" t="n">
        <v>97800</v>
      </c>
      <c r="D402" s="22" t="n"/>
      <c r="E402" s="22" t="n"/>
      <c r="F402" s="219" t="n"/>
      <c r="G402" s="219" t="n"/>
      <c r="H402" s="219" t="n"/>
      <c r="I402" s="219" t="n"/>
      <c r="J402" s="219" t="n"/>
      <c r="K402" s="219" t="n"/>
      <c r="L402" s="219">
        <f>ROUND((M402*C402)/100,0)*100</f>
        <v/>
      </c>
      <c r="M402" s="96" t="n">
        <v>1.2</v>
      </c>
      <c r="O402" s="137" t="n"/>
      <c r="P402" s="117" t="n"/>
      <c r="R402" s="117" t="n"/>
      <c r="T402" s="117" t="n"/>
    </row>
    <row r="403">
      <c r="A403" s="134" t="inlineStr">
        <is>
          <t>22594XXX</t>
        </is>
      </c>
      <c r="B403" s="118" t="inlineStr">
        <is>
          <t>TAVERNITI CAMISA M LARGA</t>
        </is>
      </c>
      <c r="C403" s="88" t="n">
        <v>97800</v>
      </c>
      <c r="D403" s="22" t="n"/>
      <c r="E403" s="22" t="n"/>
      <c r="F403" s="219" t="n"/>
      <c r="G403" s="219" t="n"/>
      <c r="H403" s="219" t="n"/>
      <c r="I403" s="219" t="n"/>
      <c r="J403" s="219" t="n"/>
      <c r="K403" s="219" t="n"/>
      <c r="L403" s="219">
        <f>ROUND((M403*C403)/100,0)*100</f>
        <v/>
      </c>
      <c r="M403" s="96" t="n">
        <v>1.2</v>
      </c>
      <c r="O403" s="137" t="n"/>
      <c r="P403" s="117" t="n"/>
      <c r="R403" s="117" t="n"/>
      <c r="T403" s="117" t="n"/>
    </row>
    <row r="404">
      <c r="A404" s="134" t="inlineStr">
        <is>
          <t>22596XXX</t>
        </is>
      </c>
      <c r="B404" s="118" t="inlineStr">
        <is>
          <t>TAVERNITI CAMISA M LARGA</t>
        </is>
      </c>
      <c r="C404" s="88" t="n">
        <v>97800</v>
      </c>
      <c r="D404" s="22" t="n"/>
      <c r="E404" s="22" t="n"/>
      <c r="F404" s="219" t="n"/>
      <c r="G404" s="219" t="n"/>
      <c r="H404" s="219" t="n"/>
      <c r="I404" s="219" t="n"/>
      <c r="J404" s="219" t="n"/>
      <c r="K404" s="219" t="n"/>
      <c r="L404" s="219">
        <f>ROUND((M404*C404)/100,0)*100</f>
        <v/>
      </c>
      <c r="M404" s="96" t="n">
        <v>1.2</v>
      </c>
      <c r="O404" s="137" t="n"/>
      <c r="P404" s="117" t="n"/>
      <c r="R404" s="117" t="n"/>
      <c r="T404" s="117" t="n"/>
    </row>
    <row r="405">
      <c r="A405" s="134" t="inlineStr">
        <is>
          <t>22600XXX</t>
        </is>
      </c>
      <c r="B405" s="118" t="inlineStr">
        <is>
          <t>TAVERNITI CAMISA M LARGA</t>
        </is>
      </c>
      <c r="C405" s="88" t="n">
        <v>97800</v>
      </c>
      <c r="D405" s="22" t="n"/>
      <c r="E405" s="22" t="n"/>
      <c r="F405" s="219" t="n"/>
      <c r="G405" s="219" t="n"/>
      <c r="H405" s="219" t="n"/>
      <c r="I405" s="219" t="n"/>
      <c r="J405" s="219" t="n"/>
      <c r="K405" s="219" t="n"/>
      <c r="L405" s="219">
        <f>ROUND((M405*C405)/100,0)*100</f>
        <v/>
      </c>
      <c r="M405" s="96" t="n">
        <v>1.2</v>
      </c>
      <c r="O405" s="137" t="n"/>
      <c r="P405" s="117" t="n"/>
      <c r="R405" s="117" t="n"/>
      <c r="T405" s="117" t="n"/>
    </row>
    <row r="406">
      <c r="A406" s="134" t="inlineStr">
        <is>
          <t>22672870</t>
        </is>
      </c>
      <c r="B406" s="118" t="inlineStr">
        <is>
          <t>TAVERNITI CAMISA M LARGA</t>
        </is>
      </c>
      <c r="C406" s="88" t="n">
        <v>97800</v>
      </c>
      <c r="D406" s="88" t="n"/>
      <c r="E406" s="88" t="n"/>
      <c r="F406" s="219" t="n"/>
      <c r="G406" s="219" t="n"/>
      <c r="H406" s="219" t="n"/>
      <c r="I406" s="219" t="n"/>
      <c r="J406" s="219" t="n"/>
      <c r="K406" s="219" t="n"/>
      <c r="L406" s="219">
        <f>ROUND((M406*C406)/100,0)*100</f>
        <v/>
      </c>
      <c r="M406" s="96" t="n">
        <v>1.2</v>
      </c>
      <c r="O406" s="137" t="n"/>
      <c r="P406" s="117" t="n"/>
      <c r="R406" s="117" t="n"/>
      <c r="T406" s="117" t="n"/>
    </row>
    <row r="407">
      <c r="A407" s="134" t="inlineStr">
        <is>
          <t>22674XXX</t>
        </is>
      </c>
      <c r="B407" s="118" t="inlineStr">
        <is>
          <t>TAVERNITI CAMISA M LARGA</t>
        </is>
      </c>
      <c r="C407" s="88" t="n">
        <v>97800</v>
      </c>
      <c r="D407" s="22" t="n"/>
      <c r="E407" s="22" t="n"/>
      <c r="F407" s="219" t="n"/>
      <c r="G407" s="219" t="n"/>
      <c r="H407" s="219" t="n"/>
      <c r="I407" s="219" t="n"/>
      <c r="J407" s="219" t="n"/>
      <c r="K407" s="219" t="n"/>
      <c r="L407" s="219">
        <f>ROUND((M407*C407)/100,0)*100</f>
        <v/>
      </c>
      <c r="M407" s="96" t="n">
        <v>1.2</v>
      </c>
      <c r="O407" s="137" t="n"/>
      <c r="P407" s="117" t="n"/>
      <c r="R407" s="117" t="n"/>
      <c r="T407" s="117" t="n"/>
    </row>
    <row r="408">
      <c r="A408" s="134" t="inlineStr">
        <is>
          <t>22716XXX</t>
        </is>
      </c>
      <c r="B408" s="118" t="inlineStr">
        <is>
          <t>TAVERNITI CAMISA M LARGA</t>
        </is>
      </c>
      <c r="C408" s="88" t="n">
        <v>97800</v>
      </c>
      <c r="D408" s="22" t="n"/>
      <c r="E408" s="22" t="n"/>
      <c r="F408" s="219" t="n"/>
      <c r="G408" s="219" t="n"/>
      <c r="H408" s="219" t="n"/>
      <c r="I408" s="219" t="n"/>
      <c r="J408" s="219" t="n"/>
      <c r="K408" s="219" t="n"/>
      <c r="L408" s="219">
        <f>ROUND((M408*C408)/100,0)*100</f>
        <v/>
      </c>
      <c r="M408" s="96" t="n">
        <v>1.2</v>
      </c>
      <c r="O408" s="137" t="n"/>
      <c r="P408" s="117" t="n"/>
      <c r="R408" s="117" t="n"/>
      <c r="T408" s="117" t="n"/>
    </row>
    <row r="409">
      <c r="A409" s="134" t="inlineStr">
        <is>
          <t>22754XXX</t>
        </is>
      </c>
      <c r="B409" s="118" t="inlineStr">
        <is>
          <t>TAVERNITI CAMISA M LARGA</t>
        </is>
      </c>
      <c r="C409" s="88" t="n">
        <v>100200</v>
      </c>
      <c r="D409" s="22" t="n"/>
      <c r="E409" s="22" t="n"/>
      <c r="F409" s="219" t="n"/>
      <c r="G409" s="219" t="n"/>
      <c r="H409" s="219" t="n"/>
      <c r="I409" s="219" t="n"/>
      <c r="J409" s="219" t="n"/>
      <c r="K409" s="219" t="n"/>
      <c r="L409" s="219">
        <f>ROUND((M409*C409)/100,0)*100</f>
        <v/>
      </c>
      <c r="M409" s="96" t="n">
        <v>1.2</v>
      </c>
      <c r="O409" s="137" t="n"/>
      <c r="P409" s="117" t="n"/>
      <c r="R409" s="117" t="n"/>
      <c r="T409" s="117" t="n"/>
    </row>
    <row r="410">
      <c r="A410" s="134" t="inlineStr">
        <is>
          <t>22790XXX</t>
        </is>
      </c>
      <c r="B410" s="118" t="inlineStr">
        <is>
          <t>TAVERNITI CAMISA M LARGA</t>
        </is>
      </c>
      <c r="C410" s="88" t="n">
        <v>97800</v>
      </c>
      <c r="D410" s="22" t="n"/>
      <c r="E410" s="22" t="n"/>
      <c r="F410" s="219" t="n"/>
      <c r="G410" s="219" t="n"/>
      <c r="H410" s="219" t="n"/>
      <c r="I410" s="219" t="n"/>
      <c r="J410" s="219" t="n"/>
      <c r="K410" s="219" t="n"/>
      <c r="L410" s="219">
        <f>ROUND((M410*C410)/100,0)*100</f>
        <v/>
      </c>
      <c r="M410" s="96" t="n">
        <v>1.2</v>
      </c>
      <c r="O410" s="137" t="n"/>
      <c r="P410" s="117" t="n"/>
      <c r="R410" s="117" t="n"/>
      <c r="T410" s="117" t="n"/>
    </row>
    <row r="411">
      <c r="A411" s="89" t="inlineStr">
        <is>
          <t>22812XXX</t>
        </is>
      </c>
      <c r="B411" s="30" t="inlineStr">
        <is>
          <t>TAVERNITI CAMISA M LARGA</t>
        </is>
      </c>
      <c r="C411" s="88" t="n">
        <v>97800</v>
      </c>
      <c r="D411" s="170" t="n"/>
      <c r="E411" s="170" t="n"/>
      <c r="F411" s="170" t="n"/>
      <c r="G411" s="170" t="n"/>
      <c r="H411" s="170" t="n"/>
      <c r="I411" s="170" t="n"/>
      <c r="J411" s="170" t="n"/>
      <c r="K411" s="170" t="n"/>
      <c r="L411" s="219">
        <f>ROUND((M411*C411)/100,0)*100</f>
        <v/>
      </c>
      <c r="M411" s="96" t="n">
        <v>1.2</v>
      </c>
      <c r="N411" s="30" t="n"/>
      <c r="O411" s="78" t="n"/>
      <c r="P411" s="170" t="n"/>
      <c r="Q411" s="30" t="n"/>
      <c r="R411" s="117" t="n"/>
      <c r="S411" s="30" t="n"/>
      <c r="T411" s="170" t="n"/>
      <c r="U411" s="30" t="n"/>
      <c r="V411" s="30" t="n"/>
      <c r="W411" s="30" t="n"/>
      <c r="X411" s="30" t="n"/>
      <c r="Y411" s="30" t="n"/>
      <c r="Z411" s="30" t="n"/>
      <c r="AA411" s="30" t="n"/>
      <c r="AB411" s="30" t="n"/>
      <c r="AC411" s="30" t="n"/>
      <c r="AD411" s="30" t="n"/>
      <c r="AE411" s="30" t="n"/>
      <c r="AF411" s="30" t="n"/>
      <c r="AG411" s="30" t="n"/>
      <c r="AH411" s="30" t="n"/>
      <c r="AI411" s="30" t="n"/>
      <c r="AJ411" s="30" t="n"/>
      <c r="AK411" s="30" t="n"/>
      <c r="AL411" s="30" t="n"/>
      <c r="AM411" s="30" t="n"/>
      <c r="AN411" s="30" t="n"/>
    </row>
    <row r="412">
      <c r="A412" s="134" t="inlineStr">
        <is>
          <t>22830XXX</t>
        </is>
      </c>
      <c r="B412" s="118" t="inlineStr">
        <is>
          <t>TAVERNITI CAMISA M LARGA</t>
        </is>
      </c>
      <c r="C412" s="88" t="n">
        <v>97800</v>
      </c>
      <c r="D412" s="22" t="n"/>
      <c r="E412" s="22" t="n"/>
      <c r="F412" s="219" t="n"/>
      <c r="G412" s="219" t="n"/>
      <c r="H412" s="219" t="n"/>
      <c r="I412" s="219" t="n"/>
      <c r="J412" s="219" t="n"/>
      <c r="K412" s="219" t="n"/>
      <c r="L412" s="219">
        <f>ROUND((M412*C412)/100,0)*100</f>
        <v/>
      </c>
      <c r="M412" s="96" t="n">
        <v>1.2</v>
      </c>
      <c r="O412" s="137" t="n"/>
      <c r="P412" s="117" t="n"/>
      <c r="R412" s="117" t="n"/>
      <c r="T412" s="117" t="n"/>
    </row>
    <row r="413">
      <c r="A413" s="134" t="inlineStr">
        <is>
          <t>22834XXX</t>
        </is>
      </c>
      <c r="B413" s="118" t="inlineStr">
        <is>
          <t>TAVERNITI CAMISA M LARGA</t>
        </is>
      </c>
      <c r="C413" s="88" t="n">
        <v>97800</v>
      </c>
      <c r="D413" s="22" t="n"/>
      <c r="E413" s="22" t="n"/>
      <c r="F413" s="219" t="n"/>
      <c r="G413" s="219" t="n"/>
      <c r="H413" s="219" t="n"/>
      <c r="I413" s="219" t="n"/>
      <c r="J413" s="219" t="n"/>
      <c r="K413" s="219" t="n"/>
      <c r="L413" s="219">
        <f>ROUND((M413*C413)/100,0)*100</f>
        <v/>
      </c>
      <c r="M413" s="96" t="n">
        <v>1.2</v>
      </c>
      <c r="O413" s="137" t="n"/>
      <c r="P413" s="117" t="n"/>
      <c r="R413" s="117" t="n"/>
      <c r="T413" s="117" t="n"/>
    </row>
    <row r="414">
      <c r="A414" s="134" t="inlineStr">
        <is>
          <t>22868XXX</t>
        </is>
      </c>
      <c r="B414" s="118" t="inlineStr">
        <is>
          <t>TAVERNITI CAMISA M LARGA</t>
        </is>
      </c>
      <c r="C414" s="88" t="n">
        <v>97800</v>
      </c>
      <c r="D414" s="22" t="n"/>
      <c r="E414" s="22" t="n"/>
      <c r="F414" s="219" t="n"/>
      <c r="G414" s="219" t="n"/>
      <c r="H414" s="219" t="n"/>
      <c r="I414" s="219" t="n"/>
      <c r="J414" s="219" t="n"/>
      <c r="K414" s="219" t="n"/>
      <c r="L414" s="219">
        <f>ROUND((M414*C414)/100,0)*100</f>
        <v/>
      </c>
      <c r="M414" s="96" t="n">
        <v>1.2</v>
      </c>
      <c r="O414" s="137" t="n"/>
      <c r="P414" s="117" t="n"/>
      <c r="R414" s="117" t="n"/>
      <c r="T414" s="117" t="n"/>
    </row>
    <row r="415">
      <c r="A415" s="89" t="inlineStr">
        <is>
          <t>22894XXX</t>
        </is>
      </c>
      <c r="B415" s="30" t="inlineStr">
        <is>
          <t>TAVERNITI CAMISA M LARGA</t>
        </is>
      </c>
      <c r="C415" s="88" t="n">
        <v>97800</v>
      </c>
      <c r="D415" s="170" t="n"/>
      <c r="E415" s="170" t="n"/>
      <c r="F415" s="170" t="n"/>
      <c r="G415" s="170" t="n"/>
      <c r="H415" s="170" t="n"/>
      <c r="I415" s="170" t="n"/>
      <c r="J415" s="170" t="n"/>
      <c r="K415" s="170" t="n"/>
      <c r="L415" s="219">
        <f>ROUND((M415*C415)/100,0)*100</f>
        <v/>
      </c>
      <c r="M415" s="96" t="n">
        <v>1.2</v>
      </c>
      <c r="N415" s="30" t="n"/>
      <c r="O415" s="78" t="n"/>
      <c r="P415" s="170" t="n"/>
      <c r="Q415" s="30" t="n"/>
      <c r="R415" s="117" t="n"/>
      <c r="S415" s="30" t="n"/>
      <c r="T415" s="170" t="n"/>
      <c r="U415" s="30" t="n"/>
      <c r="V415" s="30" t="n"/>
      <c r="W415" s="30" t="n"/>
      <c r="X415" s="30" t="n"/>
      <c r="Y415" s="30" t="n"/>
      <c r="Z415" s="30" t="n"/>
      <c r="AA415" s="30" t="n"/>
      <c r="AB415" s="30" t="n"/>
      <c r="AC415" s="30" t="n"/>
      <c r="AD415" s="30" t="n"/>
      <c r="AE415" s="30" t="n"/>
      <c r="AF415" s="30" t="n"/>
      <c r="AG415" s="30" t="n"/>
      <c r="AH415" s="30" t="n"/>
      <c r="AI415" s="30" t="n"/>
      <c r="AJ415" s="30" t="n"/>
      <c r="AK415" s="30" t="n"/>
      <c r="AL415" s="30" t="n"/>
      <c r="AM415" s="30" t="n"/>
      <c r="AN415" s="30" t="n"/>
    </row>
    <row r="416">
      <c r="A416" s="134" t="inlineStr">
        <is>
          <t>22896XXX</t>
        </is>
      </c>
      <c r="B416" s="118" t="inlineStr">
        <is>
          <t>TAVERNITI CAMISA M LARGA</t>
        </is>
      </c>
      <c r="C416" s="88" t="n">
        <v>97800</v>
      </c>
      <c r="D416" s="22" t="n"/>
      <c r="E416" s="22" t="n"/>
      <c r="F416" s="219" t="n"/>
      <c r="G416" s="219" t="n"/>
      <c r="H416" s="219" t="n"/>
      <c r="I416" s="219" t="n"/>
      <c r="J416" s="219" t="n"/>
      <c r="K416" s="219" t="n"/>
      <c r="L416" s="219">
        <f>ROUND((M416*C416)/100,0)*100</f>
        <v/>
      </c>
      <c r="M416" s="96" t="n">
        <v>1.2</v>
      </c>
      <c r="O416" s="137" t="n"/>
      <c r="P416" s="117" t="n"/>
      <c r="R416" s="117" t="n"/>
      <c r="T416" s="117" t="n"/>
    </row>
    <row r="417">
      <c r="A417" s="134" t="inlineStr">
        <is>
          <t>22900XXX</t>
        </is>
      </c>
      <c r="B417" s="118" t="inlineStr">
        <is>
          <t>TAVERNITI CAMISA M LARGA</t>
        </is>
      </c>
      <c r="C417" s="88" t="n">
        <v>97800</v>
      </c>
      <c r="D417" s="22" t="n"/>
      <c r="E417" s="22" t="n"/>
      <c r="F417" s="219" t="n"/>
      <c r="G417" s="219" t="n"/>
      <c r="H417" s="219" t="n"/>
      <c r="I417" s="219" t="n"/>
      <c r="J417" s="219" t="n"/>
      <c r="K417" s="219" t="n"/>
      <c r="L417" s="219">
        <f>ROUND((M417*C417)/100,0)*100</f>
        <v/>
      </c>
      <c r="M417" s="96" t="n">
        <v>1.2</v>
      </c>
      <c r="O417" s="137" t="n"/>
      <c r="P417" s="117" t="n"/>
      <c r="R417" s="117" t="n"/>
      <c r="T417" s="117" t="n"/>
    </row>
    <row r="418">
      <c r="A418" s="89" t="inlineStr">
        <is>
          <t>22922XXX</t>
        </is>
      </c>
      <c r="B418" s="30" t="inlineStr">
        <is>
          <t>TAVERNITI CAMISA M LARGA</t>
        </is>
      </c>
      <c r="C418" s="88" t="n">
        <v>97800</v>
      </c>
      <c r="D418" s="170" t="n"/>
      <c r="E418" s="170" t="n"/>
      <c r="F418" s="170" t="n"/>
      <c r="G418" s="170" t="n"/>
      <c r="H418" s="170" t="n"/>
      <c r="I418" s="170" t="n"/>
      <c r="J418" s="170" t="n"/>
      <c r="K418" s="170" t="n"/>
      <c r="L418" s="219">
        <f>ROUND((M418*C418)/100,0)*100</f>
        <v/>
      </c>
      <c r="M418" s="96" t="n">
        <v>1.2</v>
      </c>
      <c r="N418" s="30" t="n"/>
      <c r="O418" s="78" t="n"/>
      <c r="P418" s="170" t="n"/>
      <c r="Q418" s="30" t="n"/>
      <c r="R418" s="117" t="n"/>
      <c r="S418" s="30" t="n"/>
      <c r="T418" s="170" t="n"/>
      <c r="U418" s="30" t="n"/>
      <c r="V418" s="30" t="n"/>
      <c r="W418" s="30" t="n"/>
      <c r="X418" s="30" t="n"/>
      <c r="Y418" s="30" t="n"/>
      <c r="Z418" s="30" t="n"/>
      <c r="AA418" s="30" t="n"/>
      <c r="AB418" s="30" t="n"/>
      <c r="AC418" s="30" t="n"/>
      <c r="AD418" s="30" t="n"/>
      <c r="AE418" s="30" t="n"/>
      <c r="AF418" s="30" t="n"/>
      <c r="AG418" s="30" t="n"/>
      <c r="AH418" s="30" t="n"/>
      <c r="AI418" s="30" t="n"/>
      <c r="AJ418" s="30" t="n"/>
      <c r="AK418" s="30" t="n"/>
      <c r="AL418" s="30" t="n"/>
      <c r="AM418" s="30" t="n"/>
      <c r="AN418" s="30" t="n"/>
    </row>
    <row r="419">
      <c r="A419" s="134" t="inlineStr">
        <is>
          <t>22940XXX</t>
        </is>
      </c>
      <c r="B419" s="118" t="inlineStr">
        <is>
          <t>TAVERNITI CAMISA M LARGA</t>
        </is>
      </c>
      <c r="C419" s="88" t="n">
        <v>97800</v>
      </c>
      <c r="D419" s="22" t="n"/>
      <c r="E419" s="22" t="n"/>
      <c r="F419" s="219" t="n"/>
      <c r="G419" s="219" t="n"/>
      <c r="H419" s="219" t="n"/>
      <c r="I419" s="219" t="n"/>
      <c r="J419" s="219" t="n"/>
      <c r="K419" s="219" t="n"/>
      <c r="L419" s="219">
        <f>ROUND((M419*C419)/100,0)*100</f>
        <v/>
      </c>
      <c r="M419" s="96" t="n">
        <v>1.2</v>
      </c>
      <c r="O419" s="137" t="n"/>
      <c r="P419" s="117" t="n"/>
      <c r="R419" s="117" t="n"/>
      <c r="T419" s="117" t="n"/>
    </row>
    <row r="420">
      <c r="A420" s="89" t="inlineStr">
        <is>
          <t>22956XXX</t>
        </is>
      </c>
      <c r="B420" s="30" t="inlineStr">
        <is>
          <t>TAVERNITI CAMISA M LARGA</t>
        </is>
      </c>
      <c r="C420" s="88" t="n">
        <v>97800</v>
      </c>
      <c r="D420" s="170" t="n"/>
      <c r="E420" s="170" t="n"/>
      <c r="F420" s="170" t="n"/>
      <c r="G420" s="170" t="n"/>
      <c r="H420" s="170" t="n"/>
      <c r="I420" s="170" t="n"/>
      <c r="J420" s="170" t="n"/>
      <c r="K420" s="170" t="n"/>
      <c r="L420" s="219">
        <f>ROUND((M420*C420)/100,0)*100</f>
        <v/>
      </c>
      <c r="M420" s="96" t="n">
        <v>1.2</v>
      </c>
      <c r="N420" s="30" t="n"/>
      <c r="O420" s="78" t="n"/>
      <c r="P420" s="170" t="n"/>
      <c r="Q420" s="30" t="n"/>
      <c r="R420" s="117" t="n"/>
      <c r="S420" s="30" t="n"/>
      <c r="T420" s="170" t="n"/>
      <c r="U420" s="30" t="n"/>
      <c r="V420" s="30" t="n"/>
      <c r="W420" s="30" t="n"/>
      <c r="X420" s="30" t="n"/>
      <c r="Y420" s="30" t="n"/>
      <c r="Z420" s="30" t="n"/>
      <c r="AA420" s="30" t="n"/>
      <c r="AB420" s="30" t="n"/>
      <c r="AC420" s="30" t="n"/>
      <c r="AD420" s="30" t="n"/>
      <c r="AE420" s="30" t="n"/>
      <c r="AF420" s="30" t="n"/>
      <c r="AG420" s="30" t="n"/>
      <c r="AH420" s="30" t="n"/>
      <c r="AI420" s="30" t="n"/>
      <c r="AJ420" s="30" t="n"/>
      <c r="AK420" s="30" t="n"/>
      <c r="AL420" s="30" t="n"/>
      <c r="AM420" s="30" t="n"/>
      <c r="AN420" s="30" t="n"/>
    </row>
    <row r="421">
      <c r="A421" s="89" t="inlineStr">
        <is>
          <t>22966XXX</t>
        </is>
      </c>
      <c r="B421" s="30" t="inlineStr">
        <is>
          <t>TAVERNITI CAMISA M LARGA</t>
        </is>
      </c>
      <c r="C421" s="88" t="n">
        <v>97800</v>
      </c>
      <c r="D421" s="170" t="n"/>
      <c r="E421" s="170" t="n"/>
      <c r="F421" s="170" t="n"/>
      <c r="G421" s="170" t="n"/>
      <c r="H421" s="170" t="n"/>
      <c r="I421" s="170" t="n"/>
      <c r="J421" s="170" t="n"/>
      <c r="K421" s="170" t="n"/>
      <c r="L421" s="219">
        <f>ROUND((M421*C421)/100,0)*100</f>
        <v/>
      </c>
      <c r="M421" s="96" t="n">
        <v>1.2</v>
      </c>
      <c r="N421" s="30" t="n"/>
      <c r="O421" s="78" t="n"/>
      <c r="P421" s="170" t="n"/>
      <c r="Q421" s="30" t="n"/>
      <c r="R421" s="117" t="n"/>
      <c r="S421" s="30" t="n"/>
      <c r="T421" s="170" t="n"/>
      <c r="U421" s="30" t="n"/>
      <c r="V421" s="30" t="n"/>
      <c r="W421" s="30" t="n"/>
      <c r="X421" s="30" t="n"/>
      <c r="Y421" s="30" t="n"/>
      <c r="Z421" s="30" t="n"/>
      <c r="AA421" s="30" t="n"/>
      <c r="AB421" s="30" t="n"/>
      <c r="AC421" s="30" t="n"/>
      <c r="AD421" s="30" t="n"/>
      <c r="AE421" s="30" t="n"/>
      <c r="AF421" s="30" t="n"/>
      <c r="AG421" s="30" t="n"/>
      <c r="AH421" s="30" t="n"/>
      <c r="AI421" s="30" t="n"/>
      <c r="AJ421" s="30" t="n"/>
      <c r="AK421" s="30" t="n"/>
      <c r="AL421" s="30" t="n"/>
      <c r="AM421" s="30" t="n"/>
      <c r="AN421" s="30" t="n"/>
    </row>
    <row r="422">
      <c r="A422" s="89" t="inlineStr">
        <is>
          <t>22972XXX</t>
        </is>
      </c>
      <c r="B422" s="30" t="inlineStr">
        <is>
          <t>TAVERNITI CAMISA M LARGA</t>
        </is>
      </c>
      <c r="C422" s="88" t="n">
        <v>97800</v>
      </c>
      <c r="D422" s="170" t="n"/>
      <c r="E422" s="170" t="n"/>
      <c r="F422" s="170" t="n"/>
      <c r="G422" s="170" t="n"/>
      <c r="H422" s="170" t="n"/>
      <c r="I422" s="170" t="n"/>
      <c r="J422" s="170" t="n"/>
      <c r="K422" s="170" t="n"/>
      <c r="L422" s="219">
        <f>ROUND((M422*C422)/100,0)*100</f>
        <v/>
      </c>
      <c r="M422" s="96" t="n">
        <v>1.2</v>
      </c>
      <c r="N422" s="30" t="n"/>
      <c r="O422" s="78" t="n"/>
      <c r="P422" s="170" t="n"/>
      <c r="Q422" s="30" t="n"/>
      <c r="R422" s="117" t="n"/>
      <c r="S422" s="30" t="n"/>
      <c r="T422" s="170" t="n"/>
      <c r="U422" s="30" t="n"/>
      <c r="V422" s="30" t="n"/>
      <c r="W422" s="30" t="n"/>
      <c r="X422" s="30" t="n"/>
      <c r="Y422" s="30" t="n"/>
      <c r="Z422" s="30" t="n"/>
      <c r="AA422" s="30" t="n"/>
      <c r="AB422" s="30" t="n"/>
      <c r="AC422" s="30" t="n"/>
      <c r="AD422" s="30" t="n"/>
      <c r="AE422" s="30" t="n"/>
      <c r="AF422" s="30" t="n"/>
      <c r="AG422" s="30" t="n"/>
      <c r="AH422" s="30" t="n"/>
      <c r="AI422" s="30" t="n"/>
      <c r="AJ422" s="30" t="n"/>
      <c r="AK422" s="30" t="n"/>
      <c r="AL422" s="30" t="n"/>
      <c r="AM422" s="30" t="n"/>
      <c r="AN422" s="30" t="n"/>
    </row>
    <row r="423">
      <c r="A423" s="89" t="inlineStr">
        <is>
          <t>22972XXX</t>
        </is>
      </c>
      <c r="B423" s="30" t="inlineStr">
        <is>
          <t>TAVERNITI CAMISA M LARGA</t>
        </is>
      </c>
      <c r="C423" s="88" t="n">
        <v>97800</v>
      </c>
      <c r="D423" s="170" t="n"/>
      <c r="E423" s="170" t="n"/>
      <c r="F423" s="170" t="n"/>
      <c r="G423" s="170" t="n"/>
      <c r="H423" s="170" t="n"/>
      <c r="I423" s="170" t="n"/>
      <c r="J423" s="170" t="n"/>
      <c r="K423" s="170" t="n"/>
      <c r="L423" s="219">
        <f>ROUND((M423*C423)/100,0)*100</f>
        <v/>
      </c>
      <c r="M423" s="96" t="n">
        <v>1.2</v>
      </c>
      <c r="N423" s="30" t="n"/>
      <c r="O423" s="78" t="n"/>
      <c r="P423" s="170" t="n"/>
      <c r="Q423" s="30" t="n"/>
      <c r="R423" s="117" t="n"/>
      <c r="S423" s="30" t="n"/>
      <c r="T423" s="170" t="n"/>
      <c r="U423" s="30" t="n"/>
      <c r="V423" s="30" t="n"/>
      <c r="W423" s="30" t="n"/>
      <c r="X423" s="30" t="n"/>
      <c r="Y423" s="30" t="n"/>
      <c r="Z423" s="30" t="n"/>
      <c r="AA423" s="30" t="n"/>
      <c r="AB423" s="30" t="n"/>
      <c r="AC423" s="30" t="n"/>
      <c r="AD423" s="30" t="n"/>
      <c r="AE423" s="30" t="n"/>
      <c r="AF423" s="30" t="n"/>
      <c r="AG423" s="30" t="n"/>
      <c r="AH423" s="30" t="n"/>
      <c r="AI423" s="30" t="n"/>
      <c r="AJ423" s="30" t="n"/>
      <c r="AK423" s="30" t="n"/>
      <c r="AL423" s="30" t="n"/>
      <c r="AM423" s="30" t="n"/>
      <c r="AN423" s="30" t="n"/>
    </row>
    <row r="424">
      <c r="A424" s="134" t="inlineStr">
        <is>
          <t>26008XXX</t>
        </is>
      </c>
      <c r="B424" s="118" t="inlineStr">
        <is>
          <t>TAVERNITI CAMISA M LARGA</t>
        </is>
      </c>
      <c r="C424" s="88" t="n">
        <v>97800</v>
      </c>
      <c r="D424" s="22" t="n"/>
      <c r="E424" s="22" t="n"/>
      <c r="F424" s="219" t="n"/>
      <c r="G424" s="219" t="n"/>
      <c r="H424" s="219" t="n"/>
      <c r="I424" s="219" t="n"/>
      <c r="J424" s="219" t="n"/>
      <c r="K424" s="219" t="n"/>
      <c r="L424" s="219">
        <f>ROUND((M424*C424)/100,0)*100</f>
        <v/>
      </c>
      <c r="M424" s="96" t="n">
        <v>1.2</v>
      </c>
      <c r="O424" s="137" t="n"/>
      <c r="P424" s="117" t="n"/>
      <c r="R424" s="117" t="n"/>
      <c r="T424" s="117" t="n"/>
    </row>
    <row r="425">
      <c r="A425" s="89" t="inlineStr">
        <is>
          <t>26042XXX</t>
        </is>
      </c>
      <c r="B425" s="30" t="inlineStr">
        <is>
          <t>TAVERNITI CAMISA M LARGA</t>
        </is>
      </c>
      <c r="C425" s="88" t="n">
        <v>97800</v>
      </c>
      <c r="D425" s="170" t="n"/>
      <c r="E425" s="170" t="n"/>
      <c r="F425" s="170" t="n"/>
      <c r="G425" s="170" t="n"/>
      <c r="H425" s="170" t="n"/>
      <c r="I425" s="170" t="n"/>
      <c r="J425" s="170" t="n"/>
      <c r="K425" s="170" t="n"/>
      <c r="L425" s="219">
        <f>ROUND((M425*C425)/100,0)*100</f>
        <v/>
      </c>
      <c r="M425" s="96" t="n">
        <v>1.2</v>
      </c>
      <c r="N425" s="30" t="n"/>
      <c r="O425" s="78" t="n"/>
      <c r="P425" s="170" t="n"/>
      <c r="Q425" s="30" t="n"/>
      <c r="R425" s="117" t="n"/>
      <c r="S425" s="30" t="n"/>
      <c r="T425" s="170" t="n"/>
      <c r="U425" s="30" t="n"/>
      <c r="V425" s="30" t="n"/>
      <c r="W425" s="30" t="n"/>
      <c r="X425" s="30" t="n"/>
      <c r="Y425" s="30" t="n"/>
      <c r="Z425" s="30" t="n"/>
      <c r="AA425" s="30" t="n"/>
      <c r="AB425" s="30" t="n"/>
      <c r="AC425" s="30" t="n"/>
      <c r="AD425" s="30" t="n"/>
      <c r="AE425" s="30" t="n"/>
      <c r="AF425" s="30" t="n"/>
      <c r="AG425" s="30" t="n"/>
      <c r="AH425" s="30" t="n"/>
      <c r="AI425" s="30" t="n"/>
      <c r="AJ425" s="30" t="n"/>
      <c r="AK425" s="30" t="n"/>
      <c r="AL425" s="30" t="n"/>
      <c r="AM425" s="30" t="n"/>
      <c r="AN425" s="30" t="n"/>
    </row>
    <row r="426">
      <c r="A426" s="134" t="inlineStr">
        <is>
          <t>26046XXX</t>
        </is>
      </c>
      <c r="B426" s="118" t="inlineStr">
        <is>
          <t>TAVERNITI CAMISA M LARGA</t>
        </is>
      </c>
      <c r="C426" s="88" t="n">
        <v>97800</v>
      </c>
      <c r="D426" s="22" t="n"/>
      <c r="E426" s="22" t="n"/>
      <c r="F426" s="219" t="n"/>
      <c r="G426" s="219" t="n"/>
      <c r="H426" s="219" t="n"/>
      <c r="I426" s="219" t="n"/>
      <c r="J426" s="219" t="n"/>
      <c r="K426" s="219" t="n"/>
      <c r="L426" s="219">
        <f>ROUND((M426*C426)/100,0)*100</f>
        <v/>
      </c>
      <c r="M426" s="96" t="n">
        <v>1.2</v>
      </c>
      <c r="O426" s="137" t="n"/>
      <c r="P426" s="117" t="n"/>
      <c r="R426" s="117" t="n"/>
      <c r="T426" s="117" t="n"/>
    </row>
    <row r="427">
      <c r="A427" s="89" t="inlineStr">
        <is>
          <t>26070XXX</t>
        </is>
      </c>
      <c r="B427" s="30" t="inlineStr">
        <is>
          <t>TAVERNITI CAMISA M LARGA</t>
        </is>
      </c>
      <c r="C427" s="88" t="n">
        <v>97800</v>
      </c>
      <c r="D427" s="170" t="n"/>
      <c r="E427" s="170" t="n"/>
      <c r="F427" s="170" t="n"/>
      <c r="G427" s="170" t="n"/>
      <c r="H427" s="170" t="n"/>
      <c r="I427" s="170" t="n"/>
      <c r="J427" s="170" t="n"/>
      <c r="K427" s="170" t="n"/>
      <c r="L427" s="219">
        <f>ROUND((M427*C427)/100,0)*100</f>
        <v/>
      </c>
      <c r="M427" s="96" t="n">
        <v>1.2</v>
      </c>
      <c r="N427" s="30" t="n"/>
      <c r="O427" s="78" t="n"/>
      <c r="P427" s="170" t="n"/>
      <c r="Q427" s="30" t="n"/>
      <c r="R427" s="117" t="n"/>
      <c r="S427" s="30" t="n"/>
      <c r="T427" s="170" t="n"/>
      <c r="U427" s="30" t="n"/>
      <c r="V427" s="30" t="n"/>
      <c r="W427" s="30" t="n"/>
      <c r="X427" s="30" t="n"/>
      <c r="Y427" s="30" t="n"/>
      <c r="Z427" s="30" t="n"/>
      <c r="AA427" s="30" t="n"/>
      <c r="AB427" s="30" t="n"/>
      <c r="AC427" s="30" t="n"/>
      <c r="AD427" s="30" t="n"/>
      <c r="AE427" s="30" t="n"/>
      <c r="AF427" s="30" t="n"/>
      <c r="AG427" s="30" t="n"/>
      <c r="AH427" s="30" t="n"/>
      <c r="AI427" s="30" t="n"/>
      <c r="AJ427" s="30" t="n"/>
      <c r="AK427" s="30" t="n"/>
      <c r="AL427" s="30" t="n"/>
      <c r="AM427" s="30" t="n"/>
      <c r="AN427" s="30" t="n"/>
    </row>
    <row r="428">
      <c r="A428" s="134" t="inlineStr">
        <is>
          <t>26074XXX</t>
        </is>
      </c>
      <c r="B428" s="118" t="inlineStr">
        <is>
          <t>TAVERNITI CAMISA M LARGA</t>
        </is>
      </c>
      <c r="C428" s="88" t="n">
        <v>97800</v>
      </c>
      <c r="D428" s="22" t="n"/>
      <c r="E428" s="22" t="n"/>
      <c r="F428" s="219" t="n"/>
      <c r="G428" s="219" t="n"/>
      <c r="H428" s="219" t="n"/>
      <c r="I428" s="219" t="n"/>
      <c r="J428" s="219" t="n"/>
      <c r="K428" s="219" t="n"/>
      <c r="L428" s="219">
        <f>ROUND((M428*C428)/100,0)*100</f>
        <v/>
      </c>
      <c r="M428" s="96" t="n">
        <v>1.2</v>
      </c>
      <c r="O428" s="137" t="n"/>
      <c r="P428" s="117" t="n"/>
      <c r="R428" s="117" t="n"/>
      <c r="T428" s="117" t="n"/>
    </row>
    <row r="429">
      <c r="A429" s="89" t="inlineStr">
        <is>
          <t>26080XXX</t>
        </is>
      </c>
      <c r="B429" s="30" t="inlineStr">
        <is>
          <t>TAVERNITI CAMISA M LARGA</t>
        </is>
      </c>
      <c r="C429" s="88" t="n">
        <v>97800</v>
      </c>
      <c r="D429" s="170" t="n"/>
      <c r="E429" s="170" t="n"/>
      <c r="F429" s="170" t="n"/>
      <c r="G429" s="170" t="n"/>
      <c r="H429" s="170" t="n"/>
      <c r="I429" s="170" t="n"/>
      <c r="J429" s="170" t="n"/>
      <c r="K429" s="170" t="n"/>
      <c r="L429" s="219">
        <f>ROUND((M429*C429)/100,0)*100</f>
        <v/>
      </c>
      <c r="M429" s="96" t="n">
        <v>1.2</v>
      </c>
      <c r="N429" s="30" t="n"/>
      <c r="O429" s="78" t="n"/>
      <c r="P429" s="170" t="n"/>
      <c r="Q429" s="30" t="n"/>
      <c r="R429" s="117" t="n"/>
      <c r="S429" s="30" t="n"/>
      <c r="T429" s="170" t="n"/>
      <c r="U429" s="30" t="n"/>
      <c r="V429" s="30" t="n"/>
      <c r="W429" s="30" t="n"/>
      <c r="X429" s="30" t="n"/>
      <c r="Y429" s="30" t="n"/>
      <c r="Z429" s="30" t="n"/>
      <c r="AA429" s="30" t="n"/>
      <c r="AB429" s="30" t="n"/>
      <c r="AC429" s="30" t="n"/>
      <c r="AD429" s="30" t="n"/>
      <c r="AE429" s="30" t="n"/>
      <c r="AF429" s="30" t="n"/>
      <c r="AG429" s="30" t="n"/>
      <c r="AH429" s="30" t="n"/>
      <c r="AI429" s="30" t="n"/>
      <c r="AJ429" s="30" t="n"/>
      <c r="AK429" s="30" t="n"/>
      <c r="AL429" s="30" t="n"/>
      <c r="AM429" s="30" t="n"/>
      <c r="AN429" s="30" t="n"/>
    </row>
    <row r="430">
      <c r="A430" s="134" t="inlineStr">
        <is>
          <t>26092XXX</t>
        </is>
      </c>
      <c r="B430" s="118" t="inlineStr">
        <is>
          <t>TAVERNITI CAMISA M LARGA</t>
        </is>
      </c>
      <c r="C430" s="88" t="n">
        <v>97800</v>
      </c>
      <c r="D430" s="22" t="n"/>
      <c r="E430" s="22" t="n"/>
      <c r="F430" s="219" t="n"/>
      <c r="G430" s="219" t="n"/>
      <c r="H430" s="219" t="n"/>
      <c r="I430" s="219" t="n"/>
      <c r="J430" s="219" t="n"/>
      <c r="K430" s="219" t="n"/>
      <c r="L430" s="219">
        <f>ROUND((M430*C430)/100,0)*100</f>
        <v/>
      </c>
      <c r="M430" s="96" t="n">
        <v>1.2</v>
      </c>
      <c r="O430" s="137" t="n"/>
      <c r="P430" s="117" t="n"/>
      <c r="R430" s="117" t="n"/>
      <c r="T430" s="117" t="n"/>
    </row>
    <row r="431">
      <c r="A431" s="89" t="inlineStr">
        <is>
          <t>26102XXX</t>
        </is>
      </c>
      <c r="B431" s="30" t="inlineStr">
        <is>
          <t>TAVERNITI CAMISA M LARGA</t>
        </is>
      </c>
      <c r="C431" s="88" t="n">
        <v>98300</v>
      </c>
      <c r="D431" s="170" t="n"/>
      <c r="E431" s="170" t="n"/>
      <c r="F431" s="170" t="n"/>
      <c r="G431" s="170" t="n"/>
      <c r="H431" s="170" t="n"/>
      <c r="I431" s="170" t="n"/>
      <c r="J431" s="170" t="n"/>
      <c r="K431" s="170" t="n"/>
      <c r="L431" s="219">
        <f>ROUND((M431*C431)/100,0)*100</f>
        <v/>
      </c>
      <c r="M431" s="96" t="n">
        <v>1.2</v>
      </c>
      <c r="N431" s="30" t="n"/>
      <c r="O431" s="78" t="n"/>
      <c r="P431" s="170" t="n"/>
      <c r="Q431" s="30" t="n"/>
      <c r="R431" s="117" t="n"/>
      <c r="S431" s="30" t="n"/>
      <c r="T431" s="170" t="n"/>
      <c r="U431" s="30" t="n"/>
      <c r="V431" s="30" t="n"/>
      <c r="W431" s="30" t="n"/>
      <c r="X431" s="30" t="n"/>
      <c r="Y431" s="30" t="n"/>
      <c r="Z431" s="30" t="n"/>
      <c r="AA431" s="30" t="n"/>
      <c r="AB431" s="30" t="n"/>
      <c r="AC431" s="30" t="n"/>
      <c r="AD431" s="30" t="n"/>
      <c r="AE431" s="30" t="n"/>
      <c r="AF431" s="30" t="n"/>
      <c r="AG431" s="30" t="n"/>
      <c r="AH431" s="30" t="n"/>
      <c r="AI431" s="30" t="n"/>
      <c r="AJ431" s="30" t="n"/>
      <c r="AK431" s="30" t="n"/>
      <c r="AL431" s="30" t="n"/>
      <c r="AM431" s="30" t="n"/>
      <c r="AN431" s="30" t="n"/>
    </row>
    <row r="432">
      <c r="A432" s="89" t="inlineStr">
        <is>
          <t>26106XXX</t>
        </is>
      </c>
      <c r="B432" s="30" t="inlineStr">
        <is>
          <t>TAVERNITI CAMISA M LARGA</t>
        </is>
      </c>
      <c r="C432" s="88" t="n">
        <v>97800</v>
      </c>
      <c r="D432" s="170" t="n"/>
      <c r="E432" s="170" t="n"/>
      <c r="F432" s="170" t="n"/>
      <c r="G432" s="170" t="n"/>
      <c r="H432" s="170" t="n"/>
      <c r="I432" s="170" t="n"/>
      <c r="J432" s="170" t="n"/>
      <c r="K432" s="170" t="n"/>
      <c r="L432" s="219">
        <f>ROUND((M432*C432)/100,0)*100</f>
        <v/>
      </c>
      <c r="M432" s="96" t="n">
        <v>1.2</v>
      </c>
      <c r="N432" s="30" t="n"/>
      <c r="O432" s="78" t="n"/>
      <c r="P432" s="170" t="n"/>
      <c r="Q432" s="30" t="n"/>
      <c r="R432" s="117" t="n"/>
      <c r="S432" s="30" t="n"/>
      <c r="T432" s="170" t="n"/>
      <c r="U432" s="30" t="n"/>
      <c r="V432" s="30" t="n"/>
      <c r="W432" s="30" t="n"/>
      <c r="X432" s="30" t="n"/>
      <c r="Y432" s="30" t="n"/>
      <c r="Z432" s="30" t="n"/>
      <c r="AA432" s="30" t="n"/>
      <c r="AB432" s="30" t="n"/>
      <c r="AC432" s="30" t="n"/>
      <c r="AD432" s="30" t="n"/>
      <c r="AE432" s="30" t="n"/>
      <c r="AF432" s="30" t="n"/>
      <c r="AG432" s="30" t="n"/>
      <c r="AH432" s="30" t="n"/>
      <c r="AI432" s="30" t="n"/>
      <c r="AJ432" s="30" t="n"/>
      <c r="AK432" s="30" t="n"/>
      <c r="AL432" s="30" t="n"/>
      <c r="AM432" s="30" t="n"/>
      <c r="AN432" s="30" t="n"/>
    </row>
    <row r="433">
      <c r="A433" s="134" t="inlineStr">
        <is>
          <t>26108XXX</t>
        </is>
      </c>
      <c r="B433" s="118" t="inlineStr">
        <is>
          <t>TAVERNITI CAMISA M LARGA</t>
        </is>
      </c>
      <c r="C433" s="88" t="n">
        <v>97800</v>
      </c>
      <c r="D433" s="22" t="n"/>
      <c r="E433" s="22" t="n"/>
      <c r="F433" s="219" t="n"/>
      <c r="G433" s="219" t="n"/>
      <c r="H433" s="219" t="n"/>
      <c r="I433" s="219" t="n"/>
      <c r="J433" s="219" t="n"/>
      <c r="K433" s="219" t="n"/>
      <c r="L433" s="219">
        <f>ROUND((M433*C433)/100,0)*100</f>
        <v/>
      </c>
      <c r="M433" s="96" t="n">
        <v>1.2</v>
      </c>
      <c r="O433" s="137" t="n"/>
      <c r="P433" s="117" t="n"/>
      <c r="R433" s="117" t="n"/>
      <c r="T433" s="117" t="n"/>
    </row>
    <row r="434">
      <c r="A434" s="134" t="inlineStr">
        <is>
          <t>26110XXX</t>
        </is>
      </c>
      <c r="B434" s="118" t="inlineStr">
        <is>
          <t>TAVERNITI CAMISA M LARGA</t>
        </is>
      </c>
      <c r="C434" s="88" t="n">
        <v>97800</v>
      </c>
      <c r="D434" s="22" t="n"/>
      <c r="E434" s="22" t="n"/>
      <c r="F434" s="219" t="n"/>
      <c r="G434" s="219" t="n"/>
      <c r="H434" s="219" t="n"/>
      <c r="I434" s="219" t="n"/>
      <c r="J434" s="219" t="n"/>
      <c r="K434" s="219" t="n"/>
      <c r="L434" s="219">
        <f>ROUND((M434*C434)/100,0)*100</f>
        <v/>
      </c>
      <c r="M434" s="96" t="n">
        <v>1.2</v>
      </c>
      <c r="O434" s="137" t="n"/>
      <c r="P434" s="117" t="n"/>
      <c r="R434" s="117" t="n"/>
      <c r="T434" s="117" t="n"/>
    </row>
    <row r="435">
      <c r="A435" s="89" t="inlineStr">
        <is>
          <t>26112XXX</t>
        </is>
      </c>
      <c r="B435" s="30" t="inlineStr">
        <is>
          <t>TAVERNITI CAMISA M LARGA</t>
        </is>
      </c>
      <c r="C435" s="88" t="n">
        <v>97800</v>
      </c>
      <c r="D435" s="170" t="n"/>
      <c r="E435" s="170" t="n"/>
      <c r="F435" s="170" t="n"/>
      <c r="G435" s="170" t="n"/>
      <c r="H435" s="170" t="n"/>
      <c r="I435" s="170" t="n"/>
      <c r="J435" s="170" t="n"/>
      <c r="K435" s="170" t="n"/>
      <c r="L435" s="219">
        <f>ROUND((M435*C435)/100,0)*100</f>
        <v/>
      </c>
      <c r="M435" s="96" t="n">
        <v>1.2</v>
      </c>
      <c r="N435" s="30" t="n"/>
      <c r="O435" s="78" t="n"/>
      <c r="P435" s="170" t="n"/>
      <c r="Q435" s="30" t="n"/>
      <c r="R435" s="117" t="n"/>
      <c r="S435" s="30" t="n"/>
      <c r="T435" s="170" t="n"/>
      <c r="U435" s="30" t="n"/>
      <c r="V435" s="30" t="n"/>
      <c r="W435" s="30" t="n"/>
      <c r="X435" s="30" t="n"/>
      <c r="Y435" s="30" t="n"/>
      <c r="Z435" s="30" t="n"/>
      <c r="AA435" s="30" t="n"/>
      <c r="AB435" s="30" t="n"/>
      <c r="AC435" s="30" t="n"/>
      <c r="AD435" s="30" t="n"/>
      <c r="AE435" s="30" t="n"/>
      <c r="AF435" s="30" t="n"/>
      <c r="AG435" s="30" t="n"/>
      <c r="AH435" s="30" t="n"/>
      <c r="AI435" s="30" t="n"/>
      <c r="AJ435" s="30" t="n"/>
      <c r="AK435" s="30" t="n"/>
      <c r="AL435" s="30" t="n"/>
      <c r="AM435" s="30" t="n"/>
      <c r="AN435" s="30" t="n"/>
    </row>
    <row r="436">
      <c r="A436" s="89" t="inlineStr">
        <is>
          <t>26114XXX</t>
        </is>
      </c>
      <c r="B436" s="30" t="inlineStr">
        <is>
          <t>TAVERNITI CAMISA M LARGA</t>
        </is>
      </c>
      <c r="C436" s="88" t="n">
        <v>97800</v>
      </c>
      <c r="D436" s="170" t="n"/>
      <c r="E436" s="170" t="n"/>
      <c r="F436" s="170" t="n"/>
      <c r="G436" s="170" t="n"/>
      <c r="H436" s="170" t="n"/>
      <c r="I436" s="170" t="n"/>
      <c r="J436" s="170" t="n"/>
      <c r="K436" s="170" t="n"/>
      <c r="L436" s="219">
        <f>ROUND((M436*C436)/100,0)*100</f>
        <v/>
      </c>
      <c r="M436" s="96" t="n">
        <v>1.2</v>
      </c>
      <c r="N436" s="30" t="n"/>
      <c r="O436" s="78" t="n"/>
      <c r="P436" s="170" t="n"/>
      <c r="Q436" s="30" t="n"/>
      <c r="R436" s="117" t="n"/>
      <c r="S436" s="30" t="n"/>
      <c r="T436" s="170" t="n"/>
      <c r="U436" s="30" t="n"/>
      <c r="V436" s="30" t="n"/>
      <c r="W436" s="30" t="n"/>
      <c r="X436" s="30" t="n"/>
      <c r="Y436" s="30" t="n"/>
      <c r="Z436" s="30" t="n"/>
      <c r="AA436" s="30" t="n"/>
      <c r="AB436" s="30" t="n"/>
      <c r="AC436" s="30" t="n"/>
      <c r="AD436" s="30" t="n"/>
      <c r="AE436" s="30" t="n"/>
      <c r="AF436" s="30" t="n"/>
      <c r="AG436" s="30" t="n"/>
      <c r="AH436" s="30" t="n"/>
      <c r="AI436" s="30" t="n"/>
      <c r="AJ436" s="30" t="n"/>
      <c r="AK436" s="30" t="n"/>
      <c r="AL436" s="30" t="n"/>
      <c r="AM436" s="30" t="n"/>
      <c r="AN436" s="30" t="n"/>
    </row>
    <row r="437">
      <c r="A437" s="89" t="inlineStr">
        <is>
          <t>26116XXX</t>
        </is>
      </c>
      <c r="B437" s="30" t="inlineStr">
        <is>
          <t>TAVERNITI CAMISA M LARGA</t>
        </is>
      </c>
      <c r="C437" s="88" t="n">
        <v>97800</v>
      </c>
      <c r="D437" s="170" t="n"/>
      <c r="E437" s="170" t="n"/>
      <c r="F437" s="170" t="n"/>
      <c r="G437" s="170" t="n"/>
      <c r="H437" s="170" t="n"/>
      <c r="I437" s="170" t="n"/>
      <c r="J437" s="170" t="n"/>
      <c r="K437" s="170" t="n"/>
      <c r="L437" s="219">
        <f>ROUND((M437*C437)/100,0)*100</f>
        <v/>
      </c>
      <c r="M437" s="96" t="n">
        <v>1.2</v>
      </c>
      <c r="N437" s="30" t="n"/>
      <c r="O437" s="78" t="n"/>
      <c r="P437" s="170" t="n"/>
      <c r="Q437" s="30" t="n"/>
      <c r="R437" s="117" t="n"/>
      <c r="S437" s="30" t="n"/>
      <c r="T437" s="170" t="n"/>
      <c r="U437" s="30" t="n"/>
      <c r="V437" s="30" t="n"/>
      <c r="W437" s="30" t="n"/>
      <c r="X437" s="30" t="n"/>
      <c r="Y437" s="30" t="n"/>
      <c r="Z437" s="30" t="n"/>
      <c r="AA437" s="30" t="n"/>
      <c r="AB437" s="30" t="n"/>
      <c r="AC437" s="30" t="n"/>
      <c r="AD437" s="30" t="n"/>
      <c r="AE437" s="30" t="n"/>
      <c r="AF437" s="30" t="n"/>
      <c r="AG437" s="30" t="n"/>
      <c r="AH437" s="30" t="n"/>
      <c r="AI437" s="30" t="n"/>
      <c r="AJ437" s="30" t="n"/>
      <c r="AK437" s="30" t="n"/>
      <c r="AL437" s="30" t="n"/>
      <c r="AM437" s="30" t="n"/>
      <c r="AN437" s="30" t="n"/>
    </row>
    <row r="438">
      <c r="A438" s="134" t="inlineStr">
        <is>
          <t>26124XXX</t>
        </is>
      </c>
      <c r="B438" s="118" t="inlineStr">
        <is>
          <t>TAVERNITI CAMISA M LARGA</t>
        </is>
      </c>
      <c r="C438" s="88" t="n">
        <v>97800</v>
      </c>
      <c r="D438" s="22" t="n"/>
      <c r="E438" s="22" t="n"/>
      <c r="F438" s="219" t="n"/>
      <c r="G438" s="219" t="n"/>
      <c r="H438" s="219" t="n"/>
      <c r="I438" s="219" t="n"/>
      <c r="J438" s="219" t="n"/>
      <c r="K438" s="219" t="n"/>
      <c r="L438" s="219">
        <f>ROUND((M438*C438)/100,0)*100</f>
        <v/>
      </c>
      <c r="M438" s="96" t="n">
        <v>1.2</v>
      </c>
      <c r="O438" s="137" t="n"/>
      <c r="P438" s="117" t="n"/>
      <c r="R438" s="117" t="n"/>
      <c r="T438" s="117" t="n"/>
    </row>
    <row r="439">
      <c r="A439" s="134" t="inlineStr">
        <is>
          <t>261XXXXX</t>
        </is>
      </c>
      <c r="B439" s="118" t="inlineStr">
        <is>
          <t>TAVERNITI CAMISA M LARGA</t>
        </is>
      </c>
      <c r="C439" s="88" t="n">
        <v>103400</v>
      </c>
      <c r="D439" s="22" t="n"/>
      <c r="E439" s="22" t="n"/>
      <c r="F439" s="219" t="n"/>
      <c r="G439" s="219" t="n"/>
      <c r="H439" s="219" t="n"/>
      <c r="I439" s="219" t="n"/>
      <c r="J439" s="219" t="n"/>
      <c r="K439" s="219" t="n"/>
      <c r="L439" s="219">
        <f>ROUND((M439*C439)/100,0)*100</f>
        <v/>
      </c>
      <c r="M439" s="96" t="n">
        <v>1.2</v>
      </c>
      <c r="O439" s="137" t="n"/>
      <c r="P439" s="117" t="n"/>
      <c r="R439" s="117" t="n"/>
      <c r="T439" s="117" t="n"/>
    </row>
    <row r="440">
      <c r="A440" s="134" t="inlineStr">
        <is>
          <t>26186XXX</t>
        </is>
      </c>
      <c r="B440" s="118" t="inlineStr">
        <is>
          <t>TAVERNITI CAMISA M LARGA</t>
        </is>
      </c>
      <c r="C440" s="88" t="n">
        <v>99000</v>
      </c>
      <c r="D440" s="22" t="n"/>
      <c r="E440" s="22" t="n"/>
      <c r="F440" s="219" t="n"/>
      <c r="G440" s="219" t="n"/>
      <c r="H440" s="219" t="n"/>
      <c r="I440" s="219" t="n"/>
      <c r="J440" s="219" t="n"/>
      <c r="K440" s="219" t="n"/>
      <c r="L440" s="219">
        <f>ROUND((M440*C440)/100,0)*100</f>
        <v/>
      </c>
      <c r="M440" s="96" t="n">
        <v>1.2</v>
      </c>
      <c r="O440" s="137" t="n"/>
      <c r="P440" s="117" t="n"/>
      <c r="R440" s="117" t="n"/>
      <c r="T440" s="117" t="n"/>
    </row>
    <row r="441">
      <c r="A441" s="89" t="inlineStr">
        <is>
          <t>26202XXX</t>
        </is>
      </c>
      <c r="B441" s="30" t="inlineStr">
        <is>
          <t>TAVERNITI CAMISA M LARGA</t>
        </is>
      </c>
      <c r="C441" s="88" t="n">
        <v>89000</v>
      </c>
      <c r="D441" s="170" t="n"/>
      <c r="E441" s="170" t="n"/>
      <c r="F441" s="170" t="n"/>
      <c r="G441" s="170" t="n"/>
      <c r="H441" s="170" t="n"/>
      <c r="I441" s="170" t="n"/>
      <c r="J441" s="170" t="n"/>
      <c r="K441" s="170" t="n"/>
      <c r="L441" s="88" t="n">
        <v>89000</v>
      </c>
      <c r="M441" s="96" t="n">
        <v>1.2</v>
      </c>
      <c r="N441" s="30" t="n"/>
      <c r="O441" s="78" t="n"/>
      <c r="P441" s="170" t="n"/>
      <c r="Q441" s="30" t="n"/>
      <c r="R441" s="170" t="n"/>
      <c r="S441" s="30" t="n"/>
      <c r="T441" s="170" t="n"/>
      <c r="U441" s="30" t="n"/>
      <c r="V441" s="30" t="n"/>
      <c r="W441" s="30" t="n"/>
      <c r="X441" s="30" t="n"/>
      <c r="Y441" s="30" t="n"/>
      <c r="Z441" s="30" t="n"/>
      <c r="AA441" s="30" t="n"/>
      <c r="AB441" s="30" t="n"/>
      <c r="AC441" s="30" t="n"/>
      <c r="AD441" s="30" t="n"/>
      <c r="AE441" s="30" t="n"/>
      <c r="AF441" s="30" t="n"/>
      <c r="AG441" s="30" t="n"/>
      <c r="AH441" s="30" t="n"/>
      <c r="AI441" s="30" t="n"/>
      <c r="AJ441" s="30" t="n"/>
      <c r="AK441" s="30" t="n"/>
      <c r="AL441" s="30" t="n"/>
      <c r="AM441" s="30" t="n"/>
      <c r="AN441" s="30" t="n"/>
      <c r="AO441" s="30" t="n"/>
    </row>
    <row r="442">
      <c r="A442" s="89" t="inlineStr">
        <is>
          <t>26236XXX</t>
        </is>
      </c>
      <c r="B442" s="30" t="inlineStr">
        <is>
          <t>TAVERNITI CAMISA M LARGA</t>
        </is>
      </c>
      <c r="C442" s="88" t="n">
        <v>97800</v>
      </c>
      <c r="D442" s="170" t="n"/>
      <c r="E442" s="170" t="n"/>
      <c r="F442" s="170" t="n"/>
      <c r="G442" s="170" t="n"/>
      <c r="H442" s="170" t="n"/>
      <c r="I442" s="170" t="n"/>
      <c r="J442" s="170" t="n"/>
      <c r="K442" s="170" t="n"/>
      <c r="L442" s="219">
        <f>ROUND((M442*C442)/100,0)*100</f>
        <v/>
      </c>
      <c r="M442" s="96" t="n">
        <v>1.2</v>
      </c>
      <c r="N442" s="30" t="n"/>
      <c r="O442" s="78" t="n"/>
      <c r="P442" s="170" t="n"/>
      <c r="Q442" s="30" t="n"/>
      <c r="R442" s="117" t="n"/>
      <c r="S442" s="30" t="n"/>
      <c r="T442" s="170" t="n"/>
      <c r="U442" s="30" t="n"/>
      <c r="V442" s="30" t="n"/>
      <c r="W442" s="30" t="n"/>
      <c r="X442" s="30" t="n"/>
      <c r="Y442" s="30" t="n"/>
      <c r="Z442" s="30" t="n"/>
      <c r="AA442" s="30" t="n"/>
      <c r="AB442" s="30" t="n"/>
      <c r="AC442" s="30" t="n"/>
      <c r="AD442" s="30" t="n"/>
      <c r="AE442" s="30" t="n"/>
      <c r="AF442" s="30" t="n"/>
      <c r="AG442" s="30" t="n"/>
      <c r="AH442" s="30" t="n"/>
      <c r="AI442" s="30" t="n"/>
      <c r="AJ442" s="30" t="n"/>
      <c r="AK442" s="30" t="n"/>
      <c r="AL442" s="30" t="n"/>
      <c r="AM442" s="30" t="n"/>
      <c r="AN442" s="30" t="n"/>
    </row>
    <row r="443">
      <c r="A443" s="134" t="inlineStr">
        <is>
          <t>26238XXX</t>
        </is>
      </c>
      <c r="B443" s="118" t="inlineStr">
        <is>
          <t>TAVERNITI CAMISA M LARGA</t>
        </is>
      </c>
      <c r="C443" s="88" t="n">
        <v>97800</v>
      </c>
      <c r="D443" s="22" t="n"/>
      <c r="E443" s="22" t="n"/>
      <c r="F443" s="219" t="n"/>
      <c r="G443" s="219" t="n"/>
      <c r="H443" s="219" t="n"/>
      <c r="I443" s="219" t="n"/>
      <c r="J443" s="219" t="n"/>
      <c r="K443" s="219" t="n"/>
      <c r="L443" s="219">
        <f>ROUND((M443*C443)/100,0)*100</f>
        <v/>
      </c>
      <c r="M443" s="96" t="n">
        <v>1.2</v>
      </c>
      <c r="O443" s="137" t="n"/>
      <c r="P443" s="117" t="n"/>
      <c r="R443" s="117" t="n"/>
      <c r="T443" s="117" t="n"/>
    </row>
    <row r="444">
      <c r="A444" s="134" t="inlineStr">
        <is>
          <t>26240XXX</t>
        </is>
      </c>
      <c r="B444" s="118" t="inlineStr">
        <is>
          <t>TAVERNITI CAMISA M LARGA</t>
        </is>
      </c>
      <c r="C444" s="88" t="n">
        <v>97800</v>
      </c>
      <c r="D444" s="22" t="n"/>
      <c r="E444" s="22" t="n"/>
      <c r="F444" s="219" t="n"/>
      <c r="G444" s="219" t="n"/>
      <c r="H444" s="219" t="n"/>
      <c r="I444" s="219" t="n"/>
      <c r="J444" s="219" t="n"/>
      <c r="K444" s="219" t="n"/>
      <c r="L444" s="219">
        <f>ROUND((M444*C444)/100,0)*100</f>
        <v/>
      </c>
      <c r="M444" s="96" t="n">
        <v>1.2</v>
      </c>
      <c r="O444" s="137" t="n"/>
      <c r="P444" s="117" t="n"/>
      <c r="R444" s="117" t="n"/>
      <c r="T444" s="117" t="n"/>
    </row>
    <row r="445">
      <c r="A445" s="134" t="inlineStr">
        <is>
          <t>26284XXX</t>
        </is>
      </c>
      <c r="B445" s="118" t="inlineStr">
        <is>
          <t>TAVERNITI CAMISA M LARGA</t>
        </is>
      </c>
      <c r="C445" s="88" t="n">
        <v>97800</v>
      </c>
      <c r="D445" s="22" t="n"/>
      <c r="E445" s="22" t="n"/>
      <c r="F445" s="219" t="n"/>
      <c r="G445" s="219" t="n"/>
      <c r="H445" s="219" t="n"/>
      <c r="I445" s="219" t="n"/>
      <c r="J445" s="219" t="n"/>
      <c r="K445" s="219" t="n"/>
      <c r="L445" s="219">
        <f>ROUND((M445*C445)/100,0)*100</f>
        <v/>
      </c>
      <c r="M445" s="96" t="n">
        <v>1.2</v>
      </c>
      <c r="O445" s="137" t="n"/>
      <c r="P445" s="117" t="n"/>
      <c r="R445" s="117" t="n"/>
      <c r="T445" s="117" t="n"/>
    </row>
    <row r="446">
      <c r="A446" s="134" t="inlineStr">
        <is>
          <t>26286XXX</t>
        </is>
      </c>
      <c r="B446" s="118" t="inlineStr">
        <is>
          <t>TAVERNITI CAMISA M LARGA</t>
        </is>
      </c>
      <c r="C446" s="88" t="n">
        <v>97800</v>
      </c>
      <c r="D446" s="22" t="n"/>
      <c r="E446" s="22" t="n"/>
      <c r="F446" s="219" t="n"/>
      <c r="G446" s="219" t="n"/>
      <c r="H446" s="219" t="n"/>
      <c r="I446" s="219" t="n"/>
      <c r="J446" s="219" t="n"/>
      <c r="K446" s="219" t="n"/>
      <c r="L446" s="219">
        <f>ROUND((M446*C446)/100,0)*100</f>
        <v/>
      </c>
      <c r="M446" s="96" t="n">
        <v>1.2</v>
      </c>
      <c r="O446" s="137" t="n"/>
      <c r="P446" s="117" t="n"/>
      <c r="R446" s="117" t="n"/>
      <c r="T446" s="117" t="n"/>
    </row>
    <row r="447">
      <c r="A447" s="134" t="inlineStr">
        <is>
          <t>26294XXX</t>
        </is>
      </c>
      <c r="B447" s="118" t="inlineStr">
        <is>
          <t>TAVERNITI CAMISA M LARGA</t>
        </is>
      </c>
      <c r="C447" s="88" t="n">
        <v>97800</v>
      </c>
      <c r="D447" s="22" t="n"/>
      <c r="E447" s="22" t="n"/>
      <c r="F447" s="219" t="n"/>
      <c r="G447" s="219" t="n"/>
      <c r="H447" s="219" t="n"/>
      <c r="I447" s="219" t="n"/>
      <c r="J447" s="219" t="n"/>
      <c r="K447" s="219" t="n"/>
      <c r="L447" s="219">
        <f>ROUND((M447*C447)/100,0)*100</f>
        <v/>
      </c>
      <c r="M447" s="96" t="n">
        <v>1.2</v>
      </c>
      <c r="O447" s="137" t="n"/>
      <c r="P447" s="117" t="n"/>
      <c r="R447" s="117" t="n"/>
      <c r="T447" s="117" t="n"/>
    </row>
    <row r="448">
      <c r="A448" s="134" t="inlineStr">
        <is>
          <t>26304XXX</t>
        </is>
      </c>
      <c r="B448" s="118" t="inlineStr">
        <is>
          <t>TAVERNITI CAMISA M LARGA</t>
        </is>
      </c>
      <c r="C448" s="88" t="n">
        <v>97800</v>
      </c>
      <c r="D448" s="22" t="n"/>
      <c r="E448" s="22" t="n"/>
      <c r="F448" s="219" t="n"/>
      <c r="G448" s="219" t="n"/>
      <c r="H448" s="219" t="n"/>
      <c r="I448" s="219" t="n"/>
      <c r="J448" s="219" t="n"/>
      <c r="K448" s="219" t="n"/>
      <c r="L448" s="219">
        <f>ROUND((M448*C448)/100,0)*100</f>
        <v/>
      </c>
      <c r="M448" s="96" t="n">
        <v>1.2</v>
      </c>
      <c r="O448" s="137" t="n"/>
      <c r="P448" s="117" t="n"/>
      <c r="R448" s="117" t="n"/>
      <c r="T448" s="117" t="n"/>
    </row>
    <row r="449">
      <c r="A449" s="134" t="inlineStr">
        <is>
          <t>26376XXX</t>
        </is>
      </c>
      <c r="B449" s="118" t="inlineStr">
        <is>
          <t>TAVERNITI CAMISA M LARGA</t>
        </is>
      </c>
      <c r="C449" s="88" t="n">
        <v>97900</v>
      </c>
      <c r="D449" s="22" t="n"/>
      <c r="E449" s="22" t="n"/>
      <c r="F449" s="219" t="n"/>
      <c r="G449" s="219" t="n"/>
      <c r="H449" s="219" t="n"/>
      <c r="I449" s="219" t="n"/>
      <c r="J449" s="219" t="n"/>
      <c r="K449" s="219" t="n"/>
      <c r="L449" s="219">
        <f>ROUND((M449*C449)/100,0)*100</f>
        <v/>
      </c>
      <c r="M449" s="96" t="n">
        <v>1.2</v>
      </c>
      <c r="O449" s="137" t="n"/>
      <c r="P449" s="117" t="n"/>
      <c r="R449" s="117" t="n"/>
      <c r="T449" s="117" t="n"/>
    </row>
    <row r="450">
      <c r="A450" s="89" t="inlineStr">
        <is>
          <t>26450XXX</t>
        </is>
      </c>
      <c r="B450" s="30" t="inlineStr">
        <is>
          <t>TAVERNITI CAMISA M LARGA</t>
        </is>
      </c>
      <c r="C450" s="88" t="n">
        <v>97800</v>
      </c>
      <c r="D450" s="170" t="n"/>
      <c r="E450" s="170" t="n"/>
      <c r="F450" s="170" t="n"/>
      <c r="G450" s="170" t="n"/>
      <c r="H450" s="170" t="n"/>
      <c r="I450" s="170" t="n"/>
      <c r="J450" s="170" t="n"/>
      <c r="K450" s="170" t="n"/>
      <c r="L450" s="219">
        <f>ROUND((M450*C450)/100,0)*100</f>
        <v/>
      </c>
      <c r="M450" s="96" t="n">
        <v>1.2</v>
      </c>
      <c r="N450" s="30" t="n"/>
      <c r="O450" s="78" t="n"/>
      <c r="P450" s="170" t="n"/>
      <c r="Q450" s="30" t="n"/>
      <c r="R450" s="150" t="n"/>
      <c r="S450" s="30" t="n"/>
      <c r="T450" s="170" t="n"/>
      <c r="U450" s="30" t="n"/>
      <c r="V450" s="30" t="n"/>
      <c r="W450" s="30" t="n"/>
      <c r="X450" s="30" t="n"/>
      <c r="Y450" s="30" t="n"/>
      <c r="Z450" s="30" t="n"/>
      <c r="AA450" s="30" t="n"/>
      <c r="AB450" s="30" t="n"/>
      <c r="AC450" s="30" t="n"/>
      <c r="AD450" s="30" t="n"/>
      <c r="AE450" s="30" t="n"/>
      <c r="AF450" s="30" t="n"/>
      <c r="AG450" s="30" t="n"/>
      <c r="AH450" s="30" t="n"/>
      <c r="AI450" s="30" t="n"/>
      <c r="AJ450" s="30" t="n"/>
      <c r="AK450" s="30" t="n"/>
      <c r="AL450" s="30" t="n"/>
      <c r="AM450" s="30" t="n"/>
      <c r="AN450" s="30" t="n"/>
      <c r="AO450" s="30" t="n"/>
    </row>
    <row r="451">
      <c r="A451" s="89" t="inlineStr">
        <is>
          <t>26452XXX</t>
        </is>
      </c>
      <c r="B451" s="30" t="inlineStr">
        <is>
          <t>TAVERNITI CAMISA M LARGA</t>
        </is>
      </c>
      <c r="C451" s="88" t="n">
        <v>97800</v>
      </c>
      <c r="D451" s="170" t="n"/>
      <c r="E451" s="170" t="n"/>
      <c r="F451" s="170" t="n"/>
      <c r="G451" s="170" t="n"/>
      <c r="H451" s="170" t="n"/>
      <c r="I451" s="170" t="n"/>
      <c r="J451" s="170" t="n"/>
      <c r="K451" s="170" t="n"/>
      <c r="L451" s="219">
        <f>ROUND((M451*C451)/100,0)*100</f>
        <v/>
      </c>
      <c r="M451" s="96" t="n">
        <v>1.2</v>
      </c>
      <c r="N451" s="30" t="n"/>
      <c r="O451" s="78" t="n"/>
      <c r="P451" s="170" t="n"/>
      <c r="Q451" s="30" t="n"/>
      <c r="R451" s="150" t="n"/>
      <c r="S451" s="30" t="n"/>
      <c r="T451" s="170" t="n"/>
      <c r="U451" s="30" t="n"/>
      <c r="V451" s="30" t="n"/>
      <c r="W451" s="30" t="n"/>
      <c r="X451" s="30" t="n"/>
      <c r="Y451" s="30" t="n"/>
      <c r="Z451" s="30" t="n"/>
      <c r="AA451" s="30" t="n"/>
      <c r="AB451" s="30" t="n"/>
      <c r="AC451" s="30" t="n"/>
      <c r="AD451" s="30" t="n"/>
      <c r="AE451" s="30" t="n"/>
      <c r="AF451" s="30" t="n"/>
      <c r="AG451" s="30" t="n"/>
      <c r="AH451" s="30" t="n"/>
      <c r="AI451" s="30" t="n"/>
      <c r="AJ451" s="30" t="n"/>
      <c r="AK451" s="30" t="n"/>
      <c r="AL451" s="30" t="n"/>
      <c r="AM451" s="30" t="n"/>
      <c r="AN451" s="30" t="n"/>
      <c r="AO451" s="30" t="n"/>
    </row>
    <row r="452">
      <c r="A452" s="89" t="inlineStr">
        <is>
          <t>26456XXX</t>
        </is>
      </c>
      <c r="B452" s="30" t="inlineStr">
        <is>
          <t>TAVERNITI CAMISA M LARGA</t>
        </is>
      </c>
      <c r="C452" s="88" t="n">
        <v>97800</v>
      </c>
      <c r="D452" s="170" t="n"/>
      <c r="E452" s="170" t="n"/>
      <c r="F452" s="170" t="n"/>
      <c r="G452" s="170" t="n"/>
      <c r="H452" s="170" t="n"/>
      <c r="I452" s="170" t="n"/>
      <c r="J452" s="170" t="n"/>
      <c r="K452" s="170" t="n"/>
      <c r="L452" s="219">
        <f>ROUND((M452*C452)/100,0)*100</f>
        <v/>
      </c>
      <c r="M452" s="96" t="n">
        <v>1.2</v>
      </c>
      <c r="N452" s="30" t="n"/>
      <c r="O452" s="78" t="n"/>
      <c r="P452" s="170" t="n"/>
      <c r="Q452" s="30" t="n"/>
      <c r="R452" s="150" t="n"/>
      <c r="S452" s="30" t="n"/>
      <c r="T452" s="170" t="n"/>
      <c r="U452" s="30" t="n"/>
      <c r="V452" s="30" t="n"/>
      <c r="W452" s="30" t="n"/>
      <c r="X452" s="30" t="n"/>
      <c r="Y452" s="30" t="n"/>
      <c r="Z452" s="30" t="n"/>
      <c r="AA452" s="30" t="n"/>
      <c r="AB452" s="30" t="n"/>
      <c r="AC452" s="30" t="n"/>
      <c r="AD452" s="30" t="n"/>
      <c r="AE452" s="30" t="n"/>
      <c r="AF452" s="30" t="n"/>
      <c r="AG452" s="30" t="n"/>
      <c r="AH452" s="30" t="n"/>
      <c r="AI452" s="30" t="n"/>
      <c r="AJ452" s="30" t="n"/>
      <c r="AK452" s="30" t="n"/>
      <c r="AL452" s="30" t="n"/>
      <c r="AM452" s="30" t="n"/>
      <c r="AN452" s="30" t="n"/>
      <c r="AO452" s="30" t="n"/>
    </row>
    <row r="453">
      <c r="A453" s="134" t="inlineStr">
        <is>
          <t>26468XXX</t>
        </is>
      </c>
      <c r="B453" s="118" t="inlineStr">
        <is>
          <t>TAVERNITI CAMISA M LARGA</t>
        </is>
      </c>
      <c r="C453" s="88" t="n">
        <v>108800</v>
      </c>
      <c r="D453" s="22" t="n"/>
      <c r="E453" s="22" t="n"/>
      <c r="F453" s="219" t="n"/>
      <c r="G453" s="219" t="n"/>
      <c r="H453" s="219" t="n"/>
      <c r="I453" s="219" t="n"/>
      <c r="J453" s="219" t="n"/>
      <c r="K453" s="219" t="n"/>
      <c r="L453" s="219">
        <f>ROUND((M453*C453)/100,0)*100</f>
        <v/>
      </c>
      <c r="M453" s="96" t="n">
        <v>1.2</v>
      </c>
      <c r="O453" s="137" t="n"/>
      <c r="P453" s="117" t="n"/>
      <c r="R453" s="117" t="n"/>
      <c r="T453" s="117" t="n"/>
    </row>
    <row r="454">
      <c r="A454" s="134" t="inlineStr">
        <is>
          <t>26472XXX</t>
        </is>
      </c>
      <c r="B454" s="118" t="inlineStr">
        <is>
          <t>TAVERNITI CAMISA M LARGA</t>
        </is>
      </c>
      <c r="C454" s="88" t="n">
        <v>97800</v>
      </c>
      <c r="D454" s="22" t="n"/>
      <c r="E454" s="22" t="n"/>
      <c r="F454" s="219" t="n"/>
      <c r="G454" s="219" t="n"/>
      <c r="H454" s="219" t="n"/>
      <c r="I454" s="219" t="n"/>
      <c r="J454" s="219" t="n"/>
      <c r="K454" s="219" t="n"/>
      <c r="L454" s="219">
        <f>ROUND((M454*C454)/100,0)*100</f>
        <v/>
      </c>
      <c r="M454" s="96" t="n">
        <v>1.2</v>
      </c>
      <c r="O454" s="137" t="n"/>
      <c r="P454" s="117" t="n"/>
      <c r="R454" s="117" t="n"/>
      <c r="T454" s="117" t="n"/>
    </row>
    <row r="455">
      <c r="A455" s="134" t="inlineStr">
        <is>
          <t>26474XXX</t>
        </is>
      </c>
      <c r="B455" s="118" t="inlineStr">
        <is>
          <t>TAVERNITI CAMISA M LARGA</t>
        </is>
      </c>
      <c r="C455" s="88" t="n">
        <v>97800</v>
      </c>
      <c r="D455" s="22" t="n"/>
      <c r="E455" s="22" t="n"/>
      <c r="F455" s="219" t="n"/>
      <c r="G455" s="219" t="n"/>
      <c r="H455" s="219" t="n"/>
      <c r="I455" s="219" t="n"/>
      <c r="J455" s="219" t="n"/>
      <c r="K455" s="219" t="n"/>
      <c r="L455" s="219">
        <f>ROUND((M455*C455)/100,0)*100</f>
        <v/>
      </c>
      <c r="M455" s="96" t="n">
        <v>1.2</v>
      </c>
      <c r="O455" s="137" t="n"/>
      <c r="P455" s="117" t="n"/>
      <c r="R455" s="117" t="n"/>
      <c r="T455" s="117" t="n"/>
    </row>
    <row r="456">
      <c r="A456" s="134" t="inlineStr">
        <is>
          <t>26476XXX</t>
        </is>
      </c>
      <c r="B456" s="118" t="inlineStr">
        <is>
          <t>TAVERNITI CAMISA M LARGA</t>
        </is>
      </c>
      <c r="C456" s="88" t="n">
        <v>97800</v>
      </c>
      <c r="D456" s="22" t="n"/>
      <c r="E456" s="22" t="n"/>
      <c r="F456" s="219" t="n"/>
      <c r="G456" s="219" t="n"/>
      <c r="H456" s="219" t="n"/>
      <c r="I456" s="219" t="n"/>
      <c r="J456" s="219" t="n"/>
      <c r="K456" s="219" t="n"/>
      <c r="L456" s="219">
        <f>ROUND((M456*C456)/100,0)*100</f>
        <v/>
      </c>
      <c r="M456" s="96" t="n">
        <v>1.2</v>
      </c>
      <c r="O456" s="137" t="n"/>
      <c r="P456" s="117" t="n"/>
      <c r="R456" s="117" t="n"/>
      <c r="T456" s="117" t="n"/>
    </row>
    <row r="457">
      <c r="A457" s="134" t="inlineStr">
        <is>
          <t>26494XXX</t>
        </is>
      </c>
      <c r="B457" s="118" t="inlineStr">
        <is>
          <t>TAVERNITI CAMISA M LARGA</t>
        </is>
      </c>
      <c r="C457" s="88" t="n">
        <v>97800</v>
      </c>
      <c r="D457" s="22" t="n"/>
      <c r="E457" s="22" t="n"/>
      <c r="F457" s="219" t="n"/>
      <c r="G457" s="219" t="n"/>
      <c r="H457" s="219" t="n"/>
      <c r="I457" s="219" t="n"/>
      <c r="J457" s="219" t="n"/>
      <c r="K457" s="219" t="n"/>
      <c r="L457" s="219">
        <f>ROUND((M457*C457)/100,0)*100</f>
        <v/>
      </c>
      <c r="M457" s="96" t="n">
        <v>1.2</v>
      </c>
      <c r="O457" s="137" t="n"/>
      <c r="P457" s="117" t="n"/>
      <c r="R457" s="117" t="n"/>
      <c r="T457" s="117" t="n"/>
    </row>
    <row r="458">
      <c r="A458" s="134" t="inlineStr">
        <is>
          <t>26498XXX</t>
        </is>
      </c>
      <c r="B458" s="118" t="inlineStr">
        <is>
          <t>TAVERNITI CAMISA M LARGA</t>
        </is>
      </c>
      <c r="C458" s="88" t="n">
        <v>97800</v>
      </c>
      <c r="D458" s="22" t="n"/>
      <c r="E458" s="22" t="n"/>
      <c r="F458" s="219" t="n"/>
      <c r="G458" s="219" t="n"/>
      <c r="H458" s="219" t="n"/>
      <c r="I458" s="219" t="n"/>
      <c r="J458" s="219" t="n"/>
      <c r="K458" s="219" t="n"/>
      <c r="L458" s="219">
        <f>ROUND((M458*C458)/100,0)*100</f>
        <v/>
      </c>
      <c r="M458" s="96" t="n">
        <v>1.2</v>
      </c>
      <c r="O458" s="137" t="n"/>
      <c r="P458" s="117" t="n"/>
      <c r="R458" s="117" t="n"/>
      <c r="T458" s="117" t="n"/>
    </row>
    <row r="459">
      <c r="A459" s="89" t="inlineStr">
        <is>
          <t>26534XXX</t>
        </is>
      </c>
      <c r="B459" s="30" t="inlineStr">
        <is>
          <t>TAVERNITI CAMISA M LARGA</t>
        </is>
      </c>
      <c r="C459" s="88" t="n">
        <v>99000</v>
      </c>
      <c r="D459" s="170" t="n"/>
      <c r="E459" s="170" t="n"/>
      <c r="F459" s="170" t="n"/>
      <c r="G459" s="170" t="n"/>
      <c r="H459" s="170" t="n"/>
      <c r="I459" s="170" t="n"/>
      <c r="J459" s="170" t="n"/>
      <c r="K459" s="170" t="n"/>
      <c r="L459" s="88">
        <f>ROUND((M459*C459)/100,0)*100</f>
        <v/>
      </c>
      <c r="M459" s="96" t="n">
        <v>1.2</v>
      </c>
      <c r="N459" s="30" t="n"/>
      <c r="O459" s="78" t="n"/>
      <c r="P459" s="170" t="n"/>
      <c r="Q459" s="30" t="n"/>
      <c r="R459" s="170" t="n"/>
      <c r="S459" s="30" t="n"/>
      <c r="T459" s="170" t="n"/>
      <c r="U459" s="30" t="n"/>
      <c r="V459" s="30" t="n"/>
      <c r="W459" s="30" t="n"/>
      <c r="X459" s="30" t="n"/>
      <c r="Y459" s="30" t="n"/>
      <c r="Z459" s="30" t="n"/>
      <c r="AA459" s="30" t="n"/>
      <c r="AB459" s="30" t="n"/>
      <c r="AC459" s="30" t="n"/>
      <c r="AD459" s="30" t="n"/>
      <c r="AE459" s="30" t="n"/>
      <c r="AF459" s="30" t="n"/>
      <c r="AG459" s="30" t="n"/>
      <c r="AH459" s="30" t="n"/>
      <c r="AI459" s="30" t="n"/>
      <c r="AJ459" s="30" t="n"/>
      <c r="AK459" s="30" t="n"/>
      <c r="AL459" s="30" t="n"/>
      <c r="AM459" s="30" t="n"/>
      <c r="AN459" s="30" t="n"/>
      <c r="AO459" s="30" t="n"/>
    </row>
    <row r="460">
      <c r="A460" s="89" t="inlineStr">
        <is>
          <t>26536XXX</t>
        </is>
      </c>
      <c r="B460" s="30" t="inlineStr">
        <is>
          <t>TAVERNITI CAMISA M LARGA</t>
        </is>
      </c>
      <c r="C460" s="88" t="n">
        <v>99000</v>
      </c>
      <c r="D460" s="170" t="n"/>
      <c r="E460" s="170" t="n"/>
      <c r="F460" s="170" t="n"/>
      <c r="G460" s="170" t="n"/>
      <c r="H460" s="170" t="n"/>
      <c r="I460" s="170" t="n"/>
      <c r="J460" s="170" t="n"/>
      <c r="K460" s="170" t="n"/>
      <c r="L460" s="88">
        <f>ROUND((M460*C460)/100,0)*100</f>
        <v/>
      </c>
      <c r="M460" s="96" t="n">
        <v>1.2</v>
      </c>
      <c r="N460" s="30" t="n"/>
      <c r="O460" s="78" t="n"/>
      <c r="P460" s="170" t="n"/>
      <c r="Q460" s="30" t="n"/>
      <c r="R460" s="170" t="n"/>
      <c r="S460" s="30" t="n"/>
      <c r="T460" s="170" t="n"/>
      <c r="U460" s="30" t="n"/>
      <c r="V460" s="30" t="n"/>
      <c r="W460" s="30" t="n"/>
      <c r="X460" s="30" t="n"/>
      <c r="Y460" s="30" t="n"/>
      <c r="Z460" s="30" t="n"/>
      <c r="AA460" s="30" t="n"/>
      <c r="AB460" s="30" t="n"/>
      <c r="AC460" s="30" t="n"/>
      <c r="AD460" s="30" t="n"/>
      <c r="AE460" s="30" t="n"/>
      <c r="AF460" s="30" t="n"/>
      <c r="AG460" s="30" t="n"/>
      <c r="AH460" s="30" t="n"/>
      <c r="AI460" s="30" t="n"/>
      <c r="AJ460" s="30" t="n"/>
      <c r="AK460" s="30" t="n"/>
      <c r="AL460" s="30" t="n"/>
      <c r="AM460" s="30" t="n"/>
      <c r="AN460" s="30" t="n"/>
      <c r="AO460" s="30" t="n"/>
    </row>
    <row r="461">
      <c r="A461" s="89" t="inlineStr">
        <is>
          <t>26540XXX</t>
        </is>
      </c>
      <c r="B461" s="30" t="inlineStr">
        <is>
          <t>TAVERNITI CAMISA M LARGA</t>
        </is>
      </c>
      <c r="C461" s="88" t="n">
        <v>99000</v>
      </c>
      <c r="D461" s="170" t="n"/>
      <c r="E461" s="170" t="n"/>
      <c r="F461" s="170" t="n"/>
      <c r="G461" s="170" t="n"/>
      <c r="H461" s="170" t="n"/>
      <c r="I461" s="170" t="n"/>
      <c r="J461" s="170" t="n"/>
      <c r="K461" s="170" t="n"/>
      <c r="L461" s="88">
        <f>ROUND((M461*C461)/100,0)*100</f>
        <v/>
      </c>
      <c r="M461" s="96" t="n">
        <v>1.2</v>
      </c>
      <c r="N461" s="30" t="n"/>
      <c r="O461" s="78" t="n"/>
      <c r="P461" s="170" t="n"/>
      <c r="Q461" s="30" t="n"/>
      <c r="R461" s="170" t="n"/>
      <c r="S461" s="30" t="n"/>
      <c r="T461" s="170" t="n"/>
      <c r="U461" s="30" t="n"/>
      <c r="V461" s="30" t="n"/>
      <c r="W461" s="30" t="n"/>
      <c r="X461" s="30" t="n"/>
      <c r="Y461" s="30" t="n"/>
      <c r="Z461" s="30" t="n"/>
      <c r="AA461" s="30" t="n"/>
      <c r="AB461" s="30" t="n"/>
      <c r="AC461" s="30" t="n"/>
      <c r="AD461" s="30" t="n"/>
      <c r="AE461" s="30" t="n"/>
      <c r="AF461" s="30" t="n"/>
      <c r="AG461" s="30" t="n"/>
      <c r="AH461" s="30" t="n"/>
      <c r="AI461" s="30" t="n"/>
      <c r="AJ461" s="30" t="n"/>
      <c r="AK461" s="30" t="n"/>
      <c r="AL461" s="30" t="n"/>
      <c r="AM461" s="30" t="n"/>
      <c r="AN461" s="30" t="n"/>
      <c r="AO461" s="30" t="n"/>
    </row>
    <row r="462">
      <c r="A462" s="134" t="inlineStr">
        <is>
          <t>26544XXX</t>
        </is>
      </c>
      <c r="B462" s="118" t="inlineStr">
        <is>
          <t>TAVERNITI CAMISA M LARGA</t>
        </is>
      </c>
      <c r="C462" s="88" t="n">
        <v>99000</v>
      </c>
      <c r="D462" s="22" t="n"/>
      <c r="E462" s="22" t="n"/>
      <c r="F462" s="219" t="n"/>
      <c r="G462" s="219" t="n"/>
      <c r="H462" s="219" t="n"/>
      <c r="I462" s="219" t="n"/>
      <c r="J462" s="219" t="n"/>
      <c r="K462" s="219" t="n"/>
      <c r="L462" s="219">
        <f>ROUND((M462*C462)/100,0)*100</f>
        <v/>
      </c>
      <c r="M462" s="96" t="n">
        <v>1.2</v>
      </c>
      <c r="O462" s="137" t="n"/>
      <c r="P462" s="117" t="n"/>
      <c r="R462" s="117" t="n"/>
      <c r="T462" s="117" t="n"/>
    </row>
    <row r="463">
      <c r="A463" s="89" t="inlineStr">
        <is>
          <t>26546XXX</t>
        </is>
      </c>
      <c r="B463" s="30" t="inlineStr">
        <is>
          <t>TAVERNITI CAMISA M LARGA</t>
        </is>
      </c>
      <c r="C463" s="88" t="n">
        <v>95200</v>
      </c>
      <c r="D463" s="170" t="n"/>
      <c r="E463" s="170" t="n"/>
      <c r="F463" s="170" t="n"/>
      <c r="G463" s="170" t="n"/>
      <c r="H463" s="170" t="n"/>
      <c r="I463" s="170" t="n"/>
      <c r="J463" s="170" t="n"/>
      <c r="K463" s="170" t="n"/>
      <c r="L463" s="88">
        <f>ROUND((M463*C463)/100,0)*100</f>
        <v/>
      </c>
      <c r="M463" s="96" t="n">
        <v>1.2</v>
      </c>
      <c r="N463" s="30" t="n"/>
      <c r="O463" s="78" t="n"/>
      <c r="P463" s="170" t="n"/>
      <c r="Q463" s="30" t="n"/>
      <c r="R463" s="170" t="n"/>
      <c r="S463" s="30" t="n"/>
      <c r="T463" s="170" t="n"/>
      <c r="U463" s="30" t="n"/>
      <c r="V463" s="30" t="n"/>
      <c r="W463" s="30" t="n"/>
      <c r="X463" s="30" t="n"/>
      <c r="Y463" s="30" t="n"/>
      <c r="Z463" s="30" t="n"/>
      <c r="AA463" s="30" t="n"/>
      <c r="AB463" s="30" t="n"/>
      <c r="AC463" s="30" t="n"/>
      <c r="AD463" s="30" t="n"/>
      <c r="AE463" s="30" t="n"/>
      <c r="AF463" s="30" t="n"/>
      <c r="AG463" s="30" t="n"/>
      <c r="AH463" s="30" t="n"/>
      <c r="AI463" s="30" t="n"/>
      <c r="AJ463" s="30" t="n"/>
      <c r="AK463" s="30" t="n"/>
      <c r="AL463" s="30" t="n"/>
      <c r="AM463" s="30" t="n"/>
      <c r="AN463" s="30" t="n"/>
      <c r="AO463" s="30" t="n"/>
    </row>
    <row r="464">
      <c r="A464" s="134" t="inlineStr">
        <is>
          <t>26548XXX</t>
        </is>
      </c>
      <c r="B464" s="118" t="inlineStr">
        <is>
          <t>TAVERNITI CAMISA M LARGA</t>
        </is>
      </c>
      <c r="C464" s="88" t="n">
        <v>99000</v>
      </c>
      <c r="D464" s="22" t="n"/>
      <c r="E464" s="22" t="n"/>
      <c r="F464" s="219" t="n"/>
      <c r="G464" s="219" t="n"/>
      <c r="H464" s="219" t="n"/>
      <c r="I464" s="219" t="n"/>
      <c r="J464" s="219" t="n"/>
      <c r="K464" s="219" t="n"/>
      <c r="L464" s="219">
        <f>ROUND((M464*C464)/100,0)*100</f>
        <v/>
      </c>
      <c r="M464" s="96" t="n">
        <v>1.2</v>
      </c>
      <c r="O464" s="137" t="n"/>
      <c r="P464" s="117" t="n"/>
      <c r="R464" s="117" t="n"/>
      <c r="T464" s="117" t="n"/>
    </row>
    <row r="465">
      <c r="A465" s="134" t="inlineStr">
        <is>
          <t>26550XXX</t>
        </is>
      </c>
      <c r="B465" s="118" t="inlineStr">
        <is>
          <t>TAVERNITI CAMISA M LARGA</t>
        </is>
      </c>
      <c r="C465" s="88" t="n">
        <v>99000</v>
      </c>
      <c r="D465" s="22" t="n"/>
      <c r="E465" s="22" t="n"/>
      <c r="F465" s="219" t="n"/>
      <c r="G465" s="219" t="n"/>
      <c r="H465" s="219" t="n"/>
      <c r="I465" s="219" t="n"/>
      <c r="J465" s="219" t="n"/>
      <c r="K465" s="219" t="n"/>
      <c r="L465" s="219">
        <f>ROUND((M465*C465)/100,0)*100</f>
        <v/>
      </c>
      <c r="M465" s="96" t="n">
        <v>1.2</v>
      </c>
      <c r="O465" s="137" t="n"/>
      <c r="P465" s="117" t="n"/>
      <c r="R465" s="117" t="n"/>
      <c r="T465" s="117" t="n"/>
    </row>
    <row r="466">
      <c r="A466" s="134" t="inlineStr">
        <is>
          <t>26552XXX</t>
        </is>
      </c>
      <c r="B466" s="118" t="inlineStr">
        <is>
          <t>TAVERNITI CAMISA M LARGA</t>
        </is>
      </c>
      <c r="C466" s="88" t="n">
        <v>99000</v>
      </c>
      <c r="D466" s="22" t="n"/>
      <c r="E466" s="22" t="n"/>
      <c r="F466" s="219" t="n"/>
      <c r="G466" s="219" t="n"/>
      <c r="H466" s="219" t="n"/>
      <c r="I466" s="219" t="n"/>
      <c r="J466" s="219" t="n"/>
      <c r="K466" s="219" t="n"/>
      <c r="L466" s="219">
        <f>ROUND((M466*C466)/100,0)*100</f>
        <v/>
      </c>
      <c r="M466" s="96" t="n">
        <v>1.2</v>
      </c>
      <c r="O466" s="137" t="n"/>
      <c r="P466" s="117" t="n"/>
      <c r="R466" s="117" t="n"/>
      <c r="T466" s="117" t="n"/>
    </row>
    <row r="467">
      <c r="A467" s="134" t="inlineStr">
        <is>
          <t>26554XXX</t>
        </is>
      </c>
      <c r="B467" s="118" t="inlineStr">
        <is>
          <t>TAVERNITI CAMISA M LARGA</t>
        </is>
      </c>
      <c r="C467" s="88" t="n">
        <v>99000</v>
      </c>
      <c r="D467" s="22" t="n"/>
      <c r="E467" s="22" t="n"/>
      <c r="F467" s="219" t="n"/>
      <c r="G467" s="219" t="n"/>
      <c r="H467" s="219" t="n"/>
      <c r="I467" s="219" t="n"/>
      <c r="J467" s="219" t="n"/>
      <c r="K467" s="219" t="n"/>
      <c r="L467" s="219">
        <f>ROUND((M467*C467)/100,0)*100</f>
        <v/>
      </c>
      <c r="M467" s="96" t="n">
        <v>1.2</v>
      </c>
      <c r="O467" s="137" t="n"/>
      <c r="P467" s="117" t="n"/>
      <c r="R467" s="117" t="n"/>
      <c r="T467" s="117" t="n"/>
    </row>
    <row r="468">
      <c r="A468" s="89" t="inlineStr">
        <is>
          <t>26568XXX</t>
        </is>
      </c>
      <c r="B468" s="30" t="inlineStr">
        <is>
          <t>TAVERNITI CAMISA M LARGA</t>
        </is>
      </c>
      <c r="C468" s="88" t="n">
        <v>88500</v>
      </c>
      <c r="D468" s="170" t="n"/>
      <c r="E468" s="170" t="n"/>
      <c r="F468" s="170" t="n"/>
      <c r="G468" s="170" t="n"/>
      <c r="H468" s="170" t="n"/>
      <c r="I468" s="170" t="n"/>
      <c r="J468" s="170" t="n"/>
      <c r="K468" s="170" t="n"/>
      <c r="L468" s="88">
        <f>ROUND((M468*C468)/100,0)*100</f>
        <v/>
      </c>
      <c r="M468" s="96" t="n">
        <v>1.2</v>
      </c>
      <c r="N468" s="30" t="n"/>
      <c r="O468" s="78" t="n"/>
      <c r="P468" s="170" t="n"/>
      <c r="Q468" s="30" t="n"/>
      <c r="R468" s="170" t="n"/>
      <c r="S468" s="30" t="n"/>
      <c r="T468" s="170" t="n"/>
      <c r="U468" s="30" t="n"/>
      <c r="V468" s="30" t="n"/>
      <c r="W468" s="30" t="n"/>
      <c r="X468" s="30" t="n"/>
      <c r="Y468" s="30" t="n"/>
      <c r="Z468" s="30" t="n"/>
      <c r="AA468" s="30" t="n"/>
      <c r="AB468" s="30" t="n"/>
      <c r="AC468" s="30" t="n"/>
      <c r="AD468" s="30" t="n"/>
      <c r="AE468" s="30" t="n"/>
      <c r="AF468" s="30" t="n"/>
      <c r="AG468" s="30" t="n"/>
      <c r="AH468" s="30" t="n"/>
      <c r="AI468" s="30" t="n"/>
      <c r="AJ468" s="30" t="n"/>
      <c r="AK468" s="30" t="n"/>
      <c r="AL468" s="30" t="n"/>
      <c r="AM468" s="30" t="n"/>
      <c r="AN468" s="30" t="n"/>
      <c r="AO468" s="30" t="n"/>
    </row>
    <row r="469">
      <c r="A469" s="134" t="inlineStr">
        <is>
          <t>26572XXX</t>
        </is>
      </c>
      <c r="B469" s="118" t="inlineStr">
        <is>
          <t>TAVERNITI CAMISA M LARGA</t>
        </is>
      </c>
      <c r="C469" s="88" t="n">
        <v>99000</v>
      </c>
      <c r="D469" s="22" t="n"/>
      <c r="E469" s="22" t="n"/>
      <c r="F469" s="219" t="n"/>
      <c r="G469" s="219" t="n"/>
      <c r="H469" s="219" t="n"/>
      <c r="I469" s="219" t="n"/>
      <c r="J469" s="219" t="n"/>
      <c r="K469" s="219" t="n"/>
      <c r="L469" s="219">
        <f>ROUND((M469*C469)/100,0)*100</f>
        <v/>
      </c>
      <c r="M469" s="96" t="n">
        <v>1.2</v>
      </c>
      <c r="O469" s="137" t="n"/>
      <c r="P469" s="117" t="n"/>
      <c r="R469" s="117" t="n"/>
      <c r="T469" s="117" t="n"/>
    </row>
    <row r="470">
      <c r="A470" s="134" t="inlineStr">
        <is>
          <t>26594XXX</t>
        </is>
      </c>
      <c r="B470" s="118" t="inlineStr">
        <is>
          <t>TAVERNITI CAMISA M LARGA</t>
        </is>
      </c>
      <c r="C470" s="88" t="n">
        <v>99000</v>
      </c>
      <c r="D470" s="22" t="n"/>
      <c r="E470" s="22" t="n"/>
      <c r="F470" s="219" t="n"/>
      <c r="G470" s="219" t="n"/>
      <c r="H470" s="219" t="n"/>
      <c r="I470" s="219" t="n"/>
      <c r="J470" s="219" t="n"/>
      <c r="K470" s="219" t="n"/>
      <c r="L470" s="219">
        <f>ROUND((M470*C470)/100,0)*100</f>
        <v/>
      </c>
      <c r="M470" s="96" t="n">
        <v>1.2</v>
      </c>
      <c r="O470" s="137" t="n"/>
      <c r="P470" s="117" t="n"/>
      <c r="R470" s="117" t="n"/>
      <c r="T470" s="117" t="n"/>
    </row>
    <row r="471">
      <c r="A471" s="134" t="inlineStr">
        <is>
          <t>26596XXX</t>
        </is>
      </c>
      <c r="B471" s="118" t="inlineStr">
        <is>
          <t>TAVERNITI CAMISA M LARGA</t>
        </is>
      </c>
      <c r="C471" s="88" t="n">
        <v>98400</v>
      </c>
      <c r="D471" s="22" t="n"/>
      <c r="E471" s="22" t="n"/>
      <c r="F471" s="219" t="n"/>
      <c r="G471" s="219" t="n"/>
      <c r="H471" s="219" t="n"/>
      <c r="I471" s="219" t="n"/>
      <c r="J471" s="219" t="n"/>
      <c r="K471" s="219" t="n"/>
      <c r="L471" s="219">
        <f>ROUND((M471*C471)/100,0)*100</f>
        <v/>
      </c>
      <c r="M471" s="96" t="n">
        <v>1.2</v>
      </c>
      <c r="O471" s="137" t="n"/>
      <c r="P471" s="117" t="n"/>
      <c r="R471" s="117" t="n"/>
      <c r="T471" s="117" t="n"/>
    </row>
    <row r="472">
      <c r="A472" s="134" t="inlineStr">
        <is>
          <t>26598XXX</t>
        </is>
      </c>
      <c r="B472" s="118" t="inlineStr">
        <is>
          <t>TAVERNITI CAMISA M LARGA</t>
        </is>
      </c>
      <c r="C472" s="88" t="n">
        <v>97600</v>
      </c>
      <c r="D472" s="22" t="n"/>
      <c r="E472" s="22" t="n"/>
      <c r="F472" s="219" t="n"/>
      <c r="G472" s="219" t="n"/>
      <c r="H472" s="219" t="n"/>
      <c r="I472" s="219" t="n"/>
      <c r="J472" s="219" t="n"/>
      <c r="K472" s="219" t="n"/>
      <c r="L472" s="219">
        <f>ROUND((M472*C472)/100,0)*100</f>
        <v/>
      </c>
      <c r="M472" s="96" t="n">
        <v>1.2</v>
      </c>
      <c r="O472" s="137" t="n"/>
      <c r="P472" s="117" t="n"/>
      <c r="R472" s="117" t="n"/>
      <c r="T472" s="117" t="n"/>
    </row>
    <row r="473">
      <c r="A473" s="89" t="inlineStr">
        <is>
          <t>26600XXX</t>
        </is>
      </c>
      <c r="B473" s="30" t="inlineStr">
        <is>
          <t>TAVERNITI CAMISA M LARGA</t>
        </is>
      </c>
      <c r="C473" s="88" t="n">
        <v>99000</v>
      </c>
      <c r="D473" s="170" t="n"/>
      <c r="E473" s="170" t="n"/>
      <c r="F473" s="170" t="n"/>
      <c r="G473" s="170" t="n"/>
      <c r="H473" s="170" t="n"/>
      <c r="I473" s="170" t="n"/>
      <c r="J473" s="170" t="n"/>
      <c r="K473" s="170" t="n"/>
      <c r="L473" s="88">
        <f>ROUND((M473*C473)/100,0)*100</f>
        <v/>
      </c>
      <c r="M473" s="96" t="n">
        <v>1.2</v>
      </c>
      <c r="N473" s="30" t="n"/>
      <c r="O473" s="78" t="n"/>
      <c r="P473" s="170" t="n"/>
      <c r="Q473" s="30" t="n"/>
      <c r="R473" s="170" t="n"/>
      <c r="S473" s="30" t="n"/>
      <c r="T473" s="170" t="n"/>
      <c r="U473" s="30" t="n"/>
      <c r="V473" s="30" t="n"/>
      <c r="W473" s="30" t="n"/>
      <c r="X473" s="30" t="n"/>
      <c r="Y473" s="30" t="n"/>
      <c r="Z473" s="30" t="n"/>
      <c r="AA473" s="30" t="n"/>
      <c r="AB473" s="30" t="n"/>
      <c r="AC473" s="30" t="n"/>
      <c r="AD473" s="30" t="n"/>
      <c r="AE473" s="30" t="n"/>
      <c r="AF473" s="30" t="n"/>
      <c r="AG473" s="30" t="n"/>
      <c r="AH473" s="30" t="n"/>
      <c r="AI473" s="30" t="n"/>
      <c r="AJ473" s="30" t="n"/>
      <c r="AK473" s="30" t="n"/>
      <c r="AL473" s="30" t="n"/>
      <c r="AM473" s="30" t="n"/>
      <c r="AN473" s="30" t="n"/>
      <c r="AO473" s="30" t="n"/>
    </row>
    <row r="474">
      <c r="A474" s="89" t="inlineStr">
        <is>
          <t>26602XXX</t>
        </is>
      </c>
      <c r="B474" s="30" t="inlineStr">
        <is>
          <t>TAVERNITI CAMISA M LARGA</t>
        </is>
      </c>
      <c r="C474" s="88" t="n">
        <v>99000</v>
      </c>
      <c r="D474" s="170" t="n"/>
      <c r="E474" s="170" t="n"/>
      <c r="F474" s="170" t="n"/>
      <c r="G474" s="170" t="n"/>
      <c r="H474" s="170" t="n"/>
      <c r="I474" s="170" t="n"/>
      <c r="J474" s="170" t="n"/>
      <c r="K474" s="170" t="n"/>
      <c r="L474" s="88">
        <f>ROUND((M474*C474)/100,0)*100</f>
        <v/>
      </c>
      <c r="M474" s="96" t="n">
        <v>1.2</v>
      </c>
      <c r="N474" s="30" t="n"/>
      <c r="O474" s="78" t="n"/>
      <c r="P474" s="170" t="n"/>
      <c r="Q474" s="30" t="n"/>
      <c r="R474" s="170" t="n"/>
      <c r="S474" s="30" t="n"/>
      <c r="T474" s="170" t="n"/>
      <c r="U474" s="30" t="n"/>
      <c r="V474" s="30" t="n"/>
      <c r="W474" s="30" t="n"/>
      <c r="X474" s="30" t="n"/>
      <c r="Y474" s="30" t="n"/>
      <c r="Z474" s="30" t="n"/>
      <c r="AA474" s="30" t="n"/>
      <c r="AB474" s="30" t="n"/>
      <c r="AC474" s="30" t="n"/>
      <c r="AD474" s="30" t="n"/>
      <c r="AE474" s="30" t="n"/>
      <c r="AF474" s="30" t="n"/>
      <c r="AG474" s="30" t="n"/>
      <c r="AH474" s="30" t="n"/>
      <c r="AI474" s="30" t="n"/>
      <c r="AJ474" s="30" t="n"/>
      <c r="AK474" s="30" t="n"/>
      <c r="AL474" s="30" t="n"/>
      <c r="AM474" s="30" t="n"/>
      <c r="AN474" s="30" t="n"/>
      <c r="AO474" s="30" t="n"/>
    </row>
    <row r="475">
      <c r="A475" s="89" t="inlineStr">
        <is>
          <t>26604XXX</t>
        </is>
      </c>
      <c r="B475" s="30" t="inlineStr">
        <is>
          <t>TAVERNITI CAMISA M LARGA</t>
        </is>
      </c>
      <c r="C475" s="88" t="n">
        <v>99000</v>
      </c>
      <c r="D475" s="170" t="n"/>
      <c r="E475" s="170" t="n"/>
      <c r="F475" s="170" t="n"/>
      <c r="G475" s="170" t="n"/>
      <c r="H475" s="170" t="n"/>
      <c r="I475" s="170" t="n"/>
      <c r="J475" s="170" t="n"/>
      <c r="K475" s="170" t="n"/>
      <c r="L475" s="88">
        <f>ROUND((M475*C475)/100,0)*100</f>
        <v/>
      </c>
      <c r="M475" s="96" t="n">
        <v>1.2</v>
      </c>
      <c r="N475" s="30" t="n"/>
      <c r="O475" s="78" t="n"/>
      <c r="P475" s="170" t="n"/>
      <c r="Q475" s="30" t="n"/>
      <c r="R475" s="170" t="n"/>
      <c r="S475" s="30" t="n"/>
      <c r="T475" s="170" t="n"/>
      <c r="U475" s="30" t="n"/>
      <c r="V475" s="30" t="n"/>
      <c r="W475" s="30" t="n"/>
      <c r="X475" s="30" t="n"/>
      <c r="Y475" s="30" t="n"/>
      <c r="Z475" s="30" t="n"/>
      <c r="AA475" s="30" t="n"/>
      <c r="AB475" s="30" t="n"/>
      <c r="AC475" s="30" t="n"/>
      <c r="AD475" s="30" t="n"/>
      <c r="AE475" s="30" t="n"/>
      <c r="AF475" s="30" t="n"/>
      <c r="AG475" s="30" t="n"/>
      <c r="AH475" s="30" t="n"/>
      <c r="AI475" s="30" t="n"/>
      <c r="AJ475" s="30" t="n"/>
      <c r="AK475" s="30" t="n"/>
      <c r="AL475" s="30" t="n"/>
      <c r="AM475" s="30" t="n"/>
      <c r="AN475" s="30" t="n"/>
      <c r="AO475" s="30" t="n"/>
    </row>
    <row r="476">
      <c r="A476" s="89" t="inlineStr">
        <is>
          <t>26618XXX</t>
        </is>
      </c>
      <c r="B476" s="30" t="inlineStr">
        <is>
          <t>TAVERNITI CAMISA M LARGA</t>
        </is>
      </c>
      <c r="C476" s="88" t="n">
        <v>97000</v>
      </c>
      <c r="D476" s="170" t="n"/>
      <c r="E476" s="170" t="n"/>
      <c r="F476" s="170" t="n"/>
      <c r="G476" s="170" t="n"/>
      <c r="H476" s="170" t="n"/>
      <c r="I476" s="170" t="n"/>
      <c r="J476" s="170" t="n"/>
      <c r="K476" s="170" t="n"/>
      <c r="L476" s="88">
        <f>ROUND((M476*C476)/100,0)*100</f>
        <v/>
      </c>
      <c r="M476" s="96" t="n">
        <v>1.2</v>
      </c>
      <c r="N476" s="30" t="n"/>
      <c r="O476" s="78" t="n"/>
      <c r="P476" s="170" t="n"/>
      <c r="Q476" s="30" t="n"/>
      <c r="R476" s="170" t="n"/>
      <c r="S476" s="30" t="n"/>
      <c r="T476" s="170" t="n"/>
      <c r="U476" s="30" t="n"/>
      <c r="V476" s="30" t="n"/>
      <c r="W476" s="30" t="n"/>
      <c r="X476" s="30" t="n"/>
      <c r="Y476" s="30" t="n"/>
      <c r="Z476" s="30" t="n"/>
      <c r="AA476" s="30" t="n"/>
      <c r="AB476" s="30" t="n"/>
      <c r="AC476" s="30" t="n"/>
      <c r="AD476" s="30" t="n"/>
      <c r="AE476" s="30" t="n"/>
      <c r="AF476" s="30" t="n"/>
      <c r="AG476" s="30" t="n"/>
      <c r="AH476" s="30" t="n"/>
      <c r="AI476" s="30" t="n"/>
      <c r="AJ476" s="30" t="n"/>
      <c r="AK476" s="30" t="n"/>
      <c r="AL476" s="30" t="n"/>
      <c r="AM476" s="30" t="n"/>
      <c r="AN476" s="30" t="n"/>
      <c r="AO476" s="30" t="n"/>
    </row>
    <row r="477">
      <c r="A477" s="89" t="inlineStr">
        <is>
          <t>26620XXX</t>
        </is>
      </c>
      <c r="B477" s="30" t="inlineStr">
        <is>
          <t>TAVERNITI CAMISA M LARGA</t>
        </is>
      </c>
      <c r="C477" s="88" t="n">
        <v>97600</v>
      </c>
      <c r="D477" s="170" t="n"/>
      <c r="E477" s="170" t="n"/>
      <c r="F477" s="170" t="n"/>
      <c r="G477" s="170" t="n"/>
      <c r="H477" s="170" t="n"/>
      <c r="I477" s="170" t="n"/>
      <c r="J477" s="170" t="n"/>
      <c r="K477" s="170" t="n"/>
      <c r="L477" s="88">
        <f>ROUND((M477*C477)/100,0)*100</f>
        <v/>
      </c>
      <c r="M477" s="96" t="n">
        <v>1.2</v>
      </c>
      <c r="N477" s="30" t="n"/>
      <c r="O477" s="78" t="n"/>
      <c r="P477" s="170" t="n"/>
      <c r="Q477" s="30" t="n"/>
      <c r="R477" s="170" t="n"/>
      <c r="S477" s="30" t="n"/>
      <c r="T477" s="170" t="n"/>
      <c r="U477" s="30" t="n"/>
      <c r="V477" s="30" t="n"/>
      <c r="W477" s="30" t="n"/>
      <c r="X477" s="30" t="n"/>
      <c r="Y477" s="30" t="n"/>
      <c r="Z477" s="30" t="n"/>
      <c r="AA477" s="30" t="n"/>
      <c r="AB477" s="30" t="n"/>
      <c r="AC477" s="30" t="n"/>
      <c r="AD477" s="30" t="n"/>
      <c r="AE477" s="30" t="n"/>
      <c r="AF477" s="30" t="n"/>
      <c r="AG477" s="30" t="n"/>
      <c r="AH477" s="30" t="n"/>
      <c r="AI477" s="30" t="n"/>
      <c r="AJ477" s="30" t="n"/>
      <c r="AK477" s="30" t="n"/>
      <c r="AL477" s="30" t="n"/>
      <c r="AM477" s="30" t="n"/>
      <c r="AN477" s="30" t="n"/>
      <c r="AO477" s="30" t="n"/>
    </row>
    <row r="478">
      <c r="A478" s="89" t="inlineStr">
        <is>
          <t>26626XXX</t>
        </is>
      </c>
      <c r="B478" s="30" t="inlineStr">
        <is>
          <t>TAVERNITI CAMISA M LARGA</t>
        </is>
      </c>
      <c r="C478" s="88" t="n">
        <v>97600</v>
      </c>
      <c r="D478" s="170" t="n"/>
      <c r="E478" s="170" t="n"/>
      <c r="F478" s="170" t="n"/>
      <c r="G478" s="170" t="n"/>
      <c r="H478" s="170" t="n"/>
      <c r="I478" s="170" t="n"/>
      <c r="J478" s="170" t="n"/>
      <c r="K478" s="170" t="n"/>
      <c r="L478" s="88">
        <f>ROUND((M478*C478)/100,0)*100</f>
        <v/>
      </c>
      <c r="M478" s="96" t="n">
        <v>1.2</v>
      </c>
      <c r="N478" s="30" t="n"/>
      <c r="O478" s="78" t="n"/>
      <c r="P478" s="170" t="n"/>
      <c r="Q478" s="30" t="n"/>
      <c r="R478" s="170" t="n"/>
      <c r="S478" s="30" t="n"/>
      <c r="T478" s="170" t="n"/>
      <c r="U478" s="30" t="n"/>
      <c r="V478" s="30" t="n"/>
      <c r="W478" s="30" t="n"/>
      <c r="X478" s="30" t="n"/>
      <c r="Y478" s="30" t="n"/>
      <c r="Z478" s="30" t="n"/>
      <c r="AA478" s="30" t="n"/>
      <c r="AB478" s="30" t="n"/>
      <c r="AC478" s="30" t="n"/>
      <c r="AD478" s="30" t="n"/>
      <c r="AE478" s="30" t="n"/>
      <c r="AF478" s="30" t="n"/>
      <c r="AG478" s="30" t="n"/>
      <c r="AH478" s="30" t="n"/>
      <c r="AI478" s="30" t="n"/>
      <c r="AJ478" s="30" t="n"/>
      <c r="AK478" s="30" t="n"/>
      <c r="AL478" s="30" t="n"/>
      <c r="AM478" s="30" t="n"/>
      <c r="AN478" s="30" t="n"/>
      <c r="AO478" s="30" t="n"/>
    </row>
    <row r="479">
      <c r="A479" s="134" t="inlineStr">
        <is>
          <t>26636XXX</t>
        </is>
      </c>
      <c r="B479" s="118" t="inlineStr">
        <is>
          <t>TAVERNITI CAMISA M LARGA</t>
        </is>
      </c>
      <c r="C479" s="88" t="n">
        <v>97600</v>
      </c>
      <c r="D479" s="22" t="n"/>
      <c r="E479" s="22" t="n"/>
      <c r="F479" s="219" t="n"/>
      <c r="G479" s="219" t="n"/>
      <c r="H479" s="219" t="n"/>
      <c r="I479" s="219" t="n"/>
      <c r="J479" s="219" t="n"/>
      <c r="K479" s="219" t="n"/>
      <c r="L479" s="219">
        <f>ROUND((M479*C479)/100,0)*100</f>
        <v/>
      </c>
      <c r="M479" s="96" t="n">
        <v>1.2</v>
      </c>
      <c r="O479" s="137" t="n"/>
      <c r="P479" s="117" t="n"/>
      <c r="R479" s="117" t="n"/>
      <c r="T479" s="117" t="n"/>
    </row>
    <row r="480">
      <c r="A480" s="134" t="inlineStr">
        <is>
          <t>26696XXX</t>
        </is>
      </c>
      <c r="B480" s="118" t="inlineStr">
        <is>
          <t>TAVERNITI CAMISA M LARGA</t>
        </is>
      </c>
      <c r="C480" s="88" t="n">
        <v>88500</v>
      </c>
      <c r="D480" s="22" t="n"/>
      <c r="E480" s="22" t="n"/>
      <c r="F480" s="219" t="n"/>
      <c r="G480" s="219" t="n"/>
      <c r="H480" s="219" t="n"/>
      <c r="I480" s="219" t="n"/>
      <c r="J480" s="219" t="n"/>
      <c r="K480" s="219" t="n"/>
      <c r="L480" s="219">
        <f>ROUND((M480*C480)/100,0)*100</f>
        <v/>
      </c>
      <c r="M480" s="96" t="n">
        <v>1.2</v>
      </c>
      <c r="O480" s="137" t="n"/>
      <c r="P480" s="117" t="n"/>
      <c r="R480" s="117" t="n"/>
      <c r="T480" s="117" t="n"/>
    </row>
    <row r="481">
      <c r="A481" s="89" t="inlineStr">
        <is>
          <t>26702XXX</t>
        </is>
      </c>
      <c r="B481" s="30" t="inlineStr">
        <is>
          <t>TAVERNITI CAMISA M LARGA</t>
        </is>
      </c>
      <c r="C481" s="88" t="n">
        <v>97600</v>
      </c>
      <c r="D481" s="170" t="n"/>
      <c r="E481" s="170" t="n"/>
      <c r="F481" s="170" t="n"/>
      <c r="G481" s="170" t="n"/>
      <c r="H481" s="170" t="n"/>
      <c r="I481" s="170" t="n"/>
      <c r="J481" s="170" t="n"/>
      <c r="K481" s="170" t="n"/>
      <c r="L481" s="88">
        <f>ROUND((M481*C481)/100,0)*100</f>
        <v/>
      </c>
      <c r="M481" s="96" t="n">
        <v>1.2</v>
      </c>
      <c r="N481" s="30" t="n"/>
      <c r="O481" s="78" t="n"/>
      <c r="P481" s="170" t="n"/>
      <c r="Q481" s="30" t="n"/>
      <c r="R481" s="170" t="n"/>
      <c r="S481" s="30" t="n"/>
      <c r="T481" s="170" t="n"/>
      <c r="U481" s="30" t="n"/>
      <c r="V481" s="30" t="n"/>
      <c r="W481" s="30" t="n"/>
      <c r="X481" s="30" t="n"/>
      <c r="Y481" s="30" t="n"/>
      <c r="Z481" s="30" t="n"/>
      <c r="AA481" s="30" t="n"/>
      <c r="AB481" s="30" t="n"/>
      <c r="AC481" s="30" t="n"/>
      <c r="AD481" s="30" t="n"/>
      <c r="AE481" s="30" t="n"/>
      <c r="AF481" s="30" t="n"/>
      <c r="AG481" s="30" t="n"/>
      <c r="AH481" s="30" t="n"/>
      <c r="AI481" s="30" t="n"/>
      <c r="AJ481" s="30" t="n"/>
      <c r="AK481" s="30" t="n"/>
      <c r="AL481" s="30" t="n"/>
      <c r="AM481" s="30" t="n"/>
      <c r="AN481" s="30" t="n"/>
      <c r="AO481" s="30" t="n"/>
    </row>
    <row r="482">
      <c r="A482" s="89" t="inlineStr">
        <is>
          <t>26706XXX</t>
        </is>
      </c>
      <c r="B482" s="30" t="inlineStr">
        <is>
          <t>TAVERNITI CAMISA M LARGA</t>
        </is>
      </c>
      <c r="C482" s="88" t="n">
        <v>97600</v>
      </c>
      <c r="D482" s="170" t="n"/>
      <c r="E482" s="170" t="n"/>
      <c r="F482" s="170" t="n"/>
      <c r="G482" s="170" t="n"/>
      <c r="H482" s="170" t="n"/>
      <c r="I482" s="170" t="n"/>
      <c r="J482" s="170" t="n"/>
      <c r="K482" s="170" t="n"/>
      <c r="L482" s="88">
        <f>ROUND((M482*C482)/100,0)*100</f>
        <v/>
      </c>
      <c r="M482" s="96" t="n">
        <v>1.2</v>
      </c>
      <c r="N482" s="30" t="n"/>
      <c r="O482" s="78" t="n"/>
      <c r="P482" s="170" t="n"/>
      <c r="Q482" s="30" t="n"/>
      <c r="R482" s="170" t="n"/>
      <c r="S482" s="30" t="n"/>
      <c r="T482" s="170" t="n"/>
      <c r="U482" s="30" t="n"/>
      <c r="V482" s="30" t="n"/>
      <c r="W482" s="30" t="n"/>
      <c r="X482" s="30" t="n"/>
      <c r="Y482" s="30" t="n"/>
      <c r="Z482" s="30" t="n"/>
      <c r="AA482" s="30" t="n"/>
      <c r="AB482" s="30" t="n"/>
      <c r="AC482" s="30" t="n"/>
      <c r="AD482" s="30" t="n"/>
      <c r="AE482" s="30" t="n"/>
      <c r="AF482" s="30" t="n"/>
      <c r="AG482" s="30" t="n"/>
      <c r="AH482" s="30" t="n"/>
      <c r="AI482" s="30" t="n"/>
      <c r="AJ482" s="30" t="n"/>
      <c r="AK482" s="30" t="n"/>
      <c r="AL482" s="30" t="n"/>
      <c r="AM482" s="30" t="n"/>
      <c r="AN482" s="30" t="n"/>
      <c r="AO482" s="30" t="n"/>
    </row>
    <row r="483">
      <c r="A483" s="89" t="inlineStr">
        <is>
          <t>26708XXX</t>
        </is>
      </c>
      <c r="B483" s="30" t="inlineStr">
        <is>
          <t>TAVERNITI CAMISA M LARGA</t>
        </is>
      </c>
      <c r="C483" s="88" t="n">
        <v>97600</v>
      </c>
      <c r="D483" s="170" t="n"/>
      <c r="E483" s="170" t="n"/>
      <c r="F483" s="170" t="n"/>
      <c r="G483" s="170" t="n"/>
      <c r="H483" s="170" t="n"/>
      <c r="I483" s="170" t="n"/>
      <c r="J483" s="170" t="n"/>
      <c r="K483" s="170" t="n"/>
      <c r="L483" s="88">
        <f>ROUND((M483*C483)/100,0)*100</f>
        <v/>
      </c>
      <c r="M483" s="96" t="n">
        <v>1.2</v>
      </c>
      <c r="N483" s="30" t="n"/>
      <c r="O483" s="78" t="n"/>
      <c r="P483" s="170" t="n"/>
      <c r="Q483" s="30" t="n"/>
      <c r="R483" s="170" t="n"/>
      <c r="S483" s="30" t="n"/>
      <c r="T483" s="170" t="n"/>
      <c r="U483" s="30" t="n"/>
      <c r="V483" s="30" t="n"/>
      <c r="W483" s="30" t="n"/>
      <c r="X483" s="30" t="n"/>
      <c r="Y483" s="30" t="n"/>
      <c r="Z483" s="30" t="n"/>
      <c r="AA483" s="30" t="n"/>
      <c r="AB483" s="30" t="n"/>
      <c r="AC483" s="30" t="n"/>
      <c r="AD483" s="30" t="n"/>
      <c r="AE483" s="30" t="n"/>
      <c r="AF483" s="30" t="n"/>
      <c r="AG483" s="30" t="n"/>
      <c r="AH483" s="30" t="n"/>
      <c r="AI483" s="30" t="n"/>
      <c r="AJ483" s="30" t="n"/>
      <c r="AK483" s="30" t="n"/>
      <c r="AL483" s="30" t="n"/>
      <c r="AM483" s="30" t="n"/>
      <c r="AN483" s="30" t="n"/>
      <c r="AO483" s="30" t="n"/>
    </row>
    <row r="484">
      <c r="A484" s="89" t="inlineStr">
        <is>
          <t>26752XXX</t>
        </is>
      </c>
      <c r="B484" s="30" t="inlineStr">
        <is>
          <t>TAVERNITI CAMISA M LARGA</t>
        </is>
      </c>
      <c r="C484" s="88" t="n">
        <v>92600</v>
      </c>
      <c r="D484" s="170" t="n"/>
      <c r="E484" s="170" t="n"/>
      <c r="F484" s="170" t="n"/>
      <c r="G484" s="170" t="n"/>
      <c r="H484" s="170" t="n"/>
      <c r="I484" s="170" t="n"/>
      <c r="J484" s="170" t="n"/>
      <c r="K484" s="170" t="n"/>
      <c r="L484" s="219">
        <f>ROUND((M484*C484)/100,0)*100</f>
        <v/>
      </c>
      <c r="M484" s="96" t="n">
        <v>1.2</v>
      </c>
      <c r="N484" s="30" t="n"/>
      <c r="O484" s="78" t="n"/>
      <c r="P484" s="170" t="n"/>
      <c r="Q484" s="30" t="n"/>
      <c r="R484" s="150" t="n"/>
      <c r="S484" s="30" t="n"/>
      <c r="T484" s="170" t="n"/>
      <c r="U484" s="30" t="n"/>
      <c r="V484" s="30" t="n"/>
      <c r="W484" s="30" t="n"/>
      <c r="X484" s="30" t="n"/>
      <c r="Y484" s="30" t="n"/>
      <c r="Z484" s="30" t="n"/>
      <c r="AA484" s="30" t="n"/>
      <c r="AB484" s="30" t="n"/>
      <c r="AC484" s="30" t="n"/>
      <c r="AD484" s="30" t="n"/>
      <c r="AE484" s="30" t="n"/>
      <c r="AF484" s="30" t="n"/>
      <c r="AG484" s="30" t="n"/>
      <c r="AH484" s="30" t="n"/>
      <c r="AI484" s="30" t="n"/>
      <c r="AJ484" s="30" t="n"/>
      <c r="AK484" s="30" t="n"/>
      <c r="AL484" s="30" t="n"/>
      <c r="AM484" s="30" t="n"/>
      <c r="AN484" s="30" t="n"/>
      <c r="AO484" s="30" t="n"/>
    </row>
    <row r="485">
      <c r="A485" s="134" t="inlineStr">
        <is>
          <t>26754XXX</t>
        </is>
      </c>
      <c r="B485" s="118" t="inlineStr">
        <is>
          <t>TAVERNITI CAMISA M LARGA</t>
        </is>
      </c>
      <c r="C485" s="88" t="n">
        <v>92600</v>
      </c>
      <c r="D485" s="22" t="n"/>
      <c r="E485" s="22" t="n"/>
      <c r="F485" s="219" t="n"/>
      <c r="G485" s="219" t="n"/>
      <c r="H485" s="219" t="n"/>
      <c r="I485" s="219" t="n"/>
      <c r="J485" s="219" t="n"/>
      <c r="K485" s="219" t="n"/>
      <c r="L485" s="219">
        <f>ROUND((M485*C485)/100,0)*100</f>
        <v/>
      </c>
      <c r="M485" s="96" t="n">
        <v>1.2</v>
      </c>
      <c r="O485" s="137" t="n"/>
      <c r="P485" s="117" t="n"/>
      <c r="R485" s="117" t="n"/>
      <c r="T485" s="117" t="n"/>
    </row>
    <row r="486">
      <c r="A486" s="134" t="inlineStr">
        <is>
          <t>26794XXX</t>
        </is>
      </c>
      <c r="B486" s="118" t="inlineStr">
        <is>
          <t>TAVERNITI CAMISA M LARGA</t>
        </is>
      </c>
      <c r="C486" s="88" t="n">
        <v>85000</v>
      </c>
      <c r="D486" s="22" t="n"/>
      <c r="E486" s="22" t="n"/>
      <c r="F486" s="219" t="n"/>
      <c r="G486" s="219" t="n"/>
      <c r="H486" s="219" t="n"/>
      <c r="I486" s="219" t="n"/>
      <c r="J486" s="219" t="n"/>
      <c r="K486" s="219" t="n"/>
      <c r="L486" s="219">
        <f>ROUND((M486*C486)/100,0)*100</f>
        <v/>
      </c>
      <c r="M486" s="96" t="n">
        <v>1.2</v>
      </c>
      <c r="O486" s="137" t="n"/>
      <c r="P486" s="117" t="n"/>
      <c r="R486" s="117" t="n"/>
      <c r="T486" s="117" t="n"/>
    </row>
    <row r="487">
      <c r="A487" s="89" t="inlineStr">
        <is>
          <t>26798XXX</t>
        </is>
      </c>
      <c r="B487" s="30" t="inlineStr">
        <is>
          <t>TAVERNITI CAMISA M LARGA</t>
        </is>
      </c>
      <c r="C487" s="88" t="n">
        <v>85000</v>
      </c>
      <c r="D487" s="170" t="n"/>
      <c r="E487" s="170" t="n"/>
      <c r="F487" s="170" t="n"/>
      <c r="G487" s="170" t="n"/>
      <c r="H487" s="170" t="n"/>
      <c r="I487" s="170" t="n"/>
      <c r="J487" s="170" t="n"/>
      <c r="K487" s="170" t="n"/>
      <c r="L487" s="88">
        <f>ROUND((M487*C487)/100,0)*100</f>
        <v/>
      </c>
      <c r="M487" s="96" t="n">
        <v>1.2</v>
      </c>
      <c r="N487" s="30" t="n"/>
      <c r="O487" s="78" t="n"/>
      <c r="P487" s="170" t="n"/>
      <c r="Q487" s="30" t="n"/>
      <c r="R487" s="170" t="n"/>
      <c r="S487" s="30" t="n"/>
      <c r="T487" s="170" t="n"/>
      <c r="U487" s="30" t="n"/>
      <c r="V487" s="30" t="n"/>
      <c r="W487" s="30" t="n"/>
      <c r="X487" s="30" t="n"/>
      <c r="Y487" s="30" t="n"/>
      <c r="Z487" s="30" t="n"/>
      <c r="AA487" s="30" t="n"/>
      <c r="AB487" s="30" t="n"/>
      <c r="AC487" s="30" t="n"/>
      <c r="AD487" s="30" t="n"/>
      <c r="AE487" s="30" t="n"/>
      <c r="AF487" s="30" t="n"/>
      <c r="AG487" s="30" t="n"/>
      <c r="AH487" s="30" t="n"/>
      <c r="AI487" s="30" t="n"/>
      <c r="AJ487" s="30" t="n"/>
      <c r="AK487" s="30" t="n"/>
      <c r="AL487" s="30" t="n"/>
      <c r="AM487" s="30" t="n"/>
      <c r="AN487" s="30" t="n"/>
      <c r="AO487" s="30" t="n"/>
    </row>
    <row r="488">
      <c r="A488" s="89" t="inlineStr">
        <is>
          <t>26800XXX</t>
        </is>
      </c>
      <c r="B488" s="30" t="inlineStr">
        <is>
          <t>TAVERNITI CAMISA M LARGA</t>
        </is>
      </c>
      <c r="C488" s="88" t="n">
        <v>85000</v>
      </c>
      <c r="D488" s="170" t="n"/>
      <c r="E488" s="170" t="n"/>
      <c r="F488" s="170" t="n"/>
      <c r="G488" s="170" t="n"/>
      <c r="H488" s="170" t="n"/>
      <c r="I488" s="170" t="n"/>
      <c r="J488" s="170" t="n"/>
      <c r="K488" s="170" t="n"/>
      <c r="L488" s="88">
        <f>ROUND((M488*C488)/100,0)*100</f>
        <v/>
      </c>
      <c r="M488" s="96" t="n">
        <v>1.2</v>
      </c>
      <c r="N488" s="30" t="n"/>
      <c r="O488" s="78" t="n"/>
      <c r="P488" s="170" t="n"/>
      <c r="Q488" s="30" t="n"/>
      <c r="R488" s="170" t="n"/>
      <c r="S488" s="30" t="n"/>
      <c r="T488" s="170" t="n"/>
      <c r="U488" s="30" t="n"/>
      <c r="V488" s="30" t="n"/>
      <c r="W488" s="30" t="n"/>
      <c r="X488" s="30" t="n"/>
      <c r="Y488" s="30" t="n"/>
      <c r="Z488" s="30" t="n"/>
      <c r="AA488" s="30" t="n"/>
      <c r="AB488" s="30" t="n"/>
      <c r="AC488" s="30" t="n"/>
      <c r="AD488" s="30" t="n"/>
      <c r="AE488" s="30" t="n"/>
      <c r="AF488" s="30" t="n"/>
      <c r="AG488" s="30" t="n"/>
      <c r="AH488" s="30" t="n"/>
      <c r="AI488" s="30" t="n"/>
      <c r="AJ488" s="30" t="n"/>
      <c r="AK488" s="30" t="n"/>
      <c r="AL488" s="30" t="n"/>
      <c r="AM488" s="30" t="n"/>
      <c r="AN488" s="30" t="n"/>
      <c r="AO488" s="30" t="n"/>
    </row>
    <row r="489">
      <c r="A489" s="134" t="inlineStr">
        <is>
          <t>26824XXX</t>
        </is>
      </c>
      <c r="B489" s="118" t="inlineStr">
        <is>
          <t>TAVERNITI CAMISA M LARGA</t>
        </is>
      </c>
      <c r="C489" s="88" t="n">
        <v>115000</v>
      </c>
      <c r="D489" s="22" t="n"/>
      <c r="E489" s="22" t="n"/>
      <c r="F489" s="219" t="n"/>
      <c r="G489" s="219" t="n"/>
      <c r="H489" s="219" t="n"/>
      <c r="I489" s="219" t="n"/>
      <c r="J489" s="219" t="n"/>
      <c r="K489" s="219" t="n"/>
      <c r="L489" s="219">
        <f>ROUND((M489*C489)/100,0)*100</f>
        <v/>
      </c>
      <c r="M489" s="96" t="n">
        <v>1.2</v>
      </c>
      <c r="O489" s="137" t="n"/>
      <c r="P489" s="117" t="n"/>
      <c r="R489" s="117" t="n"/>
      <c r="T489" s="117" t="n"/>
    </row>
    <row r="490">
      <c r="A490" s="134" t="inlineStr">
        <is>
          <t>26888XXX</t>
        </is>
      </c>
      <c r="B490" s="118" t="inlineStr">
        <is>
          <t>TAVERNITI CAMISA M LARGA</t>
        </is>
      </c>
      <c r="C490" s="88" t="n">
        <v>88500</v>
      </c>
      <c r="D490" s="22" t="n"/>
      <c r="E490" s="22" t="n"/>
      <c r="F490" s="219" t="n"/>
      <c r="G490" s="219" t="n"/>
      <c r="H490" s="219" t="n"/>
      <c r="I490" s="219" t="n"/>
      <c r="J490" s="219" t="n"/>
      <c r="K490" s="219" t="n"/>
      <c r="L490" s="219">
        <f>ROUND((M490*C490)/100,0)*100</f>
        <v/>
      </c>
      <c r="M490" s="96" t="n">
        <v>1.2</v>
      </c>
      <c r="O490" s="137" t="n"/>
      <c r="P490" s="117" t="n"/>
      <c r="R490" s="117" t="n"/>
      <c r="T490" s="117" t="n"/>
    </row>
    <row r="491">
      <c r="A491" s="134" t="inlineStr">
        <is>
          <t>26896XXX</t>
        </is>
      </c>
      <c r="B491" s="118" t="inlineStr">
        <is>
          <t>TAVERNITI CAMISA M LARGA</t>
        </is>
      </c>
      <c r="C491" s="88" t="n">
        <v>88500</v>
      </c>
      <c r="D491" s="22" t="n"/>
      <c r="E491" s="22" t="n"/>
      <c r="F491" s="219" t="n"/>
      <c r="G491" s="219" t="n"/>
      <c r="H491" s="219" t="n"/>
      <c r="I491" s="219" t="n"/>
      <c r="J491" s="219" t="n"/>
      <c r="K491" s="219" t="n"/>
      <c r="L491" s="219">
        <f>ROUND((M491*C491)/100,0)*100</f>
        <v/>
      </c>
      <c r="M491" s="96" t="n">
        <v>1.2</v>
      </c>
      <c r="O491" s="137" t="n"/>
      <c r="P491" s="117" t="n"/>
      <c r="R491" s="117" t="n"/>
      <c r="T491" s="117" t="n"/>
    </row>
    <row r="492">
      <c r="A492" s="134" t="inlineStr">
        <is>
          <t>26932XXX</t>
        </is>
      </c>
      <c r="B492" s="118" t="inlineStr">
        <is>
          <t>TAVERNITI CAMISA M LARGA</t>
        </is>
      </c>
      <c r="C492" s="88" t="n">
        <v>105000</v>
      </c>
      <c r="D492" s="22" t="n"/>
      <c r="E492" s="22" t="n"/>
      <c r="F492" s="219" t="n"/>
      <c r="G492" s="219" t="n"/>
      <c r="H492" s="219" t="n"/>
      <c r="I492" s="219" t="n"/>
      <c r="J492" s="219" t="n"/>
      <c r="K492" s="219" t="n"/>
      <c r="L492" s="219">
        <f>ROUND((M492*C492)/100,0)*100</f>
        <v/>
      </c>
      <c r="M492" s="96" t="n">
        <v>1.2</v>
      </c>
      <c r="O492" s="137" t="n"/>
      <c r="P492" s="117" t="n"/>
      <c r="R492" s="117" t="n"/>
      <c r="T492" s="117" t="n"/>
    </row>
    <row r="493">
      <c r="A493" s="134" t="n"/>
      <c r="B493" s="246" t="n"/>
      <c r="C493" s="88" t="n"/>
      <c r="D493" s="22" t="n"/>
      <c r="E493" s="22" t="n"/>
      <c r="F493" s="219" t="n"/>
      <c r="G493" s="219" t="n"/>
      <c r="H493" s="219" t="n"/>
      <c r="I493" s="219" t="n"/>
      <c r="J493" s="219" t="n"/>
      <c r="K493" s="219" t="n"/>
      <c r="L493" s="219" t="n"/>
      <c r="M493" s="219" t="n"/>
      <c r="O493" s="137" t="n"/>
      <c r="P493" s="117" t="n"/>
      <c r="R493" s="117" t="n"/>
      <c r="T493" s="117" t="n"/>
    </row>
    <row r="494">
      <c r="A494" s="134" t="n"/>
      <c r="B494" s="246" t="n"/>
      <c r="C494" s="219" t="n"/>
      <c r="D494" s="219" t="n"/>
      <c r="E494" s="219" t="n"/>
      <c r="F494" s="219" t="n"/>
      <c r="G494" s="219" t="n"/>
      <c r="H494" s="219" t="n"/>
      <c r="I494" s="219" t="n"/>
      <c r="J494" s="219" t="n"/>
      <c r="K494" s="219" t="n"/>
      <c r="L494" s="219" t="n"/>
      <c r="M494" s="219" t="n"/>
      <c r="P494" s="117" t="n"/>
      <c r="R494" s="117" t="n"/>
      <c r="T494" s="117" t="n"/>
    </row>
    <row r="495">
      <c r="A495" s="80" t="n"/>
      <c r="B495" s="81" t="inlineStr">
        <is>
          <t>CAMISETAS HOMBRE</t>
        </is>
      </c>
      <c r="C495" s="83" t="inlineStr">
        <is>
          <t>38-40</t>
        </is>
      </c>
      <c r="D495" s="83" t="inlineStr">
        <is>
          <t>42-44</t>
        </is>
      </c>
      <c r="E495" s="83" t="inlineStr">
        <is>
          <t>46-48</t>
        </is>
      </c>
      <c r="F495" s="83" t="n"/>
      <c r="G495" s="83" t="n"/>
      <c r="H495" s="83" t="n"/>
      <c r="I495" s="83" t="n"/>
      <c r="J495" s="83" t="n"/>
      <c r="K495" s="83" t="n"/>
      <c r="L495" s="83" t="n"/>
      <c r="M495" s="80" t="inlineStr">
        <is>
          <t>04/25</t>
        </is>
      </c>
      <c r="P495" s="84" t="n"/>
      <c r="Q495" s="85" t="n"/>
      <c r="R495" s="84" t="n"/>
      <c r="S495" s="85" t="n"/>
      <c r="T495" s="84" t="n"/>
      <c r="U495" s="85" t="n"/>
      <c r="V495" s="85" t="n"/>
      <c r="W495" s="85" t="n"/>
      <c r="X495" s="85" t="n"/>
      <c r="Y495" s="85" t="n"/>
      <c r="Z495" s="85" t="n"/>
      <c r="AA495" s="85" t="n"/>
      <c r="AB495" s="85" t="n"/>
      <c r="AC495" s="85" t="n"/>
      <c r="AD495" s="85" t="n"/>
      <c r="AE495" s="85" t="n"/>
      <c r="AF495" s="85" t="n"/>
      <c r="AG495" s="85" t="n"/>
      <c r="AH495" s="85" t="n"/>
      <c r="AI495" s="85" t="n"/>
      <c r="AJ495" s="85" t="n"/>
      <c r="AK495" s="85" t="n"/>
      <c r="AL495" s="85" t="n"/>
      <c r="AM495" s="85" t="n"/>
      <c r="AN495" s="85" t="n"/>
    </row>
    <row r="496">
      <c r="A496" s="89" t="inlineStr">
        <is>
          <t>900</t>
        </is>
      </c>
      <c r="B496" s="248" t="inlineStr">
        <is>
          <t>DALMATEX M LARGA ESC. O Y V</t>
        </is>
      </c>
      <c r="C496" s="88" t="n">
        <v>33800</v>
      </c>
      <c r="D496" s="88">
        <f>ROUND((C496*1.06)/100,0)*100</f>
        <v/>
      </c>
      <c r="E496" s="88">
        <f>ROUND((C496*1.2)/100,0)*100</f>
        <v/>
      </c>
      <c r="F496" s="88" t="n"/>
      <c r="G496" s="88" t="n"/>
      <c r="H496" s="88" t="n"/>
      <c r="I496" s="88" t="n"/>
      <c r="J496" s="88" t="n"/>
      <c r="K496" s="88" t="n"/>
      <c r="L496" s="88" t="n">
        <v>1.2</v>
      </c>
      <c r="M496" s="88" t="n"/>
      <c r="O496" s="117">
        <f>P496*C496</f>
        <v/>
      </c>
      <c r="P496" s="118" t="n">
        <v>1.4</v>
      </c>
      <c r="R496" s="117" t="n"/>
      <c r="T496" s="117" t="n"/>
      <c r="V496" s="22" t="n"/>
    </row>
    <row r="497">
      <c r="A497" s="89" t="inlineStr">
        <is>
          <t>973/974</t>
        </is>
      </c>
      <c r="B497" s="248" t="inlineStr">
        <is>
          <t>DALMATEX M CORTA ESC. O Y V</t>
        </is>
      </c>
      <c r="C497" s="88" t="n">
        <v>33800</v>
      </c>
      <c r="D497" s="88">
        <f>ROUND((C497*1.06)/100,0)*100</f>
        <v/>
      </c>
      <c r="E497" s="88">
        <f>ROUND((C497*1.2)/100,0)*100</f>
        <v/>
      </c>
      <c r="F497" s="88" t="n"/>
      <c r="G497" s="88" t="n"/>
      <c r="H497" s="88" t="n"/>
      <c r="I497" s="88" t="n"/>
      <c r="J497" s="88" t="n"/>
      <c r="K497" s="88" t="n"/>
      <c r="L497" s="88" t="n"/>
      <c r="M497" s="88" t="n"/>
      <c r="O497" s="117">
        <f>P497*C497</f>
        <v/>
      </c>
      <c r="P497" s="118" t="n">
        <v>1.4</v>
      </c>
      <c r="R497" s="117" t="n"/>
      <c r="T497" s="117" t="n"/>
    </row>
    <row r="498">
      <c r="A498" s="89" t="inlineStr">
        <is>
          <t>001024</t>
        </is>
      </c>
      <c r="B498" s="248" t="inlineStr">
        <is>
          <t>TIPICO INTERLOCK M/L V</t>
        </is>
      </c>
      <c r="C498" s="88" t="n">
        <v>38900</v>
      </c>
      <c r="D498" s="88">
        <f>ROUND((C498*1.06)/100,0)*100</f>
        <v/>
      </c>
      <c r="E498" s="88">
        <f>ROUND((C498*1.2)/100,0)*100</f>
        <v/>
      </c>
      <c r="F498" s="88" t="n"/>
      <c r="G498" s="88" t="n"/>
      <c r="H498" s="88" t="n"/>
      <c r="I498" s="88" t="n"/>
      <c r="J498" s="88" t="n"/>
      <c r="K498" s="88" t="n"/>
      <c r="L498" s="88" t="n"/>
      <c r="M498" s="88" t="n"/>
      <c r="O498" s="117">
        <f>P498*C498</f>
        <v/>
      </c>
      <c r="P498" s="118" t="n">
        <v>1.4</v>
      </c>
      <c r="R498" s="117" t="n"/>
      <c r="T498" s="117" t="n"/>
    </row>
    <row r="499">
      <c r="A499" s="89" t="inlineStr">
        <is>
          <t>001025</t>
        </is>
      </c>
      <c r="B499" s="248" t="inlineStr">
        <is>
          <t>TIPICO INTERLOCK M/L O</t>
        </is>
      </c>
      <c r="C499" s="88" t="n">
        <v>38900</v>
      </c>
      <c r="D499" s="88">
        <f>ROUND((C499*1.06)/100,0)*100</f>
        <v/>
      </c>
      <c r="E499" s="88">
        <f>ROUND((C499*1.2)/100,0)*100</f>
        <v/>
      </c>
      <c r="F499" s="88" t="n"/>
      <c r="G499" s="88" t="n"/>
      <c r="H499" s="88" t="n"/>
      <c r="I499" s="88" t="n"/>
      <c r="J499" s="88" t="n"/>
      <c r="K499" s="88" t="n"/>
      <c r="L499" s="88" t="n"/>
      <c r="M499" s="88" t="n"/>
      <c r="O499" s="117">
        <f>P499*C499</f>
        <v/>
      </c>
      <c r="P499" s="118" t="n">
        <v>1.4</v>
      </c>
      <c r="R499" s="117" t="n"/>
      <c r="T499" s="117" t="n"/>
    </row>
    <row r="500">
      <c r="A500" s="89" t="inlineStr">
        <is>
          <t>001053</t>
        </is>
      </c>
      <c r="B500" s="248" t="inlineStr">
        <is>
          <t>TIPICO MUSC MORLEY ALG</t>
        </is>
      </c>
      <c r="C500" s="88" t="n">
        <v>26200</v>
      </c>
      <c r="D500" s="88">
        <f>ROUND((C500*1.06)/100,0)*100</f>
        <v/>
      </c>
      <c r="E500" s="88">
        <f>ROUND((C500*1.2)/100,0)*100</f>
        <v/>
      </c>
      <c r="F500" s="88" t="n"/>
      <c r="G500" s="88" t="n"/>
      <c r="H500" s="88" t="n"/>
      <c r="I500" s="88" t="n"/>
      <c r="J500" s="88" t="n"/>
      <c r="K500" s="88" t="n"/>
      <c r="L500" s="88" t="n"/>
      <c r="M500" s="88" t="n"/>
      <c r="O500" s="117">
        <f>P500*C500</f>
        <v/>
      </c>
      <c r="P500" s="118" t="n">
        <v>1.4</v>
      </c>
      <c r="R500" s="117" t="n"/>
      <c r="T500" s="117" t="n"/>
    </row>
    <row r="501">
      <c r="A501" s="89" t="inlineStr">
        <is>
          <t>1072</t>
        </is>
      </c>
      <c r="B501" s="248" t="inlineStr">
        <is>
          <t>TIPICO M.CORTA REDONDO</t>
        </is>
      </c>
      <c r="C501" s="88" t="n">
        <v>38900</v>
      </c>
      <c r="D501" s="88">
        <f>ROUND((C501*1.06)/100,0)*100</f>
        <v/>
      </c>
      <c r="E501" s="88">
        <f>ROUND((C501*1.2)/100,0)*100</f>
        <v/>
      </c>
      <c r="F501" s="88" t="n"/>
      <c r="G501" s="88" t="n"/>
      <c r="H501" s="88" t="n"/>
      <c r="I501" s="88" t="n"/>
      <c r="J501" s="88" t="n"/>
      <c r="K501" s="88" t="n"/>
      <c r="L501" s="88" t="n"/>
      <c r="M501" s="88" t="n"/>
      <c r="O501" s="117">
        <f>P501*C501</f>
        <v/>
      </c>
      <c r="P501" s="118" t="n">
        <v>1.4</v>
      </c>
      <c r="R501" s="117" t="n"/>
      <c r="T501" s="117" t="n"/>
    </row>
    <row r="502">
      <c r="A502" s="89" t="inlineStr">
        <is>
          <t>1073</t>
        </is>
      </c>
      <c r="B502" s="248" t="inlineStr">
        <is>
          <t>TIPICO M.CORTA V</t>
        </is>
      </c>
      <c r="C502" s="88" t="n">
        <v>38800</v>
      </c>
      <c r="D502" s="88">
        <f>ROUND((C502*1.06)/100,0)*100</f>
        <v/>
      </c>
      <c r="E502" s="88">
        <f>ROUND((C502*1.2)/100,0)*100</f>
        <v/>
      </c>
      <c r="F502" s="88" t="n"/>
      <c r="G502" s="88" t="n"/>
      <c r="H502" s="88" t="n"/>
      <c r="I502" s="88" t="n"/>
      <c r="J502" s="88" t="n"/>
      <c r="K502" s="88" t="n"/>
      <c r="L502" s="88" t="n"/>
      <c r="M502" s="88" t="n"/>
      <c r="O502" s="117">
        <f>P502*C502</f>
        <v/>
      </c>
      <c r="P502" s="118" t="n">
        <v>1.4</v>
      </c>
      <c r="R502" s="117" t="n"/>
      <c r="T502" s="117" t="n"/>
    </row>
    <row r="503">
      <c r="A503" s="89" t="inlineStr">
        <is>
          <t>01230</t>
        </is>
      </c>
      <c r="B503" s="248" t="inlineStr">
        <is>
          <t>TIPICO Camiseta térmica HIDROWICK con lycra, ajustada ML</t>
        </is>
      </c>
      <c r="C503" s="88" t="n">
        <v>41900</v>
      </c>
      <c r="D503" s="88">
        <f>ROUND((C503*1.06)/100,0)*100</f>
        <v/>
      </c>
      <c r="E503" s="88">
        <f>ROUND((C503*1.2)/100,0)*100</f>
        <v/>
      </c>
      <c r="F503" s="88" t="n"/>
      <c r="G503" s="88" t="n"/>
      <c r="H503" s="88" t="n"/>
      <c r="I503" s="88" t="n"/>
      <c r="J503" s="88" t="n"/>
      <c r="K503" s="88" t="n"/>
      <c r="L503" s="88" t="n"/>
      <c r="M503" s="88" t="n"/>
      <c r="O503" s="117">
        <f>P503*C503</f>
        <v/>
      </c>
      <c r="P503" s="118" t="n">
        <v>1.4</v>
      </c>
      <c r="R503" s="117" t="n"/>
      <c r="T503" s="117" t="n"/>
    </row>
    <row r="504">
      <c r="A504" s="89" t="inlineStr">
        <is>
          <t>2975</t>
        </is>
      </c>
      <c r="B504" s="248" t="inlineStr">
        <is>
          <t>DALMATEX M LARGA ESC. O Y V</t>
        </is>
      </c>
      <c r="C504" s="88" t="n">
        <v>40600</v>
      </c>
      <c r="D504" s="88">
        <f>ROUND((C504*1.06)/100,0)*100</f>
        <v/>
      </c>
      <c r="E504" s="88">
        <f>ROUND((C504*1.2)/100,0)*100</f>
        <v/>
      </c>
      <c r="F504" s="219" t="n"/>
      <c r="G504" s="88" t="n"/>
      <c r="H504" s="88" t="n"/>
      <c r="I504" s="88" t="n"/>
      <c r="J504" s="88" t="n"/>
      <c r="K504" s="88" t="n"/>
      <c r="L504" s="88" t="n"/>
      <c r="M504" s="88" t="n"/>
      <c r="O504" s="117">
        <f>P504*C504</f>
        <v/>
      </c>
      <c r="P504" s="118" t="n">
        <v>1.4</v>
      </c>
      <c r="R504" s="117" t="n"/>
      <c r="T504" s="117" t="n"/>
    </row>
    <row r="505">
      <c r="A505" s="89" t="inlineStr">
        <is>
          <t>6975</t>
        </is>
      </c>
      <c r="B505" s="248" t="inlineStr">
        <is>
          <t>DALMATEX M LARGA ESC. O Y V</t>
        </is>
      </c>
      <c r="C505" s="88" t="n">
        <v>40600</v>
      </c>
      <c r="D505" s="88">
        <f>ROUND((C505*1.06)/100,0)*100</f>
        <v/>
      </c>
      <c r="E505" s="88">
        <f>ROUND((C505*1.2)/100,0)*100</f>
        <v/>
      </c>
      <c r="F505" s="219" t="n"/>
      <c r="G505" s="88" t="n"/>
      <c r="H505" s="88" t="n"/>
      <c r="I505" s="88" t="n"/>
      <c r="J505" s="88" t="n"/>
      <c r="K505" s="88" t="n"/>
      <c r="L505" s="88" t="n"/>
      <c r="M505" s="88" t="n"/>
      <c r="O505" s="117">
        <f>P505*C505</f>
        <v/>
      </c>
      <c r="P505" s="118" t="n">
        <v>1.4</v>
      </c>
      <c r="R505" s="117" t="n"/>
      <c r="T505" s="117" t="n"/>
    </row>
    <row r="506">
      <c r="A506" s="89" t="n"/>
      <c r="B506" s="248" t="inlineStr">
        <is>
          <t>CAMISETIN</t>
        </is>
      </c>
      <c r="C506" s="88" t="n">
        <v>19200</v>
      </c>
      <c r="D506" s="88">
        <f>ROUND((C506*1.06)/100,0)*100</f>
        <v/>
      </c>
      <c r="E506" s="88">
        <f>ROUND((C506*1.2)/100,0)*100</f>
        <v/>
      </c>
      <c r="F506" s="88" t="n"/>
      <c r="G506" s="88" t="n"/>
      <c r="H506" s="88" t="n"/>
      <c r="I506" s="88" t="n"/>
      <c r="J506" s="88" t="n"/>
      <c r="K506" s="88" t="n"/>
      <c r="L506" s="88" t="n"/>
      <c r="M506" s="88" t="n"/>
      <c r="O506" s="117">
        <f>P506*C506</f>
        <v/>
      </c>
      <c r="P506" s="118" t="n">
        <v>1.4</v>
      </c>
      <c r="R506" s="117" t="n"/>
      <c r="T506" s="117" t="n"/>
    </row>
    <row r="507">
      <c r="A507" s="134" t="inlineStr">
        <is>
          <t>4011</t>
        </is>
      </c>
      <c r="B507" s="248" t="inlineStr">
        <is>
          <t>G3 M LARGA</t>
        </is>
      </c>
      <c r="C507" s="88" t="n">
        <v>37600</v>
      </c>
      <c r="D507" s="88">
        <f>ROUND((C507*1.06)/100,0)*100</f>
        <v/>
      </c>
      <c r="E507" s="88">
        <f>ROUND((C507*1.2)/100,0)*100</f>
        <v/>
      </c>
      <c r="F507" s="219" t="n"/>
      <c r="G507" s="219" t="n"/>
      <c r="H507" s="219" t="n"/>
      <c r="I507" s="219" t="n"/>
      <c r="J507" s="219" t="n"/>
      <c r="K507" s="219" t="n"/>
      <c r="L507" s="219" t="n"/>
      <c r="M507" s="219" t="n"/>
      <c r="O507" s="117">
        <f>P507*C507</f>
        <v/>
      </c>
      <c r="P507" s="118" t="n">
        <v>1.4</v>
      </c>
      <c r="R507" s="117" t="n"/>
      <c r="T507" s="117" t="n"/>
    </row>
    <row r="508">
      <c r="A508" s="134" t="inlineStr">
        <is>
          <t>4022-4009</t>
        </is>
      </c>
      <c r="B508" s="248" t="inlineStr">
        <is>
          <t>G3 M CORTA O y V</t>
        </is>
      </c>
      <c r="C508" s="88" t="n">
        <v>37600</v>
      </c>
      <c r="D508" s="88">
        <f>ROUND((C508*1.06)/100,0)*100</f>
        <v/>
      </c>
      <c r="E508" s="88">
        <f>ROUND((C508*1.2)/100,0)*100</f>
        <v/>
      </c>
      <c r="F508" s="219" t="n"/>
      <c r="G508" s="219" t="n"/>
      <c r="H508" s="219" t="n"/>
      <c r="I508" s="219" t="n"/>
      <c r="J508" s="219" t="n"/>
      <c r="K508" s="219" t="n"/>
      <c r="L508" s="219" t="n"/>
      <c r="M508" s="219" t="n"/>
      <c r="O508" s="117">
        <f>P508*C508</f>
        <v/>
      </c>
      <c r="P508" s="118" t="n">
        <v>1.4</v>
      </c>
      <c r="R508" s="117" t="n"/>
      <c r="T508" s="117" t="n"/>
    </row>
    <row r="509">
      <c r="A509" s="134" t="inlineStr">
        <is>
          <t>40</t>
        </is>
      </c>
      <c r="B509" s="248" t="inlineStr">
        <is>
          <t>G3 TERMICA M LARGA</t>
        </is>
      </c>
      <c r="C509" s="88" t="n">
        <v>37600</v>
      </c>
      <c r="D509" s="88">
        <f>ROUND((C509*1.06)/100,0)*100</f>
        <v/>
      </c>
      <c r="E509" s="88">
        <f>ROUND((C509*1.2)/100,0)*100</f>
        <v/>
      </c>
      <c r="F509" s="219" t="n"/>
      <c r="G509" s="219" t="n"/>
      <c r="H509" s="219" t="n"/>
      <c r="I509" s="219" t="n"/>
      <c r="J509" s="219" t="n"/>
      <c r="K509" s="219" t="n"/>
      <c r="L509" s="219" t="n"/>
      <c r="M509" s="219" t="n"/>
      <c r="O509" s="117">
        <f>P509*C509</f>
        <v/>
      </c>
      <c r="P509" s="118" t="n">
        <v>1.4</v>
      </c>
      <c r="R509" s="117" t="n"/>
      <c r="T509" s="117" t="n"/>
    </row>
    <row r="510">
      <c r="A510" s="134" t="inlineStr">
        <is>
          <t>772</t>
        </is>
      </c>
      <c r="B510" s="246" t="inlineStr">
        <is>
          <t>BATA MICROPOLAR</t>
        </is>
      </c>
      <c r="C510" s="88" t="n">
        <v>80900</v>
      </c>
      <c r="D510" s="88">
        <f>ROUND((C510*1.06)/100,0)*100</f>
        <v/>
      </c>
      <c r="E510" s="88">
        <f>ROUND((C510*1.2)/100,0)*100</f>
        <v/>
      </c>
      <c r="F510" s="219" t="n"/>
      <c r="G510" s="219" t="n"/>
      <c r="H510" s="219" t="n"/>
      <c r="I510" s="219" t="n"/>
      <c r="J510" s="219" t="n"/>
      <c r="K510" s="219" t="n"/>
      <c r="L510" s="219" t="n"/>
      <c r="M510" s="219" t="n"/>
      <c r="O510" s="117">
        <f>P510*C510</f>
        <v/>
      </c>
      <c r="P510" s="118" t="n">
        <v>1.4</v>
      </c>
      <c r="R510" s="117" t="n"/>
      <c r="T510" s="117" t="n"/>
    </row>
    <row r="511">
      <c r="A511" s="134" t="n"/>
      <c r="B511" s="246" t="inlineStr">
        <is>
          <t>ASUAN CAMISETA TERMICA LARGA</t>
        </is>
      </c>
      <c r="C511" s="219" t="n">
        <v>35400</v>
      </c>
      <c r="D511" s="88">
        <f>ROUND((C511*1.06)/100,0)*100</f>
        <v/>
      </c>
      <c r="E511" s="88">
        <f>ROUND((C511*1.2)/100,0)*100</f>
        <v/>
      </c>
      <c r="F511" s="219" t="n"/>
      <c r="G511" s="219" t="n"/>
      <c r="H511" s="219" t="n"/>
      <c r="I511" s="219" t="n"/>
      <c r="J511" s="219" t="n"/>
      <c r="K511" s="219" t="n"/>
      <c r="L511" s="219" t="n"/>
      <c r="M511" s="219" t="n"/>
      <c r="O511" s="117">
        <f>P511*C511</f>
        <v/>
      </c>
      <c r="P511" s="118" t="n">
        <v>1.4</v>
      </c>
      <c r="R511" s="117" t="n"/>
      <c r="T511" s="117" t="n"/>
    </row>
    <row r="512">
      <c r="A512" s="134" t="n"/>
      <c r="B512" s="246" t="n"/>
      <c r="C512" s="219" t="n"/>
      <c r="D512" s="219" t="n"/>
      <c r="E512" s="219" t="n"/>
      <c r="F512" s="219" t="n"/>
      <c r="G512" s="219" t="n"/>
      <c r="H512" s="219" t="n"/>
      <c r="I512" s="219" t="n"/>
      <c r="J512" s="219" t="n"/>
      <c r="K512" s="219" t="n"/>
      <c r="L512" s="219" t="n"/>
      <c r="M512" s="219" t="n"/>
      <c r="P512" s="117" t="n"/>
      <c r="R512" s="117" t="n"/>
      <c r="T512" s="117" t="n"/>
    </row>
    <row r="513">
      <c r="A513" s="80" t="n"/>
      <c r="B513" s="81" t="inlineStr">
        <is>
          <t>CAMPERAS HOMBRE (PERCHAS)</t>
        </is>
      </c>
      <c r="C513" s="83" t="inlineStr">
        <is>
          <t xml:space="preserve">1 al </t>
        </is>
      </c>
      <c r="D513" s="83" t="n"/>
      <c r="E513" s="83" t="n">
        <v>6</v>
      </c>
      <c r="F513" s="83" t="n">
        <v>7</v>
      </c>
      <c r="G513" s="83" t="n">
        <v>8</v>
      </c>
      <c r="H513" s="83" t="n">
        <v>9</v>
      </c>
      <c r="I513" s="83" t="n">
        <v>10</v>
      </c>
      <c r="J513" s="83" t="n">
        <v>12</v>
      </c>
      <c r="K513" s="83" t="n">
        <v>14</v>
      </c>
      <c r="L513" s="83" t="n">
        <v>16</v>
      </c>
      <c r="M513" s="80" t="inlineStr">
        <is>
          <t>04/25</t>
        </is>
      </c>
      <c r="P513" s="84" t="n"/>
      <c r="Q513" s="85" t="n"/>
      <c r="R513" s="84" t="n"/>
      <c r="S513" s="85" t="n"/>
      <c r="T513" s="84" t="n"/>
      <c r="U513" s="85" t="n"/>
      <c r="V513" s="85" t="n"/>
      <c r="W513" s="85" t="n"/>
      <c r="X513" s="85" t="n"/>
      <c r="Y513" s="85" t="n"/>
      <c r="Z513" s="85" t="n"/>
      <c r="AA513" s="85" t="n"/>
      <c r="AB513" s="85" t="n"/>
      <c r="AC513" s="85" t="n"/>
      <c r="AD513" s="85" t="n"/>
      <c r="AE513" s="85" t="n"/>
      <c r="AF513" s="85" t="n"/>
      <c r="AG513" s="85" t="n"/>
      <c r="AH513" s="85" t="n"/>
      <c r="AI513" s="85" t="n"/>
      <c r="AJ513" s="85" t="n"/>
      <c r="AK513" s="85" t="n"/>
      <c r="AL513" s="85" t="n"/>
      <c r="AM513" s="85" t="n"/>
      <c r="AN513" s="85" t="n"/>
    </row>
    <row r="514">
      <c r="A514" s="89" t="inlineStr">
        <is>
          <t>14710</t>
        </is>
      </c>
      <c r="B514" s="248" t="inlineStr">
        <is>
          <t>TAVERNITI</t>
        </is>
      </c>
      <c r="C514" s="88" t="n">
        <v>123200</v>
      </c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88" t="n"/>
      <c r="M514" s="88" t="n"/>
      <c r="P514" s="117" t="n"/>
      <c r="R514" s="117" t="n"/>
      <c r="T514" s="117">
        <f>U514*C514</f>
        <v/>
      </c>
      <c r="U514" s="22" t="n">
        <v>1.3</v>
      </c>
      <c r="W514" s="20" t="n"/>
    </row>
    <row r="515">
      <c r="A515" s="89" t="inlineStr">
        <is>
          <t>14712</t>
        </is>
      </c>
      <c r="B515" s="248" t="inlineStr">
        <is>
          <t>TAVERNITI</t>
        </is>
      </c>
      <c r="C515" s="88" t="n">
        <v>101800</v>
      </c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88" t="n"/>
      <c r="M515" s="88" t="n"/>
      <c r="P515" s="117" t="n"/>
      <c r="R515" s="117" t="n"/>
      <c r="T515" s="117">
        <f>U515*C515</f>
        <v/>
      </c>
      <c r="U515" s="22" t="n">
        <v>1.3</v>
      </c>
    </row>
    <row r="516">
      <c r="A516" s="89" t="inlineStr">
        <is>
          <t>14716</t>
        </is>
      </c>
      <c r="B516" s="248" t="inlineStr">
        <is>
          <t>TAVERNITI</t>
        </is>
      </c>
      <c r="C516" s="88" t="n">
        <v>80800</v>
      </c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88" t="n"/>
      <c r="M516" s="88" t="n"/>
      <c r="P516" s="117" t="n"/>
      <c r="R516" s="117" t="n"/>
      <c r="T516" s="117">
        <f>U516*C516</f>
        <v/>
      </c>
      <c r="U516" s="22" t="n">
        <v>1.3</v>
      </c>
    </row>
    <row r="517">
      <c r="A517" s="89" t="inlineStr">
        <is>
          <t>14718</t>
        </is>
      </c>
      <c r="B517" s="248" t="inlineStr">
        <is>
          <t>TAVERNITI</t>
        </is>
      </c>
      <c r="C517" s="88" t="n">
        <v>80800</v>
      </c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88" t="n"/>
      <c r="M517" s="88" t="n"/>
      <c r="P517" s="117" t="n"/>
      <c r="R517" s="117" t="n"/>
      <c r="T517" s="117">
        <f>U517*C517</f>
        <v/>
      </c>
      <c r="U517" s="22" t="n">
        <v>1.3</v>
      </c>
    </row>
    <row r="518">
      <c r="A518" s="89" t="inlineStr">
        <is>
          <t>14724</t>
        </is>
      </c>
      <c r="B518" s="248" t="inlineStr">
        <is>
          <t>TAVERNITI</t>
        </is>
      </c>
      <c r="C518" s="88" t="n">
        <v>78800</v>
      </c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88" t="n"/>
      <c r="M518" s="88" t="n"/>
      <c r="P518" s="117" t="n"/>
      <c r="R518" s="117" t="n"/>
      <c r="T518" s="117">
        <f>U518*C518</f>
        <v/>
      </c>
      <c r="U518" s="22" t="n">
        <v>1.3</v>
      </c>
    </row>
    <row r="519">
      <c r="A519" s="89" t="inlineStr">
        <is>
          <t>14728</t>
        </is>
      </c>
      <c r="B519" s="248" t="inlineStr">
        <is>
          <t>TAVERNITI</t>
        </is>
      </c>
      <c r="C519" s="88" t="n">
        <v>94800</v>
      </c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88" t="n"/>
      <c r="M519" s="88" t="n"/>
      <c r="P519" s="117" t="n"/>
      <c r="R519" s="117" t="n"/>
      <c r="T519" s="117">
        <f>U519*C519</f>
        <v/>
      </c>
      <c r="U519" s="22" t="n">
        <v>1.3</v>
      </c>
    </row>
    <row r="520">
      <c r="A520" s="89" t="inlineStr">
        <is>
          <t>14746</t>
        </is>
      </c>
      <c r="B520" s="248" t="inlineStr">
        <is>
          <t>TAVERNITI</t>
        </is>
      </c>
      <c r="C520" s="88" t="n">
        <v>90000</v>
      </c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88" t="n"/>
      <c r="M520" s="88" t="n"/>
      <c r="P520" s="117" t="n"/>
      <c r="R520" s="117" t="n"/>
      <c r="T520" s="117">
        <f>U520*C520</f>
        <v/>
      </c>
      <c r="U520" s="22" t="n">
        <v>1.3</v>
      </c>
    </row>
    <row r="521">
      <c r="A521" s="89" t="inlineStr">
        <is>
          <t>14750</t>
        </is>
      </c>
      <c r="B521" s="248" t="inlineStr">
        <is>
          <t>TAVERNITI</t>
        </is>
      </c>
      <c r="C521" s="88" t="n">
        <v>90000</v>
      </c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88" t="n"/>
      <c r="M521" s="88" t="n"/>
      <c r="P521" s="117" t="n"/>
      <c r="R521" s="117" t="n"/>
      <c r="T521" s="117">
        <f>U521*C521</f>
        <v/>
      </c>
      <c r="U521" s="22" t="n">
        <v>1.3</v>
      </c>
    </row>
    <row r="522">
      <c r="A522" s="89" t="inlineStr">
        <is>
          <t>19038</t>
        </is>
      </c>
      <c r="B522" s="248" t="inlineStr">
        <is>
          <t>TAVERNITI</t>
        </is>
      </c>
      <c r="C522" s="88" t="n">
        <v>107400</v>
      </c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88" t="n"/>
      <c r="M522" s="88" t="n"/>
      <c r="P522" s="117" t="n"/>
      <c r="R522" s="117" t="n"/>
      <c r="T522" s="117">
        <f>U522*C522</f>
        <v/>
      </c>
      <c r="U522" s="22" t="n">
        <v>1.3</v>
      </c>
    </row>
    <row r="523">
      <c r="A523" s="89" t="inlineStr">
        <is>
          <t>19074</t>
        </is>
      </c>
      <c r="B523" s="248" t="inlineStr">
        <is>
          <t>TAVERNITI</t>
        </is>
      </c>
      <c r="C523" s="88" t="n">
        <v>107400</v>
      </c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88" t="n"/>
      <c r="M523" s="88" t="n"/>
      <c r="P523" s="117" t="n"/>
      <c r="R523" s="117" t="n"/>
      <c r="T523" s="117">
        <f>U523*C523</f>
        <v/>
      </c>
      <c r="U523" s="22" t="n">
        <v>1.3</v>
      </c>
    </row>
    <row r="524">
      <c r="A524" s="89" t="inlineStr">
        <is>
          <t>3002</t>
        </is>
      </c>
      <c r="B524" s="248" t="inlineStr">
        <is>
          <t>TAVERNITI</t>
        </is>
      </c>
      <c r="C524" s="88" t="n">
        <v>97700</v>
      </c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88" t="n"/>
      <c r="M524" s="88" t="n"/>
      <c r="P524" s="117" t="n"/>
      <c r="R524" s="117" t="n"/>
      <c r="T524" s="117">
        <f>U524*C524</f>
        <v/>
      </c>
      <c r="U524" s="22" t="n">
        <v>1.3</v>
      </c>
    </row>
    <row r="525">
      <c r="A525" s="89" t="inlineStr">
        <is>
          <t>3004</t>
        </is>
      </c>
      <c r="B525" s="248" t="inlineStr">
        <is>
          <t>TAVERNITI</t>
        </is>
      </c>
      <c r="C525" s="88" t="n">
        <v>109000</v>
      </c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88" t="n"/>
      <c r="M525" s="88" t="n"/>
      <c r="P525" s="117" t="n"/>
      <c r="R525" s="117" t="n"/>
      <c r="T525" s="117">
        <f>U525*C525</f>
        <v/>
      </c>
      <c r="U525" s="22" t="n">
        <v>1.3</v>
      </c>
    </row>
    <row r="526">
      <c r="A526" s="89" t="inlineStr">
        <is>
          <t>3008</t>
        </is>
      </c>
      <c r="B526" s="248" t="inlineStr">
        <is>
          <t>TAVERNITI</t>
        </is>
      </c>
      <c r="C526" s="88" t="n">
        <v>127700</v>
      </c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88" t="n"/>
      <c r="M526" s="88" t="n"/>
      <c r="P526" s="117" t="n"/>
      <c r="R526" s="117" t="n"/>
      <c r="T526" s="117">
        <f>U526*C526</f>
        <v/>
      </c>
      <c r="U526" s="22" t="n">
        <v>1.3</v>
      </c>
    </row>
    <row r="527">
      <c r="A527" s="89" t="inlineStr">
        <is>
          <t>300X</t>
        </is>
      </c>
      <c r="B527" s="248" t="inlineStr">
        <is>
          <t>TAVERNITI</t>
        </is>
      </c>
      <c r="C527" s="88" t="n">
        <v>90300</v>
      </c>
      <c r="D527" s="219" t="n"/>
      <c r="E527" s="22" t="n"/>
      <c r="F527" s="22" t="n"/>
      <c r="G527" s="22" t="n"/>
      <c r="H527" s="22" t="n"/>
      <c r="I527" s="22" t="n"/>
      <c r="J527" s="22" t="n"/>
      <c r="K527" s="22" t="n"/>
      <c r="L527" s="88" t="n"/>
      <c r="M527" s="88" t="n"/>
      <c r="P527" s="117" t="n"/>
      <c r="R527" s="117" t="n"/>
      <c r="T527" s="117">
        <f>U527*C527</f>
        <v/>
      </c>
      <c r="U527" s="22" t="n">
        <v>1.3</v>
      </c>
    </row>
    <row r="528">
      <c r="A528" s="89" t="inlineStr">
        <is>
          <t>3016XXX</t>
        </is>
      </c>
      <c r="B528" s="248" t="inlineStr">
        <is>
          <t>TAVERNITI</t>
        </is>
      </c>
      <c r="C528" s="88" t="n">
        <v>155900</v>
      </c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88" t="n"/>
      <c r="M528" s="88" t="n"/>
      <c r="P528" s="117" t="n"/>
      <c r="R528" s="117" t="n"/>
      <c r="T528" s="117">
        <f>U528*C528</f>
        <v/>
      </c>
      <c r="U528" s="22" t="n">
        <v>1.3</v>
      </c>
    </row>
    <row r="529">
      <c r="A529" s="89" t="inlineStr">
        <is>
          <t>3036</t>
        </is>
      </c>
      <c r="B529" s="248" t="inlineStr">
        <is>
          <t>TAVERNITI</t>
        </is>
      </c>
      <c r="C529" s="88" t="n">
        <v>117600</v>
      </c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88" t="n"/>
      <c r="M529" s="88" t="n"/>
      <c r="P529" s="117" t="n"/>
      <c r="R529" s="117" t="n"/>
      <c r="T529" s="117">
        <f>U529*C529</f>
        <v/>
      </c>
      <c r="U529" s="22" t="n">
        <v>1.3</v>
      </c>
    </row>
    <row r="530">
      <c r="A530" s="89" t="inlineStr">
        <is>
          <t>3038</t>
        </is>
      </c>
      <c r="B530" s="248" t="inlineStr">
        <is>
          <t>TAVERNITI</t>
        </is>
      </c>
      <c r="C530" s="88" t="n">
        <v>117600</v>
      </c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88" t="n"/>
      <c r="M530" s="88" t="n"/>
      <c r="P530" s="117" t="n"/>
      <c r="R530" s="117" t="n"/>
      <c r="T530" s="117">
        <f>U530*C530</f>
        <v/>
      </c>
      <c r="U530" s="22" t="n">
        <v>1.3</v>
      </c>
    </row>
    <row r="531">
      <c r="A531" s="89" t="inlineStr">
        <is>
          <t>3044</t>
        </is>
      </c>
      <c r="B531" s="248" t="inlineStr">
        <is>
          <t>TAVERNITI</t>
        </is>
      </c>
      <c r="C531" s="88" t="n">
        <v>114000</v>
      </c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88" t="n"/>
      <c r="M531" s="88" t="n"/>
      <c r="P531" s="117" t="n"/>
      <c r="R531" s="117" t="n"/>
      <c r="T531" s="117">
        <f>U531*C531</f>
        <v/>
      </c>
      <c r="U531" s="22" t="n">
        <v>1.3</v>
      </c>
    </row>
    <row r="532">
      <c r="A532" s="89" t="inlineStr">
        <is>
          <t>3054</t>
        </is>
      </c>
      <c r="B532" s="248" t="inlineStr">
        <is>
          <t>TAVERNITI</t>
        </is>
      </c>
      <c r="C532" s="88" t="n">
        <v>145300</v>
      </c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88" t="n"/>
      <c r="M532" s="88" t="n"/>
      <c r="P532" s="117" t="n"/>
      <c r="R532" s="117" t="n"/>
      <c r="T532" s="117">
        <f>U532*C532</f>
        <v/>
      </c>
      <c r="U532" s="22" t="n">
        <v>1.3</v>
      </c>
    </row>
    <row r="533">
      <c r="A533" s="89" t="inlineStr">
        <is>
          <t>3056</t>
        </is>
      </c>
      <c r="B533" s="248" t="inlineStr">
        <is>
          <t>TAVERNITI</t>
        </is>
      </c>
      <c r="C533" s="88" t="n">
        <v>117600</v>
      </c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88" t="n"/>
      <c r="M533" s="88" t="n"/>
      <c r="P533" s="117" t="n"/>
      <c r="R533" s="117" t="n"/>
      <c r="T533" s="117">
        <f>U533*C533</f>
        <v/>
      </c>
      <c r="U533" s="22" t="n">
        <v>1.3</v>
      </c>
    </row>
    <row r="534">
      <c r="A534" s="89" t="inlineStr">
        <is>
          <t>3058</t>
        </is>
      </c>
      <c r="B534" s="248" t="inlineStr">
        <is>
          <t>TAVERNITI</t>
        </is>
      </c>
      <c r="C534" s="88" t="n">
        <v>117600</v>
      </c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88" t="n"/>
      <c r="M534" s="88" t="n"/>
      <c r="P534" s="117" t="n"/>
      <c r="R534" s="117" t="n"/>
      <c r="T534" s="117">
        <f>U534*C534</f>
        <v/>
      </c>
      <c r="U534" s="22" t="n">
        <v>1.3</v>
      </c>
    </row>
    <row r="535">
      <c r="A535" s="89" t="inlineStr">
        <is>
          <t>3064</t>
        </is>
      </c>
      <c r="B535" s="248" t="inlineStr">
        <is>
          <t>TAVERNITI</t>
        </is>
      </c>
      <c r="C535" s="88" t="n">
        <v>121800</v>
      </c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88" t="n"/>
      <c r="M535" s="88" t="n"/>
      <c r="P535" s="117" t="n"/>
      <c r="R535" s="117" t="n"/>
      <c r="T535" s="117">
        <f>U535*C535</f>
        <v/>
      </c>
      <c r="U535" s="22" t="n">
        <v>1.3</v>
      </c>
    </row>
    <row r="536">
      <c r="A536" s="89" t="inlineStr">
        <is>
          <t>3076XXX</t>
        </is>
      </c>
      <c r="B536" s="248" t="inlineStr">
        <is>
          <t>TAVERNITI</t>
        </is>
      </c>
      <c r="C536" s="88" t="n">
        <v>110300</v>
      </c>
      <c r="D536" s="219" t="n"/>
      <c r="E536" s="22" t="n"/>
      <c r="F536" s="22" t="n"/>
      <c r="G536" s="22" t="n"/>
      <c r="H536" s="22" t="n"/>
      <c r="I536" s="22" t="n"/>
      <c r="J536" s="22" t="n"/>
      <c r="K536" s="22" t="n"/>
      <c r="L536" s="88" t="n"/>
      <c r="M536" s="88" t="n"/>
      <c r="P536" s="117" t="n"/>
      <c r="R536" s="117" t="n"/>
      <c r="T536" s="117">
        <f>U536*C536</f>
        <v/>
      </c>
      <c r="U536" s="22" t="n">
        <v>1.3</v>
      </c>
    </row>
    <row r="537">
      <c r="A537" s="89" t="inlineStr">
        <is>
          <t>3098XXX</t>
        </is>
      </c>
      <c r="B537" s="248" t="inlineStr">
        <is>
          <t>TAVERNITI</t>
        </is>
      </c>
      <c r="C537" s="88" t="n">
        <v>163500</v>
      </c>
      <c r="D537" s="219" t="n"/>
      <c r="E537" s="22" t="n"/>
      <c r="F537" s="22" t="n"/>
      <c r="G537" s="22" t="n"/>
      <c r="H537" s="22" t="n"/>
      <c r="I537" s="22" t="n"/>
      <c r="J537" s="22" t="n"/>
      <c r="K537" s="22" t="n"/>
      <c r="L537" s="88" t="n"/>
      <c r="M537" s="88" t="n"/>
      <c r="P537" s="117" t="n"/>
      <c r="R537" s="117" t="n"/>
      <c r="T537" s="117">
        <f>U537*C537</f>
        <v/>
      </c>
      <c r="U537" s="22" t="n">
        <v>1.3</v>
      </c>
    </row>
    <row r="538">
      <c r="A538" s="89" t="inlineStr">
        <is>
          <t>3100XXX</t>
        </is>
      </c>
      <c r="B538" s="248" t="inlineStr">
        <is>
          <t>TAVERNITI</t>
        </is>
      </c>
      <c r="C538" s="88" t="n">
        <v>100100</v>
      </c>
      <c r="D538" s="219" t="n"/>
      <c r="E538" s="22" t="n"/>
      <c r="F538" s="22" t="n"/>
      <c r="G538" s="22" t="n"/>
      <c r="H538" s="22" t="n"/>
      <c r="I538" s="22" t="n"/>
      <c r="J538" s="22" t="n"/>
      <c r="K538" s="22" t="n"/>
      <c r="L538" s="88" t="n"/>
      <c r="M538" s="88" t="n"/>
      <c r="P538" s="117" t="n"/>
      <c r="R538" s="117" t="n"/>
      <c r="T538" s="117">
        <f>U538*C538</f>
        <v/>
      </c>
      <c r="U538" s="22" t="n">
        <v>1.3</v>
      </c>
    </row>
    <row r="539">
      <c r="A539" s="89" t="inlineStr">
        <is>
          <t>3108XXX</t>
        </is>
      </c>
      <c r="B539" s="248" t="inlineStr">
        <is>
          <t>TAVERNITI</t>
        </is>
      </c>
      <c r="C539" s="88" t="n">
        <v>145300</v>
      </c>
      <c r="D539" s="219" t="n"/>
      <c r="E539" s="22" t="n"/>
      <c r="F539" s="22" t="n"/>
      <c r="G539" s="22" t="n"/>
      <c r="H539" s="22" t="n"/>
      <c r="I539" s="22" t="n"/>
      <c r="J539" s="22" t="n"/>
      <c r="K539" s="22" t="n"/>
      <c r="L539" s="88" t="n"/>
      <c r="M539" s="88" t="n"/>
      <c r="P539" s="117" t="n"/>
      <c r="R539" s="117" t="n"/>
      <c r="T539" s="117">
        <f>U539*C539</f>
        <v/>
      </c>
      <c r="U539" s="22" t="n">
        <v>1.3</v>
      </c>
    </row>
    <row r="540">
      <c r="A540" s="89" t="inlineStr">
        <is>
          <t>3110XXX</t>
        </is>
      </c>
      <c r="B540" s="248" t="inlineStr">
        <is>
          <t>TAVERNITI</t>
        </is>
      </c>
      <c r="C540" s="88" t="n">
        <v>95100</v>
      </c>
      <c r="D540" s="88" t="n"/>
      <c r="E540" s="219" t="n"/>
      <c r="F540" s="22" t="n"/>
      <c r="G540" s="22" t="n"/>
      <c r="H540" s="22" t="n"/>
      <c r="I540" s="22" t="n"/>
      <c r="J540" s="22" t="n"/>
      <c r="K540" s="22" t="n"/>
      <c r="L540" s="88" t="n"/>
      <c r="M540" s="88" t="n"/>
      <c r="P540" s="117" t="n"/>
      <c r="R540" s="117" t="n"/>
      <c r="T540" s="117">
        <f>U540*C540</f>
        <v/>
      </c>
      <c r="U540" s="22" t="n">
        <v>1.3</v>
      </c>
    </row>
    <row r="541">
      <c r="A541" s="89" t="inlineStr">
        <is>
          <t>3118XXX</t>
        </is>
      </c>
      <c r="B541" s="248" t="inlineStr">
        <is>
          <t>TAVERNITI</t>
        </is>
      </c>
      <c r="C541" s="88" t="n">
        <v>158400</v>
      </c>
      <c r="D541" s="88" t="n"/>
      <c r="E541" s="219" t="n"/>
      <c r="F541" s="22" t="n"/>
      <c r="G541" s="22" t="n"/>
      <c r="H541" s="22" t="n"/>
      <c r="I541" s="22" t="n"/>
      <c r="J541" s="22" t="n"/>
      <c r="K541" s="22" t="n"/>
      <c r="L541" s="88" t="n"/>
      <c r="M541" s="88" t="n"/>
      <c r="P541" s="117" t="n"/>
      <c r="R541" s="117" t="n"/>
      <c r="T541" s="117">
        <f>U541*C541</f>
        <v/>
      </c>
      <c r="U541" s="22" t="n">
        <v>1.3</v>
      </c>
    </row>
    <row r="542">
      <c r="A542" s="89" t="inlineStr">
        <is>
          <t>3126XXX</t>
        </is>
      </c>
      <c r="B542" s="248" t="inlineStr">
        <is>
          <t>TAVERNITI</t>
        </is>
      </c>
      <c r="C542" s="88" t="n">
        <v>110700</v>
      </c>
      <c r="D542" s="219" t="n"/>
      <c r="E542" s="22" t="n"/>
      <c r="F542" s="22" t="n"/>
      <c r="G542" s="22" t="n"/>
      <c r="H542" s="22" t="n"/>
      <c r="I542" s="22" t="n"/>
      <c r="J542" s="22" t="n"/>
      <c r="K542" s="22" t="n"/>
      <c r="L542" s="88" t="n"/>
      <c r="M542" s="88" t="n"/>
      <c r="P542" s="117" t="n"/>
      <c r="R542" s="117" t="n"/>
      <c r="T542" s="117">
        <f>U542*C542</f>
        <v/>
      </c>
      <c r="U542" s="22" t="n">
        <v>1.3</v>
      </c>
    </row>
    <row r="543">
      <c r="A543" s="89" t="inlineStr">
        <is>
          <t>3138XXX</t>
        </is>
      </c>
      <c r="B543" s="248" t="inlineStr">
        <is>
          <t>TAVERNITI</t>
        </is>
      </c>
      <c r="C543" s="88" t="n">
        <v>104700</v>
      </c>
      <c r="D543" s="219" t="n"/>
      <c r="E543" s="22" t="n"/>
      <c r="F543" s="22" t="n"/>
      <c r="G543" s="22" t="n"/>
      <c r="H543" s="22" t="n"/>
      <c r="I543" s="22" t="n"/>
      <c r="J543" s="22" t="n"/>
      <c r="K543" s="22" t="n"/>
      <c r="L543" s="88" t="n"/>
      <c r="M543" s="88" t="n"/>
      <c r="P543" s="117" t="n"/>
      <c r="R543" s="117" t="n"/>
      <c r="T543" s="117">
        <f>U543*C543</f>
        <v/>
      </c>
      <c r="U543" s="22" t="n">
        <v>1.3</v>
      </c>
    </row>
    <row r="544">
      <c r="A544" s="89" t="inlineStr">
        <is>
          <t>3142XXX</t>
        </is>
      </c>
      <c r="B544" s="118" t="inlineStr">
        <is>
          <t>TAVERNITI</t>
        </is>
      </c>
      <c r="C544" s="88" t="n">
        <v>143000</v>
      </c>
      <c r="D544" s="219" t="n"/>
      <c r="E544" s="22" t="n"/>
      <c r="F544" s="22" t="n"/>
      <c r="G544" s="22" t="n"/>
      <c r="H544" s="22" t="n"/>
      <c r="I544" s="22" t="n"/>
      <c r="J544" s="22" t="n"/>
      <c r="K544" s="22" t="n"/>
      <c r="L544" s="88" t="n"/>
      <c r="M544" s="88" t="n"/>
      <c r="P544" s="117" t="n"/>
      <c r="R544" s="117" t="n"/>
      <c r="T544" s="117">
        <f>U544*C544</f>
        <v/>
      </c>
      <c r="U544" s="22" t="n">
        <v>1.3</v>
      </c>
    </row>
    <row r="545">
      <c r="A545" s="89" t="inlineStr">
        <is>
          <t>3150XXX</t>
        </is>
      </c>
      <c r="B545" s="248" t="inlineStr">
        <is>
          <t>TAVERNITI SOFTSHELL</t>
        </is>
      </c>
      <c r="C545" s="88" t="n">
        <v>131500</v>
      </c>
      <c r="D545" s="219" t="n"/>
      <c r="E545" s="22" t="n"/>
      <c r="F545" s="22" t="n"/>
      <c r="G545" s="22" t="n"/>
      <c r="H545" s="22" t="n"/>
      <c r="I545" s="22" t="n"/>
      <c r="J545" s="22" t="n"/>
      <c r="K545" s="22" t="n"/>
      <c r="L545" s="88" t="n"/>
      <c r="M545" s="88" t="n"/>
      <c r="P545" s="117" t="n"/>
      <c r="R545" s="117" t="n"/>
      <c r="T545" s="117">
        <f>U545*C545</f>
        <v/>
      </c>
      <c r="U545" s="22" t="n">
        <v>1.3</v>
      </c>
    </row>
    <row r="546">
      <c r="A546" s="89" t="inlineStr">
        <is>
          <t>3166XXX</t>
        </is>
      </c>
      <c r="B546" s="248" t="inlineStr">
        <is>
          <t>TAVERNITI</t>
        </is>
      </c>
      <c r="C546" s="88" t="n">
        <v>164700</v>
      </c>
      <c r="D546" s="219" t="n"/>
      <c r="E546" s="22" t="n"/>
      <c r="F546" s="22" t="n"/>
      <c r="G546" s="22" t="n"/>
      <c r="H546" s="22" t="n"/>
      <c r="I546" s="22" t="n"/>
      <c r="J546" s="22" t="n"/>
      <c r="K546" s="22" t="n"/>
      <c r="L546" s="88" t="n"/>
      <c r="M546" s="88" t="n"/>
      <c r="P546" s="117" t="n"/>
      <c r="R546" s="117" t="n"/>
      <c r="T546" s="117">
        <f>U546*C546</f>
        <v/>
      </c>
      <c r="U546" s="22" t="n">
        <v>1.3</v>
      </c>
    </row>
    <row r="547">
      <c r="A547" s="89" t="inlineStr">
        <is>
          <t>3170XXX</t>
        </is>
      </c>
      <c r="B547" s="188" t="inlineStr">
        <is>
          <t>TAVERNITI</t>
        </is>
      </c>
      <c r="C547" s="88" t="n">
        <v>105900</v>
      </c>
      <c r="D547" s="219" t="n"/>
      <c r="E547" s="22" t="n"/>
      <c r="F547" s="22" t="n"/>
      <c r="G547" s="22" t="n"/>
      <c r="H547" s="22" t="n"/>
      <c r="I547" s="22" t="n"/>
      <c r="J547" s="22" t="n"/>
      <c r="K547" s="22" t="n"/>
      <c r="L547" s="88" t="n"/>
      <c r="M547" s="88" t="n"/>
      <c r="P547" s="117" t="n"/>
      <c r="R547" s="117" t="n"/>
      <c r="T547" s="117">
        <f>U547*C547</f>
        <v/>
      </c>
      <c r="U547" s="22" t="n">
        <v>1.3</v>
      </c>
    </row>
    <row r="548">
      <c r="A548" s="89" t="inlineStr">
        <is>
          <t>3172XXX</t>
        </is>
      </c>
      <c r="B548" s="248" t="inlineStr">
        <is>
          <t>TAVERNITI</t>
        </is>
      </c>
      <c r="C548" s="88" t="n">
        <v>115200</v>
      </c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88" t="n"/>
      <c r="M548" s="88" t="n"/>
      <c r="P548" s="117" t="n"/>
      <c r="R548" s="117" t="n"/>
      <c r="T548" s="117">
        <f>U548*C548</f>
        <v/>
      </c>
      <c r="U548" s="22" t="n">
        <v>1.3</v>
      </c>
    </row>
    <row r="549">
      <c r="A549" s="89" t="inlineStr">
        <is>
          <t>3176XXX</t>
        </is>
      </c>
      <c r="B549" s="248" t="inlineStr">
        <is>
          <t xml:space="preserve">TAVERNITI </t>
        </is>
      </c>
      <c r="C549" s="88" t="n">
        <v>154200</v>
      </c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88" t="n"/>
      <c r="M549" s="88" t="n"/>
      <c r="P549" s="117" t="n"/>
      <c r="R549" s="117" t="n"/>
      <c r="T549" s="117">
        <f>U549*C549</f>
        <v/>
      </c>
      <c r="U549" s="22" t="n">
        <v>1.3</v>
      </c>
    </row>
    <row r="550">
      <c r="A550" s="89" t="inlineStr">
        <is>
          <t>3182XXX</t>
        </is>
      </c>
      <c r="B550" s="248" t="inlineStr">
        <is>
          <t>TAVERNITI</t>
        </is>
      </c>
      <c r="C550" s="88" t="n">
        <v>133200</v>
      </c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88" t="n"/>
      <c r="M550" s="88" t="n"/>
      <c r="P550" s="117" t="n"/>
      <c r="R550" s="117" t="n"/>
      <c r="T550" s="117">
        <f>U550*C550</f>
        <v/>
      </c>
      <c r="U550" s="22" t="n">
        <v>1.3</v>
      </c>
    </row>
    <row r="551">
      <c r="A551" s="89" t="inlineStr">
        <is>
          <t>3204XXX</t>
        </is>
      </c>
      <c r="B551" s="248" t="inlineStr">
        <is>
          <t>TAVERNITI</t>
        </is>
      </c>
      <c r="C551" s="88" t="n">
        <v>171000</v>
      </c>
      <c r="D551" s="170" t="n"/>
      <c r="E551" s="170" t="n"/>
      <c r="F551" s="170" t="n"/>
      <c r="G551" s="170" t="n"/>
      <c r="H551" s="170" t="n"/>
      <c r="I551" s="170" t="n"/>
      <c r="J551" s="170" t="n"/>
      <c r="K551" s="170" t="n"/>
      <c r="L551" s="170" t="n"/>
      <c r="M551" s="170" t="n"/>
      <c r="N551" s="30" t="n"/>
      <c r="O551" s="30" t="n"/>
      <c r="P551" s="170" t="n"/>
      <c r="Q551" s="30" t="n"/>
      <c r="R551" s="170" t="n"/>
      <c r="S551" s="30" t="n"/>
      <c r="T551" s="150">
        <f>U551*C551</f>
        <v/>
      </c>
      <c r="U551" s="22" t="n">
        <v>1.3</v>
      </c>
      <c r="V551" s="30" t="n"/>
      <c r="W551" s="30" t="n"/>
      <c r="X551" s="30" t="n"/>
      <c r="Y551" s="30" t="n"/>
      <c r="Z551" s="30" t="n"/>
      <c r="AA551" s="30" t="n"/>
      <c r="AB551" s="30" t="n"/>
      <c r="AC551" s="30" t="n"/>
      <c r="AD551" s="30" t="n"/>
      <c r="AE551" s="30" t="n"/>
      <c r="AF551" s="30" t="n"/>
      <c r="AG551" s="30" t="n"/>
      <c r="AH551" s="30" t="n"/>
      <c r="AI551" s="30" t="n"/>
      <c r="AJ551" s="30" t="n"/>
      <c r="AK551" s="30" t="n"/>
      <c r="AL551" s="30" t="n"/>
      <c r="AM551" s="30" t="n"/>
      <c r="AN551" s="30" t="n"/>
      <c r="AO551" s="30" t="n"/>
    </row>
    <row r="552">
      <c r="A552" s="89" t="inlineStr">
        <is>
          <t>3240XXX</t>
        </is>
      </c>
      <c r="B552" s="248" t="inlineStr">
        <is>
          <t>TAVERNITI</t>
        </is>
      </c>
      <c r="C552" s="88" t="n">
        <v>101200</v>
      </c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88" t="n"/>
      <c r="M552" s="88" t="n"/>
      <c r="P552" s="117" t="n"/>
      <c r="R552" s="117" t="n"/>
      <c r="T552" s="117">
        <f>U552*C552</f>
        <v/>
      </c>
      <c r="U552" s="22" t="n">
        <v>1.3</v>
      </c>
    </row>
    <row r="553">
      <c r="A553" s="89" t="inlineStr">
        <is>
          <t>3484XXX</t>
        </is>
      </c>
      <c r="B553" s="248" t="inlineStr">
        <is>
          <t>TAVERNITI-</t>
        </is>
      </c>
      <c r="C553" s="88" t="n">
        <v>95300</v>
      </c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88" t="n"/>
      <c r="M553" s="88" t="n"/>
      <c r="P553" s="117" t="n"/>
      <c r="R553" s="117" t="n"/>
      <c r="T553" s="117">
        <f>U553*C553</f>
        <v/>
      </c>
      <c r="U553" s="22" t="n">
        <v>1.3</v>
      </c>
    </row>
    <row r="554">
      <c r="A554" s="89" t="inlineStr">
        <is>
          <t>3530XXX</t>
        </is>
      </c>
      <c r="B554" s="248" t="inlineStr">
        <is>
          <t>TAVERNITI</t>
        </is>
      </c>
      <c r="C554" s="88" t="n">
        <v>74700</v>
      </c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88" t="n"/>
      <c r="M554" s="88" t="n"/>
      <c r="P554" s="117" t="n"/>
      <c r="R554" s="117" t="n"/>
      <c r="T554" s="117">
        <f>U554*C554</f>
        <v/>
      </c>
      <c r="U554" s="22" t="n">
        <v>1.3</v>
      </c>
    </row>
    <row r="555">
      <c r="A555" s="89" t="inlineStr">
        <is>
          <t>3618XXX</t>
        </is>
      </c>
      <c r="B555" s="248" t="inlineStr">
        <is>
          <t>TAVERNITI</t>
        </is>
      </c>
      <c r="C555" s="88" t="n">
        <v>97300</v>
      </c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88" t="n"/>
      <c r="M555" s="88" t="n"/>
      <c r="P555" s="117" t="n"/>
      <c r="R555" s="117" t="n"/>
      <c r="T555" s="117">
        <f>U555*C555</f>
        <v/>
      </c>
      <c r="U555" s="22" t="n">
        <v>1.3</v>
      </c>
    </row>
    <row r="556">
      <c r="A556" s="89" t="inlineStr">
        <is>
          <t>3656XXX</t>
        </is>
      </c>
      <c r="B556" s="248" t="inlineStr">
        <is>
          <t>TAVERNITI</t>
        </is>
      </c>
      <c r="C556" s="88" t="n">
        <v>92200</v>
      </c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88" t="n"/>
      <c r="M556" s="88" t="n"/>
      <c r="P556" s="117" t="n"/>
      <c r="R556" s="117" t="n"/>
      <c r="T556" s="117">
        <f>U556*C556</f>
        <v/>
      </c>
      <c r="U556" s="22" t="n">
        <v>1.3</v>
      </c>
    </row>
    <row r="557">
      <c r="A557" s="89" t="inlineStr">
        <is>
          <t>3658XXX</t>
        </is>
      </c>
      <c r="B557" s="248" t="inlineStr">
        <is>
          <t>TAVERNITI</t>
        </is>
      </c>
      <c r="C557" s="88" t="n">
        <v>92200</v>
      </c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88" t="n"/>
      <c r="M557" s="88" t="n"/>
      <c r="P557" s="117" t="n"/>
      <c r="R557" s="117" t="n"/>
      <c r="T557" s="117">
        <f>U557*C557</f>
        <v/>
      </c>
      <c r="U557" s="22" t="n">
        <v>1.3</v>
      </c>
    </row>
    <row r="558">
      <c r="A558" s="89" t="inlineStr">
        <is>
          <t>3684XXX</t>
        </is>
      </c>
      <c r="B558" s="248" t="inlineStr">
        <is>
          <t>TAVERNITI</t>
        </is>
      </c>
      <c r="C558" s="88" t="n">
        <v>158500</v>
      </c>
      <c r="D558" s="170" t="n"/>
      <c r="E558" s="170" t="n"/>
      <c r="F558" s="170" t="n"/>
      <c r="G558" s="170" t="n"/>
      <c r="H558" s="170" t="n"/>
      <c r="I558" s="170" t="n"/>
      <c r="J558" s="170" t="n"/>
      <c r="K558" s="170" t="n"/>
      <c r="L558" s="170" t="n"/>
      <c r="M558" s="170" t="n"/>
      <c r="N558" s="30" t="n"/>
      <c r="O558" s="30" t="n"/>
      <c r="P558" s="170" t="n"/>
      <c r="Q558" s="30" t="n"/>
      <c r="R558" s="170" t="n"/>
      <c r="S558" s="30" t="n"/>
      <c r="T558" s="150">
        <f>U558*C558</f>
        <v/>
      </c>
      <c r="U558" s="22" t="n">
        <v>1.3</v>
      </c>
      <c r="V558" s="30" t="n"/>
      <c r="W558" s="30" t="n"/>
      <c r="X558" s="30" t="n"/>
      <c r="Y558" s="30" t="n"/>
      <c r="Z558" s="30" t="n"/>
      <c r="AA558" s="30" t="n"/>
      <c r="AB558" s="30" t="n"/>
      <c r="AC558" s="30" t="n"/>
      <c r="AD558" s="30" t="n"/>
      <c r="AE558" s="30" t="n"/>
      <c r="AF558" s="30" t="n"/>
      <c r="AG558" s="30" t="n"/>
      <c r="AH558" s="30" t="n"/>
      <c r="AI558" s="30" t="n"/>
      <c r="AJ558" s="30" t="n"/>
      <c r="AK558" s="30" t="n"/>
      <c r="AL558" s="30" t="n"/>
      <c r="AM558" s="30" t="n"/>
      <c r="AN558" s="30" t="n"/>
      <c r="AO558" s="30" t="n"/>
    </row>
    <row r="559">
      <c r="A559" s="89" t="inlineStr">
        <is>
          <t>3686XXX</t>
        </is>
      </c>
      <c r="B559" s="248" t="inlineStr">
        <is>
          <t>TAVERNITI</t>
        </is>
      </c>
      <c r="C559" s="88" t="n">
        <v>122000</v>
      </c>
      <c r="D559" s="170" t="n"/>
      <c r="E559" s="170" t="n"/>
      <c r="F559" s="170" t="n"/>
      <c r="G559" s="170" t="n"/>
      <c r="H559" s="170" t="n"/>
      <c r="I559" s="170" t="n"/>
      <c r="J559" s="170" t="n"/>
      <c r="K559" s="170" t="n"/>
      <c r="L559" s="170" t="n"/>
      <c r="M559" s="170" t="n"/>
      <c r="N559" s="30" t="n"/>
      <c r="O559" s="30" t="n"/>
      <c r="P559" s="170" t="n"/>
      <c r="Q559" s="30" t="n"/>
      <c r="R559" s="170" t="n"/>
      <c r="S559" s="30" t="n"/>
      <c r="T559" s="150">
        <f>U559*C559</f>
        <v/>
      </c>
      <c r="U559" s="22" t="n">
        <v>1.3</v>
      </c>
      <c r="V559" s="30" t="n"/>
      <c r="W559" s="30" t="n"/>
      <c r="X559" s="30" t="n"/>
      <c r="Y559" s="30" t="n"/>
      <c r="Z559" s="30" t="n"/>
      <c r="AA559" s="30" t="n"/>
      <c r="AB559" s="30" t="n"/>
      <c r="AC559" s="30" t="n"/>
      <c r="AD559" s="30" t="n"/>
      <c r="AE559" s="30" t="n"/>
      <c r="AF559" s="30" t="n"/>
      <c r="AG559" s="30" t="n"/>
      <c r="AH559" s="30" t="n"/>
      <c r="AI559" s="30" t="n"/>
      <c r="AJ559" s="30" t="n"/>
      <c r="AK559" s="30" t="n"/>
      <c r="AL559" s="30" t="n"/>
      <c r="AM559" s="30" t="n"/>
      <c r="AN559" s="30" t="n"/>
      <c r="AO559" s="30" t="n"/>
    </row>
    <row r="560">
      <c r="A560" s="89" t="inlineStr">
        <is>
          <t>37006XX</t>
        </is>
      </c>
      <c r="B560" s="248" t="inlineStr">
        <is>
          <t>TAVERNITI</t>
        </is>
      </c>
      <c r="C560" s="88" t="n">
        <v>122000</v>
      </c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88" t="n"/>
      <c r="M560" s="88" t="n"/>
      <c r="P560" s="117" t="n"/>
      <c r="R560" s="117" t="n"/>
      <c r="T560" s="117">
        <f>U560*C560</f>
        <v/>
      </c>
      <c r="U560" s="22" t="n">
        <v>1.3</v>
      </c>
    </row>
    <row r="561">
      <c r="A561" s="89" t="inlineStr">
        <is>
          <t>3702XXX</t>
        </is>
      </c>
      <c r="B561" s="248" t="inlineStr">
        <is>
          <t>TAVERNITI</t>
        </is>
      </c>
      <c r="C561" s="88" t="n">
        <v>109500</v>
      </c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88" t="n"/>
      <c r="M561" s="88" t="n"/>
      <c r="P561" s="117" t="n"/>
      <c r="R561" s="117" t="n"/>
      <c r="T561" s="117">
        <f>U561*C561</f>
        <v/>
      </c>
      <c r="U561" s="22" t="n">
        <v>1.3</v>
      </c>
    </row>
    <row r="562">
      <c r="A562" s="89" t="inlineStr">
        <is>
          <t>3706XXX</t>
        </is>
      </c>
      <c r="B562" s="248" t="inlineStr">
        <is>
          <t>TAVERNITI</t>
        </is>
      </c>
      <c r="C562" s="88" t="n">
        <v>103200</v>
      </c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88" t="n"/>
      <c r="M562" s="88" t="n"/>
      <c r="P562" s="117" t="n"/>
      <c r="R562" s="117" t="n"/>
      <c r="T562" s="117">
        <f>U562*C562</f>
        <v/>
      </c>
      <c r="U562" s="22" t="n">
        <v>1.3</v>
      </c>
    </row>
    <row r="563">
      <c r="A563" s="89" t="inlineStr">
        <is>
          <t>3758XXX</t>
        </is>
      </c>
      <c r="B563" s="248" t="inlineStr">
        <is>
          <t>TAVERNITI</t>
        </is>
      </c>
      <c r="C563" s="88" t="n">
        <v>149000</v>
      </c>
      <c r="D563" s="170" t="n"/>
      <c r="E563" s="170" t="n"/>
      <c r="F563" s="170" t="n"/>
      <c r="G563" s="170" t="n"/>
      <c r="H563" s="170" t="n"/>
      <c r="I563" s="170" t="n"/>
      <c r="J563" s="170" t="n"/>
      <c r="K563" s="170" t="n"/>
      <c r="L563" s="170" t="n"/>
      <c r="M563" s="170" t="n"/>
      <c r="N563" s="30" t="n"/>
      <c r="O563" s="30" t="n"/>
      <c r="P563" s="170" t="n"/>
      <c r="Q563" s="30" t="n"/>
      <c r="R563" s="170" t="n"/>
      <c r="S563" s="30" t="n"/>
      <c r="T563" s="150">
        <f>U563*C563</f>
        <v/>
      </c>
      <c r="U563" s="22" t="n">
        <v>1.29999999999999</v>
      </c>
      <c r="V563" s="30" t="n"/>
      <c r="W563" s="30" t="n"/>
      <c r="X563" s="30" t="n"/>
      <c r="Y563" s="30" t="n"/>
      <c r="Z563" s="30" t="n"/>
      <c r="AA563" s="30" t="n"/>
      <c r="AB563" s="30" t="n"/>
      <c r="AC563" s="30" t="n"/>
      <c r="AD563" s="30" t="n"/>
      <c r="AE563" s="30" t="n"/>
      <c r="AF563" s="30" t="n"/>
      <c r="AG563" s="30" t="n"/>
      <c r="AH563" s="30" t="n"/>
      <c r="AI563" s="30" t="n"/>
      <c r="AJ563" s="30" t="n"/>
      <c r="AK563" s="30" t="n"/>
      <c r="AL563" s="30" t="n"/>
      <c r="AM563" s="30" t="n"/>
      <c r="AN563" s="30" t="n"/>
    </row>
    <row r="564">
      <c r="A564" s="89" t="inlineStr">
        <is>
          <t>3760XXX</t>
        </is>
      </c>
      <c r="B564" s="248" t="inlineStr">
        <is>
          <t>TAVERNITI</t>
        </is>
      </c>
      <c r="C564" s="88" t="n">
        <v>132900</v>
      </c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88" t="n"/>
      <c r="M564" s="88" t="n"/>
      <c r="P564" s="117" t="n"/>
      <c r="R564" s="117" t="n"/>
      <c r="T564" s="117">
        <f>U564*C564</f>
        <v/>
      </c>
      <c r="U564" s="22" t="n">
        <v>1.29999999999999</v>
      </c>
    </row>
    <row r="565">
      <c r="A565" s="89" t="inlineStr">
        <is>
          <t>3778XXX</t>
        </is>
      </c>
      <c r="B565" s="248" t="inlineStr">
        <is>
          <t>TAVERNITI</t>
        </is>
      </c>
      <c r="C565" s="88" t="n">
        <v>188300</v>
      </c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88" t="n"/>
      <c r="M565" s="88" t="n"/>
      <c r="P565" s="117" t="n"/>
      <c r="R565" s="117" t="n"/>
      <c r="T565" s="117">
        <f>U565*C565</f>
        <v/>
      </c>
      <c r="U565" s="22" t="n">
        <v>1.29999999999999</v>
      </c>
    </row>
    <row r="566">
      <c r="A566" s="89" t="inlineStr">
        <is>
          <t>3782XXX</t>
        </is>
      </c>
      <c r="B566" s="248" t="inlineStr">
        <is>
          <t>TAVERNITI</t>
        </is>
      </c>
      <c r="C566" s="88" t="n">
        <v>187700</v>
      </c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88" t="n"/>
      <c r="M566" s="88" t="n"/>
      <c r="P566" s="117" t="n"/>
      <c r="R566" s="117" t="n"/>
      <c r="T566" s="117">
        <f>U566*C566</f>
        <v/>
      </c>
      <c r="U566" s="22" t="n">
        <v>1.29999999999999</v>
      </c>
    </row>
    <row r="567">
      <c r="A567" s="89" t="inlineStr">
        <is>
          <t>3798XXX</t>
        </is>
      </c>
      <c r="B567" s="248" t="inlineStr">
        <is>
          <t>TAVERNITI</t>
        </is>
      </c>
      <c r="C567" s="88" t="n">
        <v>134300</v>
      </c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88" t="n"/>
      <c r="M567" s="88" t="n"/>
      <c r="P567" s="117" t="n"/>
      <c r="R567" s="117" t="n"/>
      <c r="T567" s="117">
        <f>U567*C567</f>
        <v/>
      </c>
      <c r="U567" s="22" t="n">
        <v>1.29999999999999</v>
      </c>
    </row>
    <row r="568">
      <c r="A568" s="89" t="inlineStr">
        <is>
          <t>3840XXX</t>
        </is>
      </c>
      <c r="B568" s="248" t="inlineStr">
        <is>
          <t>TAVERNITI</t>
        </is>
      </c>
      <c r="C568" s="88" t="n">
        <v>158700</v>
      </c>
      <c r="D568" s="170" t="n"/>
      <c r="E568" s="170" t="n"/>
      <c r="F568" s="170" t="n"/>
      <c r="G568" s="170" t="n"/>
      <c r="H568" s="170" t="n"/>
      <c r="I568" s="170" t="n"/>
      <c r="J568" s="170" t="n"/>
      <c r="K568" s="170" t="n"/>
      <c r="L568" s="170" t="n"/>
      <c r="M568" s="170" t="n"/>
      <c r="N568" s="30" t="n"/>
      <c r="O568" s="30" t="n"/>
      <c r="P568" s="170" t="n"/>
      <c r="Q568" s="30" t="n"/>
      <c r="R568" s="170" t="n"/>
      <c r="S568" s="30" t="n"/>
      <c r="T568" s="150">
        <f>U568*C568</f>
        <v/>
      </c>
      <c r="U568" s="22" t="n">
        <v>1.29999999999999</v>
      </c>
      <c r="V568" s="30" t="n"/>
      <c r="W568" s="30" t="n"/>
      <c r="X568" s="30" t="n"/>
      <c r="Y568" s="30" t="n"/>
      <c r="Z568" s="30" t="n"/>
      <c r="AA568" s="30" t="n"/>
      <c r="AB568" s="30" t="n"/>
      <c r="AC568" s="30" t="n"/>
      <c r="AD568" s="30" t="n"/>
      <c r="AE568" s="30" t="n"/>
      <c r="AF568" s="30" t="n"/>
      <c r="AG568" s="30" t="n"/>
      <c r="AH568" s="30" t="n"/>
      <c r="AI568" s="30" t="n"/>
      <c r="AJ568" s="30" t="n"/>
      <c r="AK568" s="30" t="n"/>
      <c r="AL568" s="30" t="n"/>
      <c r="AM568" s="30" t="n"/>
      <c r="AN568" s="30" t="n"/>
    </row>
    <row r="569">
      <c r="A569" s="89" t="inlineStr">
        <is>
          <t>3842XXX</t>
        </is>
      </c>
      <c r="B569" s="248" t="inlineStr">
        <is>
          <t>TAVERNITI</t>
        </is>
      </c>
      <c r="C569" s="88" t="n">
        <v>146800</v>
      </c>
      <c r="D569" s="170" t="n"/>
      <c r="E569" s="170" t="n"/>
      <c r="F569" s="170" t="n"/>
      <c r="G569" s="170" t="n"/>
      <c r="H569" s="170" t="n"/>
      <c r="I569" s="170" t="n"/>
      <c r="J569" s="170" t="n"/>
      <c r="K569" s="170" t="n"/>
      <c r="L569" s="170" t="n"/>
      <c r="M569" s="170" t="n"/>
      <c r="N569" s="30" t="n"/>
      <c r="O569" s="30" t="n"/>
      <c r="P569" s="170" t="n"/>
      <c r="Q569" s="30" t="n"/>
      <c r="R569" s="170" t="n"/>
      <c r="S569" s="30" t="n"/>
      <c r="T569" s="150">
        <f>U569*C569</f>
        <v/>
      </c>
      <c r="U569" s="22" t="n">
        <v>1.29999999999999</v>
      </c>
      <c r="V569" s="30" t="n"/>
      <c r="W569" s="30" t="n"/>
      <c r="X569" s="30" t="n"/>
      <c r="Y569" s="30" t="n"/>
      <c r="Z569" s="30" t="n"/>
      <c r="AA569" s="30" t="n"/>
      <c r="AB569" s="30" t="n"/>
      <c r="AC569" s="30" t="n"/>
      <c r="AD569" s="30" t="n"/>
      <c r="AE569" s="30" t="n"/>
      <c r="AF569" s="30" t="n"/>
      <c r="AG569" s="30" t="n"/>
      <c r="AH569" s="30" t="n"/>
      <c r="AI569" s="30" t="n"/>
      <c r="AJ569" s="30" t="n"/>
      <c r="AK569" s="30" t="n"/>
      <c r="AL569" s="30" t="n"/>
      <c r="AM569" s="30" t="n"/>
      <c r="AN569" s="30" t="n"/>
    </row>
    <row r="570">
      <c r="A570" s="89" t="inlineStr">
        <is>
          <t>3846XXX</t>
        </is>
      </c>
      <c r="B570" s="248" t="inlineStr">
        <is>
          <t>TAVERNITI</t>
        </is>
      </c>
      <c r="C570" s="88" t="n">
        <v>137800</v>
      </c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88" t="n"/>
      <c r="M570" s="88" t="n"/>
      <c r="P570" s="117" t="n"/>
      <c r="R570" s="117" t="n"/>
      <c r="T570" s="117">
        <f>U570*C570</f>
        <v/>
      </c>
      <c r="U570" s="22" t="n">
        <v>1.29999999999999</v>
      </c>
    </row>
    <row r="571">
      <c r="A571" s="89" t="inlineStr">
        <is>
          <t>3850XXX</t>
        </is>
      </c>
      <c r="B571" s="248" t="inlineStr">
        <is>
          <t>TAVERNITI</t>
        </is>
      </c>
      <c r="C571" s="88" t="n">
        <v>157200</v>
      </c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88" t="n"/>
      <c r="M571" s="88" t="n"/>
      <c r="P571" s="117" t="n"/>
      <c r="R571" s="117" t="n"/>
      <c r="T571" s="117">
        <f>U571*C571</f>
        <v/>
      </c>
      <c r="U571" s="22" t="n">
        <v>1.29999999999999</v>
      </c>
    </row>
    <row r="572">
      <c r="A572" s="89" t="inlineStr">
        <is>
          <t>3852XXX</t>
        </is>
      </c>
      <c r="B572" s="248" t="inlineStr">
        <is>
          <t>TAVERNITI</t>
        </is>
      </c>
      <c r="C572" s="88" t="n">
        <v>154400</v>
      </c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88" t="n"/>
      <c r="M572" s="88" t="n"/>
      <c r="P572" s="117" t="n"/>
      <c r="R572" s="117" t="n"/>
      <c r="T572" s="117">
        <f>U572*C572</f>
        <v/>
      </c>
      <c r="U572" s="22" t="n">
        <v>1.29999999999999</v>
      </c>
    </row>
    <row r="573">
      <c r="A573" s="89" t="inlineStr">
        <is>
          <t>3864XXX</t>
        </is>
      </c>
      <c r="B573" s="248" t="inlineStr">
        <is>
          <t>TAVERNITI</t>
        </is>
      </c>
      <c r="C573" s="88" t="n">
        <v>140900</v>
      </c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88" t="n"/>
      <c r="M573" s="88" t="n"/>
      <c r="P573" s="117" t="n"/>
      <c r="R573" s="117" t="n"/>
      <c r="T573" s="117">
        <f>U573*C573</f>
        <v/>
      </c>
      <c r="U573" s="22" t="n">
        <v>1.29999999999999</v>
      </c>
    </row>
    <row r="574">
      <c r="A574" s="89" t="inlineStr">
        <is>
          <t>3866XXX</t>
        </is>
      </c>
      <c r="B574" s="248" t="inlineStr">
        <is>
          <t>TAVERNITI</t>
        </is>
      </c>
      <c r="C574" s="88" t="n">
        <v>135800</v>
      </c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88" t="n"/>
      <c r="M574" s="88" t="n"/>
      <c r="P574" s="117" t="n"/>
      <c r="R574" s="117" t="n"/>
      <c r="T574" s="117">
        <f>U574*C574</f>
        <v/>
      </c>
      <c r="U574" s="22" t="n">
        <v>1.29999999999999</v>
      </c>
    </row>
    <row r="575">
      <c r="A575" s="89" t="inlineStr">
        <is>
          <t>3986XXX</t>
        </is>
      </c>
      <c r="B575" s="248" t="inlineStr">
        <is>
          <t>TAVERNITI</t>
        </is>
      </c>
      <c r="C575" s="88" t="n">
        <v>175500</v>
      </c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88" t="n"/>
      <c r="M575" s="88" t="n"/>
      <c r="P575" s="117" t="n"/>
      <c r="R575" s="117" t="n"/>
      <c r="T575" s="117">
        <f>U575*C575</f>
        <v/>
      </c>
      <c r="U575" s="22" t="n">
        <v>1.29999999999999</v>
      </c>
    </row>
    <row r="576">
      <c r="A576" s="89" t="inlineStr">
        <is>
          <t>05370XXX</t>
        </is>
      </c>
      <c r="B576" s="248" t="inlineStr">
        <is>
          <t>TAVERNITI</t>
        </is>
      </c>
      <c r="C576" s="88" t="n">
        <v>109800</v>
      </c>
      <c r="D576" s="170" t="n"/>
      <c r="E576" s="170" t="n"/>
      <c r="F576" s="170" t="n"/>
      <c r="G576" s="170" t="n"/>
      <c r="H576" s="170" t="n"/>
      <c r="I576" s="170" t="n"/>
      <c r="J576" s="170" t="n"/>
      <c r="K576" s="170" t="n"/>
      <c r="L576" s="170" t="n"/>
      <c r="M576" s="170" t="n"/>
      <c r="N576" s="30" t="n"/>
      <c r="O576" s="30" t="n"/>
      <c r="P576" s="170" t="n"/>
      <c r="Q576" s="30" t="n"/>
      <c r="R576" s="170" t="n"/>
      <c r="S576" s="30" t="n"/>
      <c r="T576" s="150">
        <f>U576*C576</f>
        <v/>
      </c>
      <c r="U576" s="22" t="n">
        <v>1.29999999999999</v>
      </c>
      <c r="V576" s="30" t="n"/>
      <c r="W576" s="30" t="n"/>
      <c r="X576" s="30" t="n"/>
      <c r="Y576" s="30" t="n"/>
      <c r="Z576" s="30" t="n"/>
      <c r="AA576" s="30" t="n"/>
      <c r="AB576" s="30" t="n"/>
      <c r="AC576" s="30" t="n"/>
      <c r="AD576" s="30" t="n"/>
      <c r="AE576" s="30" t="n"/>
      <c r="AF576" s="30" t="n"/>
      <c r="AG576" s="30" t="n"/>
      <c r="AH576" s="30" t="n"/>
      <c r="AI576" s="30" t="n"/>
      <c r="AJ576" s="30" t="n"/>
      <c r="AK576" s="30" t="n"/>
      <c r="AL576" s="30" t="n"/>
      <c r="AM576" s="30" t="n"/>
      <c r="AN576" s="30" t="n"/>
      <c r="AO576" s="30" t="n"/>
    </row>
    <row r="577">
      <c r="A577" s="89" t="inlineStr">
        <is>
          <t>10972XXX</t>
        </is>
      </c>
      <c r="B577" s="248" t="inlineStr">
        <is>
          <t>TAVERNITI</t>
        </is>
      </c>
      <c r="C577" s="88" t="n">
        <v>210600</v>
      </c>
      <c r="D577" s="170" t="n"/>
      <c r="E577" s="170" t="n"/>
      <c r="F577" s="170" t="n"/>
      <c r="G577" s="170" t="n"/>
      <c r="H577" s="170" t="n"/>
      <c r="I577" s="170" t="n"/>
      <c r="J577" s="170" t="n"/>
      <c r="K577" s="170" t="n"/>
      <c r="L577" s="170" t="n"/>
      <c r="M577" s="170" t="n"/>
      <c r="N577" s="30" t="n"/>
      <c r="O577" s="30" t="n"/>
      <c r="P577" s="170" t="n"/>
      <c r="Q577" s="30" t="n"/>
      <c r="R577" s="170" t="n"/>
      <c r="S577" s="30" t="n"/>
      <c r="T577" s="150">
        <f>U577*C577</f>
        <v/>
      </c>
      <c r="U577" s="22" t="n">
        <v>1.29999999999999</v>
      </c>
      <c r="V577" s="30" t="n"/>
      <c r="W577" s="30" t="n"/>
      <c r="X577" s="30" t="n"/>
      <c r="Y577" s="30" t="n"/>
      <c r="Z577" s="30" t="n"/>
      <c r="AA577" s="30" t="n"/>
      <c r="AB577" s="30" t="n"/>
      <c r="AC577" s="30" t="n"/>
      <c r="AD577" s="30" t="n"/>
      <c r="AE577" s="30" t="n"/>
      <c r="AF577" s="30" t="n"/>
      <c r="AG577" s="30" t="n"/>
      <c r="AH577" s="30" t="n"/>
      <c r="AI577" s="30" t="n"/>
      <c r="AJ577" s="30" t="n"/>
      <c r="AK577" s="30" t="n"/>
      <c r="AL577" s="30" t="n"/>
      <c r="AM577" s="30" t="n"/>
      <c r="AN577" s="30" t="n"/>
      <c r="AO577" s="30" t="n"/>
    </row>
    <row r="578">
      <c r="A578" s="89" t="inlineStr">
        <is>
          <t>20926XXX</t>
        </is>
      </c>
      <c r="B578" s="248" t="inlineStr">
        <is>
          <t>TAVERNITI</t>
        </is>
      </c>
      <c r="C578" s="88" t="n">
        <v>124000</v>
      </c>
      <c r="D578" s="170" t="n"/>
      <c r="E578" s="170" t="n"/>
      <c r="F578" s="170" t="n"/>
      <c r="G578" s="170" t="n"/>
      <c r="H578" s="170" t="n"/>
      <c r="I578" s="170" t="n"/>
      <c r="J578" s="170" t="n"/>
      <c r="K578" s="170" t="n"/>
      <c r="L578" s="170" t="n"/>
      <c r="M578" s="170" t="n"/>
      <c r="N578" s="30" t="n"/>
      <c r="O578" s="30" t="n"/>
      <c r="P578" s="170" t="n"/>
      <c r="Q578" s="30" t="n"/>
      <c r="R578" s="170" t="n"/>
      <c r="S578" s="30" t="n"/>
      <c r="T578" s="150">
        <f>U578*C578</f>
        <v/>
      </c>
      <c r="U578" s="22" t="n">
        <v>1.29999999999999</v>
      </c>
      <c r="V578" s="30" t="n"/>
      <c r="W578" s="30" t="n"/>
      <c r="X578" s="30" t="n"/>
      <c r="Y578" s="30" t="n"/>
      <c r="Z578" s="30" t="n"/>
      <c r="AA578" s="30" t="n"/>
      <c r="AB578" s="30" t="n"/>
      <c r="AC578" s="30" t="n"/>
      <c r="AD578" s="30" t="n"/>
      <c r="AE578" s="30" t="n"/>
      <c r="AF578" s="30" t="n"/>
      <c r="AG578" s="30" t="n"/>
      <c r="AH578" s="30" t="n"/>
      <c r="AI578" s="30" t="n"/>
      <c r="AJ578" s="30" t="n"/>
      <c r="AK578" s="30" t="n"/>
      <c r="AL578" s="30" t="n"/>
      <c r="AM578" s="30" t="n"/>
      <c r="AN578" s="30" t="n"/>
      <c r="AO578" s="30" t="n"/>
    </row>
    <row r="579">
      <c r="A579" s="89" t="inlineStr">
        <is>
          <t>20930XXX</t>
        </is>
      </c>
      <c r="B579" s="248" t="inlineStr">
        <is>
          <t>TAVERNITI</t>
        </is>
      </c>
      <c r="C579" s="88" t="n">
        <v>124000</v>
      </c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88" t="n"/>
      <c r="M579" s="88" t="n"/>
      <c r="P579" s="117" t="n"/>
      <c r="R579" s="117" t="n"/>
      <c r="T579" s="117">
        <f>U579*C579</f>
        <v/>
      </c>
      <c r="U579" s="22" t="n">
        <v>1.29999999999999</v>
      </c>
    </row>
    <row r="580">
      <c r="A580" s="89" t="inlineStr">
        <is>
          <t>4128</t>
        </is>
      </c>
      <c r="B580" s="248" t="inlineStr">
        <is>
          <t>TAVERNITI-MONTGOMERY</t>
        </is>
      </c>
      <c r="C580" s="88" t="n">
        <v>122500</v>
      </c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88" t="n"/>
      <c r="M580" s="88" t="n"/>
      <c r="P580" s="117" t="n"/>
      <c r="R580" s="117" t="n"/>
      <c r="T580" s="117">
        <f>U580*C580</f>
        <v/>
      </c>
      <c r="U580" s="22" t="n">
        <v>1.29999999999999</v>
      </c>
    </row>
    <row r="581">
      <c r="A581" s="89" t="inlineStr">
        <is>
          <t>4130</t>
        </is>
      </c>
      <c r="B581" s="248" t="inlineStr">
        <is>
          <t>TAVERNITI-MONTGOMERY</t>
        </is>
      </c>
      <c r="C581" s="88" t="n">
        <v>122500</v>
      </c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88" t="n"/>
      <c r="M581" s="88" t="n"/>
      <c r="P581" s="117" t="n"/>
      <c r="R581" s="117" t="n"/>
      <c r="T581" s="117">
        <f>U581*C581</f>
        <v/>
      </c>
      <c r="U581" s="22" t="n">
        <v>1.29999999999999</v>
      </c>
    </row>
    <row r="582">
      <c r="A582" s="89" t="inlineStr">
        <is>
          <t>4385</t>
        </is>
      </c>
      <c r="B582" s="248" t="inlineStr">
        <is>
          <t>TAVERNITI-</t>
        </is>
      </c>
      <c r="C582" s="88" t="n">
        <v>70600</v>
      </c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88" t="n"/>
      <c r="M582" s="88" t="n"/>
      <c r="P582" s="117" t="n"/>
      <c r="R582" s="117" t="n"/>
      <c r="T582" s="117">
        <f>U582*C582</f>
        <v/>
      </c>
      <c r="U582" s="22" t="n">
        <v>1.29999999999999</v>
      </c>
    </row>
    <row r="583">
      <c r="A583" s="89" t="inlineStr">
        <is>
          <t>7294607</t>
        </is>
      </c>
      <c r="B583" s="248" t="inlineStr">
        <is>
          <t>TAVERNITI CAMPERA</t>
        </is>
      </c>
      <c r="C583" s="88" t="n">
        <v>64200</v>
      </c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88" t="n"/>
      <c r="M583" s="88" t="n"/>
      <c r="P583" s="117" t="n"/>
      <c r="R583" s="117" t="n"/>
      <c r="T583" s="117">
        <f>U583*C583</f>
        <v/>
      </c>
      <c r="U583" s="22" t="n">
        <v>1.29999999999999</v>
      </c>
    </row>
    <row r="584">
      <c r="A584" s="89" t="inlineStr">
        <is>
          <t>7294934</t>
        </is>
      </c>
      <c r="B584" s="248" t="inlineStr">
        <is>
          <t>TAVERNITI CAMPERA</t>
        </is>
      </c>
      <c r="C584" s="88" t="n">
        <v>71800</v>
      </c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88" t="n"/>
      <c r="M584" s="88" t="n"/>
      <c r="P584" s="117" t="n"/>
      <c r="R584" s="117" t="n"/>
      <c r="T584" s="117">
        <f>U584*C584</f>
        <v/>
      </c>
      <c r="U584" s="22" t="n">
        <v>1.29999999999999</v>
      </c>
    </row>
    <row r="585">
      <c r="A585" s="89" t="inlineStr">
        <is>
          <t>7306335</t>
        </is>
      </c>
      <c r="B585" s="248" t="inlineStr">
        <is>
          <t>TAVERNITI CAMPERA</t>
        </is>
      </c>
      <c r="C585" s="88" t="n">
        <v>79500</v>
      </c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88" t="n"/>
      <c r="M585" s="88" t="n"/>
      <c r="P585" s="117" t="n"/>
      <c r="R585" s="117" t="n"/>
      <c r="T585" s="117">
        <f>U585*C585</f>
        <v/>
      </c>
      <c r="U585" s="22" t="n">
        <v>1.29999999999999</v>
      </c>
    </row>
    <row r="586">
      <c r="A586" s="89" t="inlineStr">
        <is>
          <t>8378335</t>
        </is>
      </c>
      <c r="B586" s="248" t="inlineStr">
        <is>
          <t>TAVERNITI CAMPERA</t>
        </is>
      </c>
      <c r="C586" s="88" t="n">
        <v>82300</v>
      </c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88" t="n"/>
      <c r="M586" s="88" t="n"/>
      <c r="P586" s="117" t="n"/>
      <c r="R586" s="117" t="n"/>
      <c r="T586" s="117">
        <f>U586*C586</f>
        <v/>
      </c>
      <c r="U586" s="22" t="n">
        <v>1.29999999999999</v>
      </c>
    </row>
    <row r="587">
      <c r="A587" s="89" t="inlineStr">
        <is>
          <t>31-1030275-0015</t>
        </is>
      </c>
      <c r="B587" s="248" t="inlineStr">
        <is>
          <t>BROAD</t>
        </is>
      </c>
      <c r="C587" s="88" t="n">
        <v>71800</v>
      </c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88" t="n"/>
      <c r="M587" s="88" t="n"/>
      <c r="P587" s="117" t="n"/>
      <c r="R587" s="117" t="n"/>
      <c r="T587" s="117">
        <f>U587*C587</f>
        <v/>
      </c>
      <c r="U587" s="22" t="n">
        <v>1.29999999999999</v>
      </c>
    </row>
    <row r="588">
      <c r="A588" s="89" t="inlineStr">
        <is>
          <t>14611</t>
        </is>
      </c>
      <c r="B588" s="248" t="inlineStr">
        <is>
          <t>CAMP NEOPRENE COLUMBIA</t>
        </is>
      </c>
      <c r="C588" s="88" t="n">
        <v>69000</v>
      </c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88" t="n"/>
      <c r="M588" s="88" t="n"/>
      <c r="P588" s="117" t="n"/>
      <c r="R588" s="117" t="n"/>
      <c r="T588" s="117">
        <f>C588*U588</f>
        <v/>
      </c>
      <c r="U588" s="22" t="n">
        <v>1.29999999999999</v>
      </c>
    </row>
    <row r="589">
      <c r="A589" s="89" t="inlineStr">
        <is>
          <t>31-0640337-0021</t>
        </is>
      </c>
      <c r="B589" s="248" t="inlineStr">
        <is>
          <t>BEN</t>
        </is>
      </c>
      <c r="C589" s="88" t="n">
        <v>71800</v>
      </c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88" t="n"/>
      <c r="M589" s="88" t="n"/>
      <c r="P589" s="117" t="n"/>
      <c r="R589" s="117" t="n"/>
      <c r="T589" s="117">
        <f>U589*C589</f>
        <v/>
      </c>
      <c r="U589" s="22" t="n">
        <v>1.29999999999999</v>
      </c>
    </row>
    <row r="590">
      <c r="A590" s="89" t="inlineStr">
        <is>
          <t>3136402670045</t>
        </is>
      </c>
      <c r="B590" s="248" t="inlineStr">
        <is>
          <t>PARKER JACKET</t>
        </is>
      </c>
      <c r="C590" s="88" t="n">
        <v>109800</v>
      </c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88" t="n"/>
      <c r="M590" s="88" t="n"/>
      <c r="P590" s="117" t="n"/>
      <c r="R590" s="117" t="n"/>
      <c r="T590" s="117">
        <f>U590*C590</f>
        <v/>
      </c>
      <c r="U590" s="22" t="n">
        <v>1.29999999999999</v>
      </c>
    </row>
    <row r="591">
      <c r="A591" s="89" t="inlineStr">
        <is>
          <t>68-5100553-9212</t>
        </is>
      </c>
      <c r="B591" s="248" t="inlineStr">
        <is>
          <t>FUS MILLER</t>
        </is>
      </c>
      <c r="C591" s="88" t="n">
        <v>109800</v>
      </c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88" t="n"/>
      <c r="M591" s="88" t="n"/>
      <c r="P591" s="117" t="n"/>
      <c r="R591" s="117" t="n"/>
      <c r="T591" s="117">
        <f>U591*C591</f>
        <v/>
      </c>
      <c r="U591" s="22" t="n">
        <v>1.29999999999999</v>
      </c>
    </row>
    <row r="592">
      <c r="A592" s="89" t="inlineStr">
        <is>
          <t>68-6130641-9215</t>
        </is>
      </c>
      <c r="B592" s="248" t="inlineStr">
        <is>
          <t>FUS USA</t>
        </is>
      </c>
      <c r="C592" s="88" t="n">
        <v>109800</v>
      </c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88" t="n"/>
      <c r="M592" s="88" t="n"/>
      <c r="P592" s="117" t="n"/>
      <c r="R592" s="117" t="n"/>
      <c r="T592" s="117">
        <f>U592*C592</f>
        <v/>
      </c>
      <c r="U592" s="22" t="n">
        <v>1.29999999999999</v>
      </c>
    </row>
    <row r="593">
      <c r="A593" s="89" t="inlineStr">
        <is>
          <t>68-60641-9215</t>
        </is>
      </c>
      <c r="B593" s="248" t="inlineStr">
        <is>
          <t>NEWTON JACKET</t>
        </is>
      </c>
      <c r="C593" s="88" t="n">
        <v>109800</v>
      </c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88" t="n"/>
      <c r="M593" s="88" t="n"/>
      <c r="P593" s="117" t="n"/>
      <c r="R593" s="117" t="n"/>
      <c r="T593" s="117">
        <f>U593*C593</f>
        <v/>
      </c>
      <c r="U593" s="22" t="n">
        <v>1.29999999999999</v>
      </c>
    </row>
    <row r="594">
      <c r="A594" s="89" t="inlineStr">
        <is>
          <t>68-60641-9205</t>
        </is>
      </c>
      <c r="B594" s="248" t="inlineStr">
        <is>
          <t>FUS NEWTON</t>
        </is>
      </c>
      <c r="C594" s="88" t="n">
        <v>133200</v>
      </c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88" t="n"/>
      <c r="M594" s="88" t="n"/>
      <c r="P594" s="117" t="n"/>
      <c r="R594" s="117" t="n"/>
      <c r="T594" s="117">
        <f>U594*C594</f>
        <v/>
      </c>
      <c r="U594" s="22" t="n">
        <v>1.29999999999999</v>
      </c>
    </row>
    <row r="595">
      <c r="A595" s="89" t="inlineStr">
        <is>
          <t>68-8000697-0015</t>
        </is>
      </c>
      <c r="B595" s="248" t="inlineStr">
        <is>
          <t>FUS JACKET REDWOOD</t>
        </is>
      </c>
      <c r="C595" s="88" t="n">
        <v>88100</v>
      </c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88" t="n"/>
      <c r="M595" s="88" t="n"/>
      <c r="P595" s="117" t="n"/>
      <c r="R595" s="117" t="n"/>
      <c r="T595" s="117">
        <f>U595*C595</f>
        <v/>
      </c>
      <c r="U595" s="22" t="n">
        <v>1.29999999999999</v>
      </c>
    </row>
    <row r="596">
      <c r="A596" s="89" t="inlineStr">
        <is>
          <t>68-9000674-0032</t>
        </is>
      </c>
      <c r="B596" s="248" t="inlineStr">
        <is>
          <t>FUS</t>
        </is>
      </c>
      <c r="C596" s="88" t="n">
        <v>133300</v>
      </c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88" t="n"/>
      <c r="M596" s="88" t="n"/>
      <c r="P596" s="117" t="n"/>
      <c r="R596" s="117" t="n"/>
      <c r="T596" s="117">
        <f>U596*C596</f>
        <v/>
      </c>
      <c r="U596" s="22" t="n">
        <v>1.29999999999999</v>
      </c>
    </row>
    <row r="597">
      <c r="A597" s="89" t="inlineStr">
        <is>
          <t>68-9000679-0015</t>
        </is>
      </c>
      <c r="B597" s="248" t="inlineStr">
        <is>
          <t>BELFAST JACKET</t>
        </is>
      </c>
      <c r="C597" s="88" t="n">
        <v>99900</v>
      </c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88" t="n"/>
      <c r="M597" s="88" t="n"/>
      <c r="P597" s="117" t="n"/>
      <c r="R597" s="117" t="n"/>
      <c r="T597" s="117">
        <f>U597*C597</f>
        <v/>
      </c>
      <c r="U597" s="22" t="n">
        <v>1.29999999999999</v>
      </c>
    </row>
    <row r="598">
      <c r="A598" s="89" t="inlineStr">
        <is>
          <t>68-9010670-0021</t>
        </is>
      </c>
      <c r="B598" s="248" t="inlineStr">
        <is>
          <t>FUS MARK MEN</t>
        </is>
      </c>
      <c r="C598" s="88" t="n">
        <v>90300</v>
      </c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88" t="n"/>
      <c r="M598" s="88" t="n"/>
      <c r="P598" s="117" t="n"/>
      <c r="R598" s="117" t="n"/>
      <c r="T598" s="117">
        <f>U598*C598</f>
        <v/>
      </c>
      <c r="U598" s="22" t="n">
        <v>1.29999999999999</v>
      </c>
    </row>
    <row r="599">
      <c r="A599" s="89" t="inlineStr">
        <is>
          <t>68-0701-0015</t>
        </is>
      </c>
      <c r="B599" s="248" t="inlineStr">
        <is>
          <t>BELFAST JACKET</t>
        </is>
      </c>
      <c r="C599" s="88" t="n">
        <v>116100</v>
      </c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88" t="n"/>
      <c r="M599" s="88" t="n"/>
      <c r="P599" s="117" t="n"/>
      <c r="R599" s="117" t="n"/>
      <c r="T599" s="117">
        <f>U599*C599</f>
        <v/>
      </c>
      <c r="U599" s="22" t="n">
        <v>1.29999999999999</v>
      </c>
    </row>
    <row r="600">
      <c r="A600" s="89" t="inlineStr">
        <is>
          <t>TC201</t>
        </is>
      </c>
      <c r="B600" s="248" t="inlineStr">
        <is>
          <t>POLO CLUB SACO T56</t>
        </is>
      </c>
      <c r="C600" s="88" t="n">
        <v>116100</v>
      </c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88" t="n"/>
      <c r="M600" s="88" t="n"/>
      <c r="P600" s="117" t="n"/>
      <c r="R600" s="117" t="n"/>
      <c r="T600" s="117">
        <f>U600*C600</f>
        <v/>
      </c>
      <c r="U600" s="22" t="n">
        <v>1.29999999999999</v>
      </c>
    </row>
    <row r="601">
      <c r="A601" s="89" t="inlineStr">
        <is>
          <t>STYLE 104</t>
        </is>
      </c>
      <c r="B601" s="248" t="inlineStr">
        <is>
          <t>POLO CLUB BROWN</t>
        </is>
      </c>
      <c r="C601" s="88" t="n">
        <v>116100</v>
      </c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88" t="n"/>
      <c r="M601" s="88" t="n"/>
      <c r="P601" s="117" t="n"/>
      <c r="R601" s="117" t="n"/>
      <c r="T601" s="117">
        <f>U601*C601</f>
        <v/>
      </c>
      <c r="U601" s="22" t="n">
        <v>1.29999999999999</v>
      </c>
    </row>
    <row r="602">
      <c r="A602" s="89" t="inlineStr">
        <is>
          <t>STYLE 106</t>
        </is>
      </c>
      <c r="B602" s="248" t="inlineStr">
        <is>
          <t>POLO CLUB BLACK</t>
        </is>
      </c>
      <c r="C602" s="88" t="n">
        <v>116100</v>
      </c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88" t="n"/>
      <c r="M602" s="88" t="n"/>
      <c r="P602" s="117" t="n"/>
      <c r="R602" s="117" t="n"/>
      <c r="T602" s="117">
        <f>U602*C602</f>
        <v/>
      </c>
      <c r="U602" s="22" t="n">
        <v>1.29999999999999</v>
      </c>
    </row>
    <row r="603">
      <c r="A603" s="89" t="inlineStr">
        <is>
          <t>STYLE 108</t>
        </is>
      </c>
      <c r="B603" s="248" t="inlineStr">
        <is>
          <t>POLO CLUB</t>
        </is>
      </c>
      <c r="C603" s="88" t="n">
        <v>116100</v>
      </c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88" t="n"/>
      <c r="M603" s="88" t="n"/>
      <c r="P603" s="117" t="n"/>
      <c r="R603" s="117" t="n"/>
      <c r="T603" s="117">
        <f>U603*C603</f>
        <v/>
      </c>
      <c r="U603" s="22" t="n">
        <v>1.29999999999999</v>
      </c>
    </row>
    <row r="604">
      <c r="A604" s="89" t="inlineStr">
        <is>
          <t>STYLE 109</t>
        </is>
      </c>
      <c r="B604" s="248" t="inlineStr">
        <is>
          <t>POLO CLUB</t>
        </is>
      </c>
      <c r="C604" s="88" t="n">
        <v>116100</v>
      </c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88" t="n"/>
      <c r="M604" s="88" t="n"/>
      <c r="P604" s="117" t="n"/>
      <c r="R604" s="117" t="n"/>
      <c r="T604" s="117">
        <f>U604*C604</f>
        <v/>
      </c>
      <c r="U604" s="22" t="n">
        <v>1.29999999999999</v>
      </c>
    </row>
    <row r="605">
      <c r="A605" s="89" t="inlineStr">
        <is>
          <t>STYLE 110</t>
        </is>
      </c>
      <c r="B605" s="248" t="inlineStr">
        <is>
          <t>POLO CLUB NAVY</t>
        </is>
      </c>
      <c r="C605" s="88" t="n">
        <v>116100</v>
      </c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88" t="n"/>
      <c r="M605" s="88" t="n"/>
      <c r="P605" s="117" t="n"/>
      <c r="R605" s="117" t="n"/>
      <c r="T605" s="117">
        <f>U605*C605</f>
        <v/>
      </c>
      <c r="U605" s="22" t="n">
        <v>1.29999999999999</v>
      </c>
    </row>
    <row r="606">
      <c r="A606" s="89" t="inlineStr">
        <is>
          <t>STYLE W12631</t>
        </is>
      </c>
      <c r="B606" s="248" t="inlineStr">
        <is>
          <t>POLO CLUB NAVY</t>
        </is>
      </c>
      <c r="C606" s="88" t="n">
        <v>116100</v>
      </c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88" t="n"/>
      <c r="M606" s="88" t="n"/>
      <c r="P606" s="117" t="n"/>
      <c r="R606" s="117" t="n"/>
      <c r="T606" s="117">
        <f>U606*C606</f>
        <v/>
      </c>
      <c r="U606" s="22" t="n">
        <v>1.29999999999999</v>
      </c>
    </row>
    <row r="607">
      <c r="A607" s="89" t="inlineStr">
        <is>
          <t>STYLE XY126</t>
        </is>
      </c>
      <c r="B607" s="248" t="inlineStr">
        <is>
          <t>POLO CLUB NAVY</t>
        </is>
      </c>
      <c r="C607" s="88" t="n">
        <v>116100</v>
      </c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88" t="n"/>
      <c r="M607" s="88" t="n"/>
      <c r="P607" s="117" t="n"/>
      <c r="R607" s="117" t="n"/>
      <c r="T607" s="117">
        <f>U607*C607</f>
        <v/>
      </c>
      <c r="U607" s="22" t="n">
        <v>1.29999999999999</v>
      </c>
    </row>
    <row r="608">
      <c r="A608" s="89" t="inlineStr">
        <is>
          <t>STYLE XY129</t>
        </is>
      </c>
      <c r="B608" s="248" t="inlineStr">
        <is>
          <t>POLO CLUB NAVY</t>
        </is>
      </c>
      <c r="C608" s="88" t="n">
        <v>116100</v>
      </c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88" t="n"/>
      <c r="M608" s="88" t="n"/>
      <c r="P608" s="117" t="n"/>
      <c r="R608" s="117" t="n"/>
      <c r="T608" s="117">
        <f>U608*C608</f>
        <v/>
      </c>
      <c r="U608" s="22" t="n">
        <v>1.29999999999999</v>
      </c>
    </row>
    <row r="609">
      <c r="A609" s="89" t="inlineStr">
        <is>
          <t>STYLE P8190A</t>
        </is>
      </c>
      <c r="B609" s="248" t="inlineStr">
        <is>
          <t>POLO CLUB</t>
        </is>
      </c>
      <c r="C609" s="88" t="n">
        <v>116100</v>
      </c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88" t="n"/>
      <c r="M609" s="88" t="n"/>
      <c r="P609" s="117" t="n"/>
      <c r="R609" s="117" t="n"/>
      <c r="T609" s="117">
        <f>U609*C609</f>
        <v/>
      </c>
      <c r="U609" s="22" t="n">
        <v>1.29999999999999</v>
      </c>
    </row>
    <row r="610">
      <c r="A610" s="89" t="inlineStr">
        <is>
          <t>P80/82</t>
        </is>
      </c>
      <c r="B610" s="248" t="inlineStr">
        <is>
          <t>POLO CLUB PILOTO INGLES</t>
        </is>
      </c>
      <c r="C610" s="88" t="n">
        <v>116100</v>
      </c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88" t="n"/>
      <c r="M610" s="88" t="n"/>
      <c r="P610" s="117" t="n"/>
      <c r="R610" s="117" t="n"/>
      <c r="T610" s="117">
        <f>U610*C610</f>
        <v/>
      </c>
      <c r="U610" s="22" t="n">
        <v>1.29999999999999</v>
      </c>
    </row>
    <row r="611">
      <c r="A611" s="89" t="inlineStr">
        <is>
          <t>STYLE L85</t>
        </is>
      </c>
      <c r="B611" s="248" t="inlineStr">
        <is>
          <t>POLO CLUB</t>
        </is>
      </c>
      <c r="C611" s="88" t="n">
        <v>116100</v>
      </c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88" t="n"/>
      <c r="M611" s="88" t="n"/>
      <c r="P611" s="117" t="n"/>
      <c r="R611" s="117" t="n"/>
      <c r="T611" s="117">
        <f>U611*C611</f>
        <v/>
      </c>
      <c r="U611" s="22" t="n">
        <v>1.29999999999999</v>
      </c>
    </row>
    <row r="612">
      <c r="A612" s="89" t="inlineStr">
        <is>
          <t>W12 614</t>
        </is>
      </c>
      <c r="B612" s="248" t="inlineStr">
        <is>
          <t>POLO CLUB</t>
        </is>
      </c>
      <c r="C612" s="88" t="n">
        <v>116100</v>
      </c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88" t="n"/>
      <c r="M612" s="88" t="n"/>
      <c r="P612" s="117" t="n"/>
      <c r="R612" s="117" t="n"/>
      <c r="T612" s="117">
        <f>U612*C612</f>
        <v/>
      </c>
      <c r="U612" s="22" t="n">
        <v>1.29999999999999</v>
      </c>
    </row>
    <row r="613">
      <c r="A613" s="89" t="inlineStr">
        <is>
          <t>AER107</t>
        </is>
      </c>
      <c r="B613" s="248" t="inlineStr">
        <is>
          <t>AERO MICROFIBRA</t>
        </is>
      </c>
      <c r="C613" s="88" t="n">
        <v>51700</v>
      </c>
      <c r="D613" s="88">
        <f>ROUND((C613*1.06)/100,0)*100</f>
        <v/>
      </c>
      <c r="E613" s="88">
        <f>ROUND((C613*1.15)/100,0)*100</f>
        <v/>
      </c>
      <c r="F613" s="88">
        <f>ROUND((C613*1.23)/100,0)*100</f>
        <v/>
      </c>
      <c r="G613" s="88">
        <f>ROUND((C613*1.29)/100,0)*100</f>
        <v/>
      </c>
      <c r="H613" s="88">
        <f>ROUND((C613*1.35)/100,0)*100</f>
        <v/>
      </c>
      <c r="I613" s="88">
        <f>ROUND((C613*1.39)/100,0)*100</f>
        <v/>
      </c>
      <c r="J613" s="88">
        <f>ROUND((C613*1.43)/100,0)*100</f>
        <v/>
      </c>
      <c r="K613" s="88">
        <f>ROUND((C613*1.48)/100,0)*100</f>
        <v/>
      </c>
      <c r="L613" s="88" t="n"/>
      <c r="M613" s="88" t="n"/>
      <c r="N613" s="88" t="n"/>
      <c r="P613" s="117" t="n"/>
      <c r="R613" s="117" t="n"/>
      <c r="T613" s="117">
        <f>U613*C613</f>
        <v/>
      </c>
      <c r="U613" s="22" t="n">
        <v>1.29999999999999</v>
      </c>
      <c r="V613" s="22" t="n"/>
      <c r="AE613" s="22" t="n"/>
      <c r="AF613" s="22" t="n"/>
      <c r="AG613" s="22" t="n"/>
      <c r="AH613" s="22" t="n"/>
      <c r="AI613" s="22" t="n"/>
      <c r="AJ613" s="22" t="n"/>
      <c r="AK613" s="22" t="n"/>
      <c r="AL613" s="22" t="n"/>
      <c r="AM613" s="22" t="n"/>
      <c r="AN613" s="22" t="n"/>
      <c r="AO613" s="22" t="n"/>
    </row>
    <row r="614">
      <c r="A614" s="89" t="inlineStr">
        <is>
          <t>AER603</t>
        </is>
      </c>
      <c r="B614" s="248" t="inlineStr">
        <is>
          <t>AERO C/FORRO TELA</t>
        </is>
      </c>
      <c r="C614" s="88" t="n">
        <v>51700</v>
      </c>
      <c r="D614" s="88">
        <f>ROUND((C614*1.06)/100,0)*100</f>
        <v/>
      </c>
      <c r="E614" s="88">
        <f>ROUND((C614*1.15)/100,0)*100</f>
        <v/>
      </c>
      <c r="F614" s="88">
        <f>ROUND((C614*1.23)/100,0)*100</f>
        <v/>
      </c>
      <c r="G614" s="88">
        <f>ROUND((C614*1.29)/100,0)*100</f>
        <v/>
      </c>
      <c r="H614" s="88">
        <f>ROUND((C614*1.35)/100,0)*100</f>
        <v/>
      </c>
      <c r="I614" s="88">
        <f>ROUND((C614*1.39)/100,0)*100</f>
        <v/>
      </c>
      <c r="J614" s="88">
        <f>ROUND((C614*1.43)/100,0)*100</f>
        <v/>
      </c>
      <c r="K614" s="88">
        <f>ROUND((C614*1.48)/100,0)*100</f>
        <v/>
      </c>
      <c r="L614" s="88" t="n"/>
      <c r="M614" s="88" t="n"/>
      <c r="N614" s="88" t="n"/>
      <c r="P614" s="117" t="n"/>
      <c r="R614" s="117" t="n"/>
      <c r="T614" s="117">
        <f>U614*C614</f>
        <v/>
      </c>
      <c r="U614" s="22" t="n">
        <v>1.29999999999999</v>
      </c>
      <c r="V614" s="22" t="n"/>
      <c r="AE614" s="22" t="n"/>
      <c r="AF614" s="22" t="n"/>
      <c r="AG614" s="22" t="n"/>
      <c r="AH614" s="22" t="n"/>
      <c r="AI614" s="22" t="n"/>
      <c r="AJ614" s="22" t="n"/>
      <c r="AK614" s="22" t="n"/>
      <c r="AL614" s="22" t="n"/>
      <c r="AM614" s="22" t="n"/>
      <c r="AN614" s="22" t="n"/>
      <c r="AO614" s="22" t="n"/>
    </row>
    <row r="615">
      <c r="A615" s="89" t="inlineStr">
        <is>
          <t>AER702</t>
        </is>
      </c>
      <c r="B615" s="248" t="inlineStr">
        <is>
          <t xml:space="preserve">AERO GABARDINA </t>
        </is>
      </c>
      <c r="C615" s="88" t="n">
        <v>51700</v>
      </c>
      <c r="D615" s="88">
        <f>ROUND((C615*1.06)/100,0)*100</f>
        <v/>
      </c>
      <c r="E615" s="88">
        <f>ROUND((C615*1.15)/100,0)*100</f>
        <v/>
      </c>
      <c r="F615" s="88">
        <f>ROUND((C615*1.23)/100,0)*100</f>
        <v/>
      </c>
      <c r="G615" s="88">
        <f>ROUND((C615*1.29)/100,0)*100</f>
        <v/>
      </c>
      <c r="H615" s="88">
        <f>ROUND((C615*1.35)/100,0)*100</f>
        <v/>
      </c>
      <c r="I615" s="88">
        <f>ROUND((C615*1.39)/100,0)*100</f>
        <v/>
      </c>
      <c r="J615" s="88">
        <f>ROUND((C615*1.43)/100,0)*100</f>
        <v/>
      </c>
      <c r="K615" s="88">
        <f>ROUND((C615*1.48)/100,0)*100</f>
        <v/>
      </c>
      <c r="L615" s="88" t="n"/>
      <c r="M615" s="88" t="n"/>
      <c r="N615" s="88" t="n"/>
      <c r="P615" s="117" t="n"/>
      <c r="R615" s="117" t="n"/>
      <c r="T615" s="117">
        <f>U615*C615</f>
        <v/>
      </c>
      <c r="U615" s="22" t="n">
        <v>1.29999999999999</v>
      </c>
      <c r="V615" s="22" t="n"/>
      <c r="AE615" s="22" t="n"/>
      <c r="AF615" s="22" t="n"/>
      <c r="AG615" s="22" t="n"/>
      <c r="AH615" s="22" t="n"/>
      <c r="AI615" s="22" t="n"/>
      <c r="AJ615" s="22" t="n"/>
      <c r="AK615" s="22" t="n"/>
      <c r="AL615" s="22" t="n"/>
      <c r="AM615" s="22" t="n"/>
      <c r="AN615" s="22" t="n"/>
      <c r="AO615" s="22" t="n"/>
    </row>
    <row r="616">
      <c r="A616" s="89" t="inlineStr">
        <is>
          <t>AER705</t>
        </is>
      </c>
      <c r="B616" s="248" t="inlineStr">
        <is>
          <t>AERO C/POLAR</t>
        </is>
      </c>
      <c r="C616" s="88" t="n">
        <v>51700</v>
      </c>
      <c r="D616" s="88">
        <f>ROUND((C616*1.06)/100,0)*100</f>
        <v/>
      </c>
      <c r="E616" s="88">
        <f>ROUND((C616*1.15)/100,0)*100</f>
        <v/>
      </c>
      <c r="F616" s="88">
        <f>ROUND((C616*1.23)/100,0)*100</f>
        <v/>
      </c>
      <c r="G616" s="88">
        <f>ROUND((C616*1.29)/100,0)*100</f>
        <v/>
      </c>
      <c r="H616" s="88">
        <f>ROUND((C616*1.35)/100,0)*100</f>
        <v/>
      </c>
      <c r="I616" s="88">
        <f>ROUND((C616*1.39)/100,0)*100</f>
        <v/>
      </c>
      <c r="J616" s="88">
        <f>ROUND((C616*1.43)/100,0)*100</f>
        <v/>
      </c>
      <c r="K616" s="88">
        <f>ROUND((C616*1.48)/100,0)*100</f>
        <v/>
      </c>
      <c r="L616" s="88" t="n"/>
      <c r="M616" s="88" t="n"/>
      <c r="N616" s="88" t="n"/>
      <c r="P616" s="117" t="n"/>
      <c r="R616" s="117" t="n"/>
      <c r="T616" s="117">
        <f>U616*C616</f>
        <v/>
      </c>
      <c r="U616" s="22" t="n">
        <v>1.29999999999999</v>
      </c>
      <c r="V616" s="22" t="n"/>
      <c r="AE616" s="22" t="n"/>
      <c r="AF616" s="22" t="n"/>
      <c r="AG616" s="22" t="n"/>
      <c r="AH616" s="22" t="n"/>
      <c r="AI616" s="22" t="n"/>
      <c r="AJ616" s="22" t="n"/>
      <c r="AK616" s="22" t="n"/>
      <c r="AL616" s="22" t="n"/>
      <c r="AM616" s="22" t="n"/>
      <c r="AN616" s="22" t="n"/>
      <c r="AO616" s="22" t="n"/>
    </row>
    <row r="617">
      <c r="A617" s="89" t="inlineStr">
        <is>
          <t>AER707</t>
        </is>
      </c>
      <c r="B617" s="248" t="inlineStr">
        <is>
          <t>AERO MICROFIBRA C/POLAR</t>
        </is>
      </c>
      <c r="C617" s="88" t="n">
        <v>51700</v>
      </c>
      <c r="D617" s="88">
        <f>ROUND((C617*1.06)/100,0)*100</f>
        <v/>
      </c>
      <c r="E617" s="88">
        <f>ROUND((C617*1.15)/100,0)*100</f>
        <v/>
      </c>
      <c r="F617" s="88">
        <f>ROUND((C617*1.23)/100,0)*100</f>
        <v/>
      </c>
      <c r="G617" s="88">
        <f>ROUND((C617*1.29)/100,0)*100</f>
        <v/>
      </c>
      <c r="H617" s="88">
        <f>ROUND((C617*1.35)/100,0)*100</f>
        <v/>
      </c>
      <c r="I617" s="88">
        <f>ROUND((C617*1.39)/100,0)*100</f>
        <v/>
      </c>
      <c r="J617" s="88">
        <f>ROUND((C617*1.43)/100,0)*100</f>
        <v/>
      </c>
      <c r="K617" s="88">
        <f>ROUND((C617*1.48)/100,0)*100</f>
        <v/>
      </c>
      <c r="L617" s="88" t="n"/>
      <c r="M617" s="88" t="n"/>
      <c r="N617" s="88" t="n"/>
      <c r="P617" s="117" t="n"/>
      <c r="R617" s="117" t="n"/>
      <c r="T617" s="117">
        <f>U617*C617</f>
        <v/>
      </c>
      <c r="U617" s="22" t="n">
        <v>1.29999999999999</v>
      </c>
      <c r="V617" s="22" t="n"/>
      <c r="AE617" s="22" t="n"/>
      <c r="AF617" s="22" t="n"/>
      <c r="AG617" s="22" t="n"/>
      <c r="AH617" s="22" t="n"/>
      <c r="AI617" s="22" t="n"/>
      <c r="AJ617" s="22" t="n"/>
      <c r="AK617" s="22" t="n"/>
      <c r="AL617" s="22" t="n"/>
      <c r="AM617" s="22" t="n"/>
      <c r="AN617" s="22" t="n"/>
      <c r="AO617" s="22" t="n"/>
    </row>
    <row r="618">
      <c r="A618" s="89" t="inlineStr">
        <is>
          <t>AER710</t>
        </is>
      </c>
      <c r="B618" s="248" t="inlineStr">
        <is>
          <t>AERO MICROFIBRA C/GUATA</t>
        </is>
      </c>
      <c r="C618" s="88" t="n">
        <v>27000</v>
      </c>
      <c r="D618" s="88">
        <f>ROUND((C618*1.06)/100,0)*100</f>
        <v/>
      </c>
      <c r="E618" s="88">
        <f>ROUND((C618*1.15)/100,0)*100</f>
        <v/>
      </c>
      <c r="F618" s="88">
        <f>ROUND((C618*1.23)/100,0)*100</f>
        <v/>
      </c>
      <c r="G618" s="88">
        <f>ROUND((C618*1.29)/100,0)*100</f>
        <v/>
      </c>
      <c r="H618" s="88">
        <f>ROUND((C618*1.35)/100,0)*100</f>
        <v/>
      </c>
      <c r="I618" s="88">
        <f>ROUND((C618*1.39)/100,0)*100</f>
        <v/>
      </c>
      <c r="J618" s="88">
        <f>ROUND((C618*1.43)/100,0)*100</f>
        <v/>
      </c>
      <c r="K618" s="88">
        <f>ROUND((C618*1.48)/100,0)*100</f>
        <v/>
      </c>
      <c r="L618" s="22" t="n"/>
      <c r="M618" s="88" t="n"/>
      <c r="N618" s="88" t="n"/>
      <c r="P618" s="117" t="n"/>
      <c r="R618" s="117" t="n"/>
      <c r="T618" s="117">
        <f>U618*C618</f>
        <v/>
      </c>
      <c r="U618" s="22" t="n">
        <v>1.29999999999999</v>
      </c>
      <c r="V618" s="22" t="n"/>
      <c r="AE618" s="22" t="n"/>
      <c r="AF618" s="22" t="n"/>
      <c r="AG618" s="22" t="n"/>
      <c r="AH618" s="22" t="n"/>
      <c r="AI618" s="22" t="n"/>
      <c r="AJ618" s="22" t="n"/>
      <c r="AK618" s="22" t="n"/>
      <c r="AL618" s="22" t="n"/>
      <c r="AM618" s="22" t="n"/>
      <c r="AN618" s="22" t="n"/>
      <c r="AO618" s="22" t="n"/>
    </row>
    <row r="619">
      <c r="A619" s="89" t="inlineStr">
        <is>
          <t>AER715</t>
        </is>
      </c>
      <c r="B619" s="248" t="inlineStr">
        <is>
          <t>AERO CAMPERA</t>
        </is>
      </c>
      <c r="C619" s="88" t="n">
        <v>35700</v>
      </c>
      <c r="D619" s="88">
        <f>ROUND((C619*1.06)/100,0)*100</f>
        <v/>
      </c>
      <c r="E619" s="88">
        <f>ROUND((C619*1.15)/100,0)*100</f>
        <v/>
      </c>
      <c r="F619" s="88">
        <f>ROUND((C619*1.23)/100,0)*100</f>
        <v/>
      </c>
      <c r="G619" s="88">
        <f>ROUND((C619*1.29)/100,0)*100</f>
        <v/>
      </c>
      <c r="H619" s="88">
        <f>ROUND((C619*1.35)/100,0)*100</f>
        <v/>
      </c>
      <c r="I619" s="88">
        <f>ROUND((C619*1.39)/100,0)*100</f>
        <v/>
      </c>
      <c r="J619" s="88">
        <f>ROUND((C619*1.43)/100,0)*100</f>
        <v/>
      </c>
      <c r="K619" s="88">
        <f>ROUND((C619*1.48)/100,0)*100</f>
        <v/>
      </c>
      <c r="L619" s="22" t="n"/>
      <c r="M619" s="88" t="n"/>
      <c r="N619" s="88" t="n"/>
      <c r="P619" s="117" t="n"/>
      <c r="R619" s="117" t="n"/>
      <c r="T619" s="117">
        <f>U619*C619</f>
        <v/>
      </c>
      <c r="U619" s="22" t="n">
        <v>1.29999999999999</v>
      </c>
      <c r="V619" s="22" t="n"/>
      <c r="AE619" s="22" t="n"/>
      <c r="AF619" s="22" t="n"/>
      <c r="AG619" s="22" t="n"/>
      <c r="AH619" s="22" t="n"/>
      <c r="AI619" s="22" t="n"/>
      <c r="AJ619" s="22" t="n"/>
      <c r="AK619" s="22" t="n"/>
      <c r="AL619" s="22" t="n"/>
      <c r="AM619" s="22" t="n"/>
      <c r="AN619" s="22" t="n"/>
      <c r="AO619" s="22" t="n"/>
    </row>
    <row r="620">
      <c r="A620" s="89" t="inlineStr">
        <is>
          <t>AER717</t>
        </is>
      </c>
      <c r="B620" s="248" t="inlineStr">
        <is>
          <t>AERO CAMPERA</t>
        </is>
      </c>
      <c r="C620" s="88" t="n">
        <v>38300</v>
      </c>
      <c r="D620" s="88">
        <f>ROUND((C620*1.06)/100,0)*100</f>
        <v/>
      </c>
      <c r="E620" s="88">
        <f>ROUND((C620*1.15)/100,0)*100</f>
        <v/>
      </c>
      <c r="F620" s="88">
        <f>ROUND((C620*1.23)/100,0)*100</f>
        <v/>
      </c>
      <c r="G620" s="88">
        <f>ROUND((C620*1.29)/100,0)*100</f>
        <v/>
      </c>
      <c r="H620" s="88">
        <f>ROUND((C620*1.35)/100,0)*100</f>
        <v/>
      </c>
      <c r="I620" s="88">
        <f>ROUND((C620*1.39)/100,0)*100</f>
        <v/>
      </c>
      <c r="J620" s="88">
        <f>ROUND((C620*1.43)/100,0)*100</f>
        <v/>
      </c>
      <c r="K620" s="88">
        <f>ROUND((C620*1.48)/100,0)*100</f>
        <v/>
      </c>
      <c r="L620" s="88" t="n"/>
      <c r="M620" s="88" t="n"/>
      <c r="N620" s="88" t="n"/>
      <c r="P620" s="117" t="n"/>
      <c r="R620" s="117" t="n"/>
      <c r="T620" s="117">
        <f>U620*C620</f>
        <v/>
      </c>
      <c r="U620" s="22" t="n">
        <v>1.29999999999999</v>
      </c>
      <c r="V620" s="22" t="n"/>
      <c r="AE620" s="22" t="n"/>
      <c r="AF620" s="22" t="n"/>
      <c r="AG620" s="22" t="n"/>
      <c r="AH620" s="22" t="n"/>
      <c r="AI620" s="22" t="n"/>
      <c r="AJ620" s="22" t="n"/>
      <c r="AK620" s="22" t="n"/>
      <c r="AL620" s="22" t="n"/>
      <c r="AM620" s="22" t="n"/>
      <c r="AN620" s="22" t="n"/>
      <c r="AO620" s="22" t="n"/>
    </row>
    <row r="621">
      <c r="A621" s="89" t="inlineStr">
        <is>
          <t>AER738</t>
        </is>
      </c>
      <c r="B621" s="248" t="inlineStr">
        <is>
          <t>AERO IMPERMEABLE</t>
        </is>
      </c>
      <c r="C621" s="88" t="n">
        <v>73000</v>
      </c>
      <c r="D621" s="88">
        <f>ROUND((C621*1.06)/100,0)*100</f>
        <v/>
      </c>
      <c r="E621" s="88">
        <f>ROUND((C621*1.15)/100,0)*100</f>
        <v/>
      </c>
      <c r="F621" s="88">
        <f>ROUND((C621*1.23)/100,0)*100</f>
        <v/>
      </c>
      <c r="G621" s="88">
        <f>ROUND((C621*1.29)/100,0)*100</f>
        <v/>
      </c>
      <c r="H621" s="88">
        <f>ROUND((C621*1.35)/100,0)*100</f>
        <v/>
      </c>
      <c r="I621" s="88">
        <f>ROUND((C621*1.39)/100,0)*100</f>
        <v/>
      </c>
      <c r="J621" s="88">
        <f>ROUND((C621*1.43)/100,0)*100</f>
        <v/>
      </c>
      <c r="K621" s="88">
        <f>ROUND((C621*1.48)/100,0)*100</f>
        <v/>
      </c>
      <c r="L621" s="88" t="n"/>
      <c r="M621" s="88" t="n"/>
      <c r="N621" s="88" t="n"/>
      <c r="P621" s="117" t="n"/>
      <c r="R621" s="117" t="n"/>
      <c r="T621" s="117">
        <f>U621*C621</f>
        <v/>
      </c>
      <c r="U621" s="22" t="n">
        <v>1.29999999999999</v>
      </c>
      <c r="V621" s="22" t="n"/>
      <c r="AE621" s="22" t="n"/>
      <c r="AF621" s="22" t="n"/>
      <c r="AG621" s="22" t="n"/>
      <c r="AH621" s="22" t="n"/>
      <c r="AI621" s="22" t="n"/>
      <c r="AJ621" s="22" t="n"/>
      <c r="AK621" s="22" t="n"/>
      <c r="AL621" s="22" t="n"/>
      <c r="AM621" s="22" t="n"/>
      <c r="AN621" s="22" t="n"/>
      <c r="AO621" s="22" t="n"/>
    </row>
    <row r="622">
      <c r="A622" s="89" t="inlineStr">
        <is>
          <t>AER747</t>
        </is>
      </c>
      <c r="B622" s="248" t="inlineStr">
        <is>
          <t>AERO IMPERMEABLE</t>
        </is>
      </c>
      <c r="C622" s="88" t="n">
        <v>61700</v>
      </c>
      <c r="D622" s="88">
        <f>ROUND((C622*1.06)/100,0)*100</f>
        <v/>
      </c>
      <c r="E622" s="88">
        <f>ROUND((C622*1.15)/100,0)*100</f>
        <v/>
      </c>
      <c r="F622" s="88">
        <f>ROUND((C622*1.23)/100,0)*100</f>
        <v/>
      </c>
      <c r="G622" s="88">
        <f>ROUND((C622*1.29)/100,0)*100</f>
        <v/>
      </c>
      <c r="H622" s="88">
        <f>ROUND((C622*1.35)/100,0)*100</f>
        <v/>
      </c>
      <c r="I622" s="88">
        <f>ROUND((C622*1.39)/100,0)*100</f>
        <v/>
      </c>
      <c r="J622" s="88">
        <f>ROUND((C622*1.43)/100,0)*100</f>
        <v/>
      </c>
      <c r="K622" s="88">
        <f>ROUND((C622*1.48)/100,0)*100</f>
        <v/>
      </c>
      <c r="L622" s="88" t="n"/>
      <c r="M622" s="88" t="n"/>
      <c r="N622" s="88" t="n"/>
      <c r="P622" s="117" t="n"/>
      <c r="R622" s="117" t="n"/>
      <c r="T622" s="117">
        <f>U622*C622</f>
        <v/>
      </c>
      <c r="U622" s="22" t="n">
        <v>1.29999999999999</v>
      </c>
      <c r="V622" s="22" t="n"/>
      <c r="AE622" s="22" t="n"/>
      <c r="AF622" s="22" t="n"/>
      <c r="AG622" s="22" t="n"/>
      <c r="AH622" s="22" t="n"/>
      <c r="AI622" s="22" t="n"/>
      <c r="AJ622" s="22" t="n"/>
      <c r="AK622" s="22" t="n"/>
      <c r="AL622" s="22" t="n"/>
      <c r="AM622" s="22" t="n"/>
      <c r="AN622" s="22" t="n"/>
      <c r="AO622" s="22" t="n"/>
    </row>
    <row r="623">
      <c r="A623" s="89" t="inlineStr">
        <is>
          <t>AER750</t>
        </is>
      </c>
      <c r="B623" s="248" t="inlineStr">
        <is>
          <t>AERO IMPERMEABLE</t>
        </is>
      </c>
      <c r="C623" s="88" t="n">
        <v>28900</v>
      </c>
      <c r="D623" s="88">
        <f>ROUND((C623*1.06)/100,0)*100</f>
        <v/>
      </c>
      <c r="E623" s="88">
        <f>ROUND((C623*1.15)/100,0)*100</f>
        <v/>
      </c>
      <c r="F623" s="88">
        <f>ROUND((C623*1.23)/100,0)*100</f>
        <v/>
      </c>
      <c r="G623" s="88">
        <f>ROUND((C623*1.29)/100,0)*100</f>
        <v/>
      </c>
      <c r="H623" s="88">
        <f>ROUND((C623*1.35)/100,0)*100</f>
        <v/>
      </c>
      <c r="I623" s="88">
        <f>ROUND((C623*1.39)/100,0)*100</f>
        <v/>
      </c>
      <c r="J623" s="88">
        <f>ROUND((C623*1.43)/100,0)*100</f>
        <v/>
      </c>
      <c r="K623" s="88">
        <f>ROUND((C623*1.48)/100,0)*100</f>
        <v/>
      </c>
      <c r="L623" s="22" t="n"/>
      <c r="M623" s="88" t="n"/>
      <c r="N623" s="88" t="n"/>
      <c r="P623" s="117" t="n"/>
      <c r="R623" s="117" t="n"/>
      <c r="T623" s="117">
        <f>U623*C623</f>
        <v/>
      </c>
      <c r="U623" s="22" t="n">
        <v>1.29999999999999</v>
      </c>
      <c r="V623" s="22" t="n"/>
      <c r="AE623" s="22" t="n"/>
      <c r="AF623" s="22" t="n"/>
      <c r="AG623" s="22" t="n"/>
      <c r="AH623" s="22" t="n"/>
      <c r="AI623" s="22" t="n"/>
      <c r="AJ623" s="22" t="n"/>
      <c r="AK623" s="22" t="n"/>
      <c r="AL623" s="22" t="n"/>
      <c r="AM623" s="22" t="n"/>
      <c r="AN623" s="22" t="n"/>
      <c r="AO623" s="22" t="n"/>
    </row>
    <row r="624">
      <c r="A624" s="89" t="inlineStr">
        <is>
          <t>AER03</t>
        </is>
      </c>
      <c r="B624" s="248" t="inlineStr">
        <is>
          <t>AERO IMPERMEABLE</t>
        </is>
      </c>
      <c r="C624" s="88" t="n">
        <v>86800</v>
      </c>
      <c r="D624" s="88">
        <f>ROUND((C624*1.06)/100,0)*100</f>
        <v/>
      </c>
      <c r="E624" s="88">
        <f>ROUND((C624*1.15)/100,0)*100</f>
        <v/>
      </c>
      <c r="F624" s="88">
        <f>ROUND((C624*1.23)/100,0)*100</f>
        <v/>
      </c>
      <c r="G624" s="88">
        <f>ROUND((C624*1.29)/100,0)*100</f>
        <v/>
      </c>
      <c r="H624" s="88">
        <f>ROUND((C624*1.35)/100,0)*100</f>
        <v/>
      </c>
      <c r="I624" s="88">
        <f>ROUND((C624*1.39)/100,0)*100</f>
        <v/>
      </c>
      <c r="J624" s="88">
        <f>ROUND((C624*1.43)/100,0)*100</f>
        <v/>
      </c>
      <c r="K624" s="88">
        <f>ROUND((C624*1.48)/100,0)*100</f>
        <v/>
      </c>
      <c r="L624" s="22" t="n"/>
      <c r="M624" s="88" t="n"/>
      <c r="N624" s="88" t="n"/>
      <c r="P624" s="117" t="n"/>
      <c r="R624" s="117" t="n"/>
      <c r="T624" s="117">
        <f>U624*C624</f>
        <v/>
      </c>
      <c r="U624" s="22" t="n">
        <v>1.29999999999999</v>
      </c>
      <c r="V624" s="22" t="n"/>
      <c r="AE624" s="22" t="n"/>
      <c r="AF624" s="22" t="n"/>
      <c r="AG624" s="22" t="n"/>
      <c r="AH624" s="22" t="n"/>
      <c r="AI624" s="22" t="n"/>
      <c r="AJ624" s="22" t="n"/>
      <c r="AK624" s="22" t="n"/>
      <c r="AL624" s="22" t="n"/>
      <c r="AM624" s="22" t="n"/>
      <c r="AN624" s="22" t="n"/>
      <c r="AO624" s="22" t="n"/>
    </row>
    <row r="625">
      <c r="A625" s="89" t="inlineStr">
        <is>
          <t>IMP46031/4063</t>
        </is>
      </c>
      <c r="B625" s="248" t="inlineStr">
        <is>
          <t>YD REVERS. ESTAMP ROMPEVIENTO</t>
        </is>
      </c>
      <c r="C625" s="88" t="n">
        <v>89100</v>
      </c>
      <c r="D625" s="88">
        <f>ROUND((C625*1.06)/100,0)*100</f>
        <v/>
      </c>
      <c r="E625" s="88">
        <f>ROUND((C625*1.15)/100,0)*100</f>
        <v/>
      </c>
      <c r="F625" s="88">
        <f>ROUND((C625*1.23)/100,0)*100</f>
        <v/>
      </c>
      <c r="G625" s="88">
        <f>ROUND((C625*1.29)/100,0)*100</f>
        <v/>
      </c>
      <c r="H625" s="88">
        <f>ROUND((C625*1.35)/100,0)*100</f>
        <v/>
      </c>
      <c r="I625" s="88">
        <f>ROUND((C625*1.39)/100,0)*100</f>
        <v/>
      </c>
      <c r="J625" s="88">
        <f>ROUND((C625*1.43)/100,0)*100</f>
        <v/>
      </c>
      <c r="K625" s="88">
        <f>ROUND((C625*1.48)/100,0)*100</f>
        <v/>
      </c>
      <c r="L625" s="22" t="n"/>
      <c r="M625" s="88" t="n"/>
      <c r="N625" s="88" t="n"/>
      <c r="P625" s="117" t="n"/>
      <c r="R625" s="117" t="n"/>
      <c r="T625" s="117">
        <f>U625*C625</f>
        <v/>
      </c>
      <c r="U625" s="22" t="n">
        <v>1.29999999999999</v>
      </c>
      <c r="V625" s="22" t="n"/>
      <c r="AE625" s="22" t="n"/>
      <c r="AF625" s="22" t="n"/>
      <c r="AG625" s="22" t="n"/>
      <c r="AH625" s="22" t="n"/>
      <c r="AI625" s="22" t="n"/>
      <c r="AJ625" s="22" t="n"/>
      <c r="AK625" s="22" t="n"/>
      <c r="AL625" s="22" t="n"/>
      <c r="AM625" s="22" t="n"/>
      <c r="AN625" s="22" t="n"/>
      <c r="AO625" s="22" t="n"/>
    </row>
    <row r="626">
      <c r="A626" s="89" t="inlineStr">
        <is>
          <t>20723</t>
        </is>
      </c>
      <c r="B626" s="248" t="inlineStr">
        <is>
          <t>YD REVERS. c/PUÑO ROMPEVIENTO</t>
        </is>
      </c>
      <c r="C626" s="88" t="n">
        <v>108200</v>
      </c>
      <c r="D626" s="88">
        <f>ROUND((C626*1.06)/100,0)*100</f>
        <v/>
      </c>
      <c r="E626" s="88">
        <f>ROUND((C626*1.15)/100,0)*100</f>
        <v/>
      </c>
      <c r="F626" s="88">
        <f>ROUND((C626*1.23)/100,0)*100</f>
        <v/>
      </c>
      <c r="G626" s="88">
        <f>ROUND((C626*1.29)/100,0)*100</f>
        <v/>
      </c>
      <c r="H626" s="88">
        <f>ROUND((C626*1.35)/100,0)*100</f>
        <v/>
      </c>
      <c r="I626" s="88">
        <f>ROUND((C626*1.39)/100,0)*100</f>
        <v/>
      </c>
      <c r="J626" s="88">
        <f>ROUND((C626*1.43)/100,0)*100</f>
        <v/>
      </c>
      <c r="K626" s="88">
        <f>ROUND((C626*1.48)/100,0)*100</f>
        <v/>
      </c>
      <c r="L626" s="22" t="n"/>
      <c r="M626" s="88" t="n"/>
      <c r="N626" s="88" t="n"/>
      <c r="P626" s="117" t="n"/>
      <c r="R626" s="117" t="n"/>
      <c r="T626" s="117">
        <f>U626*C626</f>
        <v/>
      </c>
      <c r="U626" s="22" t="n">
        <v>1.29999999999999</v>
      </c>
      <c r="V626" s="22" t="n"/>
      <c r="AE626" s="22" t="n"/>
      <c r="AF626" s="22" t="n"/>
      <c r="AG626" s="22" t="n"/>
      <c r="AH626" s="22" t="n"/>
      <c r="AI626" s="22" t="n"/>
      <c r="AJ626" s="22" t="n"/>
      <c r="AK626" s="22" t="n"/>
      <c r="AL626" s="22" t="n"/>
      <c r="AM626" s="22" t="n"/>
      <c r="AN626" s="22" t="n"/>
      <c r="AO626" s="22" t="n"/>
    </row>
    <row r="627">
      <c r="A627" s="89" t="inlineStr">
        <is>
          <t>x089</t>
        </is>
      </c>
      <c r="B627" s="248" t="inlineStr">
        <is>
          <t>SOFTSHELL</t>
        </is>
      </c>
      <c r="C627" s="88" t="n">
        <v>95200</v>
      </c>
      <c r="D627" s="88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88" t="n"/>
      <c r="N627" s="88" t="n"/>
      <c r="P627" s="117" t="n"/>
      <c r="R627" s="117" t="n"/>
      <c r="T627" s="117">
        <f>U627*C627</f>
        <v/>
      </c>
      <c r="U627" s="22" t="n">
        <v>1.29999999999999</v>
      </c>
      <c r="V627" s="22" t="n"/>
    </row>
    <row r="628">
      <c r="A628" s="89" t="inlineStr">
        <is>
          <t>STYLE 61</t>
        </is>
      </c>
      <c r="B628" s="248" t="inlineStr">
        <is>
          <t>POLO CLUB</t>
        </is>
      </c>
      <c r="C628" s="88" t="n">
        <v>116100</v>
      </c>
      <c r="D628" s="88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88" t="n"/>
      <c r="N628" s="88" t="n"/>
      <c r="P628" s="117" t="n"/>
      <c r="R628" s="117" t="n"/>
      <c r="T628" s="117">
        <f>U628*C628</f>
        <v/>
      </c>
      <c r="U628" s="22" t="n">
        <v>1.29999999999999</v>
      </c>
      <c r="V628" s="22" t="n"/>
    </row>
    <row r="629">
      <c r="A629" s="89" t="inlineStr">
        <is>
          <t>3YU1287</t>
        </is>
      </c>
      <c r="B629" s="248" t="inlineStr">
        <is>
          <t>SOFTSHELL</t>
        </is>
      </c>
      <c r="C629" s="88" t="n">
        <v>119800</v>
      </c>
      <c r="D629" s="88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88" t="n"/>
      <c r="N629" s="88" t="n"/>
      <c r="P629" s="117" t="n"/>
      <c r="R629" s="117" t="n"/>
      <c r="T629" s="117">
        <f>U629*C629</f>
        <v/>
      </c>
      <c r="U629" s="22" t="n">
        <v>1.29999999999999</v>
      </c>
      <c r="V629" s="22" t="n"/>
    </row>
    <row r="630">
      <c r="A630" s="89" t="inlineStr">
        <is>
          <t>1L10521</t>
        </is>
      </c>
      <c r="B630" s="248" t="inlineStr">
        <is>
          <t>CUERO ECOLOGICO</t>
        </is>
      </c>
      <c r="C630" s="88" t="n">
        <v>123300</v>
      </c>
      <c r="D630" s="88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88" t="n"/>
      <c r="N630" s="88" t="n"/>
      <c r="P630" s="117" t="n"/>
      <c r="R630" s="117" t="n"/>
      <c r="T630" s="117">
        <f>U630*C630</f>
        <v/>
      </c>
      <c r="U630" s="22" t="n">
        <v>1.29999999999999</v>
      </c>
      <c r="V630" s="22" t="n"/>
    </row>
    <row r="631">
      <c r="A631" s="89" t="inlineStr">
        <is>
          <t>3JA1756</t>
        </is>
      </c>
      <c r="B631" s="248" t="inlineStr">
        <is>
          <t>CUERO ECOLOGICO</t>
        </is>
      </c>
      <c r="C631" s="88" t="n">
        <v>127100</v>
      </c>
      <c r="D631" s="88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88" t="n"/>
      <c r="N631" s="88" t="n"/>
      <c r="P631" s="117" t="n"/>
      <c r="R631" s="117" t="n"/>
      <c r="T631" s="117">
        <f>U631*C631</f>
        <v/>
      </c>
      <c r="U631" s="22" t="n">
        <v>1.29999999999999</v>
      </c>
      <c r="V631" s="22" t="n"/>
    </row>
    <row r="632">
      <c r="A632" s="89" t="inlineStr">
        <is>
          <t>3JA4755</t>
        </is>
      </c>
      <c r="B632" s="248" t="inlineStr">
        <is>
          <t>BUCHINGAM POLO INFLABLE</t>
        </is>
      </c>
      <c r="C632" s="88" t="n">
        <v>80100</v>
      </c>
      <c r="D632" s="88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88" t="n"/>
      <c r="N632" s="88" t="n"/>
      <c r="P632" s="117" t="n"/>
      <c r="R632" s="117" t="n"/>
      <c r="T632" s="117">
        <f>U632*C632</f>
        <v/>
      </c>
      <c r="U632" s="22" t="n">
        <v>1.29999999999999</v>
      </c>
      <c r="V632" s="22" t="n"/>
    </row>
    <row r="633">
      <c r="A633" s="89" t="inlineStr">
        <is>
          <t>12096</t>
        </is>
      </c>
      <c r="B633" s="248" t="inlineStr">
        <is>
          <t>CUERO ECOLOGICO</t>
        </is>
      </c>
      <c r="C633" s="88" t="n">
        <v>123300</v>
      </c>
      <c r="D633" s="88" t="n"/>
      <c r="E633" s="22" t="n"/>
      <c r="F633" s="22" t="n"/>
      <c r="G633" s="22" t="inlineStr">
        <is>
          <t>camperas</t>
        </is>
      </c>
      <c r="H633" s="22" t="n"/>
      <c r="I633" s="22" t="n"/>
      <c r="J633" s="22" t="n"/>
      <c r="K633" s="22" t="n"/>
      <c r="L633" s="22" t="n"/>
      <c r="M633" s="88" t="n"/>
      <c r="N633" s="88" t="n"/>
      <c r="P633" s="117" t="n"/>
      <c r="R633" s="117" t="n"/>
      <c r="T633" s="117">
        <f>U633*C633</f>
        <v/>
      </c>
      <c r="U633" s="22" t="n">
        <v>1.29999999999999</v>
      </c>
      <c r="V633" s="22" t="n"/>
    </row>
    <row r="634">
      <c r="A634" s="89" t="inlineStr">
        <is>
          <t>12097</t>
        </is>
      </c>
      <c r="B634" s="248" t="inlineStr">
        <is>
          <t>CAMP MANGA DESMONTABLE</t>
        </is>
      </c>
      <c r="C634" s="88" t="n">
        <v>123300</v>
      </c>
      <c r="D634" s="88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88" t="n"/>
      <c r="N634" s="88" t="n"/>
      <c r="P634" s="117" t="n"/>
      <c r="R634" s="117" t="n"/>
      <c r="T634" s="117">
        <f>U634*C634</f>
        <v/>
      </c>
      <c r="U634" s="22" t="n">
        <v>1.29999999999999</v>
      </c>
      <c r="V634" s="22" t="n"/>
    </row>
    <row r="635">
      <c r="A635" s="89" t="inlineStr">
        <is>
          <t>12098</t>
        </is>
      </c>
      <c r="B635" s="248" t="inlineStr">
        <is>
          <t>CUERO ECOLOGICO</t>
        </is>
      </c>
      <c r="C635" s="88" t="n">
        <v>113700</v>
      </c>
      <c r="D635" s="88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88" t="n"/>
      <c r="N635" s="88" t="n"/>
      <c r="P635" s="117" t="n"/>
      <c r="R635" s="117" t="n"/>
      <c r="T635" s="117">
        <f>U635*C635</f>
        <v/>
      </c>
      <c r="U635" s="22" t="n">
        <v>1.29999999999999</v>
      </c>
      <c r="V635" s="22" t="n"/>
    </row>
    <row r="636">
      <c r="A636" s="89" t="inlineStr">
        <is>
          <t>66916</t>
        </is>
      </c>
      <c r="B636" s="248" t="inlineStr">
        <is>
          <t>CUERO ECOLOGICO</t>
        </is>
      </c>
      <c r="C636" s="88" t="n">
        <v>108900</v>
      </c>
      <c r="D636" s="88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88" t="n"/>
      <c r="N636" s="88" t="n"/>
      <c r="P636" s="117" t="n"/>
      <c r="R636" s="117" t="n"/>
      <c r="T636" s="117">
        <f>U636*C636</f>
        <v/>
      </c>
      <c r="U636" s="22" t="n">
        <v>1.29999999999999</v>
      </c>
      <c r="V636" s="22" t="n"/>
    </row>
    <row r="637">
      <c r="A637" s="89" t="inlineStr">
        <is>
          <t>1400</t>
        </is>
      </c>
      <c r="B637" s="248" t="inlineStr">
        <is>
          <t>AERO GABARDINA CLASICA T 64</t>
        </is>
      </c>
      <c r="C637" s="88" t="n">
        <v>50700</v>
      </c>
      <c r="D637" s="88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88" t="n"/>
      <c r="N637" s="88" t="n"/>
      <c r="P637" s="117" t="n"/>
      <c r="R637" s="117" t="n"/>
      <c r="T637" s="117">
        <f>U637*C637</f>
        <v/>
      </c>
      <c r="U637" s="22" t="n">
        <v>1.29999999999999</v>
      </c>
      <c r="V637" s="22" t="n"/>
    </row>
    <row r="638">
      <c r="A638" s="89" t="inlineStr">
        <is>
          <t>1410</t>
        </is>
      </c>
      <c r="B638" s="248" t="inlineStr">
        <is>
          <t>AERO GABARDINA JUVENIL T 4</t>
        </is>
      </c>
      <c r="C638" s="88" t="n">
        <v>59100</v>
      </c>
      <c r="D638" s="88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88" t="n"/>
      <c r="N638" s="88" t="n"/>
      <c r="P638" s="117" t="n"/>
      <c r="R638" s="117" t="n"/>
      <c r="T638" s="117">
        <f>U638*C638</f>
        <v/>
      </c>
      <c r="U638" s="22" t="n">
        <v>1.29999999999999</v>
      </c>
      <c r="V638" s="22" t="n"/>
    </row>
    <row r="639">
      <c r="A639" s="89" t="inlineStr">
        <is>
          <t>1420</t>
        </is>
      </c>
      <c r="B639" s="248" t="inlineStr">
        <is>
          <t>JHOKEMVI GABARDINA</t>
        </is>
      </c>
      <c r="C639" s="88" t="n">
        <v>46000</v>
      </c>
      <c r="D639" s="88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88" t="n"/>
      <c r="N639" s="88" t="n"/>
      <c r="P639" s="117" t="n"/>
      <c r="R639" s="117" t="n"/>
      <c r="T639" s="117">
        <f>U639*C639</f>
        <v/>
      </c>
      <c r="U639" s="22" t="n">
        <v>1.29999999999999</v>
      </c>
      <c r="V639" s="22" t="n"/>
    </row>
    <row r="640">
      <c r="A640" s="89" t="inlineStr">
        <is>
          <t>1425</t>
        </is>
      </c>
      <c r="B640" s="248" t="inlineStr">
        <is>
          <t>FAVERTY GABARDINA S/FORRO</t>
        </is>
      </c>
      <c r="C640" s="88" t="n">
        <v>52700</v>
      </c>
      <c r="D640" s="88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88" t="n"/>
      <c r="N640" s="88" t="n"/>
      <c r="P640" s="117" t="n"/>
      <c r="R640" s="117" t="n"/>
      <c r="T640" s="117">
        <f>U640*C640</f>
        <v/>
      </c>
      <c r="U640" s="22" t="n">
        <v>1.29999999999999</v>
      </c>
      <c r="V640" s="22" t="n"/>
    </row>
    <row r="641">
      <c r="A641" s="89" t="inlineStr">
        <is>
          <t>1430</t>
        </is>
      </c>
      <c r="B641" s="248" t="inlineStr">
        <is>
          <t>MONTERO CAMP. SIRE</t>
        </is>
      </c>
      <c r="C641" s="88" t="n">
        <v>38200</v>
      </c>
      <c r="D641" s="88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88" t="n"/>
      <c r="N641" s="88" t="n"/>
      <c r="P641" s="117" t="n"/>
      <c r="R641" s="117" t="n"/>
      <c r="T641" s="117">
        <f>U641*C641</f>
        <v/>
      </c>
      <c r="U641" s="22" t="n">
        <v>1.29999999999999</v>
      </c>
      <c r="V641" s="22" t="n"/>
    </row>
    <row r="642">
      <c r="A642" s="89" t="inlineStr">
        <is>
          <t>1431</t>
        </is>
      </c>
      <c r="B642" s="248" t="inlineStr">
        <is>
          <t>OPEN DAY GABARDINA MATELASÈ</t>
        </is>
      </c>
      <c r="C642" s="88" t="n">
        <v>69100</v>
      </c>
      <c r="D642" s="88">
        <f>ROUND((C642*1.06)/100,0)*100</f>
        <v/>
      </c>
      <c r="E642" s="88">
        <f>ROUND((C642*1.15)/100,0)*100</f>
        <v/>
      </c>
      <c r="F642" s="88">
        <f>ROUND((C642*1.23)/100,0)*100</f>
        <v/>
      </c>
      <c r="G642" s="88">
        <f>ROUND((C642*1.29)/100,0)*100</f>
        <v/>
      </c>
      <c r="H642" s="88">
        <f>ROUND((C642*1.35)/100,0)*100</f>
        <v/>
      </c>
      <c r="I642" s="88">
        <f>ROUND((C642*1.39)/100,0)*100</f>
        <v/>
      </c>
      <c r="J642" s="88">
        <f>ROUND((C642*1.43)/100,0)*100</f>
        <v/>
      </c>
      <c r="K642" s="88">
        <f>ROUND((C642*1.48)/100,0)*100</f>
        <v/>
      </c>
      <c r="L642" s="22" t="n"/>
      <c r="M642" s="88" t="n"/>
      <c r="N642" s="88" t="n"/>
      <c r="P642" s="117" t="n"/>
      <c r="R642" s="117" t="n"/>
      <c r="T642" s="117">
        <f>U642*C642</f>
        <v/>
      </c>
      <c r="U642" s="22" t="n">
        <v>1.29999999999999</v>
      </c>
      <c r="V642" s="22" t="n"/>
      <c r="AC642" s="22" t="n"/>
      <c r="AD642" s="22" t="n"/>
      <c r="AE642" s="22" t="n"/>
      <c r="AF642" s="22" t="n"/>
      <c r="AG642" s="22" t="n"/>
      <c r="AH642" s="22" t="n"/>
      <c r="AI642" s="22" t="n"/>
      <c r="AJ642" s="22" t="n"/>
      <c r="AK642" s="22" t="n"/>
    </row>
    <row r="643">
      <c r="A643" s="89" t="inlineStr">
        <is>
          <t>14320</t>
        </is>
      </c>
      <c r="B643" s="248" t="inlineStr">
        <is>
          <t>OPEN DAY GABARD SIN MATELASE</t>
        </is>
      </c>
      <c r="C643" s="88" t="n">
        <v>69100</v>
      </c>
      <c r="D643" s="88">
        <f>ROUND((C643*1.06)/100,0)*100</f>
        <v/>
      </c>
      <c r="E643" s="88">
        <f>ROUND((C643*1.15)/100,0)*100</f>
        <v/>
      </c>
      <c r="F643" s="88">
        <f>ROUND((C643*1.23)/100,0)*100</f>
        <v/>
      </c>
      <c r="G643" s="88">
        <f>ROUND((C643*1.29)/100,0)*100</f>
        <v/>
      </c>
      <c r="H643" s="88">
        <f>ROUND((C643*1.35)/100,0)*100</f>
        <v/>
      </c>
      <c r="I643" s="88">
        <f>ROUND((C643*1.39)/100,0)*100</f>
        <v/>
      </c>
      <c r="J643" s="88">
        <f>ROUND((C643*1.43)/100,0)*100</f>
        <v/>
      </c>
      <c r="K643" s="88">
        <f>ROUND((C643*1.48)/100,0)*100</f>
        <v/>
      </c>
      <c r="L643" s="22" t="n"/>
      <c r="M643" s="88" t="n"/>
      <c r="N643" s="88" t="n"/>
      <c r="P643" s="117" t="n"/>
      <c r="R643" s="117" t="n"/>
      <c r="T643" s="117">
        <f>U643*C643</f>
        <v/>
      </c>
      <c r="U643" s="22" t="n">
        <v>1.29999999999999</v>
      </c>
      <c r="V643" s="22" t="n"/>
      <c r="AC643" s="22" t="n"/>
      <c r="AD643" s="22" t="n"/>
      <c r="AE643" s="22" t="n"/>
      <c r="AF643" s="22" t="n"/>
      <c r="AG643" s="22" t="n"/>
      <c r="AH643" s="22" t="n"/>
      <c r="AI643" s="22" t="n"/>
      <c r="AJ643" s="22" t="n"/>
      <c r="AK643" s="22" t="n"/>
    </row>
    <row r="644">
      <c r="A644" s="89" t="inlineStr">
        <is>
          <t>1433</t>
        </is>
      </c>
      <c r="B644" s="248" t="inlineStr">
        <is>
          <t>SANTA FE POLO-MICROF C/guata XXL</t>
        </is>
      </c>
      <c r="C644" s="88" t="n">
        <v>71900</v>
      </c>
      <c r="D644" s="88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88" t="n"/>
      <c r="N644" s="88" t="n"/>
      <c r="P644" s="117" t="n"/>
      <c r="R644" s="117" t="n"/>
      <c r="T644" s="117">
        <f>U644*C644</f>
        <v/>
      </c>
      <c r="U644" s="22" t="n">
        <v>1.29999999999999</v>
      </c>
      <c r="V644" s="22" t="n"/>
    </row>
    <row r="645">
      <c r="A645" s="89" t="inlineStr">
        <is>
          <t>1434</t>
        </is>
      </c>
      <c r="B645" s="248" t="inlineStr">
        <is>
          <t>JOAN DE LA CREU MICROFIBRA C POLAR</t>
        </is>
      </c>
      <c r="C645" s="88" t="n">
        <v>51500</v>
      </c>
      <c r="D645" s="88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88" t="n"/>
      <c r="N645" s="88" t="n"/>
      <c r="P645" s="117" t="n"/>
      <c r="R645" s="117" t="n"/>
      <c r="T645" s="117">
        <f>U645*C645</f>
        <v/>
      </c>
      <c r="U645" s="22" t="n">
        <v>1.29999999999999</v>
      </c>
      <c r="V645" s="22" t="n"/>
    </row>
    <row r="646">
      <c r="A646" s="89" t="inlineStr">
        <is>
          <t>1455</t>
        </is>
      </c>
      <c r="B646" s="248" t="inlineStr">
        <is>
          <t>CAMPERA JEAN LEGENDARIO</t>
        </is>
      </c>
      <c r="C646" s="88" t="n">
        <v>30100</v>
      </c>
      <c r="D646" s="88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88" t="n"/>
      <c r="N646" s="88" t="n"/>
      <c r="P646" s="117" t="n"/>
      <c r="R646" s="117" t="n"/>
      <c r="T646" s="117">
        <f>U646*C646</f>
        <v/>
      </c>
      <c r="U646" s="22" t="n">
        <v>1.29999999999999</v>
      </c>
      <c r="V646" s="22" t="n"/>
    </row>
    <row r="647">
      <c r="A647" s="89" t="inlineStr">
        <is>
          <t>1456</t>
        </is>
      </c>
      <c r="B647" s="248" t="inlineStr">
        <is>
          <t>SANTA FE POLO NOBUK AUTHENTIC JACKET</t>
        </is>
      </c>
      <c r="C647" s="88" t="n">
        <v>80800</v>
      </c>
      <c r="D647" s="88" t="n"/>
      <c r="E647" s="88" t="n"/>
      <c r="F647" s="88" t="n"/>
      <c r="G647" s="22" t="n"/>
      <c r="H647" s="22" t="n"/>
      <c r="I647" s="22" t="n"/>
      <c r="J647" s="22" t="n"/>
      <c r="K647" s="22" t="n"/>
      <c r="L647" s="22" t="n"/>
      <c r="M647" s="88" t="n"/>
      <c r="N647" s="88" t="n"/>
      <c r="P647" s="117" t="n"/>
      <c r="R647" s="117" t="n"/>
      <c r="T647" s="117">
        <f>U647*C647</f>
        <v/>
      </c>
      <c r="U647" s="22" t="n">
        <v>1.29999999999999</v>
      </c>
      <c r="V647" s="22" t="n"/>
      <c r="AC647" s="22" t="n"/>
      <c r="AD647" s="22" t="n"/>
      <c r="AE647" s="22" t="n"/>
    </row>
    <row r="648">
      <c r="A648" s="89" t="inlineStr">
        <is>
          <t>1457</t>
        </is>
      </c>
      <c r="B648" s="248" t="inlineStr">
        <is>
          <t>SIMIL CUERO Y GABARDINA</t>
        </is>
      </c>
      <c r="C648" s="88" t="n">
        <v>110400</v>
      </c>
      <c r="D648" s="88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88" t="n"/>
      <c r="N648" s="88" t="n"/>
      <c r="P648" s="117" t="n"/>
      <c r="R648" s="117" t="n"/>
      <c r="T648" s="117">
        <f>U648*C648</f>
        <v/>
      </c>
      <c r="U648" s="22" t="n">
        <v>1.29999999999999</v>
      </c>
      <c r="V648" s="22" t="n"/>
    </row>
    <row r="649">
      <c r="A649" s="89" t="inlineStr">
        <is>
          <t>1458</t>
        </is>
      </c>
      <c r="B649" s="248" t="inlineStr">
        <is>
          <t>MONTERO CAMP INFLABLE</t>
        </is>
      </c>
      <c r="C649" s="88" t="n">
        <v>36100</v>
      </c>
      <c r="D649" s="88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88" t="n"/>
      <c r="N649" s="88" t="n"/>
      <c r="P649" s="117" t="n"/>
      <c r="R649" s="117" t="n"/>
      <c r="T649" s="117">
        <f>U649*C649</f>
        <v/>
      </c>
      <c r="U649" s="22" t="n">
        <v>1.29999999999999</v>
      </c>
      <c r="V649" s="22" t="n"/>
    </row>
    <row r="650">
      <c r="A650" s="89" t="inlineStr">
        <is>
          <t>1459</t>
        </is>
      </c>
      <c r="B650" s="248" t="inlineStr">
        <is>
          <t>42 FT CAMP INFLABLE</t>
        </is>
      </c>
      <c r="C650" s="88" t="n">
        <v>78300</v>
      </c>
      <c r="D650" s="88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88" t="n"/>
      <c r="N650" s="88" t="n"/>
      <c r="P650" s="117" t="n"/>
      <c r="R650" s="117" t="n"/>
      <c r="T650" s="117">
        <f>U650*C650</f>
        <v/>
      </c>
      <c r="U650" s="22" t="n">
        <v>1.29999999999999</v>
      </c>
      <c r="V650" s="22" t="n"/>
    </row>
    <row r="651">
      <c r="A651" s="89" t="inlineStr">
        <is>
          <t>1460</t>
        </is>
      </c>
      <c r="B651" s="248" t="inlineStr">
        <is>
          <t>UNIQUE CAMP SOFT SHELL (NEOPRENE)</t>
        </is>
      </c>
      <c r="C651" s="88" t="n">
        <v>95200</v>
      </c>
      <c r="D651" s="88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88" t="n"/>
      <c r="N651" s="88" t="n"/>
      <c r="P651" s="117" t="n"/>
      <c r="R651" s="117" t="n"/>
      <c r="T651" s="117">
        <f>U651*C651</f>
        <v/>
      </c>
      <c r="U651" s="22" t="n">
        <v>1.29999999999999</v>
      </c>
      <c r="V651" s="22" t="n"/>
    </row>
    <row r="652">
      <c r="A652" s="89" t="inlineStr">
        <is>
          <t>1462</t>
        </is>
      </c>
      <c r="B652" s="248" t="inlineStr">
        <is>
          <t>CAMPERA SAHARA</t>
        </is>
      </c>
      <c r="C652" s="88" t="n">
        <v>62400</v>
      </c>
      <c r="D652" s="88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88" t="n"/>
      <c r="N652" s="88" t="n"/>
      <c r="P652" s="117" t="n"/>
      <c r="R652" s="117" t="n"/>
      <c r="T652" s="117">
        <f>U652*C652</f>
        <v/>
      </c>
      <c r="U652" s="22" t="n">
        <v>1.29999999999999</v>
      </c>
      <c r="V652" s="22" t="n"/>
    </row>
    <row r="653">
      <c r="A653" s="89" t="inlineStr">
        <is>
          <t>1463</t>
        </is>
      </c>
      <c r="B653" s="248" t="inlineStr">
        <is>
          <t>CAMPERA XKAW</t>
        </is>
      </c>
      <c r="C653" s="88" t="n">
        <v>58100</v>
      </c>
      <c r="D653" s="88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88" t="n"/>
      <c r="N653" s="88" t="n"/>
      <c r="P653" s="117" t="n"/>
      <c r="R653" s="117" t="n"/>
      <c r="T653" s="117">
        <f>U653*C653</f>
        <v/>
      </c>
      <c r="U653" s="22" t="n">
        <v>1.29999999999999</v>
      </c>
      <c r="V653" s="22" t="n"/>
    </row>
    <row r="654">
      <c r="A654" s="89" t="inlineStr">
        <is>
          <t>1464</t>
        </is>
      </c>
      <c r="B654" s="248" t="inlineStr">
        <is>
          <t>MICROPOLAR C/CORDERITO</t>
        </is>
      </c>
      <c r="C654" s="88" t="n">
        <v>52700</v>
      </c>
      <c r="D654" s="88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88" t="n"/>
      <c r="N654" s="88" t="n"/>
      <c r="P654" s="117" t="n"/>
      <c r="R654" s="117" t="n"/>
      <c r="T654" s="117">
        <f>U654*C654</f>
        <v/>
      </c>
      <c r="U654" s="22" t="n">
        <v>1.29999999999999</v>
      </c>
      <c r="V654" s="22" t="n"/>
    </row>
    <row r="655">
      <c r="A655" s="89" t="inlineStr">
        <is>
          <t>1465</t>
        </is>
      </c>
      <c r="B655" s="248" t="inlineStr">
        <is>
          <t>DIOR CAMP TEÑIDA GRIS</t>
        </is>
      </c>
      <c r="C655" s="88" t="n">
        <v>121800</v>
      </c>
      <c r="D655" s="88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88" t="n"/>
      <c r="N655" s="88" t="n"/>
      <c r="P655" s="117" t="n"/>
      <c r="R655" s="117" t="n"/>
      <c r="T655" s="117">
        <f>U655*C655</f>
        <v/>
      </c>
      <c r="U655" s="22" t="n">
        <v>1.29999999999998</v>
      </c>
      <c r="V655" s="22" t="n"/>
    </row>
    <row r="656">
      <c r="A656" s="89" t="inlineStr">
        <is>
          <t>1466</t>
        </is>
      </c>
      <c r="B656" s="248" t="inlineStr">
        <is>
          <t>DIOR CAMP SIMIL CUERO MARRON</t>
        </is>
      </c>
      <c r="C656" s="88" t="n">
        <v>132500</v>
      </c>
      <c r="D656" s="88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88" t="n"/>
      <c r="N656" s="88" t="n"/>
      <c r="P656" s="117" t="n"/>
      <c r="R656" s="117" t="n"/>
      <c r="T656" s="117">
        <f>U656*C656</f>
        <v/>
      </c>
      <c r="U656" s="22" t="n">
        <v>1.29999999999998</v>
      </c>
      <c r="V656" s="22" t="n"/>
    </row>
    <row r="657">
      <c r="A657" s="89" t="inlineStr">
        <is>
          <t>1470</t>
        </is>
      </c>
      <c r="B657" s="248" t="inlineStr">
        <is>
          <t>SUSY 24 SIMIL</t>
        </is>
      </c>
      <c r="C657" s="88" t="n">
        <v>107200</v>
      </c>
      <c r="D657" s="88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88" t="n"/>
      <c r="N657" s="88" t="n"/>
      <c r="P657" s="117" t="n"/>
      <c r="R657" s="117" t="n"/>
      <c r="T657" s="117">
        <f>U657*C657</f>
        <v/>
      </c>
      <c r="U657" s="22" t="n">
        <v>1.29999999999998</v>
      </c>
      <c r="V657" s="22" t="n"/>
    </row>
    <row r="658">
      <c r="A658" s="89" t="inlineStr">
        <is>
          <t>1471</t>
        </is>
      </c>
      <c r="B658" s="248" t="inlineStr">
        <is>
          <t>SWISS MILITARY SIMIL</t>
        </is>
      </c>
      <c r="C658" s="88" t="n">
        <v>112700</v>
      </c>
      <c r="D658" s="88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88" t="n"/>
      <c r="N658" s="88" t="n"/>
      <c r="P658" s="117" t="n"/>
      <c r="R658" s="117" t="n"/>
      <c r="T658" s="117">
        <f>U658*C658</f>
        <v/>
      </c>
      <c r="U658" s="22" t="n">
        <v>1.29999999999998</v>
      </c>
      <c r="V658" s="22" t="n"/>
    </row>
    <row r="659">
      <c r="A659" s="89" t="inlineStr">
        <is>
          <t>14721</t>
        </is>
      </c>
      <c r="B659" s="248" t="inlineStr">
        <is>
          <t xml:space="preserve">GLOBO T ESPECIAL </t>
        </is>
      </c>
      <c r="C659" s="88" t="n">
        <v>127100</v>
      </c>
      <c r="D659" s="88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88" t="n"/>
      <c r="N659" s="88" t="n"/>
      <c r="P659" s="117" t="n"/>
      <c r="R659" s="117" t="n"/>
      <c r="T659" s="117">
        <f>U659*C659</f>
        <v/>
      </c>
      <c r="U659" s="22" t="n">
        <v>1.29999999999998</v>
      </c>
      <c r="V659" s="22" t="n"/>
    </row>
    <row r="660">
      <c r="A660" s="89" t="inlineStr">
        <is>
          <t>14722</t>
        </is>
      </c>
      <c r="B660" s="248" t="inlineStr">
        <is>
          <t>CAMPERA WRGE</t>
        </is>
      </c>
      <c r="C660" s="88" t="n">
        <v>138800</v>
      </c>
      <c r="D660" s="88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88" t="n"/>
      <c r="N660" s="88" t="n"/>
      <c r="P660" s="117" t="n"/>
      <c r="R660" s="117" t="n"/>
      <c r="T660" s="117">
        <f>U660*C660</f>
        <v/>
      </c>
      <c r="U660" s="22" t="n">
        <v>1.29999999999998</v>
      </c>
      <c r="V660" s="22" t="n"/>
    </row>
    <row r="661">
      <c r="A661" s="89" t="inlineStr">
        <is>
          <t>14723</t>
        </is>
      </c>
      <c r="B661" s="248" t="inlineStr">
        <is>
          <t>CAMPERA WRGE CAPUCHA DESMONTABLE</t>
        </is>
      </c>
      <c r="C661" s="88" t="n">
        <v>148000</v>
      </c>
      <c r="D661" s="88" t="n"/>
      <c r="E661" s="88" t="n">
        <v>3200</v>
      </c>
      <c r="F661" s="22" t="n"/>
      <c r="G661" s="22" t="n"/>
      <c r="H661" s="22" t="n"/>
      <c r="I661" s="22" t="n"/>
      <c r="J661" s="22" t="n"/>
      <c r="K661" s="22" t="n"/>
      <c r="L661" s="22" t="n"/>
      <c r="M661" s="88" t="n"/>
      <c r="N661" s="88" t="n"/>
      <c r="P661" s="117" t="n"/>
      <c r="R661" s="117" t="n"/>
      <c r="T661" s="117">
        <f>U661*C661</f>
        <v/>
      </c>
      <c r="U661" s="22" t="n">
        <v>1.29999999999998</v>
      </c>
      <c r="V661" s="22" t="n"/>
    </row>
    <row r="662">
      <c r="A662" s="89" t="inlineStr">
        <is>
          <t>14725</t>
        </is>
      </c>
      <c r="B662" s="248" t="inlineStr">
        <is>
          <t>AUTDOOR WEAR SOFTSHELL</t>
        </is>
      </c>
      <c r="C662" s="88" t="n">
        <v>111600</v>
      </c>
      <c r="D662" s="88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88" t="n"/>
      <c r="N662" s="88" t="n"/>
      <c r="P662" s="117" t="n"/>
      <c r="R662" s="117" t="n"/>
      <c r="T662" s="117">
        <f>U662*C662</f>
        <v/>
      </c>
      <c r="U662" s="22" t="n">
        <v>1.29999999999998</v>
      </c>
      <c r="V662" s="22" t="n"/>
    </row>
    <row r="663">
      <c r="A663" s="89" t="inlineStr">
        <is>
          <t>14727</t>
        </is>
      </c>
      <c r="B663" s="248" t="inlineStr">
        <is>
          <t>CAMPERA AVIADOR</t>
        </is>
      </c>
      <c r="C663" s="88" t="n">
        <v>111000</v>
      </c>
      <c r="D663" s="88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88" t="n"/>
      <c r="N663" s="88" t="n"/>
      <c r="P663" s="117" t="n"/>
      <c r="R663" s="117" t="n"/>
      <c r="T663" s="117">
        <f>U663*C663</f>
        <v/>
      </c>
      <c r="U663" s="22" t="n">
        <v>1.29999999999998</v>
      </c>
      <c r="V663" s="22" t="n"/>
    </row>
    <row r="664">
      <c r="A664" s="89" t="inlineStr">
        <is>
          <t>14729</t>
        </is>
      </c>
      <c r="B664" s="248" t="inlineStr">
        <is>
          <t>ALTUNDAS CUELLO PIEL</t>
        </is>
      </c>
      <c r="C664" s="88" t="n">
        <v>116700</v>
      </c>
      <c r="D664" s="88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88" t="n"/>
      <c r="N664" s="88" t="n"/>
      <c r="P664" s="117" t="n"/>
      <c r="R664" s="117" t="n"/>
      <c r="T664" s="117">
        <f>U664*C664</f>
        <v/>
      </c>
      <c r="U664" s="22" t="n">
        <v>1.29999999999998</v>
      </c>
      <c r="V664" s="22" t="n"/>
    </row>
    <row r="665">
      <c r="A665" s="89" t="inlineStr">
        <is>
          <t>14731</t>
        </is>
      </c>
      <c r="B665" s="248" t="inlineStr">
        <is>
          <t>CANELON C/ BRILLO</t>
        </is>
      </c>
      <c r="C665" s="88" t="n">
        <v>105900</v>
      </c>
      <c r="D665" s="88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88" t="n"/>
      <c r="N665" s="88" t="n"/>
      <c r="P665" s="117" t="n"/>
      <c r="R665" s="117" t="n"/>
      <c r="T665" s="117">
        <f>U665*C665</f>
        <v/>
      </c>
      <c r="U665" s="22" t="n">
        <v>1.29999999999998</v>
      </c>
      <c r="V665" s="22" t="n"/>
    </row>
    <row r="666">
      <c r="A666" s="89" t="inlineStr">
        <is>
          <t>14732</t>
        </is>
      </c>
      <c r="B666" s="248" t="inlineStr">
        <is>
          <t>MENSFIELD GLOBO</t>
        </is>
      </c>
      <c r="C666" s="88" t="n">
        <v>107000</v>
      </c>
      <c r="D666" s="88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88" t="n"/>
      <c r="N666" s="88" t="n"/>
      <c r="P666" s="117" t="n"/>
      <c r="R666" s="117" t="n"/>
      <c r="T666" s="117">
        <f>U666*C666</f>
        <v/>
      </c>
      <c r="U666" s="22" t="n">
        <v>1.29999999999998</v>
      </c>
      <c r="V666" s="22" t="n"/>
    </row>
    <row r="667">
      <c r="A667" s="89" t="inlineStr">
        <is>
          <t>14733</t>
        </is>
      </c>
      <c r="B667" s="248" t="inlineStr">
        <is>
          <t>MENSFIELD VIVO NARANJA</t>
        </is>
      </c>
      <c r="C667" s="88" t="n">
        <v>120200</v>
      </c>
      <c r="D667" s="88" t="n"/>
      <c r="E667" s="92" t="n"/>
      <c r="F667" s="22" t="n"/>
      <c r="G667" s="22" t="n"/>
      <c r="H667" s="22" t="n"/>
      <c r="I667" s="22" t="n"/>
      <c r="J667" s="22" t="n"/>
      <c r="K667" s="22" t="n"/>
      <c r="L667" s="22" t="n"/>
      <c r="M667" s="88" t="n"/>
      <c r="N667" s="88" t="n"/>
      <c r="P667" s="117" t="n"/>
      <c r="R667" s="117" t="n"/>
      <c r="T667" s="117">
        <f>U667*C667</f>
        <v/>
      </c>
      <c r="U667" s="22" t="n">
        <v>1.29999999999998</v>
      </c>
      <c r="V667" s="22" t="n"/>
    </row>
    <row r="668">
      <c r="A668" s="89" t="inlineStr">
        <is>
          <t>14734</t>
        </is>
      </c>
      <c r="B668" s="248" t="inlineStr">
        <is>
          <t>MENSFIELD PUÑO</t>
        </is>
      </c>
      <c r="C668" s="88" t="n">
        <v>97400</v>
      </c>
      <c r="D668" s="88" t="n"/>
      <c r="E668" s="92" t="n"/>
      <c r="F668" s="22" t="n"/>
      <c r="G668" s="22" t="n"/>
      <c r="H668" s="22" t="n"/>
      <c r="I668" s="22" t="n"/>
      <c r="J668" s="22" t="n"/>
      <c r="K668" s="22" t="n"/>
      <c r="L668" s="22" t="n"/>
      <c r="M668" s="88" t="n"/>
      <c r="N668" s="88" t="n"/>
      <c r="P668" s="117" t="n"/>
      <c r="R668" s="117" t="n"/>
      <c r="T668" s="117">
        <f>U668*C668</f>
        <v/>
      </c>
      <c r="U668" s="22" t="n">
        <v>1.29999999999998</v>
      </c>
      <c r="V668" s="22" t="n"/>
    </row>
    <row r="669">
      <c r="A669" s="89" t="inlineStr">
        <is>
          <t>14735</t>
        </is>
      </c>
      <c r="B669" s="248" t="inlineStr">
        <is>
          <t>MENSFIELD CORDERITO</t>
        </is>
      </c>
      <c r="C669" s="88" t="n">
        <v>97400</v>
      </c>
      <c r="D669" s="88" t="n"/>
      <c r="E669" s="92" t="n"/>
      <c r="F669" s="22" t="n"/>
      <c r="G669" s="22" t="n"/>
      <c r="H669" s="22" t="n"/>
      <c r="I669" s="22" t="n"/>
      <c r="J669" s="22" t="n"/>
      <c r="K669" s="22" t="n"/>
      <c r="L669" s="22" t="n"/>
      <c r="M669" s="88" t="n"/>
      <c r="N669" s="88" t="n"/>
      <c r="P669" s="117" t="n"/>
      <c r="R669" s="117" t="n"/>
      <c r="T669" s="117">
        <f>U669*C669</f>
        <v/>
      </c>
      <c r="U669" s="22" t="n">
        <v>1.29999999999998</v>
      </c>
      <c r="V669" s="22" t="n"/>
    </row>
    <row r="670">
      <c r="A670" s="89" t="inlineStr">
        <is>
          <t>14736</t>
        </is>
      </c>
      <c r="B670" s="248" t="inlineStr">
        <is>
          <t>MENSFIELD CAMUFLADA</t>
        </is>
      </c>
      <c r="C670" s="88" t="n">
        <v>120400</v>
      </c>
      <c r="D670" s="88" t="n"/>
      <c r="E670" s="92" t="n"/>
      <c r="F670" s="22" t="n"/>
      <c r="G670" s="22" t="n"/>
      <c r="H670" s="22" t="n"/>
      <c r="I670" s="22" t="n"/>
      <c r="J670" s="22" t="n"/>
      <c r="K670" s="22" t="n"/>
      <c r="L670" s="22" t="n"/>
      <c r="M670" s="88" t="n"/>
      <c r="N670" s="88" t="n"/>
      <c r="P670" s="117" t="n"/>
      <c r="R670" s="117" t="n"/>
      <c r="T670" s="117">
        <f>U670*C670</f>
        <v/>
      </c>
      <c r="U670" s="22" t="n">
        <v>1.29999999999998</v>
      </c>
      <c r="V670" s="22" t="n"/>
    </row>
    <row r="671">
      <c r="A671" s="89" t="inlineStr">
        <is>
          <t>14737</t>
        </is>
      </c>
      <c r="B671" s="248" t="inlineStr">
        <is>
          <t>PARKA HOMBRE</t>
        </is>
      </c>
      <c r="C671" s="88" t="n">
        <v>147300</v>
      </c>
      <c r="D671" s="88" t="n"/>
      <c r="E671" s="92" t="n"/>
      <c r="F671" s="22" t="n"/>
      <c r="G671" s="22" t="n"/>
      <c r="H671" s="22" t="n"/>
      <c r="I671" s="22" t="n"/>
      <c r="J671" s="22" t="n"/>
      <c r="K671" s="22" t="n"/>
      <c r="L671" s="22" t="n"/>
      <c r="M671" s="88" t="n"/>
      <c r="N671" s="88" t="n"/>
      <c r="P671" s="117" t="n"/>
      <c r="R671" s="117" t="n"/>
      <c r="T671" s="117">
        <f>U671*C671</f>
        <v/>
      </c>
      <c r="U671" s="22" t="n">
        <v>1.29999999999998</v>
      </c>
      <c r="V671" s="22" t="n"/>
    </row>
    <row r="672">
      <c r="A672" s="89" t="inlineStr">
        <is>
          <t>14738</t>
        </is>
      </c>
      <c r="B672" s="248" t="inlineStr">
        <is>
          <t>ROMPEVIENTO I-RUN</t>
        </is>
      </c>
      <c r="C672" s="88" t="n">
        <v>102000</v>
      </c>
      <c r="D672" s="88" t="n"/>
      <c r="E672" s="88" t="n"/>
      <c r="F672" s="88" t="n"/>
      <c r="G672" s="88" t="n"/>
      <c r="H672" s="88" t="n"/>
      <c r="I672" s="88" t="n"/>
      <c r="J672" s="22" t="n"/>
      <c r="K672" s="22" t="n"/>
      <c r="L672" s="22" t="n"/>
      <c r="M672" s="88" t="n"/>
      <c r="N672" s="88" t="n"/>
      <c r="P672" s="117" t="n"/>
      <c r="R672" s="117" t="n"/>
      <c r="T672" s="117">
        <f>U672*C672</f>
        <v/>
      </c>
      <c r="U672" s="22" t="n">
        <v>1.29999999999998</v>
      </c>
      <c r="V672" s="22" t="n"/>
      <c r="AE672" s="22" t="n"/>
      <c r="AF672" s="22" t="n"/>
      <c r="AG672" s="22" t="n"/>
      <c r="AH672" s="22" t="n"/>
      <c r="AI672" s="22" t="n"/>
      <c r="AJ672" s="22" t="n"/>
      <c r="AK672" s="22" t="n"/>
      <c r="AL672" s="22" t="n"/>
      <c r="AM672" s="22" t="n"/>
      <c r="AN672" s="22" t="n"/>
      <c r="AO672" s="22" t="n"/>
    </row>
    <row r="673">
      <c r="A673" s="89" t="inlineStr">
        <is>
          <t>14739</t>
        </is>
      </c>
      <c r="B673" s="248" t="inlineStr">
        <is>
          <t xml:space="preserve"> I-RUN IRUN DEPORTIVA</t>
        </is>
      </c>
      <c r="C673" s="88" t="n">
        <v>132600</v>
      </c>
      <c r="D673" s="88" t="n"/>
      <c r="E673" s="88" t="n"/>
      <c r="F673" s="88" t="n"/>
      <c r="G673" s="88" t="n"/>
      <c r="H673" s="88" t="n"/>
      <c r="I673" s="88" t="n"/>
      <c r="J673" s="22" t="n"/>
      <c r="K673" s="22" t="n"/>
      <c r="L673" s="22" t="n"/>
      <c r="M673" s="88" t="n"/>
      <c r="N673" s="88" t="n"/>
      <c r="P673" s="117" t="n"/>
      <c r="R673" s="117" t="n"/>
      <c r="T673" s="117">
        <f>U673*C673</f>
        <v/>
      </c>
      <c r="U673" s="22" t="n">
        <v>1.29999999999998</v>
      </c>
      <c r="V673" s="22" t="n"/>
      <c r="AE673" s="22" t="n"/>
      <c r="AF673" s="22" t="n"/>
      <c r="AG673" s="22" t="n"/>
      <c r="AH673" s="22" t="n"/>
      <c r="AI673" s="22" t="n"/>
      <c r="AJ673" s="22" t="n"/>
      <c r="AK673" s="22" t="n"/>
      <c r="AL673" s="22" t="n"/>
      <c r="AM673" s="22" t="n"/>
      <c r="AN673" s="22" t="n"/>
      <c r="AO673" s="22" t="n"/>
    </row>
    <row r="674">
      <c r="A674" s="89" t="inlineStr">
        <is>
          <t>14741</t>
        </is>
      </c>
      <c r="B674" s="248" t="inlineStr">
        <is>
          <t>PARKA HOMBRE MICROFIBRA</t>
        </is>
      </c>
      <c r="C674" s="88" t="n">
        <v>147300</v>
      </c>
      <c r="D674" s="88" t="n"/>
      <c r="E674" s="92" t="n"/>
      <c r="F674" s="22" t="n"/>
      <c r="G674" s="22" t="n"/>
      <c r="H674" s="22" t="n"/>
      <c r="I674" s="22" t="n"/>
      <c r="J674" s="22" t="n"/>
      <c r="K674" s="22" t="n"/>
      <c r="L674" s="22" t="n"/>
      <c r="M674" s="88" t="n"/>
      <c r="N674" s="88" t="n"/>
      <c r="P674" s="117" t="n"/>
      <c r="R674" s="117" t="n"/>
      <c r="T674" s="117">
        <f>U674*C674</f>
        <v/>
      </c>
      <c r="U674" s="22" t="n">
        <v>1.29999999999998</v>
      </c>
      <c r="V674" s="22" t="n"/>
    </row>
    <row r="675">
      <c r="A675" s="89" t="inlineStr">
        <is>
          <t>14742</t>
        </is>
      </c>
      <c r="B675" s="248" t="inlineStr">
        <is>
          <t>CAMP HOMBRE MICROFIBRA</t>
        </is>
      </c>
      <c r="C675" s="88" t="n">
        <v>79000</v>
      </c>
      <c r="D675" s="88" t="n"/>
      <c r="E675" s="92" t="n"/>
      <c r="F675" s="22" t="n"/>
      <c r="G675" s="22" t="n"/>
      <c r="H675" s="22" t="n"/>
      <c r="I675" s="22" t="n"/>
      <c r="J675" s="22" t="n"/>
      <c r="K675" s="22" t="n"/>
      <c r="L675" s="22" t="n"/>
      <c r="M675" s="88" t="n"/>
      <c r="N675" s="88" t="n"/>
      <c r="P675" s="117" t="n"/>
      <c r="R675" s="117" t="n"/>
      <c r="T675" s="117">
        <f>U675*C675</f>
        <v/>
      </c>
      <c r="U675" s="22" t="n">
        <v>1.29999999999998</v>
      </c>
      <c r="V675" s="22" t="n"/>
    </row>
    <row r="676">
      <c r="A676" s="89" t="inlineStr">
        <is>
          <t>8898</t>
        </is>
      </c>
      <c r="B676" s="248" t="inlineStr">
        <is>
          <t>PILOTO HOMBRE IMPORT</t>
        </is>
      </c>
      <c r="C676" s="88" t="n">
        <v>85000</v>
      </c>
      <c r="D676" s="88" t="n"/>
      <c r="E676" s="92" t="n"/>
      <c r="F676" s="22" t="n"/>
      <c r="G676" s="22" t="n"/>
      <c r="H676" s="22" t="n"/>
      <c r="I676" s="22" t="n"/>
      <c r="J676" s="22" t="n"/>
      <c r="K676" s="22" t="n"/>
      <c r="L676" s="22" t="n"/>
      <c r="M676" s="88" t="n"/>
      <c r="N676" s="88" t="n"/>
      <c r="P676" s="117" t="n"/>
      <c r="R676" s="117" t="n"/>
      <c r="T676" s="117">
        <f>U676*C676</f>
        <v/>
      </c>
      <c r="U676" s="22" t="n">
        <v>1.29999999999998</v>
      </c>
      <c r="V676" s="22" t="n"/>
    </row>
    <row r="677">
      <c r="A677" s="89" t="inlineStr">
        <is>
          <t>41109</t>
        </is>
      </c>
      <c r="B677" s="248" t="inlineStr">
        <is>
          <t>IÑAKI - ALGODÓN C/FRIZA T2</t>
        </is>
      </c>
      <c r="C677" s="88" t="n">
        <v>44500</v>
      </c>
      <c r="D677" s="88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88" t="n"/>
      <c r="N677" s="88" t="n"/>
      <c r="P677" s="117" t="n"/>
      <c r="R677" s="117" t="n"/>
      <c r="T677" s="117">
        <f>U677*C677</f>
        <v/>
      </c>
      <c r="U677" s="22" t="n">
        <v>1.29999999999998</v>
      </c>
      <c r="V677" s="22" t="n"/>
    </row>
    <row r="678">
      <c r="A678" s="89" t="n"/>
      <c r="B678" s="248" t="inlineStr">
        <is>
          <t>IÑAKI URBAN STYLE</t>
        </is>
      </c>
      <c r="C678" s="88" t="n">
        <v>67100</v>
      </c>
      <c r="D678" s="88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88" t="n"/>
      <c r="N678" s="88" t="n"/>
      <c r="P678" s="117" t="n"/>
      <c r="R678" s="117" t="n"/>
      <c r="T678" s="117">
        <f>U678*C678</f>
        <v/>
      </c>
      <c r="U678" s="22" t="n">
        <v>1.29999999999998</v>
      </c>
      <c r="V678" s="22" t="n"/>
    </row>
    <row r="679">
      <c r="A679" s="89" t="inlineStr">
        <is>
          <t>9014015</t>
        </is>
      </c>
      <c r="B679" s="248" t="inlineStr">
        <is>
          <t>MIXTICA CAMP ALGODÓN</t>
        </is>
      </c>
      <c r="C679" s="88" t="n">
        <v>42000</v>
      </c>
      <c r="D679" s="88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88" t="n"/>
      <c r="N679" s="88" t="n"/>
      <c r="P679" s="117" t="n"/>
      <c r="R679" s="117" t="n"/>
      <c r="T679" s="117">
        <f>U679*C679</f>
        <v/>
      </c>
      <c r="U679" s="22" t="n">
        <v>1.29999999999998</v>
      </c>
      <c r="V679" s="22" t="n"/>
    </row>
    <row r="680">
      <c r="A680" s="89" t="inlineStr">
        <is>
          <t>8709</t>
        </is>
      </c>
      <c r="B680" s="248" t="inlineStr">
        <is>
          <t>LUCA IMPERMEABLE</t>
        </is>
      </c>
      <c r="C680" s="88" t="n">
        <v>47200</v>
      </c>
      <c r="D680" s="88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88" t="n"/>
      <c r="N680" s="88" t="n"/>
      <c r="P680" s="117" t="n"/>
      <c r="R680" s="117" t="n"/>
      <c r="T680" s="117">
        <f>U680*C680</f>
        <v/>
      </c>
      <c r="U680" s="22" t="n">
        <v>1.29999999999998</v>
      </c>
      <c r="V680" s="22" t="n"/>
    </row>
    <row r="681">
      <c r="A681" s="89" t="inlineStr">
        <is>
          <t>7/06/8235</t>
        </is>
      </c>
      <c r="B681" s="248" t="inlineStr">
        <is>
          <t>CAMPERA DESMONTABLE SOFTSHELL</t>
        </is>
      </c>
      <c r="C681" s="88" t="n">
        <v>127000</v>
      </c>
      <c r="D681" s="88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88" t="n"/>
      <c r="N681" s="88" t="n"/>
      <c r="P681" s="117" t="n"/>
      <c r="R681" s="117" t="n"/>
      <c r="T681" s="117">
        <f>U681*C681</f>
        <v/>
      </c>
      <c r="U681" s="22" t="n">
        <v>1.29999999999998</v>
      </c>
      <c r="V681" s="22" t="n"/>
    </row>
    <row r="682">
      <c r="A682" s="89" t="n"/>
      <c r="B682" s="248" t="n"/>
      <c r="C682" s="88" t="n"/>
      <c r="D682" s="88" t="n"/>
      <c r="E682" s="88" t="n"/>
      <c r="F682" s="88" t="n"/>
      <c r="G682" s="88" t="n"/>
      <c r="H682" s="88" t="n"/>
      <c r="I682" s="88" t="n"/>
      <c r="J682" s="88" t="n"/>
      <c r="K682" s="88" t="n"/>
      <c r="L682" s="88" t="n"/>
      <c r="M682" s="88" t="n"/>
      <c r="N682" s="88" t="n"/>
      <c r="P682" s="117" t="n"/>
      <c r="R682" s="117" t="n"/>
      <c r="T682" s="117" t="n"/>
    </row>
    <row r="683">
      <c r="A683" s="89" t="n"/>
      <c r="B683" s="248" t="n"/>
      <c r="C683" s="88" t="n"/>
      <c r="D683" s="88" t="n"/>
      <c r="E683" s="88" t="n"/>
      <c r="F683" s="88" t="n"/>
      <c r="G683" s="88" t="n"/>
      <c r="H683" s="88" t="n"/>
      <c r="I683" s="88" t="n"/>
      <c r="J683" s="88" t="n"/>
      <c r="K683" s="88" t="n"/>
      <c r="L683" s="88" t="n"/>
      <c r="M683" s="88" t="n"/>
      <c r="N683" s="88" t="n"/>
      <c r="P683" s="117" t="n"/>
      <c r="R683" s="117" t="n"/>
      <c r="T683" s="117" t="n"/>
    </row>
    <row r="684">
      <c r="A684" s="80" t="n"/>
      <c r="B684" s="81" t="inlineStr">
        <is>
          <t>CAMPERAS ALGODÓN Y ACETATO (ESTANTE)</t>
        </is>
      </c>
      <c r="C684" s="83" t="inlineStr">
        <is>
          <t>1 al 4</t>
        </is>
      </c>
      <c r="D684" s="83" t="n">
        <v>5</v>
      </c>
      <c r="E684" s="83" t="n">
        <v>6</v>
      </c>
      <c r="F684" s="83" t="n">
        <v>7</v>
      </c>
      <c r="G684" s="83" t="n">
        <v>8</v>
      </c>
      <c r="H684" s="83" t="n">
        <v>9</v>
      </c>
      <c r="I684" s="83" t="n">
        <v>10</v>
      </c>
      <c r="J684" s="83" t="n">
        <v>12</v>
      </c>
      <c r="K684" s="83" t="n">
        <v>14</v>
      </c>
      <c r="L684" s="83" t="n">
        <v>16</v>
      </c>
      <c r="M684" s="83" t="n"/>
      <c r="N684" s="80" t="inlineStr">
        <is>
          <t>03/26</t>
        </is>
      </c>
      <c r="P684" s="117" t="n"/>
      <c r="Q684" s="85" t="n"/>
      <c r="R684" s="84" t="n"/>
      <c r="S684" s="94" t="n">
        <v>1.17</v>
      </c>
      <c r="T684" s="84" t="n"/>
      <c r="U684" s="85" t="n"/>
      <c r="V684" s="85" t="n"/>
      <c r="W684" s="85" t="n"/>
      <c r="X684" s="85" t="n"/>
      <c r="Y684" s="85" t="n"/>
      <c r="Z684" s="85" t="n"/>
      <c r="AA684" s="85" t="n"/>
      <c r="AB684" s="85" t="n"/>
      <c r="AC684" s="85" t="n"/>
      <c r="AD684" s="85" t="n"/>
      <c r="AE684" s="85" t="n"/>
      <c r="AF684" s="85" t="n"/>
      <c r="AG684" s="85" t="n"/>
      <c r="AH684" s="85" t="n"/>
      <c r="AI684" s="85" t="n"/>
      <c r="AJ684" s="85" t="n"/>
      <c r="AK684" s="85" t="n"/>
      <c r="AL684" s="85" t="n"/>
      <c r="AM684" s="85" t="n"/>
      <c r="AN684" s="85" t="n"/>
      <c r="AO684" s="85" t="n"/>
    </row>
    <row r="685">
      <c r="A685" s="89" t="inlineStr">
        <is>
          <t>INV428</t>
        </is>
      </c>
      <c r="B685" s="248" t="inlineStr">
        <is>
          <t>AERO</t>
        </is>
      </c>
      <c r="C685" s="88" t="n">
        <v>51900</v>
      </c>
      <c r="D685" s="88">
        <f>ROUND((C685*1.06)/100,0)*100</f>
        <v/>
      </c>
      <c r="E685" s="88">
        <f>ROUND((C685*1.15)/100,0)*100</f>
        <v/>
      </c>
      <c r="F685" s="88">
        <f>ROUND((C685*1.23)/100,0)*100</f>
        <v/>
      </c>
      <c r="G685" s="88">
        <f>ROUND((C685*1.29)/100,0)*100</f>
        <v/>
      </c>
      <c r="H685" s="88">
        <f>ROUND((C685*1.35)/100,0)*100</f>
        <v/>
      </c>
      <c r="I685" s="88">
        <f>ROUND((C685*1.39)/100,0)*100</f>
        <v/>
      </c>
      <c r="J685" s="88">
        <f>ROUND((C685*1.39)/100,0)*100</f>
        <v/>
      </c>
      <c r="K685" s="22">
        <f>ROUND((C685*1.43)/100,0)*100</f>
        <v/>
      </c>
      <c r="L685" s="22">
        <f>ROUND((C685*1.43)/100,0)*100</f>
        <v/>
      </c>
      <c r="M685" s="22" t="n"/>
      <c r="N685" s="88" t="n"/>
      <c r="P685" s="117" t="n"/>
      <c r="R685" s="117">
        <f>S685*C685</f>
        <v/>
      </c>
      <c r="S685" s="94" t="n">
        <v>1.32</v>
      </c>
      <c r="T685" s="117" t="n"/>
      <c r="AO685" s="20" t="n"/>
    </row>
    <row r="686">
      <c r="A686" s="89" t="inlineStr">
        <is>
          <t>124</t>
        </is>
      </c>
      <c r="B686" s="248" t="inlineStr">
        <is>
          <t>JOAN DE LA CREU</t>
        </is>
      </c>
      <c r="C686" s="88" t="n">
        <v>47200</v>
      </c>
      <c r="D686" s="88">
        <f>ROUND((C686*1.06)/100,0)*100</f>
        <v/>
      </c>
      <c r="E686" s="88">
        <f>ROUND((C686*1.15)/100,0)*100</f>
        <v/>
      </c>
      <c r="F686" s="88">
        <f>ROUND((C686*1.23)/100,0)*100</f>
        <v/>
      </c>
      <c r="G686" s="88">
        <f>ROUND((C686*1.29)/100,0)*100</f>
        <v/>
      </c>
      <c r="H686" s="88">
        <f>ROUND((C686*1.35)/100,0)*100</f>
        <v/>
      </c>
      <c r="I686" s="88">
        <f>ROUND((C686*1.39)/100,0)*100</f>
        <v/>
      </c>
      <c r="J686" s="88">
        <f>ROUND((C686*1.39)/100,0)*100</f>
        <v/>
      </c>
      <c r="K686" s="22">
        <f>ROUND((C686*1.43)/100,0)*100</f>
        <v/>
      </c>
      <c r="L686" s="22">
        <f>ROUND((C686*1.43)/100,0)*100</f>
        <v/>
      </c>
      <c r="M686" s="88" t="n"/>
      <c r="N686" s="88" t="n"/>
      <c r="P686" s="117" t="n"/>
      <c r="R686" s="117">
        <f>S686*C686</f>
        <v/>
      </c>
      <c r="S686" s="94" t="n">
        <v>1.32</v>
      </c>
      <c r="T686" s="117" t="n"/>
      <c r="AO686" s="118" t="n"/>
    </row>
    <row r="687">
      <c r="A687" s="95" t="inlineStr">
        <is>
          <t>545</t>
        </is>
      </c>
      <c r="B687" s="248" t="inlineStr">
        <is>
          <t>AERO CAMP ALG LISA Y RAYADA</t>
        </is>
      </c>
      <c r="C687" s="88" t="n">
        <v>74500</v>
      </c>
      <c r="D687" s="88">
        <f>ROUND((C687*1.06)/100,0)*100</f>
        <v/>
      </c>
      <c r="E687" s="88">
        <f>ROUND((C687*1.15)/100,0)*100</f>
        <v/>
      </c>
      <c r="F687" s="88">
        <f>ROUND((C687*1.23)/100,0)*100</f>
        <v/>
      </c>
      <c r="G687" s="88">
        <f>ROUND((C687*1.29)/100,0)*100</f>
        <v/>
      </c>
      <c r="H687" s="88">
        <f>ROUND((C687*1.35)/100,0)*100</f>
        <v/>
      </c>
      <c r="I687" s="88">
        <f>ROUND((C687*1.39)/100,0)*100</f>
        <v/>
      </c>
      <c r="J687" s="88">
        <f>ROUND((C687*1.39)/100,0)*100</f>
        <v/>
      </c>
      <c r="K687" s="22">
        <f>ROUND((C687*1.43)/100,0)*100</f>
        <v/>
      </c>
      <c r="L687" s="22">
        <f>ROUND((C687*1.43)/100,0)*100</f>
        <v/>
      </c>
      <c r="M687" s="22" t="n"/>
      <c r="N687" s="88" t="n"/>
      <c r="P687" s="117" t="n"/>
      <c r="R687" s="117">
        <f>S687*C687</f>
        <v/>
      </c>
      <c r="S687" s="94" t="n">
        <v>1.32</v>
      </c>
      <c r="T687" s="117" t="n"/>
      <c r="AO687" s="118" t="n"/>
    </row>
    <row r="688">
      <c r="A688" s="89" t="inlineStr">
        <is>
          <t>547</t>
        </is>
      </c>
      <c r="B688" s="248" t="inlineStr">
        <is>
          <t>AERO</t>
        </is>
      </c>
      <c r="C688" s="88" t="n">
        <v>47200</v>
      </c>
      <c r="D688" s="88">
        <f>ROUND((C688*1.06)/100,0)*100</f>
        <v/>
      </c>
      <c r="E688" s="88">
        <f>ROUND((C688*1.15)/100,0)*100</f>
        <v/>
      </c>
      <c r="F688" s="88">
        <f>ROUND((C688*1.23)/100,0)*100</f>
        <v/>
      </c>
      <c r="G688" s="88">
        <f>ROUND((C688*1.29)/100,0)*100</f>
        <v/>
      </c>
      <c r="H688" s="88">
        <f>ROUND((C688*1.35)/100,0)*100</f>
        <v/>
      </c>
      <c r="I688" s="88">
        <f>ROUND((C688*1.39)/100,0)*100</f>
        <v/>
      </c>
      <c r="J688" s="88">
        <f>ROUND((C688*1.39)/100,0)*100</f>
        <v/>
      </c>
      <c r="K688" s="22">
        <f>ROUND((C688*1.43)/100,0)*100</f>
        <v/>
      </c>
      <c r="L688" s="22">
        <f>ROUND((C688*1.43)/100,0)*100</f>
        <v/>
      </c>
      <c r="M688" s="22" t="n"/>
      <c r="N688" s="88" t="n"/>
      <c r="P688" s="117" t="n"/>
      <c r="R688" s="117">
        <f>S688*C688</f>
        <v/>
      </c>
      <c r="S688" s="94" t="n">
        <v>1.32</v>
      </c>
      <c r="T688" s="117" t="n"/>
      <c r="AO688" s="118" t="n"/>
    </row>
    <row r="689">
      <c r="A689" s="89" t="inlineStr">
        <is>
          <t>552</t>
        </is>
      </c>
      <c r="B689" s="248" t="inlineStr">
        <is>
          <t xml:space="preserve"> CAMP ALGODÓN CUELLO CORDERITO</t>
        </is>
      </c>
      <c r="C689" s="88" t="n">
        <v>52900</v>
      </c>
      <c r="D689" s="88">
        <f>ROUND((C689*1.06)/100,0)*100</f>
        <v/>
      </c>
      <c r="E689" s="88">
        <f>ROUND((C689*1.15)/100,0)*100</f>
        <v/>
      </c>
      <c r="F689" s="88">
        <f>ROUND((C689*1.23)/100,0)*100</f>
        <v/>
      </c>
      <c r="G689" s="88">
        <f>ROUND((C689*1.29)/100,0)*100</f>
        <v/>
      </c>
      <c r="H689" s="88">
        <f>ROUND((C689*1.35)/100,0)*100</f>
        <v/>
      </c>
      <c r="I689" s="88">
        <f>ROUND((C689*1.39)/100,0)*100</f>
        <v/>
      </c>
      <c r="J689" s="88">
        <f>ROUND((C689*1.39)/100,0)*100</f>
        <v/>
      </c>
      <c r="K689" s="22">
        <f>ROUND((C689*1.43)/100,0)*100</f>
        <v/>
      </c>
      <c r="L689" s="22">
        <f>ROUND((C689*1.43)/100,0)*100</f>
        <v/>
      </c>
      <c r="M689" s="22" t="n"/>
      <c r="N689" s="88" t="n"/>
      <c r="P689" s="117" t="n"/>
      <c r="R689" s="117">
        <f>S689*C689</f>
        <v/>
      </c>
      <c r="S689" s="94" t="n">
        <v>1.32</v>
      </c>
      <c r="T689" s="117" t="n"/>
      <c r="AO689" s="118" t="n"/>
    </row>
    <row r="690">
      <c r="A690" s="89" t="inlineStr">
        <is>
          <t>555</t>
        </is>
      </c>
      <c r="B690" s="248" t="inlineStr">
        <is>
          <t xml:space="preserve"> CAMP ALGODÓN</t>
        </is>
      </c>
      <c r="C690" s="22" t="n">
        <v>600</v>
      </c>
      <c r="D690" s="88">
        <f>ROUND((C690*1.06)/100,0)*100</f>
        <v/>
      </c>
      <c r="E690" s="88">
        <f>ROUND((C690*1.15)/100,0)*100</f>
        <v/>
      </c>
      <c r="F690" s="88">
        <f>ROUND((C690*1.23)/100,0)*100</f>
        <v/>
      </c>
      <c r="G690" s="88">
        <f>ROUND((C690*1.29)/100,0)*100</f>
        <v/>
      </c>
      <c r="H690" s="88">
        <f>ROUND((C690*1.35)/100,0)*100</f>
        <v/>
      </c>
      <c r="I690" s="88">
        <f>ROUND((C690*1.39)/100,0)*100</f>
        <v/>
      </c>
      <c r="J690" s="88">
        <f>ROUND((C690*1.39)/100,0)*100</f>
        <v/>
      </c>
      <c r="K690" s="22">
        <f>ROUND((C690*1.43)/100,0)*100</f>
        <v/>
      </c>
      <c r="L690" s="22">
        <f>ROUND((C690*1.43)/100,0)*100</f>
        <v/>
      </c>
      <c r="M690" s="22" t="n"/>
      <c r="N690" s="88" t="n"/>
      <c r="P690" s="117" t="n"/>
      <c r="R690" s="117">
        <f>S690*C690</f>
        <v/>
      </c>
      <c r="S690" s="94" t="n">
        <v>1.32</v>
      </c>
      <c r="T690" s="117" t="n"/>
      <c r="AO690" s="118" t="n"/>
    </row>
    <row r="691">
      <c r="A691" s="89" t="inlineStr">
        <is>
          <t>545-31</t>
        </is>
      </c>
      <c r="B691" s="248" t="inlineStr">
        <is>
          <t xml:space="preserve"> CAMP ALGODÓN</t>
        </is>
      </c>
      <c r="C691" s="22" t="n">
        <v>600</v>
      </c>
      <c r="D691" s="88">
        <f>ROUND((C691*1.06)/100,0)*100</f>
        <v/>
      </c>
      <c r="E691" s="88">
        <f>ROUND((C691*1.15)/100,0)*100</f>
        <v/>
      </c>
      <c r="F691" s="88">
        <f>ROUND((C691*1.23)/100,0)*100</f>
        <v/>
      </c>
      <c r="G691" s="88">
        <f>ROUND((C691*1.29)/100,0)*100</f>
        <v/>
      </c>
      <c r="H691" s="88">
        <f>ROUND((C691*1.35)/100,0)*100</f>
        <v/>
      </c>
      <c r="I691" s="88">
        <f>ROUND((C691*1.39)/100,0)*100</f>
        <v/>
      </c>
      <c r="J691" s="88">
        <f>ROUND((C691*1.39)/100,0)*100</f>
        <v/>
      </c>
      <c r="K691" s="22">
        <f>ROUND((C691*1.43)/100,0)*100</f>
        <v/>
      </c>
      <c r="L691" s="22">
        <f>ROUND((C691*1.43)/100,0)*100</f>
        <v/>
      </c>
      <c r="M691" s="22" t="n"/>
      <c r="N691" s="88" t="n"/>
      <c r="P691" s="117" t="n"/>
      <c r="R691" s="117">
        <f>S691*C691</f>
        <v/>
      </c>
      <c r="S691" s="94" t="n">
        <v>1.32</v>
      </c>
      <c r="T691" s="117" t="n"/>
      <c r="AO691" s="118" t="n"/>
    </row>
    <row r="692">
      <c r="A692" s="89" t="inlineStr">
        <is>
          <t>558</t>
        </is>
      </c>
      <c r="B692" s="248" t="inlineStr">
        <is>
          <t>AERO CAMPERA ALGODÓN</t>
        </is>
      </c>
      <c r="C692" s="88" t="n">
        <v>51800</v>
      </c>
      <c r="D692" s="88">
        <f>ROUND((C692*1.06)/100,0)*100</f>
        <v/>
      </c>
      <c r="E692" s="88">
        <f>ROUND((C692*1.15)/100,0)*100</f>
        <v/>
      </c>
      <c r="F692" s="88">
        <f>ROUND((C692*1.23)/100,0)*100</f>
        <v/>
      </c>
      <c r="G692" s="88">
        <f>ROUND((C692*1.29)/100,0)*100</f>
        <v/>
      </c>
      <c r="H692" s="88">
        <f>ROUND((C692*1.35)/100,0)*100</f>
        <v/>
      </c>
      <c r="I692" s="88">
        <f>ROUND((C692*1.39)/100,0)*100</f>
        <v/>
      </c>
      <c r="J692" s="88">
        <f>ROUND((C692*1.39)/100,0)*100</f>
        <v/>
      </c>
      <c r="K692" s="22">
        <f>ROUND((C692*1.43)/100,0)*100</f>
        <v/>
      </c>
      <c r="L692" s="22">
        <f>ROUND((C692*1.43)/100,0)*100</f>
        <v/>
      </c>
      <c r="M692" s="22" t="n"/>
      <c r="N692" s="88" t="n"/>
      <c r="P692" s="117" t="n"/>
      <c r="R692" s="117">
        <f>S692*C692</f>
        <v/>
      </c>
      <c r="S692" s="94" t="n">
        <v>1.32</v>
      </c>
      <c r="T692" s="117" t="n"/>
      <c r="AO692" s="118" t="n"/>
    </row>
    <row r="693">
      <c r="A693" s="89" t="inlineStr">
        <is>
          <t>640/650</t>
        </is>
      </c>
      <c r="B693" s="248" t="inlineStr">
        <is>
          <t>NEW STAR CAMPERA FRIZA RAYADA</t>
        </is>
      </c>
      <c r="C693" s="88" t="n">
        <v>48000</v>
      </c>
      <c r="D693" s="88">
        <f>ROUND((C693*1.06)/100,0)*100</f>
        <v/>
      </c>
      <c r="E693" s="88">
        <f>ROUND((C693*1.15)/100,0)*100</f>
        <v/>
      </c>
      <c r="F693" s="88">
        <f>ROUND((C693*1.23)/100,0)*100</f>
        <v/>
      </c>
      <c r="G693" s="88">
        <f>ROUND((C693*1.29)/100,0)*100</f>
        <v/>
      </c>
      <c r="H693" s="88">
        <f>ROUND((C693*1.35)/100,0)*100</f>
        <v/>
      </c>
      <c r="I693" s="88">
        <f>ROUND((C693*1.39)/100,0)*100</f>
        <v/>
      </c>
      <c r="J693" s="88">
        <f>ROUND((C693*1.39)/100,0)*100</f>
        <v/>
      </c>
      <c r="K693" s="22">
        <f>ROUND((C693*1.43)/100,0)*100</f>
        <v/>
      </c>
      <c r="L693" s="22">
        <f>ROUND((C693*1.43)/100,0)*100</f>
        <v/>
      </c>
      <c r="M693" s="22" t="n"/>
      <c r="N693" s="88" t="n"/>
      <c r="P693" s="117" t="n"/>
      <c r="R693" s="117">
        <f>S693*C693</f>
        <v/>
      </c>
      <c r="S693" s="94" t="n">
        <v>1.32</v>
      </c>
      <c r="T693" s="117" t="n"/>
      <c r="AO693" s="118" t="n"/>
    </row>
    <row r="694">
      <c r="A694" s="89" t="inlineStr">
        <is>
          <t>aer791</t>
        </is>
      </c>
      <c r="B694" s="248" t="inlineStr">
        <is>
          <t xml:space="preserve"> CAMP ALGODÓN</t>
        </is>
      </c>
      <c r="C694" s="22" t="n">
        <v>79100</v>
      </c>
      <c r="D694" s="88">
        <f>ROUND((C694*1.06)/100,0)*100</f>
        <v/>
      </c>
      <c r="E694" s="88">
        <f>ROUND((C694*1.15)/100,0)*100</f>
        <v/>
      </c>
      <c r="F694" s="88">
        <f>ROUND((C694*1.23)/100,0)*100</f>
        <v/>
      </c>
      <c r="G694" s="88">
        <f>ROUND((C694*1.29)/100,0)*100</f>
        <v/>
      </c>
      <c r="H694" s="88">
        <f>ROUND((C694*1.35)/100,0)*100</f>
        <v/>
      </c>
      <c r="I694" s="88">
        <f>ROUND((C694*1.39)/100,0)*100</f>
        <v/>
      </c>
      <c r="J694" s="88">
        <f>ROUND((C694*1.39)/100,0)*100</f>
        <v/>
      </c>
      <c r="K694" s="22">
        <f>ROUND((C694*1.43)/100,0)*100</f>
        <v/>
      </c>
      <c r="L694" s="22">
        <f>ROUND((C694*1.43)/100,0)*100</f>
        <v/>
      </c>
      <c r="M694" s="22" t="n"/>
      <c r="N694" s="88" t="n"/>
      <c r="P694" s="117" t="n"/>
      <c r="R694" s="117">
        <f>S694*C694</f>
        <v/>
      </c>
      <c r="S694" s="94" t="n">
        <v>1.32</v>
      </c>
      <c r="T694" s="117" t="n"/>
      <c r="AO694" s="118" t="n"/>
    </row>
    <row r="695">
      <c r="A695" s="89" t="inlineStr">
        <is>
          <t>aer809</t>
        </is>
      </c>
      <c r="B695" s="248" t="inlineStr">
        <is>
          <t xml:space="preserve"> CAMP ALGODÓN COMB C ESTAMPA</t>
        </is>
      </c>
      <c r="C695" s="88" t="n">
        <v>48300</v>
      </c>
      <c r="D695" s="88">
        <f>ROUND((C695*1.06)/100,0)*100</f>
        <v/>
      </c>
      <c r="E695" s="88">
        <f>ROUND((C695*1.15)/100,0)*100</f>
        <v/>
      </c>
      <c r="F695" s="88">
        <f>ROUND((C695*1.23)/100,0)*100</f>
        <v/>
      </c>
      <c r="G695" s="88">
        <f>ROUND((C695*1.29)/100,0)*100</f>
        <v/>
      </c>
      <c r="H695" s="88">
        <f>ROUND((C695*1.35)/100,0)*100</f>
        <v/>
      </c>
      <c r="I695" s="88">
        <f>ROUND((C695*1.39)/100,0)*100</f>
        <v/>
      </c>
      <c r="J695" s="88">
        <f>ROUND((C695*1.39)/100,0)*100</f>
        <v/>
      </c>
      <c r="K695" s="22">
        <f>ROUND((C695*1.43)/100,0)*100</f>
        <v/>
      </c>
      <c r="L695" s="22">
        <f>ROUND((C695*1.43)/100,0)*100</f>
        <v/>
      </c>
      <c r="M695" s="22" t="n"/>
      <c r="N695" s="88" t="n"/>
      <c r="P695" s="117" t="n"/>
      <c r="R695" s="117">
        <f>S695*C695</f>
        <v/>
      </c>
      <c r="S695" s="94" t="n">
        <v>1.32</v>
      </c>
      <c r="T695" s="117" t="n"/>
      <c r="AO695" s="118" t="n"/>
    </row>
    <row r="696">
      <c r="A696" s="89" t="inlineStr">
        <is>
          <t>824</t>
        </is>
      </c>
      <c r="B696" s="248" t="inlineStr">
        <is>
          <t xml:space="preserve"> CAMP ALG CAPUCHA C CORDERITO</t>
        </is>
      </c>
      <c r="C696" s="88" t="n">
        <v>44600</v>
      </c>
      <c r="D696" s="88">
        <f>ROUND((C696*1.06)/100,0)*100</f>
        <v/>
      </c>
      <c r="E696" s="88">
        <f>ROUND((C696*1.15)/100,0)*100</f>
        <v/>
      </c>
      <c r="F696" s="88">
        <f>ROUND((C696*1.23)/100,0)*100</f>
        <v/>
      </c>
      <c r="G696" s="88">
        <f>ROUND((C696*1.29)/100,0)*100</f>
        <v/>
      </c>
      <c r="H696" s="88">
        <f>ROUND((C696*1.35)/100,0)*100</f>
        <v/>
      </c>
      <c r="I696" s="88">
        <f>ROUND((C696*1.39)/100,0)*100</f>
        <v/>
      </c>
      <c r="J696" s="88">
        <f>ROUND((C696*1.39)/100,0)*100</f>
        <v/>
      </c>
      <c r="K696" s="22">
        <f>ROUND((C696*1.43)/100,0)*100</f>
        <v/>
      </c>
      <c r="L696" s="22">
        <f>ROUND((C696*1.43)/100,0)*100</f>
        <v/>
      </c>
      <c r="M696" s="22" t="n"/>
      <c r="N696" s="88" t="n"/>
      <c r="P696" s="117" t="n"/>
      <c r="R696" s="117">
        <f>S696*C696</f>
        <v/>
      </c>
      <c r="S696" s="94" t="n">
        <v>1.32</v>
      </c>
      <c r="T696" s="117" t="n"/>
      <c r="AO696" s="118" t="n"/>
    </row>
    <row r="697">
      <c r="A697" s="89" t="inlineStr">
        <is>
          <t>2021</t>
        </is>
      </c>
      <c r="B697" s="248" t="inlineStr">
        <is>
          <t xml:space="preserve"> CAMP ALGODÓN</t>
        </is>
      </c>
      <c r="C697" s="22" t="n">
        <v>53500</v>
      </c>
      <c r="D697" s="88">
        <f>ROUND((C697*1.06)/100,0)*100</f>
        <v/>
      </c>
      <c r="E697" s="88">
        <f>ROUND((C697*1.15)/100,0)*100</f>
        <v/>
      </c>
      <c r="F697" s="88">
        <f>ROUND((C697*1.23)/100,0)*100</f>
        <v/>
      </c>
      <c r="G697" s="88">
        <f>ROUND((C697*1.29)/100,0)*100</f>
        <v/>
      </c>
      <c r="H697" s="88">
        <f>ROUND((C697*1.35)/100,0)*100</f>
        <v/>
      </c>
      <c r="I697" s="88">
        <f>ROUND((C697*1.39)/100,0)*100</f>
        <v/>
      </c>
      <c r="J697" s="88">
        <f>ROUND((C697*1.39)/100,0)*100</f>
        <v/>
      </c>
      <c r="K697" s="22">
        <f>ROUND((C697*1.43)/100,0)*100</f>
        <v/>
      </c>
      <c r="L697" s="22">
        <f>ROUND((C697*1.43)/100,0)*100</f>
        <v/>
      </c>
      <c r="M697" s="22" t="n"/>
      <c r="N697" s="88" t="n"/>
      <c r="P697" s="117" t="n"/>
      <c r="R697" s="117">
        <f>S697*C697</f>
        <v/>
      </c>
      <c r="S697" s="94" t="n">
        <v>1.32</v>
      </c>
      <c r="T697" s="117" t="n"/>
      <c r="AO697" s="118" t="n"/>
    </row>
    <row r="698">
      <c r="A698" s="89" t="inlineStr">
        <is>
          <t>2034</t>
        </is>
      </c>
      <c r="B698" s="248" t="inlineStr">
        <is>
          <t xml:space="preserve"> CAMP ALGODÓN</t>
        </is>
      </c>
      <c r="C698" s="22" t="n">
        <v>53500</v>
      </c>
      <c r="D698" s="88">
        <f>ROUND((C698*1.06)/100,0)*100</f>
        <v/>
      </c>
      <c r="E698" s="88">
        <f>ROUND((C698*1.15)/100,0)*100</f>
        <v/>
      </c>
      <c r="F698" s="88">
        <f>ROUND((C698*1.23)/100,0)*100</f>
        <v/>
      </c>
      <c r="G698" s="88">
        <f>ROUND((C698*1.29)/100,0)*100</f>
        <v/>
      </c>
      <c r="H698" s="88">
        <f>ROUND((C698*1.35)/100,0)*100</f>
        <v/>
      </c>
      <c r="I698" s="88">
        <f>ROUND((C698*1.39)/100,0)*100</f>
        <v/>
      </c>
      <c r="J698" s="88">
        <f>ROUND((C698*1.39)/100,0)*100</f>
        <v/>
      </c>
      <c r="K698" s="22">
        <f>ROUND((C698*1.43)/100,0)*100</f>
        <v/>
      </c>
      <c r="L698" s="22">
        <f>ROUND((C698*1.43)/100,0)*100</f>
        <v/>
      </c>
      <c r="M698" s="22" t="n"/>
      <c r="N698" s="88" t="n"/>
      <c r="P698" s="117" t="n"/>
      <c r="R698" s="117">
        <f>S698*C698</f>
        <v/>
      </c>
      <c r="S698" s="94" t="n">
        <v>1.32</v>
      </c>
      <c r="T698" s="117" t="n"/>
      <c r="AO698" s="118" t="n"/>
    </row>
    <row r="699">
      <c r="A699" s="89" t="inlineStr">
        <is>
          <t>2156</t>
        </is>
      </c>
      <c r="B699" s="248" t="inlineStr">
        <is>
          <t>AERO</t>
        </is>
      </c>
      <c r="C699" s="22" t="n">
        <v>53500</v>
      </c>
      <c r="D699" s="88">
        <f>ROUND((C699*1.06)/100,0)*100</f>
        <v/>
      </c>
      <c r="E699" s="88">
        <f>ROUND((C699*1.15)/100,0)*100</f>
        <v/>
      </c>
      <c r="F699" s="88">
        <f>ROUND((C699*1.23)/100,0)*100</f>
        <v/>
      </c>
      <c r="G699" s="88">
        <f>ROUND((C699*1.29)/100,0)*100</f>
        <v/>
      </c>
      <c r="H699" s="88">
        <f>ROUND((C699*1.35)/100,0)*100</f>
        <v/>
      </c>
      <c r="I699" s="88">
        <f>ROUND((C699*1.39)/100,0)*100</f>
        <v/>
      </c>
      <c r="J699" s="88">
        <f>ROUND((C699*1.39)/100,0)*100</f>
        <v/>
      </c>
      <c r="K699" s="22">
        <f>ROUND((C699*1.43)/100,0)*100</f>
        <v/>
      </c>
      <c r="L699" s="22">
        <f>ROUND((C699*1.43)/100,0)*100</f>
        <v/>
      </c>
      <c r="M699" s="22" t="n"/>
      <c r="N699" s="88" t="n"/>
      <c r="P699" s="117" t="n"/>
      <c r="R699" s="117">
        <f>S699*C699</f>
        <v/>
      </c>
      <c r="S699" s="94" t="n">
        <v>1.32</v>
      </c>
      <c r="T699" s="117" t="n"/>
      <c r="AO699" s="118" t="n"/>
    </row>
    <row r="700">
      <c r="A700" s="89" t="inlineStr">
        <is>
          <t>2445</t>
        </is>
      </c>
      <c r="B700" s="248" t="inlineStr">
        <is>
          <t xml:space="preserve"> CAMP ALGODÓN</t>
        </is>
      </c>
      <c r="C700" s="22" t="n">
        <v>53500</v>
      </c>
      <c r="D700" s="88">
        <f>ROUND((C700*1.06)/100,0)*100</f>
        <v/>
      </c>
      <c r="E700" s="88">
        <f>ROUND((C700*1.15)/100,0)*100</f>
        <v/>
      </c>
      <c r="F700" s="88">
        <f>ROUND((C700*1.23)/100,0)*100</f>
        <v/>
      </c>
      <c r="G700" s="88">
        <f>ROUND((C700*1.29)/100,0)*100</f>
        <v/>
      </c>
      <c r="H700" s="88">
        <f>ROUND((C700*1.35)/100,0)*100</f>
        <v/>
      </c>
      <c r="I700" s="88">
        <f>ROUND((C700*1.39)/100,0)*100</f>
        <v/>
      </c>
      <c r="J700" s="88">
        <f>ROUND((C700*1.39)/100,0)*100</f>
        <v/>
      </c>
      <c r="K700" s="22">
        <f>ROUND((C700*1.43)/100,0)*100</f>
        <v/>
      </c>
      <c r="L700" s="22">
        <f>ROUND((C700*1.43)/100,0)*100</f>
        <v/>
      </c>
      <c r="M700" s="22" t="n"/>
      <c r="N700" s="88" t="n"/>
      <c r="P700" s="117" t="n"/>
      <c r="R700" s="117">
        <f>S700*C700</f>
        <v/>
      </c>
      <c r="S700" s="94" t="n">
        <v>1.32</v>
      </c>
      <c r="T700" s="117" t="n"/>
      <c r="AO700" s="118" t="n"/>
    </row>
    <row r="701">
      <c r="A701" s="89" t="inlineStr">
        <is>
          <t>2449</t>
        </is>
      </c>
      <c r="B701" s="248" t="inlineStr">
        <is>
          <t xml:space="preserve"> MONTGOMERY ALGODÓN C CAPUCHA</t>
        </is>
      </c>
      <c r="C701" s="22" t="n">
        <v>53500</v>
      </c>
      <c r="D701" s="88">
        <f>ROUND((C701*1.06)/100,0)*100</f>
        <v/>
      </c>
      <c r="E701" s="88">
        <f>ROUND((C701*1.15)/100,0)*100</f>
        <v/>
      </c>
      <c r="F701" s="88">
        <f>ROUND((C701*1.23)/100,0)*100</f>
        <v/>
      </c>
      <c r="G701" s="88">
        <f>ROUND((C701*1.29)/100,0)*100</f>
        <v/>
      </c>
      <c r="H701" s="88">
        <f>ROUND((C701*1.35)/100,0)*100</f>
        <v/>
      </c>
      <c r="I701" s="88">
        <f>ROUND((C701*1.39)/100,0)*100</f>
        <v/>
      </c>
      <c r="J701" s="88">
        <f>ROUND((C701*1.39)/100,0)*100</f>
        <v/>
      </c>
      <c r="K701" s="22">
        <f>ROUND((C701*1.43)/100,0)*100</f>
        <v/>
      </c>
      <c r="L701" s="22">
        <f>ROUND((C701*1.43)/100,0)*100</f>
        <v/>
      </c>
      <c r="M701" s="22" t="n"/>
      <c r="N701" s="88" t="n"/>
      <c r="P701" s="117" t="n"/>
      <c r="R701" s="117">
        <f>S701*C701</f>
        <v/>
      </c>
      <c r="S701" s="94" t="n">
        <v>1.32</v>
      </c>
      <c r="T701" s="117" t="n"/>
      <c r="AO701" s="118" t="n"/>
    </row>
    <row r="702">
      <c r="A702" s="89" t="inlineStr">
        <is>
          <t>2462</t>
        </is>
      </c>
      <c r="B702" s="248" t="inlineStr">
        <is>
          <t xml:space="preserve"> ALGODÓN C FRIZA</t>
        </is>
      </c>
      <c r="C702" s="88" t="n">
        <v>68100</v>
      </c>
      <c r="D702" s="88">
        <f>ROUND((C702*1.06)/100,0)*100</f>
        <v/>
      </c>
      <c r="E702" s="88">
        <f>ROUND((C702*1.15)/100,0)*100</f>
        <v/>
      </c>
      <c r="F702" s="88">
        <f>ROUND((C702*1.23)/100,0)*100</f>
        <v/>
      </c>
      <c r="G702" s="88">
        <f>ROUND((C702*1.29)/100,0)*100</f>
        <v/>
      </c>
      <c r="H702" s="88">
        <f>ROUND((C702*1.35)/100,0)*100</f>
        <v/>
      </c>
      <c r="I702" s="88">
        <f>ROUND((C702*1.39)/100,0)*100</f>
        <v/>
      </c>
      <c r="J702" s="88">
        <f>ROUND((C702*1.39)/100,0)*100</f>
        <v/>
      </c>
      <c r="K702" s="22">
        <f>ROUND((C702*1.43)/100,0)*100</f>
        <v/>
      </c>
      <c r="L702" s="22">
        <f>ROUND((C702*1.43)/100,0)*100</f>
        <v/>
      </c>
      <c r="M702" s="22" t="n"/>
      <c r="N702" s="88" t="n"/>
      <c r="P702" s="117" t="n"/>
      <c r="R702" s="117">
        <f>S702*C702</f>
        <v/>
      </c>
      <c r="S702" s="94" t="n">
        <v>1.32</v>
      </c>
      <c r="T702" s="117" t="n"/>
      <c r="AO702" s="118" t="n"/>
    </row>
    <row r="703">
      <c r="A703" s="89" t="inlineStr">
        <is>
          <t>2464</t>
        </is>
      </c>
      <c r="B703" s="248" t="inlineStr">
        <is>
          <t xml:space="preserve"> CAMP ACETATO</t>
        </is>
      </c>
      <c r="C703" s="22" t="n">
        <v>600</v>
      </c>
      <c r="D703" s="88">
        <f>ROUND((C703*1.06)/100,0)*100</f>
        <v/>
      </c>
      <c r="E703" s="88">
        <f>ROUND((C703*1.15)/100,0)*100</f>
        <v/>
      </c>
      <c r="F703" s="88">
        <f>ROUND((C703*1.23)/100,0)*100</f>
        <v/>
      </c>
      <c r="G703" s="88">
        <f>ROUND((C703*1.29)/100,0)*100</f>
        <v/>
      </c>
      <c r="H703" s="88">
        <f>ROUND((C703*1.35)/100,0)*100</f>
        <v/>
      </c>
      <c r="I703" s="88">
        <f>ROUND((C703*1.39)/100,0)*100</f>
        <v/>
      </c>
      <c r="J703" s="88">
        <f>ROUND((C703*1.39)/100,0)*100</f>
        <v/>
      </c>
      <c r="K703" s="22">
        <f>ROUND((C703*1.43)/100,0)*100</f>
        <v/>
      </c>
      <c r="L703" s="22">
        <f>ROUND((C703*1.43)/100,0)*100</f>
        <v/>
      </c>
      <c r="M703" s="22" t="n"/>
      <c r="N703" s="88" t="n"/>
      <c r="P703" s="117" t="n"/>
      <c r="R703" s="117">
        <f>S703*C703</f>
        <v/>
      </c>
      <c r="S703" s="94" t="n">
        <v>1.32</v>
      </c>
      <c r="T703" s="117" t="n"/>
      <c r="AO703" s="118" t="n"/>
    </row>
    <row r="704">
      <c r="A704" s="89" t="inlineStr">
        <is>
          <t>2570</t>
        </is>
      </c>
      <c r="B704" s="248" t="inlineStr">
        <is>
          <t xml:space="preserve"> CAMP ACET COMB FRIZA</t>
        </is>
      </c>
      <c r="C704" s="88" t="n">
        <v>71900</v>
      </c>
      <c r="D704" s="88">
        <f>ROUND((C704*1.06)/100,0)*100</f>
        <v/>
      </c>
      <c r="E704" s="88">
        <f>ROUND((C704*1.15)/100,0)*100</f>
        <v/>
      </c>
      <c r="F704" s="88">
        <f>ROUND((C704*1.23)/100,0)*100</f>
        <v/>
      </c>
      <c r="G704" s="88">
        <f>ROUND((C704*1.29)/100,0)*100</f>
        <v/>
      </c>
      <c r="H704" s="88">
        <f>ROUND((C704*1.35)/100,0)*100</f>
        <v/>
      </c>
      <c r="I704" s="88">
        <f>ROUND((C704*1.39)/100,0)*100</f>
        <v/>
      </c>
      <c r="J704" s="88">
        <f>ROUND((C704*1.39)/100,0)*100</f>
        <v/>
      </c>
      <c r="K704" s="22">
        <f>ROUND((C704*1.43)/100,0)*100</f>
        <v/>
      </c>
      <c r="L704" s="22">
        <f>ROUND((C704*1.43)/100,0)*100</f>
        <v/>
      </c>
      <c r="M704" s="22" t="n"/>
      <c r="N704" s="88" t="n"/>
      <c r="P704" s="117" t="n"/>
      <c r="R704" s="117">
        <f>S704*C704</f>
        <v/>
      </c>
      <c r="S704" s="94" t="n">
        <v>1.32</v>
      </c>
      <c r="T704" s="117" t="n"/>
      <c r="AO704" s="118" t="n"/>
    </row>
    <row r="705">
      <c r="A705" s="89" t="inlineStr">
        <is>
          <t>2574</t>
        </is>
      </c>
      <c r="B705" s="248" t="inlineStr">
        <is>
          <t xml:space="preserve"> CAMP ACETATO C CAPUCHA</t>
        </is>
      </c>
      <c r="C705" s="22" t="n">
        <v>63100</v>
      </c>
      <c r="D705" s="88">
        <f>ROUND((C705*1.06)/100,0)*100</f>
        <v/>
      </c>
      <c r="E705" s="88">
        <f>ROUND((C705*1.15)/100,0)*100</f>
        <v/>
      </c>
      <c r="F705" s="88">
        <f>ROUND((C705*1.23)/100,0)*100</f>
        <v/>
      </c>
      <c r="G705" s="88">
        <f>ROUND((C705*1.29)/100,0)*100</f>
        <v/>
      </c>
      <c r="H705" s="88">
        <f>ROUND((C705*1.35)/100,0)*100</f>
        <v/>
      </c>
      <c r="I705" s="88">
        <f>ROUND((C705*1.39)/100,0)*100</f>
        <v/>
      </c>
      <c r="J705" s="88">
        <f>ROUND((C705*1.39)/100,0)*100</f>
        <v/>
      </c>
      <c r="K705" s="22">
        <f>ROUND((C705*1.43)/100,0)*100</f>
        <v/>
      </c>
      <c r="L705" s="22">
        <f>ROUND((C705*1.43)/100,0)*100</f>
        <v/>
      </c>
      <c r="M705" s="22" t="n"/>
      <c r="N705" s="88" t="n"/>
      <c r="P705" s="117" t="n"/>
      <c r="R705" s="117">
        <f>S705*C705</f>
        <v/>
      </c>
      <c r="S705" s="94" t="n">
        <v>1.32</v>
      </c>
      <c r="T705" s="117" t="n"/>
      <c r="AO705" s="118" t="n"/>
    </row>
    <row r="706">
      <c r="A706" s="89" t="inlineStr">
        <is>
          <t>2584</t>
        </is>
      </c>
      <c r="B706" s="248" t="inlineStr">
        <is>
          <t xml:space="preserve"> CAMPERA FLAT BACK COMBINADA</t>
        </is>
      </c>
      <c r="C706" s="88" t="n">
        <v>71900</v>
      </c>
      <c r="D706" s="88">
        <f>ROUND((C706*1.06)/100,0)*100</f>
        <v/>
      </c>
      <c r="E706" s="88">
        <f>ROUND((C706*1.15)/100,0)*100</f>
        <v/>
      </c>
      <c r="F706" s="88">
        <f>ROUND((C706*1.23)/100,0)*100</f>
        <v/>
      </c>
      <c r="G706" s="88">
        <f>ROUND((C706*1.29)/100,0)*100</f>
        <v/>
      </c>
      <c r="H706" s="88">
        <f>ROUND((C706*1.35)/100,0)*100</f>
        <v/>
      </c>
      <c r="I706" s="88">
        <f>ROUND((C706*1.39)/100,0)*100</f>
        <v/>
      </c>
      <c r="J706" s="88">
        <f>ROUND((C706*1.39)/100,0)*100</f>
        <v/>
      </c>
      <c r="K706" s="22">
        <f>ROUND((C706*1.43)/100,0)*100</f>
        <v/>
      </c>
      <c r="L706" s="22">
        <f>ROUND((C706*1.43)/100,0)*100</f>
        <v/>
      </c>
      <c r="M706" s="22" t="n"/>
      <c r="N706" s="88" t="n"/>
      <c r="P706" s="117" t="n"/>
      <c r="R706" s="117">
        <f>S706*C706</f>
        <v/>
      </c>
      <c r="S706" s="94" t="n">
        <v>1.32</v>
      </c>
      <c r="T706" s="117" t="n"/>
      <c r="AO706" s="118" t="n"/>
    </row>
    <row r="707">
      <c r="A707" s="89" t="inlineStr">
        <is>
          <t>2586</t>
        </is>
      </c>
      <c r="B707" s="248" t="inlineStr">
        <is>
          <t xml:space="preserve"> CAMP ALGODÓN FRIZA RAYADA</t>
        </is>
      </c>
      <c r="C707" s="22" t="n">
        <v>71000</v>
      </c>
      <c r="D707" s="88">
        <f>ROUND((C707*1.06)/100,0)*100</f>
        <v/>
      </c>
      <c r="E707" s="88">
        <f>ROUND((C707*1.15)/100,0)*100</f>
        <v/>
      </c>
      <c r="F707" s="88">
        <f>ROUND((C707*1.23)/100,0)*100</f>
        <v/>
      </c>
      <c r="G707" s="88">
        <f>ROUND((C707*1.29)/100,0)*100</f>
        <v/>
      </c>
      <c r="H707" s="88">
        <f>ROUND((C707*1.35)/100,0)*100</f>
        <v/>
      </c>
      <c r="I707" s="88">
        <f>ROUND((C707*1.39)/100,0)*100</f>
        <v/>
      </c>
      <c r="J707" s="88">
        <f>ROUND((C707*1.39)/100,0)*100</f>
        <v/>
      </c>
      <c r="K707" s="22">
        <f>ROUND((C707*1.43)/100,0)*100</f>
        <v/>
      </c>
      <c r="L707" s="22">
        <f>ROUND((C707*1.43)/100,0)*100</f>
        <v/>
      </c>
      <c r="M707" s="22" t="n"/>
      <c r="N707" s="88" t="n"/>
      <c r="P707" s="117" t="n"/>
      <c r="R707" s="117">
        <f>S707*C707</f>
        <v/>
      </c>
      <c r="S707" s="94" t="n">
        <v>1.32</v>
      </c>
      <c r="T707" s="117" t="n"/>
      <c r="AO707" s="118" t="n"/>
    </row>
    <row r="708">
      <c r="A708" s="89" t="inlineStr">
        <is>
          <t>2729</t>
        </is>
      </c>
      <c r="B708" s="248" t="inlineStr">
        <is>
          <t>AERO</t>
        </is>
      </c>
      <c r="C708" s="88" t="n">
        <v>55300</v>
      </c>
      <c r="D708" s="88">
        <f>ROUND((C708*1.06)/100,0)*100</f>
        <v/>
      </c>
      <c r="E708" s="88">
        <f>ROUND((C708*1.15)/100,0)*100</f>
        <v/>
      </c>
      <c r="F708" s="88">
        <f>ROUND((C708*1.23)/100,0)*100</f>
        <v/>
      </c>
      <c r="G708" s="88">
        <f>ROUND((C708*1.29)/100,0)*100</f>
        <v/>
      </c>
      <c r="H708" s="88">
        <f>ROUND((C708*1.35)/100,0)*100</f>
        <v/>
      </c>
      <c r="I708" s="88">
        <f>ROUND((C708*1.39)/100,0)*100</f>
        <v/>
      </c>
      <c r="J708" s="88">
        <f>ROUND((C708*1.39)/100,0)*100</f>
        <v/>
      </c>
      <c r="K708" s="22">
        <f>ROUND((C708*1.43)/100,0)*100</f>
        <v/>
      </c>
      <c r="L708" s="22">
        <f>ROUND((C708*1.43)/100,0)*100</f>
        <v/>
      </c>
      <c r="M708" s="22" t="n"/>
      <c r="N708" s="88" t="n"/>
      <c r="P708" s="117" t="n"/>
      <c r="R708" s="117">
        <f>S708*C708</f>
        <v/>
      </c>
      <c r="S708" s="94" t="n">
        <v>1.32</v>
      </c>
      <c r="T708" s="117" t="n"/>
      <c r="AO708" s="118" t="n"/>
    </row>
    <row r="709">
      <c r="A709" s="89" t="inlineStr">
        <is>
          <t>2734</t>
        </is>
      </c>
      <c r="B709" s="248" t="inlineStr">
        <is>
          <t>AERO</t>
        </is>
      </c>
      <c r="C709" s="88" t="n">
        <v>55300</v>
      </c>
      <c r="D709" s="88">
        <f>ROUND((C709*1.06)/100,0)*100</f>
        <v/>
      </c>
      <c r="E709" s="88">
        <f>ROUND((C709*1.15)/100,0)*100</f>
        <v/>
      </c>
      <c r="F709" s="88">
        <f>ROUND((C709*1.23)/100,0)*100</f>
        <v/>
      </c>
      <c r="G709" s="88">
        <f>ROUND((C709*1.29)/100,0)*100</f>
        <v/>
      </c>
      <c r="H709" s="88">
        <f>ROUND((C709*1.35)/100,0)*100</f>
        <v/>
      </c>
      <c r="I709" s="88">
        <f>ROUND((C709*1.39)/100,0)*100</f>
        <v/>
      </c>
      <c r="J709" s="88">
        <f>ROUND((C709*1.39)/100,0)*100</f>
        <v/>
      </c>
      <c r="K709" s="22">
        <f>ROUND((C709*1.43)/100,0)*100</f>
        <v/>
      </c>
      <c r="L709" s="22">
        <f>ROUND((C709*1.43)/100,0)*100</f>
        <v/>
      </c>
      <c r="M709" s="22" t="n"/>
      <c r="N709" s="88" t="n"/>
      <c r="P709" s="117" t="n"/>
      <c r="R709" s="117">
        <f>S709*C709</f>
        <v/>
      </c>
      <c r="S709" s="94" t="n">
        <v>1.32</v>
      </c>
      <c r="T709" s="117" t="n"/>
      <c r="AO709" s="118" t="n"/>
    </row>
    <row r="710">
      <c r="A710" s="89" t="inlineStr">
        <is>
          <t>2735</t>
        </is>
      </c>
      <c r="B710" s="248" t="inlineStr">
        <is>
          <t>AERO</t>
        </is>
      </c>
      <c r="C710" s="88" t="n">
        <v>55300</v>
      </c>
      <c r="D710" s="88">
        <f>ROUND((C710*1.06)/100,0)*100</f>
        <v/>
      </c>
      <c r="E710" s="88">
        <f>ROUND((C710*1.15)/100,0)*100</f>
        <v/>
      </c>
      <c r="F710" s="88">
        <f>ROUND((C710*1.23)/100,0)*100</f>
        <v/>
      </c>
      <c r="G710" s="88">
        <f>ROUND((C710*1.29)/100,0)*100</f>
        <v/>
      </c>
      <c r="H710" s="88">
        <f>ROUND((C710*1.35)/100,0)*100</f>
        <v/>
      </c>
      <c r="I710" s="88">
        <f>ROUND((C710*1.39)/100,0)*100</f>
        <v/>
      </c>
      <c r="J710" s="88">
        <f>ROUND((C710*1.39)/100,0)*100</f>
        <v/>
      </c>
      <c r="K710" s="22">
        <f>ROUND((C710*1.43)/100,0)*100</f>
        <v/>
      </c>
      <c r="L710" s="22">
        <f>ROUND((C710*1.43)/100,0)*100</f>
        <v/>
      </c>
      <c r="M710" s="22" t="n"/>
      <c r="N710" s="88" t="n"/>
      <c r="P710" s="117" t="n"/>
      <c r="R710" s="117">
        <f>S710*C710</f>
        <v/>
      </c>
      <c r="S710" s="94" t="n">
        <v>1.32</v>
      </c>
      <c r="T710" s="117" t="n"/>
      <c r="AO710" s="118" t="n"/>
    </row>
    <row r="711">
      <c r="A711" s="89" t="inlineStr">
        <is>
          <t>2736</t>
        </is>
      </c>
      <c r="B711" s="248" t="inlineStr">
        <is>
          <t>AERO</t>
        </is>
      </c>
      <c r="C711" s="88" t="n">
        <v>55300</v>
      </c>
      <c r="D711" s="88">
        <f>ROUND((C711*1.06)/100,0)*100</f>
        <v/>
      </c>
      <c r="E711" s="88">
        <f>ROUND((C711*1.15)/100,0)*100</f>
        <v/>
      </c>
      <c r="F711" s="88">
        <f>ROUND((C711*1.23)/100,0)*100</f>
        <v/>
      </c>
      <c r="G711" s="88">
        <f>ROUND((C711*1.29)/100,0)*100</f>
        <v/>
      </c>
      <c r="H711" s="88">
        <f>ROUND((C711*1.35)/100,0)*100</f>
        <v/>
      </c>
      <c r="I711" s="88">
        <f>ROUND((C711*1.39)/100,0)*100</f>
        <v/>
      </c>
      <c r="J711" s="88">
        <f>ROUND((C711*1.39)/100,0)*100</f>
        <v/>
      </c>
      <c r="K711" s="22">
        <f>ROUND((C711*1.43)/100,0)*100</f>
        <v/>
      </c>
      <c r="L711" s="22">
        <f>ROUND((C711*1.43)/100,0)*100</f>
        <v/>
      </c>
      <c r="M711" s="22" t="n"/>
      <c r="N711" s="88" t="n"/>
      <c r="P711" s="117" t="n"/>
      <c r="R711" s="117">
        <f>S711*C711</f>
        <v/>
      </c>
      <c r="S711" s="94" t="n">
        <v>1.32</v>
      </c>
      <c r="T711" s="117" t="n"/>
      <c r="AO711" s="118" t="n"/>
    </row>
    <row r="712">
      <c r="A712" s="89" t="inlineStr">
        <is>
          <t>2738</t>
        </is>
      </c>
      <c r="B712" s="248" t="inlineStr">
        <is>
          <t>AERO</t>
        </is>
      </c>
      <c r="C712" s="88" t="n">
        <v>55300</v>
      </c>
      <c r="D712" s="88">
        <f>ROUND((C712*1.06)/100,0)*100</f>
        <v/>
      </c>
      <c r="E712" s="88">
        <f>ROUND((C712*1.15)/100,0)*100</f>
        <v/>
      </c>
      <c r="F712" s="88">
        <f>ROUND((C712*1.23)/100,0)*100</f>
        <v/>
      </c>
      <c r="G712" s="88">
        <f>ROUND((C712*1.29)/100,0)*100</f>
        <v/>
      </c>
      <c r="H712" s="88">
        <f>ROUND((C712*1.35)/100,0)*100</f>
        <v/>
      </c>
      <c r="I712" s="88">
        <f>ROUND((C712*1.39)/100,0)*100</f>
        <v/>
      </c>
      <c r="J712" s="88">
        <f>ROUND((C712*1.39)/100,0)*100</f>
        <v/>
      </c>
      <c r="K712" s="22">
        <f>ROUND((C712*1.43)/100,0)*100</f>
        <v/>
      </c>
      <c r="L712" s="22">
        <f>ROUND((C712*1.43)/100,0)*100</f>
        <v/>
      </c>
      <c r="M712" s="22" t="n"/>
      <c r="N712" s="88" t="n"/>
      <c r="P712" s="117" t="n"/>
      <c r="R712" s="117">
        <f>S712*C712</f>
        <v/>
      </c>
      <c r="S712" s="94" t="n">
        <v>1.32</v>
      </c>
      <c r="T712" s="117" t="n"/>
      <c r="AO712" s="118" t="n"/>
    </row>
    <row r="713">
      <c r="A713" s="89" t="inlineStr">
        <is>
          <t>INV2855</t>
        </is>
      </c>
      <c r="B713" s="248" t="inlineStr">
        <is>
          <t>AERO CAMPERA ALGODÓN</t>
        </is>
      </c>
      <c r="C713" s="88" t="n">
        <v>82600</v>
      </c>
      <c r="D713" s="88">
        <f>ROUND((C713*1.06)/100,0)*100</f>
        <v/>
      </c>
      <c r="E713" s="88">
        <f>ROUND((C713*1.15)/100,0)*100</f>
        <v/>
      </c>
      <c r="F713" s="88">
        <f>ROUND((C713*1.23)/100,0)*100</f>
        <v/>
      </c>
      <c r="G713" s="88">
        <f>ROUND((C713*1.29)/100,0)*100</f>
        <v/>
      </c>
      <c r="H713" s="88">
        <f>ROUND((C713*1.35)/100,0)*100</f>
        <v/>
      </c>
      <c r="I713" s="88">
        <f>ROUND((C713*1.39)/100,0)*100</f>
        <v/>
      </c>
      <c r="J713" s="88">
        <f>ROUND((C713*1.39)/100,0)*100</f>
        <v/>
      </c>
      <c r="K713" s="22">
        <f>ROUND((C713*1.43)/100,0)*100</f>
        <v/>
      </c>
      <c r="L713" s="22">
        <f>ROUND((C713*1.43)/100,0)*100</f>
        <v/>
      </c>
      <c r="M713" s="88" t="n"/>
      <c r="N713" s="170" t="n"/>
      <c r="O713" s="30" t="n"/>
      <c r="P713" s="170" t="n"/>
      <c r="Q713" s="30" t="n"/>
      <c r="R713" s="117">
        <f>S713*C713</f>
        <v/>
      </c>
      <c r="S713" s="94" t="n">
        <v>1.32</v>
      </c>
      <c r="T713" s="150" t="n"/>
      <c r="U713" s="96" t="n"/>
      <c r="V713" s="96" t="n"/>
      <c r="W713" s="96" t="n"/>
      <c r="X713" s="96" t="n"/>
      <c r="Y713" s="96" t="n"/>
      <c r="Z713" s="96" t="n"/>
      <c r="AA713" s="96" t="n"/>
      <c r="AO713" s="96" t="n"/>
    </row>
    <row r="714">
      <c r="A714" s="89" t="inlineStr">
        <is>
          <t>NEO7508</t>
        </is>
      </c>
      <c r="B714" s="248" t="inlineStr">
        <is>
          <t>AERO CAMPERA ALGODÓN</t>
        </is>
      </c>
      <c r="C714" s="88" t="n">
        <v>82600</v>
      </c>
      <c r="D714" s="88">
        <f>ROUND((C714*1.06)/100,0)*100</f>
        <v/>
      </c>
      <c r="E714" s="88">
        <f>ROUND((C714*1.15)/100,0)*100</f>
        <v/>
      </c>
      <c r="F714" s="88">
        <f>ROUND((C714*1.23)/100,0)*100</f>
        <v/>
      </c>
      <c r="G714" s="88">
        <f>ROUND((C714*1.29)/100,0)*100</f>
        <v/>
      </c>
      <c r="H714" s="88">
        <f>ROUND((C714*1.35)/100,0)*100</f>
        <v/>
      </c>
      <c r="I714" s="88">
        <f>ROUND((C714*1.39)/100,0)*100</f>
        <v/>
      </c>
      <c r="J714" s="88">
        <f>ROUND((C714*1.39)/100,0)*100</f>
        <v/>
      </c>
      <c r="K714" s="22">
        <f>ROUND((C714*1.43)/100,0)*100</f>
        <v/>
      </c>
      <c r="L714" s="22">
        <f>ROUND((C714*1.43)/100,0)*100</f>
        <v/>
      </c>
      <c r="M714" s="88" t="n"/>
      <c r="N714" s="170" t="n"/>
      <c r="O714" s="30" t="n"/>
      <c r="P714" s="170" t="n"/>
      <c r="Q714" s="30" t="n"/>
      <c r="R714" s="117">
        <f>S714*C714</f>
        <v/>
      </c>
      <c r="S714" s="94" t="n">
        <v>1.32</v>
      </c>
      <c r="T714" s="150" t="n"/>
      <c r="U714" s="96" t="n"/>
      <c r="V714" s="96" t="n"/>
      <c r="W714" s="96" t="n"/>
      <c r="X714" s="96" t="n"/>
      <c r="Y714" s="96" t="n"/>
      <c r="Z714" s="96" t="n"/>
      <c r="AA714" s="96" t="n"/>
      <c r="AO714" s="96" t="n"/>
    </row>
    <row r="715">
      <c r="A715" s="89" t="inlineStr">
        <is>
          <t>2970</t>
        </is>
      </c>
      <c r="B715" s="248" t="inlineStr">
        <is>
          <t>AERO CAMPERA ALGODÓN</t>
        </is>
      </c>
      <c r="C715" s="88" t="n">
        <v>82600</v>
      </c>
      <c r="D715" s="88">
        <f>ROUND((C715*1.06)/100,0)*100</f>
        <v/>
      </c>
      <c r="E715" s="88">
        <f>ROUND((C715*1.15)/100,0)*100</f>
        <v/>
      </c>
      <c r="F715" s="88">
        <f>ROUND((C715*1.23)/100,0)*100</f>
        <v/>
      </c>
      <c r="G715" s="88">
        <f>ROUND((C715*1.29)/100,0)*100</f>
        <v/>
      </c>
      <c r="H715" s="88">
        <f>ROUND((C715*1.35)/100,0)*100</f>
        <v/>
      </c>
      <c r="I715" s="88">
        <f>ROUND((C715*1.39)/100,0)*100</f>
        <v/>
      </c>
      <c r="J715" s="88">
        <f>ROUND((C715*1.39)/100,0)*100</f>
        <v/>
      </c>
      <c r="K715" s="22">
        <f>ROUND((C715*1.43)/100,0)*100</f>
        <v/>
      </c>
      <c r="L715" s="22">
        <f>ROUND((C715*1.43)/100,0)*100</f>
        <v/>
      </c>
      <c r="M715" s="22" t="n"/>
      <c r="N715" s="88" t="n"/>
      <c r="P715" s="117" t="n"/>
      <c r="R715" s="117">
        <f>S715*C715</f>
        <v/>
      </c>
      <c r="S715" s="94" t="n">
        <v>1.32</v>
      </c>
      <c r="T715" s="117" t="n"/>
      <c r="AO715" s="118" t="n"/>
    </row>
    <row r="716">
      <c r="A716" s="89" t="inlineStr">
        <is>
          <t>2971</t>
        </is>
      </c>
      <c r="B716" s="248" t="inlineStr">
        <is>
          <t>AERO CAMPERA ALGODÓN</t>
        </is>
      </c>
      <c r="C716" s="88" t="n">
        <v>55300</v>
      </c>
      <c r="D716" s="88">
        <f>ROUND((C716*1.06)/100,0)*100</f>
        <v/>
      </c>
      <c r="E716" s="88">
        <f>ROUND((C716*1.15)/100,0)*100</f>
        <v/>
      </c>
      <c r="F716" s="88">
        <f>ROUND((C716*1.23)/100,0)*100</f>
        <v/>
      </c>
      <c r="G716" s="88">
        <f>ROUND((C716*1.29)/100,0)*100</f>
        <v/>
      </c>
      <c r="H716" s="88">
        <f>ROUND((C716*1.35)/100,0)*100</f>
        <v/>
      </c>
      <c r="I716" s="88">
        <f>ROUND((C716*1.39)/100,0)*100</f>
        <v/>
      </c>
      <c r="J716" s="88">
        <f>ROUND((C716*1.39)/100,0)*100</f>
        <v/>
      </c>
      <c r="K716" s="22">
        <f>ROUND((C716*1.43)/100,0)*100</f>
        <v/>
      </c>
      <c r="L716" s="22">
        <f>ROUND((C716*1.43)/100,0)*100</f>
        <v/>
      </c>
      <c r="M716" s="22" t="n"/>
      <c r="N716" s="88" t="n"/>
      <c r="P716" s="117" t="n"/>
      <c r="R716" s="117">
        <f>S716*C716</f>
        <v/>
      </c>
      <c r="S716" s="94" t="n">
        <v>1.32</v>
      </c>
      <c r="T716" s="117" t="n"/>
      <c r="AO716" s="118" t="n"/>
    </row>
    <row r="717">
      <c r="A717" s="89" t="inlineStr">
        <is>
          <t>6441</t>
        </is>
      </c>
      <c r="B717" s="248" t="inlineStr">
        <is>
          <t>AERO CAMPERA FRIZA</t>
        </is>
      </c>
      <c r="C717" s="88" t="n">
        <v>55300</v>
      </c>
      <c r="D717" s="88">
        <f>ROUND((C717*1.06)/100,0)*100</f>
        <v/>
      </c>
      <c r="E717" s="88">
        <f>ROUND((C717*1.15)/100,0)*100</f>
        <v/>
      </c>
      <c r="F717" s="88">
        <f>ROUND((C717*1.23)/100,0)*100</f>
        <v/>
      </c>
      <c r="G717" s="88">
        <f>ROUND((C717*1.29)/100,0)*100</f>
        <v/>
      </c>
      <c r="H717" s="88">
        <f>ROUND((C717*1.35)/100,0)*100</f>
        <v/>
      </c>
      <c r="I717" s="88">
        <f>ROUND((C717*1.39)/100,0)*100</f>
        <v/>
      </c>
      <c r="J717" s="88">
        <f>ROUND((C717*1.39)/100,0)*100</f>
        <v/>
      </c>
      <c r="K717" s="22">
        <f>ROUND((C717*1.43)/100,0)*100</f>
        <v/>
      </c>
      <c r="L717" s="22">
        <f>ROUND((C717*1.43)/100,0)*100</f>
        <v/>
      </c>
      <c r="M717" s="22" t="n"/>
      <c r="N717" s="88" t="n"/>
      <c r="P717" s="117" t="n"/>
      <c r="R717" s="117">
        <f>S717*C717</f>
        <v/>
      </c>
      <c r="S717" s="94" t="n">
        <v>1.32</v>
      </c>
      <c r="T717" s="117" t="n"/>
      <c r="AO717" s="118" t="n"/>
    </row>
    <row r="718">
      <c r="A718" s="89" t="inlineStr">
        <is>
          <t>6444</t>
        </is>
      </c>
      <c r="B718" s="248" t="inlineStr">
        <is>
          <t>AERO CAMPERA FRIZA</t>
        </is>
      </c>
      <c r="C718" s="88" t="n">
        <v>55300</v>
      </c>
      <c r="D718" s="88">
        <f>ROUND((C718*1.06)/100,0)*100</f>
        <v/>
      </c>
      <c r="E718" s="88">
        <f>ROUND((C718*1.15)/100,0)*100</f>
        <v/>
      </c>
      <c r="F718" s="88">
        <f>ROUND((C718*1.23)/100,0)*100</f>
        <v/>
      </c>
      <c r="G718" s="88">
        <f>ROUND((C718*1.29)/100,0)*100</f>
        <v/>
      </c>
      <c r="H718" s="88">
        <f>ROUND((C718*1.35)/100,0)*100</f>
        <v/>
      </c>
      <c r="I718" s="88">
        <f>ROUND((C718*1.39)/100,0)*100</f>
        <v/>
      </c>
      <c r="J718" s="88">
        <f>ROUND((C718*1.39)/100,0)*100</f>
        <v/>
      </c>
      <c r="K718" s="22">
        <f>ROUND((C718*1.43)/100,0)*100</f>
        <v/>
      </c>
      <c r="L718" s="22">
        <f>ROUND((C718*1.43)/100,0)*100</f>
        <v/>
      </c>
      <c r="M718" s="22" t="n"/>
      <c r="N718" s="88" t="n"/>
      <c r="P718" s="117" t="n"/>
      <c r="R718" s="117">
        <f>S718*C718</f>
        <v/>
      </c>
      <c r="S718" s="94" t="n">
        <v>1.32</v>
      </c>
      <c r="T718" s="117" t="n"/>
      <c r="AO718" s="118" t="n"/>
    </row>
    <row r="719">
      <c r="A719" s="89" t="inlineStr">
        <is>
          <t>6489</t>
        </is>
      </c>
      <c r="B719" s="248" t="inlineStr">
        <is>
          <t>AERO</t>
        </is>
      </c>
      <c r="C719" s="88" t="n">
        <v>55300</v>
      </c>
      <c r="D719" s="88">
        <f>ROUND((C719*1.06)/100,0)*100</f>
        <v/>
      </c>
      <c r="E719" s="88">
        <f>ROUND((C719*1.15)/100,0)*100</f>
        <v/>
      </c>
      <c r="F719" s="88">
        <f>ROUND((C719*1.23)/100,0)*100</f>
        <v/>
      </c>
      <c r="G719" s="88">
        <f>ROUND((C719*1.29)/100,0)*100</f>
        <v/>
      </c>
      <c r="H719" s="88">
        <f>ROUND((C719*1.35)/100,0)*100</f>
        <v/>
      </c>
      <c r="I719" s="88">
        <f>ROUND((C719*1.39)/100,0)*100</f>
        <v/>
      </c>
      <c r="J719" s="88">
        <f>ROUND((C719*1.39)/100,0)*100</f>
        <v/>
      </c>
      <c r="K719" s="22">
        <f>ROUND((C719*1.43)/100,0)*100</f>
        <v/>
      </c>
      <c r="L719" s="22">
        <f>ROUND((C719*1.43)/100,0)*100</f>
        <v/>
      </c>
      <c r="M719" s="22" t="n"/>
      <c r="N719" s="88" t="n"/>
      <c r="P719" s="117" t="n"/>
      <c r="R719" s="117">
        <f>S719*C719</f>
        <v/>
      </c>
      <c r="S719" s="94" t="n">
        <v>1.32</v>
      </c>
      <c r="T719" s="117" t="n"/>
      <c r="AO719" s="118" t="n"/>
    </row>
    <row r="720">
      <c r="A720" s="89" t="inlineStr">
        <is>
          <t>6495</t>
        </is>
      </c>
      <c r="B720" s="248" t="inlineStr">
        <is>
          <t>AERO</t>
        </is>
      </c>
      <c r="C720" s="88" t="n">
        <v>82600</v>
      </c>
      <c r="D720" s="88">
        <f>ROUND((C720*1.06)/100,0)*100</f>
        <v/>
      </c>
      <c r="E720" s="88">
        <f>ROUND((C720*1.15)/100,0)*100</f>
        <v/>
      </c>
      <c r="F720" s="88">
        <f>ROUND((C720*1.23)/100,0)*100</f>
        <v/>
      </c>
      <c r="G720" s="88">
        <f>ROUND((C720*1.29)/100,0)*100</f>
        <v/>
      </c>
      <c r="H720" s="88">
        <f>ROUND((C720*1.35)/100,0)*100</f>
        <v/>
      </c>
      <c r="I720" s="88">
        <f>ROUND((C720*1.39)/100,0)*100</f>
        <v/>
      </c>
      <c r="J720" s="88">
        <f>ROUND((C720*1.39)/100,0)*100</f>
        <v/>
      </c>
      <c r="K720" s="22">
        <f>ROUND((C720*1.43)/100,0)*100</f>
        <v/>
      </c>
      <c r="L720" s="22">
        <f>ROUND((C720*1.43)/100,0)*100</f>
        <v/>
      </c>
      <c r="M720" s="22" t="n"/>
      <c r="N720" s="88" t="n"/>
      <c r="P720" s="117" t="n"/>
      <c r="R720" s="117">
        <f>S720*C720</f>
        <v/>
      </c>
      <c r="S720" s="94" t="n">
        <v>1.32</v>
      </c>
      <c r="T720" s="117" t="n"/>
      <c r="AO720" s="118" t="n"/>
    </row>
    <row r="721">
      <c r="A721" s="89" t="inlineStr">
        <is>
          <t>7055</t>
        </is>
      </c>
      <c r="B721" s="248" t="inlineStr">
        <is>
          <t>ELT ALGODON 019</t>
        </is>
      </c>
      <c r="C721" s="88" t="n">
        <v>107300</v>
      </c>
      <c r="D721" s="88" t="n"/>
      <c r="E721" s="22" t="n"/>
      <c r="F721" s="22" t="n"/>
      <c r="G721" s="22" t="n"/>
      <c r="H721" s="22" t="n"/>
      <c r="I721" s="22" t="n"/>
      <c r="J721" s="22" t="n"/>
      <c r="K721" s="22" t="n"/>
      <c r="L721" s="22" t="n"/>
      <c r="M721" s="22" t="n"/>
      <c r="N721" s="88" t="n"/>
      <c r="P721" s="117" t="n"/>
      <c r="R721" s="117">
        <f>S721*C721</f>
        <v/>
      </c>
      <c r="S721" s="94" t="n">
        <v>1.32</v>
      </c>
      <c r="T721" s="117" t="n"/>
    </row>
    <row r="722">
      <c r="A722" s="89" t="inlineStr">
        <is>
          <t>8260</t>
        </is>
      </c>
      <c r="B722" s="248" t="inlineStr">
        <is>
          <t>DISCOBOLO ALGODÓN RUSTICO</t>
        </is>
      </c>
      <c r="C722" s="88" t="n">
        <v>52700</v>
      </c>
      <c r="D722" s="88" t="n"/>
      <c r="E722" s="22" t="n"/>
      <c r="F722" s="22" t="n"/>
      <c r="G722" s="22" t="n"/>
      <c r="H722" s="22" t="n"/>
      <c r="I722" s="22" t="n"/>
      <c r="J722" s="22" t="n"/>
      <c r="K722" s="22" t="n"/>
      <c r="L722" s="22" t="n"/>
      <c r="M722" s="22" t="n"/>
      <c r="N722" s="88" t="n"/>
      <c r="P722" s="117" t="n"/>
      <c r="R722" s="117">
        <f>S722*C722</f>
        <v/>
      </c>
      <c r="S722" s="94" t="n">
        <v>1.32</v>
      </c>
      <c r="T722" s="117" t="n"/>
    </row>
    <row r="723">
      <c r="A723" s="89" t="inlineStr">
        <is>
          <t>8730</t>
        </is>
      </c>
      <c r="B723" s="248" t="inlineStr">
        <is>
          <t>WRGE CAMP HILO ALGODÓN</t>
        </is>
      </c>
      <c r="C723" s="88" t="n">
        <v>71800</v>
      </c>
      <c r="D723" s="88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88" t="n"/>
      <c r="P723" s="117" t="n"/>
      <c r="R723" s="117">
        <f>S723*C723</f>
        <v/>
      </c>
      <c r="S723" s="94" t="n">
        <v>1.32</v>
      </c>
      <c r="T723" s="117" t="n"/>
    </row>
    <row r="724">
      <c r="A724" s="89" t="inlineStr">
        <is>
          <t>41111</t>
        </is>
      </c>
      <c r="B724" s="248" t="inlineStr">
        <is>
          <t>IÑAKI CAMP ALGODÓN</t>
        </is>
      </c>
      <c r="C724" s="88" t="n">
        <v>66900</v>
      </c>
      <c r="D724" s="88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2" t="n"/>
      <c r="N724" s="88" t="n"/>
      <c r="P724" s="117" t="n"/>
      <c r="R724" s="117">
        <f>S724*C724</f>
        <v/>
      </c>
      <c r="S724" s="94" t="n">
        <v>1.32</v>
      </c>
      <c r="T724" s="117" t="n"/>
    </row>
    <row r="725">
      <c r="A725" s="89" t="inlineStr">
        <is>
          <t>41109</t>
        </is>
      </c>
      <c r="B725" s="248" t="inlineStr">
        <is>
          <t>IÑAKI CAMP ALGODÓN C FRIZA</t>
        </is>
      </c>
      <c r="C725" s="88" t="n">
        <v>45900</v>
      </c>
      <c r="D725" s="88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2" t="n"/>
      <c r="N725" s="88" t="n"/>
      <c r="P725" s="117" t="n"/>
      <c r="R725" s="117">
        <f>S725*C725</f>
        <v/>
      </c>
      <c r="S725" s="94" t="n">
        <v>1.32</v>
      </c>
      <c r="T725" s="117" t="n"/>
    </row>
    <row r="726">
      <c r="A726" s="89" t="inlineStr">
        <is>
          <t>4100</t>
        </is>
      </c>
      <c r="B726" s="248" t="inlineStr">
        <is>
          <t>TAVERNITI-</t>
        </is>
      </c>
      <c r="C726" s="88" t="n">
        <v>80800</v>
      </c>
      <c r="D726" s="88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2" t="n"/>
      <c r="N726" s="88" t="n"/>
      <c r="P726" s="117" t="n"/>
      <c r="R726" s="117">
        <f>S726*C726</f>
        <v/>
      </c>
      <c r="S726" s="94" t="n">
        <v>1.32</v>
      </c>
      <c r="T726" s="117" t="n"/>
    </row>
    <row r="727">
      <c r="A727" s="89" t="inlineStr">
        <is>
          <t>4102</t>
        </is>
      </c>
      <c r="B727" s="248" t="inlineStr">
        <is>
          <t>TAVERNITI-</t>
        </is>
      </c>
      <c r="C727" s="88" t="n">
        <v>85500</v>
      </c>
      <c r="D727" s="88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2" t="n"/>
      <c r="N727" s="88" t="n"/>
      <c r="P727" s="117" t="n"/>
      <c r="R727" s="117">
        <f>S727*C727</f>
        <v/>
      </c>
      <c r="S727" s="94" t="n">
        <v>1.32</v>
      </c>
      <c r="T727" s="117" t="n"/>
    </row>
    <row r="728">
      <c r="A728" s="89" t="inlineStr">
        <is>
          <t>4118</t>
        </is>
      </c>
      <c r="B728" s="248" t="inlineStr">
        <is>
          <t>TAVERNITI-ttxv</t>
        </is>
      </c>
      <c r="C728" s="88" t="n">
        <v>71200</v>
      </c>
      <c r="D728" s="88" t="n"/>
      <c r="E728" s="22" t="n"/>
      <c r="F728" s="22" t="n"/>
      <c r="G728" s="22" t="n"/>
      <c r="H728" s="22" t="n"/>
      <c r="I728" s="22" t="n"/>
      <c r="J728" s="22" t="n"/>
      <c r="K728" s="22" t="n"/>
      <c r="L728" s="22" t="n"/>
      <c r="M728" s="22" t="n"/>
      <c r="N728" s="88" t="n"/>
      <c r="P728" s="117" t="n"/>
      <c r="R728" s="117">
        <f>S728*C728</f>
        <v/>
      </c>
      <c r="S728" s="94" t="n">
        <v>1.32</v>
      </c>
      <c r="T728" s="117" t="n"/>
    </row>
    <row r="729">
      <c r="A729" s="89" t="inlineStr">
        <is>
          <t>4124</t>
        </is>
      </c>
      <c r="B729" s="248" t="inlineStr">
        <is>
          <t>TAVERNITI-</t>
        </is>
      </c>
      <c r="C729" s="88" t="n">
        <v>65800</v>
      </c>
      <c r="D729" s="88" t="n"/>
      <c r="E729" s="22" t="n"/>
      <c r="F729" s="22" t="n"/>
      <c r="G729" s="22" t="n"/>
      <c r="H729" s="22" t="n"/>
      <c r="I729" s="22" t="n"/>
      <c r="J729" s="22" t="n"/>
      <c r="K729" s="22" t="n"/>
      <c r="L729" s="22" t="n"/>
      <c r="M729" s="22" t="n"/>
      <c r="N729" s="88" t="n"/>
      <c r="P729" s="117" t="n"/>
      <c r="R729" s="117">
        <f>S729*C729</f>
        <v/>
      </c>
      <c r="S729" s="94" t="n">
        <v>1.32</v>
      </c>
      <c r="T729" s="117" t="n"/>
    </row>
    <row r="730">
      <c r="A730" s="134" t="inlineStr">
        <is>
          <t>4236</t>
        </is>
      </c>
      <c r="B730" s="246" t="inlineStr">
        <is>
          <t>TAVERNITI CAMPERA</t>
        </is>
      </c>
      <c r="C730" s="88" t="n">
        <v>144300</v>
      </c>
      <c r="D730" s="88" t="n"/>
      <c r="E730" s="22" t="n"/>
      <c r="F730" s="22" t="n"/>
      <c r="G730" s="22" t="n"/>
      <c r="H730" s="22" t="n"/>
      <c r="I730" s="22" t="n"/>
      <c r="J730" s="22" t="n"/>
      <c r="K730" s="22" t="n"/>
      <c r="L730" s="22" t="n"/>
      <c r="M730" s="22" t="n"/>
      <c r="N730" s="219" t="n"/>
      <c r="P730" s="117" t="n"/>
      <c r="R730" s="117">
        <f>S730*C730</f>
        <v/>
      </c>
      <c r="S730" s="94" t="n">
        <v>1.32</v>
      </c>
      <c r="T730" s="117" t="n"/>
    </row>
    <row r="731">
      <c r="A731" s="89" t="inlineStr">
        <is>
          <t>4364</t>
        </is>
      </c>
      <c r="B731" s="248" t="inlineStr">
        <is>
          <t>TAVERNITI CAMP ALG</t>
        </is>
      </c>
      <c r="C731" s="88" t="n">
        <v>86000</v>
      </c>
      <c r="D731" s="88" t="n"/>
      <c r="E731" s="22" t="n"/>
      <c r="F731" s="22" t="n"/>
      <c r="G731" s="22" t="n"/>
      <c r="H731" s="22" t="n"/>
      <c r="I731" s="22" t="n"/>
      <c r="J731" s="22" t="n"/>
      <c r="K731" s="22" t="n"/>
      <c r="L731" s="22" t="n"/>
      <c r="M731" s="22" t="n"/>
      <c r="N731" s="88" t="n"/>
      <c r="P731" s="117" t="n"/>
      <c r="R731" s="117">
        <f>S731*C731</f>
        <v/>
      </c>
      <c r="S731" s="94" t="n">
        <v>1.32</v>
      </c>
      <c r="T731" s="117" t="n"/>
    </row>
    <row r="732">
      <c r="A732" s="89" t="inlineStr">
        <is>
          <t>4374</t>
        </is>
      </c>
      <c r="B732" s="248" t="inlineStr">
        <is>
          <t>TAVERNITI CAMP ALG</t>
        </is>
      </c>
      <c r="C732" s="88" t="n">
        <v>101200</v>
      </c>
      <c r="D732" s="88" t="n"/>
      <c r="E732" s="22" t="n"/>
      <c r="F732" s="22" t="n"/>
      <c r="G732" s="22" t="n"/>
      <c r="H732" s="22" t="n"/>
      <c r="I732" s="22" t="n"/>
      <c r="J732" s="22" t="n"/>
      <c r="K732" s="22" t="n"/>
      <c r="L732" s="22" t="n"/>
      <c r="M732" s="22" t="n"/>
      <c r="N732" s="88" t="n"/>
      <c r="P732" s="117" t="n"/>
      <c r="R732" s="117">
        <f>S732*C732</f>
        <v/>
      </c>
      <c r="S732" s="94" t="n">
        <v>1.32</v>
      </c>
      <c r="T732" s="117" t="n"/>
    </row>
    <row r="733">
      <c r="A733" s="89" t="inlineStr">
        <is>
          <t>4414</t>
        </is>
      </c>
      <c r="B733" s="248" t="inlineStr">
        <is>
          <t>TAVERNITI-</t>
        </is>
      </c>
      <c r="C733" s="88" t="n">
        <v>83400</v>
      </c>
      <c r="D733" s="88" t="n"/>
      <c r="E733" s="22" t="n"/>
      <c r="F733" s="22" t="n"/>
      <c r="G733" s="22" t="n"/>
      <c r="H733" s="22" t="n"/>
      <c r="I733" s="22" t="n"/>
      <c r="J733" s="22" t="n"/>
      <c r="K733" s="22" t="n"/>
      <c r="L733" s="22" t="n"/>
      <c r="M733" s="22" t="n"/>
      <c r="N733" s="88" t="n"/>
      <c r="P733" s="117" t="n"/>
      <c r="R733" s="117">
        <f>S733*C733</f>
        <v/>
      </c>
      <c r="S733" s="94" t="n">
        <v>1.32</v>
      </c>
      <c r="T733" s="117" t="n"/>
    </row>
    <row r="734">
      <c r="A734" s="89" t="inlineStr">
        <is>
          <t>4634XXX</t>
        </is>
      </c>
      <c r="B734" s="248" t="inlineStr">
        <is>
          <t>TAVERNITI</t>
        </is>
      </c>
      <c r="C734" s="88" t="n">
        <v>93700</v>
      </c>
      <c r="D734" s="88" t="n"/>
      <c r="E734" s="219" t="n"/>
      <c r="F734" s="22" t="n"/>
      <c r="G734" s="22" t="n"/>
      <c r="H734" s="22" t="n"/>
      <c r="I734" s="22" t="n"/>
      <c r="J734" s="22" t="n"/>
      <c r="K734" s="22" t="n"/>
      <c r="L734" s="22" t="n"/>
      <c r="M734" s="22" t="n"/>
      <c r="N734" s="88" t="n"/>
      <c r="P734" s="117" t="n"/>
      <c r="R734" s="117">
        <f>S734*C734</f>
        <v/>
      </c>
      <c r="S734" s="94" t="n">
        <v>1.32</v>
      </c>
      <c r="T734" s="117" t="n"/>
    </row>
    <row r="735">
      <c r="A735" s="89" t="inlineStr">
        <is>
          <t>4698XXX</t>
        </is>
      </c>
      <c r="B735" s="248" t="inlineStr">
        <is>
          <t>TAVERNITI</t>
        </is>
      </c>
      <c r="C735" s="88" t="n">
        <v>137400</v>
      </c>
      <c r="D735" s="88" t="n"/>
      <c r="E735" s="219" t="n"/>
      <c r="F735" s="22" t="n"/>
      <c r="G735" s="22" t="n"/>
      <c r="H735" s="22" t="n"/>
      <c r="I735" s="22" t="n"/>
      <c r="J735" s="22" t="n"/>
      <c r="K735" s="22" t="n"/>
      <c r="L735" s="22" t="n"/>
      <c r="M735" s="22" t="n"/>
      <c r="N735" s="88" t="n"/>
      <c r="P735" s="117" t="n"/>
      <c r="R735" s="117">
        <f>S735*C735</f>
        <v/>
      </c>
      <c r="S735" s="94" t="n">
        <v>1.32</v>
      </c>
      <c r="T735" s="117" t="n"/>
    </row>
    <row r="736">
      <c r="A736" s="89" t="inlineStr">
        <is>
          <t>4801XXX</t>
        </is>
      </c>
      <c r="B736" s="248" t="inlineStr">
        <is>
          <t>TAVERNITI</t>
        </is>
      </c>
      <c r="C736" s="88" t="n">
        <v>89700</v>
      </c>
      <c r="D736" s="88" t="n"/>
      <c r="E736" s="219" t="n"/>
      <c r="F736" s="22" t="n"/>
      <c r="G736" s="22" t="n"/>
      <c r="H736" s="22" t="n"/>
      <c r="I736" s="22" t="n"/>
      <c r="J736" s="22" t="n"/>
      <c r="K736" s="22" t="n"/>
      <c r="L736" s="22" t="n"/>
      <c r="M736" s="22" t="n"/>
      <c r="N736" s="88" t="n"/>
      <c r="P736" s="117" t="n"/>
      <c r="R736" s="117">
        <f>S736*C736</f>
        <v/>
      </c>
      <c r="S736" s="94" t="n">
        <v>1.32</v>
      </c>
      <c r="T736" s="117" t="n"/>
    </row>
    <row r="737">
      <c r="A737" s="89" t="inlineStr">
        <is>
          <t>5352XXX</t>
        </is>
      </c>
      <c r="B737" s="248" t="inlineStr">
        <is>
          <t>TAVERNITI</t>
        </is>
      </c>
      <c r="C737" s="88" t="n">
        <v>102500</v>
      </c>
      <c r="D737" s="88" t="n"/>
      <c r="E737" s="219" t="n"/>
      <c r="F737" s="22" t="n"/>
      <c r="G737" s="22" t="n"/>
      <c r="H737" s="22" t="n"/>
      <c r="I737" s="22" t="n"/>
      <c r="J737" s="22" t="n"/>
      <c r="K737" s="22" t="n"/>
      <c r="L737" s="22" t="n"/>
      <c r="M737" s="22" t="n"/>
      <c r="N737" s="88" t="n"/>
      <c r="P737" s="117" t="n"/>
      <c r="R737" s="117">
        <f>S737*C737</f>
        <v/>
      </c>
      <c r="S737" s="94" t="n">
        <v>1.32</v>
      </c>
      <c r="T737" s="117" t="n"/>
    </row>
    <row r="738">
      <c r="A738" s="89" t="inlineStr">
        <is>
          <t>5358XXX</t>
        </is>
      </c>
      <c r="B738" s="248" t="inlineStr">
        <is>
          <t>TAVERNITI</t>
        </is>
      </c>
      <c r="C738" s="88" t="n">
        <v>102500</v>
      </c>
      <c r="D738" s="88" t="n"/>
      <c r="E738" s="219" t="n"/>
      <c r="F738" s="22" t="n"/>
      <c r="G738" s="22" t="n"/>
      <c r="H738" s="22" t="n"/>
      <c r="I738" s="22" t="n"/>
      <c r="J738" s="22" t="n"/>
      <c r="K738" s="22" t="n"/>
      <c r="L738" s="22" t="n"/>
      <c r="M738" s="22" t="n"/>
      <c r="N738" s="88" t="n"/>
      <c r="P738" s="117" t="n"/>
      <c r="R738" s="117" t="inlineStr">
        <is>
          <t>17828XXX</t>
        </is>
      </c>
      <c r="S738" s="94" t="n">
        <v>1.32</v>
      </c>
      <c r="T738" s="117" t="n"/>
    </row>
    <row r="739">
      <c r="A739" s="89" t="inlineStr">
        <is>
          <t>5368XXX</t>
        </is>
      </c>
      <c r="B739" s="248" t="inlineStr">
        <is>
          <t>TAVERNITI</t>
        </is>
      </c>
      <c r="C739" s="88" t="n">
        <v>143500</v>
      </c>
      <c r="D739" s="88" t="n"/>
      <c r="E739" s="219" t="n"/>
      <c r="F739" s="22" t="n"/>
      <c r="G739" s="22" t="n"/>
      <c r="H739" s="22" t="n"/>
      <c r="I739" s="22" t="n"/>
      <c r="J739" s="22" t="n"/>
      <c r="K739" s="22" t="n"/>
      <c r="L739" s="22" t="n"/>
      <c r="M739" s="22" t="n"/>
      <c r="N739" s="88" t="n"/>
      <c r="P739" s="117" t="n"/>
      <c r="R739" s="117">
        <f>S739*C739</f>
        <v/>
      </c>
      <c r="S739" s="94" t="n">
        <v>1.32</v>
      </c>
      <c r="T739" s="117" t="n"/>
    </row>
    <row r="740">
      <c r="A740" s="89" t="inlineStr">
        <is>
          <t>5370XXX</t>
        </is>
      </c>
      <c r="B740" s="248" t="inlineStr">
        <is>
          <t>TAVERNITI</t>
        </is>
      </c>
      <c r="C740" s="88" t="n">
        <v>115000</v>
      </c>
      <c r="D740" s="88" t="n"/>
      <c r="E740" s="219" t="n"/>
      <c r="F740" s="22" t="n"/>
      <c r="G740" s="22" t="n"/>
      <c r="H740" s="22" t="n"/>
      <c r="I740" s="22" t="n"/>
      <c r="J740" s="22" t="n"/>
      <c r="K740" s="22" t="n"/>
      <c r="L740" s="22" t="n"/>
      <c r="M740" s="22" t="n"/>
      <c r="N740" s="88" t="n"/>
      <c r="P740" s="117" t="n"/>
      <c r="R740" s="117">
        <f>S740*C740</f>
        <v/>
      </c>
      <c r="S740" s="94" t="n">
        <v>1.32</v>
      </c>
      <c r="T740" s="117" t="n"/>
    </row>
    <row r="741">
      <c r="A741" s="89" t="inlineStr">
        <is>
          <t>5372XXX</t>
        </is>
      </c>
      <c r="B741" s="248" t="inlineStr">
        <is>
          <t>TAVERNITI</t>
        </is>
      </c>
      <c r="C741" s="88" t="n">
        <v>119300</v>
      </c>
      <c r="D741" s="88" t="n"/>
      <c r="E741" s="219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88" t="n"/>
      <c r="P741" s="117" t="n"/>
      <c r="R741" s="117">
        <f>S741*C741</f>
        <v/>
      </c>
      <c r="S741" s="94" t="n">
        <v>1.32</v>
      </c>
      <c r="T741" s="117" t="n"/>
    </row>
    <row r="742">
      <c r="A742" s="89" t="inlineStr">
        <is>
          <t>5384XXX</t>
        </is>
      </c>
      <c r="B742" s="248" t="inlineStr">
        <is>
          <t>TAVERNITI</t>
        </is>
      </c>
      <c r="C742" s="88" t="n">
        <v>99500</v>
      </c>
      <c r="D742" s="88" t="n"/>
      <c r="E742" s="219" t="n"/>
      <c r="F742" s="22" t="n"/>
      <c r="G742" s="22" t="n"/>
      <c r="H742" s="22" t="n"/>
      <c r="I742" s="22" t="n"/>
      <c r="J742" s="22" t="n"/>
      <c r="K742" s="22" t="n"/>
      <c r="L742" s="22" t="n"/>
      <c r="M742" s="22" t="n"/>
      <c r="N742" s="88" t="n"/>
      <c r="P742" s="117" t="n"/>
      <c r="R742" s="117">
        <f>S742*C742</f>
        <v/>
      </c>
      <c r="S742" s="94" t="n">
        <v>1.32</v>
      </c>
      <c r="T742" s="117" t="n"/>
    </row>
    <row r="743">
      <c r="A743" s="89" t="inlineStr">
        <is>
          <t>6066XXX</t>
        </is>
      </c>
      <c r="B743" s="248" t="inlineStr">
        <is>
          <t>TAVERNITI</t>
        </is>
      </c>
      <c r="C743" s="88" t="n">
        <v>108800</v>
      </c>
      <c r="D743" s="88" t="n"/>
      <c r="E743" s="22" t="n"/>
      <c r="F743" s="22" t="n"/>
      <c r="G743" s="22" t="n"/>
      <c r="H743" s="22" t="n"/>
      <c r="I743" s="22" t="n"/>
      <c r="J743" s="22" t="n"/>
      <c r="K743" s="22" t="n"/>
      <c r="L743" s="22" t="n"/>
      <c r="M743" s="22" t="n"/>
      <c r="N743" s="88" t="n"/>
      <c r="P743" s="117" t="n"/>
      <c r="R743" s="117">
        <f>S743*C743</f>
        <v/>
      </c>
      <c r="S743" s="94" t="n">
        <v>1.32</v>
      </c>
      <c r="T743" s="117" t="n"/>
    </row>
    <row r="744">
      <c r="A744" s="89" t="inlineStr">
        <is>
          <t>6082XXX</t>
        </is>
      </c>
      <c r="B744" s="248" t="inlineStr">
        <is>
          <t>TAVERNITI</t>
        </is>
      </c>
      <c r="C744" s="88" t="n">
        <v>122500</v>
      </c>
      <c r="D744" s="88" t="n"/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88" t="n"/>
      <c r="P744" s="117" t="n"/>
      <c r="R744" s="117">
        <f>S744*C744</f>
        <v/>
      </c>
      <c r="S744" s="94" t="n">
        <v>1.32</v>
      </c>
      <c r="T744" s="117" t="n"/>
    </row>
    <row r="745">
      <c r="A745" s="89" t="inlineStr">
        <is>
          <t>6086XXX</t>
        </is>
      </c>
      <c r="B745" s="248" t="inlineStr">
        <is>
          <t>TAVERNITI</t>
        </is>
      </c>
      <c r="C745" s="88" t="n">
        <v>111000</v>
      </c>
      <c r="D745" s="88" t="n"/>
      <c r="E745" s="22" t="n"/>
      <c r="F745" s="22" t="n"/>
      <c r="G745" s="22" t="n"/>
      <c r="H745" s="22" t="n"/>
      <c r="I745" s="22" t="n"/>
      <c r="J745" s="22" t="n"/>
      <c r="K745" s="22" t="n"/>
      <c r="L745" s="22" t="n"/>
      <c r="M745" s="22" t="n"/>
      <c r="N745" s="88" t="n"/>
      <c r="P745" s="117" t="n"/>
      <c r="R745" s="117">
        <f>S745*C745</f>
        <v/>
      </c>
      <c r="S745" s="94" t="n">
        <v>1.32</v>
      </c>
      <c r="T745" s="117" t="n"/>
    </row>
    <row r="746">
      <c r="A746" s="89" t="inlineStr">
        <is>
          <t>6092XXX</t>
        </is>
      </c>
      <c r="B746" s="248" t="inlineStr">
        <is>
          <t>TAVERNITI</t>
        </is>
      </c>
      <c r="C746" s="88" t="n">
        <v>115100</v>
      </c>
      <c r="D746" s="88" t="n"/>
      <c r="E746" s="22" t="n"/>
      <c r="F746" s="22" t="n"/>
      <c r="G746" s="22" t="n"/>
      <c r="H746" s="22" t="n"/>
      <c r="I746" s="22" t="n"/>
      <c r="J746" s="22" t="n"/>
      <c r="K746" s="22" t="n"/>
      <c r="L746" s="22" t="n"/>
      <c r="M746" s="22" t="n"/>
      <c r="N746" s="88" t="n"/>
      <c r="P746" s="117" t="n"/>
      <c r="R746" s="117">
        <f>S746*C746</f>
        <v/>
      </c>
      <c r="S746" s="94" t="n">
        <v>1.32</v>
      </c>
      <c r="T746" s="117" t="n"/>
    </row>
    <row r="747">
      <c r="A747" s="89" t="inlineStr">
        <is>
          <t>6096XXX</t>
        </is>
      </c>
      <c r="B747" s="248" t="inlineStr">
        <is>
          <t>TAVERNITI</t>
        </is>
      </c>
      <c r="C747" s="88" t="n">
        <v>119400</v>
      </c>
      <c r="D747" s="88" t="n"/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88" t="n"/>
      <c r="P747" s="117" t="n"/>
      <c r="R747" s="117">
        <f>S747*C747</f>
        <v/>
      </c>
      <c r="S747" s="94" t="n">
        <v>1.32</v>
      </c>
      <c r="T747" s="117" t="n"/>
    </row>
    <row r="748">
      <c r="A748" s="89" t="inlineStr">
        <is>
          <t>6108XXX</t>
        </is>
      </c>
      <c r="B748" s="248" t="inlineStr">
        <is>
          <t>TAVERNITI</t>
        </is>
      </c>
      <c r="C748" s="88" t="n">
        <v>114600</v>
      </c>
      <c r="D748" s="88" t="n"/>
      <c r="E748" s="22" t="n"/>
      <c r="F748" s="22" t="n"/>
      <c r="G748" s="22" t="n"/>
      <c r="H748" s="22" t="n"/>
      <c r="I748" s="22" t="n"/>
      <c r="J748" s="22" t="n"/>
      <c r="K748" s="22" t="n"/>
      <c r="L748" s="22" t="n"/>
      <c r="M748" s="22" t="n"/>
      <c r="N748" s="88" t="n"/>
      <c r="P748" s="117" t="n"/>
      <c r="R748" s="117">
        <f>S748*C748</f>
        <v/>
      </c>
      <c r="S748" s="94" t="n">
        <v>1.32</v>
      </c>
      <c r="T748" s="117" t="n"/>
    </row>
    <row r="749">
      <c r="A749" s="89" t="inlineStr">
        <is>
          <t>6178XXX</t>
        </is>
      </c>
      <c r="B749" s="248" t="inlineStr">
        <is>
          <t>TAVERNITI</t>
        </is>
      </c>
      <c r="C749" s="88" t="n">
        <v>104100</v>
      </c>
      <c r="D749" s="88" t="n"/>
      <c r="E749" s="22" t="n"/>
      <c r="F749" s="22" t="n"/>
      <c r="G749" s="22" t="n"/>
      <c r="H749" s="22" t="n"/>
      <c r="I749" s="22" t="n"/>
      <c r="J749" s="22" t="n"/>
      <c r="K749" s="22" t="n"/>
      <c r="L749" s="22" t="n"/>
      <c r="M749" s="22" t="n"/>
      <c r="N749" s="88" t="n"/>
      <c r="P749" s="117" t="n"/>
      <c r="R749" s="117">
        <f>S749*C749</f>
        <v/>
      </c>
      <c r="S749" s="94" t="n">
        <v>1.32</v>
      </c>
      <c r="T749" s="117" t="n"/>
    </row>
    <row r="750">
      <c r="A750" s="89" t="inlineStr">
        <is>
          <t>12359XXX</t>
        </is>
      </c>
      <c r="B750" s="248" t="inlineStr">
        <is>
          <t>TAVERNITI</t>
        </is>
      </c>
      <c r="C750" s="88" t="n">
        <v>140300</v>
      </c>
      <c r="D750" s="88" t="n"/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88" t="n"/>
      <c r="P750" s="117" t="n"/>
      <c r="R750" s="117">
        <f>S750*C750</f>
        <v/>
      </c>
      <c r="S750" s="94" t="n">
        <v>1.32</v>
      </c>
      <c r="T750" s="117" t="n"/>
    </row>
    <row r="751">
      <c r="A751" s="89" t="inlineStr">
        <is>
          <t>13516XXX</t>
        </is>
      </c>
      <c r="B751" s="248" t="inlineStr">
        <is>
          <t>TAVERNITI</t>
        </is>
      </c>
      <c r="C751" s="88" t="n">
        <v>130000</v>
      </c>
      <c r="D751" s="170" t="n"/>
      <c r="E751" s="170" t="n"/>
      <c r="F751" s="170" t="n"/>
      <c r="G751" s="170" t="n"/>
      <c r="H751" s="170" t="n"/>
      <c r="I751" s="170" t="n"/>
      <c r="J751" s="170" t="n"/>
      <c r="K751" s="170" t="n"/>
      <c r="L751" s="170" t="n"/>
      <c r="M751" s="170" t="n"/>
      <c r="N751" s="170" t="n"/>
      <c r="O751" s="30" t="n"/>
      <c r="P751" s="170" t="n"/>
      <c r="Q751" s="30" t="n"/>
      <c r="R751" s="150">
        <f>S751*C751</f>
        <v/>
      </c>
      <c r="S751" s="94" t="n">
        <v>1.32</v>
      </c>
      <c r="T751" s="170" t="n"/>
      <c r="U751" s="30" t="n"/>
      <c r="V751" s="30" t="n"/>
      <c r="W751" s="30" t="n"/>
      <c r="X751" s="30" t="n"/>
      <c r="Y751" s="30" t="n"/>
      <c r="Z751" s="30" t="n"/>
      <c r="AA751" s="30" t="n"/>
      <c r="AB751" s="30" t="n"/>
      <c r="AC751" s="30" t="n"/>
      <c r="AD751" s="30" t="n"/>
      <c r="AE751" s="30" t="n"/>
      <c r="AF751" s="30" t="n"/>
      <c r="AG751" s="30" t="n"/>
      <c r="AH751" s="30" t="n"/>
      <c r="AI751" s="30" t="n"/>
      <c r="AJ751" s="30" t="n"/>
      <c r="AK751" s="30" t="n"/>
      <c r="AL751" s="30" t="n"/>
      <c r="AM751" s="30" t="n"/>
      <c r="AN751" s="30" t="n"/>
      <c r="AO751" s="30" t="n"/>
    </row>
    <row r="752">
      <c r="A752" s="89" t="inlineStr">
        <is>
          <t>14000XXX</t>
        </is>
      </c>
      <c r="B752" s="248" t="inlineStr">
        <is>
          <t>TAVERNITI</t>
        </is>
      </c>
      <c r="C752" s="88" t="n">
        <v>111000</v>
      </c>
      <c r="D752" s="88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88" t="n"/>
      <c r="P752" s="117" t="n"/>
      <c r="R752" s="117">
        <f>S752*C752</f>
        <v/>
      </c>
      <c r="S752" s="94" t="n">
        <v>1.32</v>
      </c>
      <c r="T752" s="117" t="n"/>
    </row>
    <row r="753">
      <c r="A753" s="89" t="inlineStr">
        <is>
          <t>14010XXX</t>
        </is>
      </c>
      <c r="B753" s="248" t="inlineStr">
        <is>
          <t>TAVERNITI</t>
        </is>
      </c>
      <c r="C753" s="88" t="n">
        <v>100700</v>
      </c>
      <c r="D753" s="88" t="n"/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88" t="n"/>
      <c r="P753" s="117" t="n"/>
      <c r="R753" s="117">
        <f>S753*C753</f>
        <v/>
      </c>
      <c r="S753" s="94" t="n">
        <v>1.32</v>
      </c>
      <c r="T753" s="117" t="n"/>
    </row>
    <row r="754">
      <c r="A754" s="89" t="inlineStr">
        <is>
          <t>14014XXX</t>
        </is>
      </c>
      <c r="B754" s="248" t="inlineStr">
        <is>
          <t>TAVERNITI CAMP ALG</t>
        </is>
      </c>
      <c r="C754" s="88" t="n">
        <v>90700</v>
      </c>
      <c r="D754" s="88" t="n"/>
      <c r="E754" s="22" t="n"/>
      <c r="F754" s="22" t="n"/>
      <c r="G754" s="22" t="n"/>
      <c r="H754" s="22" t="n"/>
      <c r="I754" s="22" t="n"/>
      <c r="J754" s="22" t="n"/>
      <c r="K754" s="22" t="n"/>
      <c r="L754" s="22" t="n"/>
      <c r="M754" s="22" t="n"/>
      <c r="N754" s="88" t="n"/>
      <c r="P754" s="117" t="n"/>
      <c r="R754" s="117">
        <f>S754*C754</f>
        <v/>
      </c>
      <c r="S754" s="94" t="n">
        <v>1.32</v>
      </c>
      <c r="T754" s="117" t="n"/>
    </row>
    <row r="755">
      <c r="A755" s="89" t="inlineStr">
        <is>
          <t>14016XXX</t>
        </is>
      </c>
      <c r="B755" s="248" t="inlineStr">
        <is>
          <t>TAVERNITI CAMP ALG</t>
        </is>
      </c>
      <c r="C755" s="88" t="n">
        <v>109000</v>
      </c>
      <c r="D755" s="88" t="n"/>
      <c r="E755" s="22" t="n"/>
      <c r="F755" s="22" t="n"/>
      <c r="G755" s="22" t="n"/>
      <c r="H755" s="22" t="n"/>
      <c r="I755" s="22" t="n"/>
      <c r="J755" s="22" t="n"/>
      <c r="K755" s="22" t="n"/>
      <c r="L755" s="22" t="n"/>
      <c r="M755" s="22" t="n"/>
      <c r="N755" s="88" t="n"/>
      <c r="P755" s="117" t="n"/>
      <c r="R755" s="117">
        <f>S755*C755</f>
        <v/>
      </c>
      <c r="S755" s="94" t="n">
        <v>1.32</v>
      </c>
      <c r="T755" s="117" t="n"/>
    </row>
    <row r="756">
      <c r="A756" s="89" t="inlineStr">
        <is>
          <t>14018XXX</t>
        </is>
      </c>
      <c r="B756" s="248" t="inlineStr">
        <is>
          <t>TAVERNITI CAMP ALG</t>
        </is>
      </c>
      <c r="C756" s="88" t="n">
        <v>90700</v>
      </c>
      <c r="D756" s="88" t="n"/>
      <c r="E756" s="22" t="n"/>
      <c r="F756" s="22" t="n"/>
      <c r="G756" s="22" t="n"/>
      <c r="H756" s="22" t="n"/>
      <c r="I756" s="22" t="n"/>
      <c r="J756" s="22" t="n"/>
      <c r="K756" s="22" t="n"/>
      <c r="L756" s="22" t="n"/>
      <c r="M756" s="22" t="n"/>
      <c r="N756" s="88" t="n"/>
      <c r="P756" s="117" t="n"/>
      <c r="R756" s="117">
        <f>S756*C756</f>
        <v/>
      </c>
      <c r="S756" s="94" t="n">
        <v>1.32</v>
      </c>
      <c r="T756" s="117" t="n"/>
    </row>
    <row r="757">
      <c r="A757" s="89" t="inlineStr">
        <is>
          <t>14040XXX</t>
        </is>
      </c>
      <c r="B757" s="248" t="inlineStr">
        <is>
          <t>TAVERNITI-MONTGOMERY</t>
        </is>
      </c>
      <c r="C757" s="88" t="n">
        <v>91600</v>
      </c>
      <c r="D757" s="88" t="n"/>
      <c r="E757" s="22" t="n"/>
      <c r="F757" s="22" t="n"/>
      <c r="G757" s="22" t="n"/>
      <c r="H757" s="22" t="n"/>
      <c r="I757" s="22" t="n"/>
      <c r="J757" s="22" t="n"/>
      <c r="K757" s="22" t="n"/>
      <c r="L757" s="22" t="n"/>
      <c r="M757" s="22" t="n"/>
      <c r="N757" s="88" t="n"/>
      <c r="P757" s="117" t="n"/>
      <c r="R757" s="117">
        <f>S757*C757</f>
        <v/>
      </c>
      <c r="S757" s="94" t="n">
        <v>1.32</v>
      </c>
      <c r="T757" s="117" t="n"/>
    </row>
    <row r="758">
      <c r="A758" s="89" t="inlineStr">
        <is>
          <t>14046XXX</t>
        </is>
      </c>
      <c r="B758" s="248" t="inlineStr">
        <is>
          <t>TAVERNITI CAMP ALG</t>
        </is>
      </c>
      <c r="C758" s="88" t="n">
        <v>119000</v>
      </c>
      <c r="D758" s="88" t="n"/>
      <c r="E758" s="219" t="n"/>
      <c r="F758" s="22" t="n"/>
      <c r="G758" s="22" t="n"/>
      <c r="H758" s="22" t="n"/>
      <c r="I758" s="22" t="n"/>
      <c r="J758" s="22" t="n"/>
      <c r="K758" s="22" t="n"/>
      <c r="L758" s="22" t="n"/>
      <c r="M758" s="22" t="n"/>
      <c r="N758" s="88" t="n"/>
      <c r="P758" s="117" t="n"/>
      <c r="R758" s="117">
        <f>S758*C758</f>
        <v/>
      </c>
      <c r="S758" s="94" t="n">
        <v>1.32</v>
      </c>
      <c r="T758" s="117" t="n"/>
    </row>
    <row r="759">
      <c r="A759" s="89" t="inlineStr">
        <is>
          <t>14048XXX</t>
        </is>
      </c>
      <c r="B759" s="248" t="inlineStr">
        <is>
          <t>TAVERNITI CAMP ALG</t>
        </is>
      </c>
      <c r="C759" s="88" t="n">
        <v>93700</v>
      </c>
      <c r="D759" s="88" t="n"/>
      <c r="E759" s="22" t="n"/>
      <c r="F759" s="22" t="n"/>
      <c r="G759" s="22" t="n"/>
      <c r="H759" s="22" t="n"/>
      <c r="I759" s="22" t="n"/>
      <c r="J759" s="22" t="n"/>
      <c r="K759" s="22" t="n"/>
      <c r="L759" s="22" t="n"/>
      <c r="M759" s="22" t="n"/>
      <c r="N759" s="88" t="n"/>
      <c r="P759" s="117" t="n"/>
      <c r="R759" s="117">
        <f>S759*C759</f>
        <v/>
      </c>
      <c r="S759" s="94" t="n">
        <v>1.32</v>
      </c>
      <c r="T759" s="117" t="n"/>
    </row>
    <row r="760">
      <c r="A760" s="89" t="inlineStr">
        <is>
          <t>14220XXX</t>
        </is>
      </c>
      <c r="B760" s="248" t="inlineStr">
        <is>
          <t>TAVERNITI</t>
        </is>
      </c>
      <c r="C760" s="88" t="n">
        <v>114700</v>
      </c>
      <c r="D760" s="88" t="n"/>
      <c r="E760" s="22" t="n"/>
      <c r="F760" s="22" t="n"/>
      <c r="G760" s="22" t="n"/>
      <c r="H760" s="22" t="n"/>
      <c r="I760" s="22" t="n"/>
      <c r="J760" s="22" t="n"/>
      <c r="K760" s="22" t="n"/>
      <c r="L760" s="22" t="n"/>
      <c r="M760" s="22" t="n"/>
      <c r="N760" s="88" t="n"/>
      <c r="P760" s="117" t="n"/>
      <c r="R760" s="117">
        <f>S760*C760</f>
        <v/>
      </c>
      <c r="S760" s="94" t="n">
        <v>1.32</v>
      </c>
      <c r="T760" s="117" t="n"/>
    </row>
    <row r="761">
      <c r="A761" s="89" t="inlineStr">
        <is>
          <t>14222XXX</t>
        </is>
      </c>
      <c r="B761" s="248" t="inlineStr">
        <is>
          <t>TAVERNITI CAMP ALG</t>
        </is>
      </c>
      <c r="C761" s="88" t="n">
        <v>138500</v>
      </c>
      <c r="D761" s="88" t="n"/>
      <c r="E761" s="22" t="n"/>
      <c r="F761" s="22" t="n"/>
      <c r="G761" s="22" t="n"/>
      <c r="H761" s="22" t="n"/>
      <c r="I761" s="22" t="n"/>
      <c r="J761" s="22" t="n"/>
      <c r="K761" s="22" t="n"/>
      <c r="L761" s="22" t="n"/>
      <c r="M761" s="22" t="n"/>
      <c r="N761" s="88" t="n"/>
      <c r="P761" s="117" t="n"/>
      <c r="R761" s="117">
        <f>S761*C761</f>
        <v/>
      </c>
      <c r="S761" s="94" t="n">
        <v>1.32</v>
      </c>
      <c r="T761" s="117" t="n"/>
    </row>
    <row r="762">
      <c r="A762" s="89" t="inlineStr">
        <is>
          <t>14720XXX</t>
        </is>
      </c>
      <c r="B762" s="248" t="inlineStr">
        <is>
          <t>TAVERNITI</t>
        </is>
      </c>
      <c r="C762" s="88" t="n">
        <v>90700</v>
      </c>
      <c r="D762" s="88" t="n"/>
      <c r="E762" s="22" t="n"/>
      <c r="F762" s="22" t="n"/>
      <c r="G762" s="22" t="n"/>
      <c r="H762" s="22" t="n"/>
      <c r="I762" s="22" t="n"/>
      <c r="J762" s="22" t="n"/>
      <c r="K762" s="22" t="n"/>
      <c r="L762" s="22" t="n"/>
      <c r="M762" s="22" t="n"/>
      <c r="N762" s="88" t="n"/>
      <c r="P762" s="117" t="n"/>
      <c r="R762" s="117">
        <f>S762*C762</f>
        <v/>
      </c>
      <c r="S762" s="94" t="n">
        <v>1.32</v>
      </c>
      <c r="T762" s="117" t="n"/>
    </row>
    <row r="763">
      <c r="A763" s="89" t="inlineStr">
        <is>
          <t>14722XXX</t>
        </is>
      </c>
      <c r="B763" s="248" t="inlineStr">
        <is>
          <t>TAVERNITI CAMP ACETATO/ALG</t>
        </is>
      </c>
      <c r="C763" s="88" t="n">
        <v>118800</v>
      </c>
      <c r="D763" s="88" t="n"/>
      <c r="E763" s="22" t="n"/>
      <c r="F763" s="22" t="n"/>
      <c r="G763" s="22" t="n"/>
      <c r="H763" s="22" t="n"/>
      <c r="I763" s="22" t="n"/>
      <c r="J763" s="22" t="n"/>
      <c r="K763" s="22" t="n"/>
      <c r="L763" s="22" t="n"/>
      <c r="M763" s="22" t="n"/>
      <c r="N763" s="88" t="n"/>
      <c r="P763" s="117" t="n"/>
      <c r="R763" s="117">
        <f>S763*C763</f>
        <v/>
      </c>
      <c r="S763" s="94" t="n">
        <v>1.32</v>
      </c>
      <c r="T763" s="117" t="n"/>
    </row>
    <row r="764">
      <c r="A764" s="89" t="inlineStr">
        <is>
          <t>14728XXX</t>
        </is>
      </c>
      <c r="B764" s="248" t="inlineStr">
        <is>
          <t>TAVERNITI</t>
        </is>
      </c>
      <c r="C764" s="88" t="n">
        <v>128000</v>
      </c>
      <c r="D764" s="88" t="n"/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88" t="n"/>
      <c r="P764" s="117" t="n"/>
      <c r="R764" s="117">
        <f>S764*C764</f>
        <v/>
      </c>
      <c r="S764" s="94" t="n">
        <v>1.32</v>
      </c>
      <c r="T764" s="117" t="n"/>
    </row>
    <row r="765">
      <c r="A765" s="89" t="inlineStr">
        <is>
          <t>14732XXX</t>
        </is>
      </c>
      <c r="B765" s="248" t="inlineStr">
        <is>
          <t>TAVERNITI</t>
        </is>
      </c>
      <c r="C765" s="88" t="n">
        <v>88800</v>
      </c>
      <c r="D765" s="88" t="n"/>
      <c r="E765" s="22" t="n"/>
      <c r="F765" s="22" t="n"/>
      <c r="G765" s="22" t="n"/>
      <c r="H765" s="22" t="n"/>
      <c r="I765" s="22" t="n"/>
      <c r="J765" s="22" t="n"/>
      <c r="K765" s="22" t="n"/>
      <c r="L765" s="22" t="n"/>
      <c r="M765" s="22" t="n"/>
      <c r="N765" s="88" t="n"/>
      <c r="P765" s="117" t="n"/>
      <c r="R765" s="117">
        <f>S765*C765</f>
        <v/>
      </c>
      <c r="S765" s="94" t="n">
        <v>1.32</v>
      </c>
      <c r="T765" s="117" t="n"/>
    </row>
    <row r="766">
      <c r="A766" s="134" t="inlineStr">
        <is>
          <t>14734XXX</t>
        </is>
      </c>
      <c r="B766" s="248" t="inlineStr">
        <is>
          <t>TAVERNITI</t>
        </is>
      </c>
      <c r="C766" s="88" t="n">
        <v>75700</v>
      </c>
      <c r="D766" s="88" t="n"/>
      <c r="E766" s="22" t="n"/>
      <c r="F766" s="22" t="n"/>
      <c r="G766" s="22" t="n"/>
      <c r="H766" s="22" t="n"/>
      <c r="I766" s="22" t="n"/>
      <c r="J766" s="22" t="n"/>
      <c r="K766" s="22" t="n"/>
      <c r="L766" s="22" t="n"/>
      <c r="M766" s="22" t="n"/>
      <c r="N766" s="219" t="n"/>
      <c r="P766" s="117" t="n"/>
      <c r="R766" s="117">
        <f>S766*C766</f>
        <v/>
      </c>
      <c r="S766" s="94" t="n">
        <v>1.32</v>
      </c>
      <c r="T766" s="117" t="n"/>
    </row>
    <row r="767">
      <c r="A767" s="134" t="inlineStr">
        <is>
          <t>14746XXX</t>
        </is>
      </c>
      <c r="B767" s="248" t="inlineStr">
        <is>
          <t>TAVERNITI</t>
        </is>
      </c>
      <c r="C767" s="88" t="n">
        <v>96000</v>
      </c>
      <c r="D767" s="88" t="n"/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19" t="n"/>
      <c r="P767" s="117" t="n"/>
      <c r="R767" s="117">
        <f>S767*C767</f>
        <v/>
      </c>
      <c r="S767" s="94" t="n">
        <v>1.32</v>
      </c>
      <c r="T767" s="117" t="n"/>
    </row>
    <row r="768">
      <c r="A768" s="89" t="inlineStr">
        <is>
          <t>14752XXX</t>
        </is>
      </c>
      <c r="B768" s="248" t="inlineStr">
        <is>
          <t>TAVERNITI</t>
        </is>
      </c>
      <c r="C768" s="88" t="n">
        <v>83900</v>
      </c>
      <c r="D768" s="88" t="n"/>
      <c r="E768" s="22" t="n"/>
      <c r="F768" s="22" t="n"/>
      <c r="G768" s="22" t="n"/>
      <c r="H768" s="22" t="n"/>
      <c r="I768" s="22" t="n"/>
      <c r="J768" s="22" t="n"/>
      <c r="K768" s="22" t="n"/>
      <c r="L768" s="22" t="n"/>
      <c r="M768" s="22" t="n"/>
      <c r="N768" s="88" t="n"/>
      <c r="P768" s="117" t="n"/>
      <c r="R768" s="117">
        <f>S768*C768</f>
        <v/>
      </c>
      <c r="S768" s="94" t="n">
        <v>1.32</v>
      </c>
      <c r="T768" s="117" t="n"/>
    </row>
    <row r="769">
      <c r="A769" s="89" t="inlineStr">
        <is>
          <t>15060XXX</t>
        </is>
      </c>
      <c r="B769" s="248" t="inlineStr">
        <is>
          <t>TAVERNITI</t>
        </is>
      </c>
      <c r="C769" s="88" t="n">
        <v>126200</v>
      </c>
      <c r="D769" s="88" t="n"/>
      <c r="E769" s="22" t="n"/>
      <c r="F769" s="22" t="n"/>
      <c r="G769" s="22" t="n"/>
      <c r="H769" s="22" t="n"/>
      <c r="I769" s="22" t="n"/>
      <c r="J769" s="22" t="n"/>
      <c r="K769" s="22" t="n"/>
      <c r="L769" s="22" t="n"/>
      <c r="M769" s="88" t="n"/>
      <c r="N769" s="88" t="n"/>
      <c r="P769" s="117" t="n"/>
      <c r="R769" s="117">
        <f>S769*C769</f>
        <v/>
      </c>
      <c r="S769" s="94" t="n">
        <v>1.32</v>
      </c>
      <c r="T769" s="117" t="n"/>
    </row>
    <row r="770">
      <c r="A770" s="89" t="inlineStr">
        <is>
          <t>15070XXX</t>
        </is>
      </c>
      <c r="B770" s="248" t="inlineStr">
        <is>
          <t>TAVERNITI</t>
        </is>
      </c>
      <c r="C770" s="88" t="n">
        <v>136900</v>
      </c>
      <c r="D770" s="88" t="n"/>
      <c r="E770" s="170" t="n"/>
      <c r="F770" s="170" t="n"/>
      <c r="G770" s="170" t="n"/>
      <c r="H770" s="170" t="n"/>
      <c r="I770" s="170" t="n"/>
      <c r="J770" s="170" t="n"/>
      <c r="K770" s="170" t="n"/>
      <c r="L770" s="170" t="n"/>
      <c r="M770" s="88" t="n">
        <v>1.2</v>
      </c>
      <c r="N770" s="170" t="n"/>
      <c r="O770" s="30" t="n"/>
      <c r="P770" s="170" t="n"/>
      <c r="Q770" s="30" t="n"/>
      <c r="R770" s="117">
        <f>S770*C770</f>
        <v/>
      </c>
      <c r="S770" s="94" t="n">
        <v>1.32</v>
      </c>
      <c r="T770" s="170" t="n"/>
      <c r="U770" s="96" t="n"/>
      <c r="V770" s="30" t="n"/>
      <c r="W770" s="30" t="n"/>
      <c r="X770" s="30" t="n"/>
      <c r="Y770" s="30" t="n"/>
      <c r="Z770" s="30" t="n"/>
      <c r="AA770" s="30" t="n"/>
      <c r="AB770" s="96" t="n"/>
      <c r="AC770" s="30" t="n"/>
      <c r="AD770" s="30" t="n"/>
      <c r="AE770" s="30" t="n"/>
      <c r="AF770" s="30" t="n"/>
      <c r="AG770" s="30" t="n"/>
      <c r="AH770" s="30" t="n"/>
      <c r="AI770" s="30" t="n"/>
      <c r="AJ770" s="30" t="n"/>
      <c r="AK770" s="30" t="n"/>
      <c r="AL770" s="30" t="n"/>
      <c r="AM770" s="30" t="n"/>
      <c r="AN770" s="30" t="n"/>
      <c r="AO770" s="30" t="n"/>
    </row>
    <row r="771">
      <c r="A771" s="89" t="inlineStr">
        <is>
          <t>15072XXX</t>
        </is>
      </c>
      <c r="B771" s="248" t="inlineStr">
        <is>
          <t>TAVERNITI</t>
        </is>
      </c>
      <c r="C771" s="88" t="n">
        <v>140300</v>
      </c>
      <c r="D771" s="88" t="n"/>
      <c r="E771" s="170" t="n"/>
      <c r="F771" s="170" t="n"/>
      <c r="G771" s="170" t="n"/>
      <c r="H771" s="170" t="n"/>
      <c r="I771" s="170" t="n"/>
      <c r="J771" s="170" t="n"/>
      <c r="K771" s="170" t="n"/>
      <c r="L771" s="170" t="n"/>
      <c r="M771" s="88" t="n">
        <v>1.2</v>
      </c>
      <c r="N771" s="170" t="n"/>
      <c r="O771" s="30" t="n"/>
      <c r="P771" s="170" t="n"/>
      <c r="Q771" s="30" t="n"/>
      <c r="R771" s="117">
        <f>S771*C771</f>
        <v/>
      </c>
      <c r="S771" s="94" t="n">
        <v>1.32</v>
      </c>
      <c r="T771" s="170" t="n"/>
      <c r="U771" s="96" t="n"/>
      <c r="W771" s="30" t="n"/>
      <c r="X771" s="30" t="n"/>
      <c r="Y771" s="30" t="n"/>
      <c r="Z771" s="30" t="n"/>
      <c r="AA771" s="30" t="n"/>
      <c r="AL771" s="30" t="n"/>
      <c r="AM771" s="30" t="n"/>
      <c r="AN771" s="30" t="n"/>
      <c r="AO771" s="30" t="n"/>
    </row>
    <row r="772">
      <c r="A772" s="89" t="inlineStr">
        <is>
          <t>15296XXX</t>
        </is>
      </c>
      <c r="B772" s="248" t="inlineStr">
        <is>
          <t>TAVERNITI</t>
        </is>
      </c>
      <c r="C772" s="88" t="n">
        <v>129000</v>
      </c>
      <c r="D772" s="88" t="n"/>
      <c r="E772" s="170" t="n"/>
      <c r="F772" s="170" t="n"/>
      <c r="G772" s="170" t="n"/>
      <c r="H772" s="170" t="n"/>
      <c r="I772" s="170" t="n"/>
      <c r="J772" s="170" t="n"/>
      <c r="K772" s="170" t="n"/>
      <c r="L772" s="170" t="n"/>
      <c r="M772" s="88" t="n">
        <v>1.2</v>
      </c>
      <c r="N772" s="170" t="n"/>
      <c r="O772" s="30" t="n"/>
      <c r="P772" s="170" t="n"/>
      <c r="Q772" s="30" t="n"/>
      <c r="R772" s="117">
        <f>S772*C772</f>
        <v/>
      </c>
      <c r="S772" s="94" t="n">
        <v>1.32</v>
      </c>
      <c r="T772" s="170" t="n"/>
      <c r="U772" s="96" t="n"/>
      <c r="W772" s="30" t="n"/>
      <c r="X772" s="30" t="n"/>
      <c r="Y772" s="30" t="n"/>
      <c r="Z772" s="30" t="n"/>
      <c r="AA772" s="30" t="n"/>
      <c r="AL772" s="30" t="n"/>
      <c r="AM772" s="30" t="n"/>
      <c r="AN772" s="30" t="n"/>
      <c r="AO772" s="30" t="n"/>
    </row>
    <row r="773">
      <c r="A773" s="89" t="inlineStr">
        <is>
          <t>15408XXX</t>
        </is>
      </c>
      <c r="B773" s="248" t="inlineStr">
        <is>
          <t>TAVERNITI</t>
        </is>
      </c>
      <c r="C773" s="88" t="n">
        <v>116600</v>
      </c>
      <c r="D773" s="170" t="n"/>
      <c r="E773" s="170" t="n"/>
      <c r="F773" s="170" t="n"/>
      <c r="G773" s="170" t="n"/>
      <c r="H773" s="170" t="n"/>
      <c r="I773" s="170" t="n"/>
      <c r="J773" s="170" t="n"/>
      <c r="K773" s="170" t="n"/>
      <c r="L773" s="170" t="n"/>
      <c r="M773" s="170" t="n">
        <v>1.2</v>
      </c>
      <c r="N773" s="170" t="n"/>
      <c r="O773" s="30" t="n"/>
      <c r="P773" s="170" t="n"/>
      <c r="Q773" s="30" t="n"/>
      <c r="R773" s="117">
        <f>S773*C773</f>
        <v/>
      </c>
      <c r="S773" s="94" t="n">
        <v>1.32</v>
      </c>
      <c r="T773" s="170" t="n"/>
      <c r="U773" s="96" t="n"/>
      <c r="V773" s="30" t="n"/>
      <c r="W773" s="30" t="n"/>
      <c r="X773" s="30" t="n"/>
      <c r="Y773" s="30" t="n"/>
      <c r="Z773" s="30" t="n"/>
      <c r="AA773" s="30" t="n"/>
      <c r="AB773" s="96" t="n"/>
      <c r="AC773" s="30" t="n"/>
      <c r="AD773" s="30" t="n"/>
      <c r="AE773" s="30" t="n"/>
      <c r="AF773" s="30" t="n"/>
      <c r="AG773" s="30" t="n"/>
      <c r="AH773" s="30" t="n"/>
      <c r="AI773" s="30" t="n"/>
      <c r="AJ773" s="30" t="n"/>
      <c r="AK773" s="30" t="n"/>
      <c r="AL773" s="30" t="n"/>
      <c r="AM773" s="30" t="n"/>
      <c r="AN773" s="30" t="n"/>
      <c r="AO773" s="30" t="n"/>
    </row>
    <row r="774">
      <c r="A774" s="89" t="inlineStr">
        <is>
          <t>15418XXX</t>
        </is>
      </c>
      <c r="B774" s="248" t="inlineStr">
        <is>
          <t>TAVERNITI</t>
        </is>
      </c>
      <c r="C774" s="88" t="n">
        <v>133500</v>
      </c>
      <c r="D774" s="170" t="n"/>
      <c r="E774" s="170" t="n"/>
      <c r="F774" s="170" t="n"/>
      <c r="G774" s="170" t="n"/>
      <c r="H774" s="170" t="n"/>
      <c r="I774" s="170" t="n"/>
      <c r="J774" s="170" t="n"/>
      <c r="K774" s="170" t="n"/>
      <c r="L774" s="170" t="n"/>
      <c r="M774" s="150" t="n">
        <v>1.2</v>
      </c>
      <c r="N774" s="170" t="n"/>
      <c r="O774" s="30" t="n"/>
      <c r="P774" s="170" t="n"/>
      <c r="Q774" s="30" t="n"/>
      <c r="R774" s="150">
        <f>S774*C774</f>
        <v/>
      </c>
      <c r="S774" s="94" t="n">
        <v>1.32</v>
      </c>
      <c r="T774" s="170" t="n"/>
      <c r="U774" s="30" t="n"/>
      <c r="V774" s="30" t="n"/>
      <c r="W774" s="30" t="n"/>
      <c r="X774" s="30" t="n"/>
      <c r="Y774" s="30" t="n"/>
      <c r="Z774" s="30" t="n"/>
      <c r="AA774" s="30" t="n"/>
      <c r="AB774" s="30" t="n"/>
      <c r="AC774" s="30" t="n"/>
      <c r="AD774" s="30" t="n"/>
      <c r="AE774" s="30" t="n"/>
      <c r="AF774" s="30" t="n"/>
      <c r="AG774" s="30" t="n"/>
      <c r="AH774" s="30" t="n"/>
      <c r="AI774" s="30" t="n"/>
      <c r="AJ774" s="30" t="n"/>
      <c r="AK774" s="30" t="n"/>
      <c r="AL774" s="30" t="n"/>
      <c r="AM774" s="30" t="n"/>
      <c r="AN774" s="30" t="n"/>
      <c r="AO774" s="30" t="n"/>
    </row>
    <row r="775">
      <c r="A775" s="89" t="inlineStr">
        <is>
          <t>15422XXX</t>
        </is>
      </c>
      <c r="B775" s="248" t="inlineStr">
        <is>
          <t>TAVERNITI</t>
        </is>
      </c>
      <c r="C775" s="88" t="n">
        <v>133500</v>
      </c>
      <c r="D775" s="170" t="n"/>
      <c r="E775" s="170" t="n"/>
      <c r="F775" s="170" t="n"/>
      <c r="G775" s="170" t="n"/>
      <c r="H775" s="170" t="n"/>
      <c r="I775" s="170" t="n"/>
      <c r="J775" s="170" t="n"/>
      <c r="K775" s="170" t="n"/>
      <c r="L775" s="170" t="n"/>
      <c r="M775" s="170" t="n">
        <v>1.2</v>
      </c>
      <c r="N775" s="170" t="n"/>
      <c r="O775" s="30" t="n"/>
      <c r="P775" s="170" t="n"/>
      <c r="Q775" s="30" t="n"/>
      <c r="R775" s="117">
        <f>S775*C775</f>
        <v/>
      </c>
      <c r="S775" s="94" t="n">
        <v>1.32</v>
      </c>
      <c r="T775" s="170" t="n"/>
      <c r="U775" s="96" t="n"/>
      <c r="V775" s="30" t="n"/>
      <c r="W775" s="30" t="n"/>
      <c r="X775" s="30" t="n"/>
      <c r="Y775" s="30" t="n"/>
      <c r="Z775" s="30" t="n"/>
      <c r="AA775" s="30" t="n"/>
      <c r="AB775" s="96" t="n"/>
      <c r="AC775" s="30" t="n"/>
      <c r="AD775" s="30" t="n"/>
      <c r="AE775" s="30" t="n"/>
      <c r="AF775" s="30" t="n"/>
      <c r="AG775" s="30" t="n"/>
      <c r="AH775" s="30" t="n"/>
      <c r="AI775" s="30" t="n"/>
      <c r="AJ775" s="30" t="n"/>
      <c r="AK775" s="30" t="n"/>
      <c r="AL775" s="30" t="n"/>
      <c r="AM775" s="30" t="n"/>
      <c r="AN775" s="30" t="n"/>
      <c r="AO775" s="30" t="n"/>
    </row>
    <row r="776">
      <c r="A776" s="89" t="inlineStr">
        <is>
          <t>15424XXX</t>
        </is>
      </c>
      <c r="B776" s="248" t="inlineStr">
        <is>
          <t>TAVERNITI</t>
        </is>
      </c>
      <c r="C776" s="88" t="n">
        <v>130700</v>
      </c>
      <c r="D776" s="88" t="n"/>
      <c r="E776" s="170" t="n"/>
      <c r="F776" s="170" t="n"/>
      <c r="G776" s="170" t="n"/>
      <c r="H776" s="170" t="n"/>
      <c r="I776" s="170" t="n"/>
      <c r="J776" s="170" t="n"/>
      <c r="K776" s="170" t="n"/>
      <c r="L776" s="170" t="n"/>
      <c r="M776" s="88" t="n">
        <v>1.2</v>
      </c>
      <c r="N776" s="170" t="n"/>
      <c r="O776" s="30" t="n"/>
      <c r="P776" s="170" t="n"/>
      <c r="Q776" s="30" t="n"/>
      <c r="R776" s="117">
        <f>S776*C776</f>
        <v/>
      </c>
      <c r="S776" s="94" t="n">
        <v>1.32</v>
      </c>
      <c r="T776" s="170" t="n"/>
      <c r="U776" s="96" t="n"/>
      <c r="W776" s="30" t="n"/>
      <c r="X776" s="30" t="n"/>
      <c r="Y776" s="30" t="n"/>
      <c r="Z776" s="30" t="n"/>
      <c r="AA776" s="30" t="n"/>
      <c r="AL776" s="30" t="n"/>
      <c r="AM776" s="30" t="n"/>
      <c r="AN776" s="30" t="n"/>
      <c r="AO776" s="30" t="n"/>
    </row>
    <row r="777">
      <c r="A777" s="89" t="inlineStr">
        <is>
          <t>16144XXX</t>
        </is>
      </c>
      <c r="B777" s="248" t="inlineStr">
        <is>
          <t>TAVERNITI</t>
        </is>
      </c>
      <c r="C777" s="88" t="n">
        <v>85300</v>
      </c>
      <c r="D777" s="88" t="n"/>
      <c r="E777" s="22" t="n"/>
      <c r="F777" s="22" t="n"/>
      <c r="G777" s="22" t="n"/>
      <c r="H777" s="22" t="n"/>
      <c r="I777" s="22" t="n"/>
      <c r="J777" s="22" t="n"/>
      <c r="K777" s="22" t="n"/>
      <c r="L777" s="22" t="n"/>
      <c r="M777" s="22" t="n"/>
      <c r="N777" s="88" t="n"/>
      <c r="P777" s="117" t="n"/>
      <c r="R777" s="117">
        <f>S777*C777</f>
        <v/>
      </c>
      <c r="S777" s="94" t="n">
        <v>1.32</v>
      </c>
      <c r="T777" s="117" t="n"/>
    </row>
    <row r="778">
      <c r="A778" s="89" t="inlineStr">
        <is>
          <t>16288XXX</t>
        </is>
      </c>
      <c r="B778" s="248" t="inlineStr">
        <is>
          <t>TAVERNITI</t>
        </is>
      </c>
      <c r="C778" s="88" t="n">
        <v>95500</v>
      </c>
      <c r="D778" s="88" t="n"/>
      <c r="E778" s="22" t="n"/>
      <c r="F778" s="22" t="n"/>
      <c r="G778" s="22" t="n"/>
      <c r="H778" s="22" t="n"/>
      <c r="I778" s="22" t="n"/>
      <c r="J778" s="22" t="n"/>
      <c r="K778" s="22" t="n"/>
      <c r="L778" s="22" t="n"/>
      <c r="M778" s="88" t="n"/>
      <c r="N778" s="88" t="n"/>
      <c r="P778" s="117" t="n"/>
      <c r="R778" s="117">
        <f>S778*C778</f>
        <v/>
      </c>
      <c r="S778" s="94" t="n">
        <v>1.32</v>
      </c>
      <c r="T778" s="117" t="n"/>
    </row>
    <row r="779">
      <c r="A779" s="89" t="inlineStr">
        <is>
          <t>16384XXX</t>
        </is>
      </c>
      <c r="B779" s="248" t="inlineStr">
        <is>
          <t>TAVERNITI</t>
        </is>
      </c>
      <c r="C779" s="88" t="n">
        <v>100700</v>
      </c>
      <c r="D779" s="88" t="n"/>
      <c r="E779" s="22" t="n"/>
      <c r="F779" s="22" t="n"/>
      <c r="G779" s="22" t="n"/>
      <c r="H779" s="22" t="n"/>
      <c r="I779" s="22" t="n"/>
      <c r="J779" s="22" t="n"/>
      <c r="K779" s="22" t="n"/>
      <c r="L779" s="22" t="n"/>
      <c r="M779" s="22" t="n"/>
      <c r="N779" s="88" t="n"/>
      <c r="P779" s="117" t="n"/>
      <c r="R779" s="117">
        <f>S779*C779</f>
        <v/>
      </c>
      <c r="S779" s="94" t="n">
        <v>1.32</v>
      </c>
      <c r="T779" s="117" t="n"/>
    </row>
    <row r="780">
      <c r="A780" s="89" t="inlineStr">
        <is>
          <t>16386XXX</t>
        </is>
      </c>
      <c r="B780" s="248" t="inlineStr">
        <is>
          <t>TAVERNITI</t>
        </is>
      </c>
      <c r="C780" s="88" t="n">
        <v>85300</v>
      </c>
      <c r="D780" s="88" t="n"/>
      <c r="E780" s="22" t="n"/>
      <c r="F780" s="22" t="n"/>
      <c r="G780" s="22" t="n"/>
      <c r="H780" s="22" t="n"/>
      <c r="I780" s="22" t="n"/>
      <c r="J780" s="22" t="n"/>
      <c r="K780" s="22" t="n"/>
      <c r="L780" s="22" t="n"/>
      <c r="M780" s="22" t="n"/>
      <c r="N780" s="88" t="n"/>
      <c r="P780" s="117" t="n"/>
      <c r="R780" s="117">
        <f>S780*C780</f>
        <v/>
      </c>
      <c r="S780" s="94" t="n">
        <v>1.32</v>
      </c>
      <c r="T780" s="117" t="n"/>
    </row>
    <row r="781">
      <c r="A781" s="89" t="inlineStr">
        <is>
          <t>16388XXX</t>
        </is>
      </c>
      <c r="B781" s="248" t="inlineStr">
        <is>
          <t>TAVERNITI</t>
        </is>
      </c>
      <c r="C781" s="88" t="n">
        <v>95400</v>
      </c>
      <c r="D781" s="88" t="n"/>
      <c r="E781" s="22" t="n"/>
      <c r="F781" s="22" t="n"/>
      <c r="G781" s="22" t="n"/>
      <c r="H781" s="22" t="n"/>
      <c r="I781" s="22" t="n"/>
      <c r="J781" s="22" t="n"/>
      <c r="K781" s="22" t="n"/>
      <c r="L781" s="22" t="n"/>
      <c r="M781" s="22" t="n"/>
      <c r="N781" s="88" t="n"/>
      <c r="P781" s="117" t="n"/>
      <c r="R781" s="117">
        <f>S781*C781</f>
        <v/>
      </c>
      <c r="S781" s="94" t="n">
        <v>1.32</v>
      </c>
      <c r="T781" s="117" t="n"/>
    </row>
    <row r="782">
      <c r="A782" s="89" t="inlineStr">
        <is>
          <t>16392XXX</t>
        </is>
      </c>
      <c r="B782" s="248" t="inlineStr">
        <is>
          <t>TAVERNITI</t>
        </is>
      </c>
      <c r="C782" s="88" t="n">
        <v>75800</v>
      </c>
      <c r="D782" s="88" t="n"/>
      <c r="E782" s="22" t="n"/>
      <c r="F782" s="22" t="n"/>
      <c r="G782" s="22" t="n"/>
      <c r="H782" s="22" t="n"/>
      <c r="I782" s="22" t="n"/>
      <c r="J782" s="22" t="n"/>
      <c r="K782" s="22" t="n"/>
      <c r="L782" s="22" t="n"/>
      <c r="M782" s="22" t="n"/>
      <c r="N782" s="88" t="n"/>
      <c r="P782" s="117" t="n"/>
      <c r="R782" s="117">
        <f>S782*C782</f>
        <v/>
      </c>
      <c r="S782" s="94" t="n">
        <v>1.32</v>
      </c>
      <c r="T782" s="117" t="n"/>
    </row>
    <row r="783">
      <c r="A783" s="89" t="inlineStr">
        <is>
          <t>16396XXX</t>
        </is>
      </c>
      <c r="B783" s="248" t="inlineStr">
        <is>
          <t>TAVERNITI</t>
        </is>
      </c>
      <c r="C783" s="88" t="n">
        <v>87800</v>
      </c>
      <c r="D783" s="88" t="n"/>
      <c r="E783" s="22" t="n"/>
      <c r="F783" s="22" t="n"/>
      <c r="G783" s="22" t="n"/>
      <c r="H783" s="22" t="n"/>
      <c r="I783" s="22" t="n"/>
      <c r="J783" s="22" t="n"/>
      <c r="K783" s="22" t="n"/>
      <c r="L783" s="22" t="n"/>
      <c r="M783" s="22" t="n"/>
      <c r="N783" s="88" t="n"/>
      <c r="P783" s="117" t="n"/>
      <c r="R783" s="117">
        <f>S783*C783</f>
        <v/>
      </c>
      <c r="S783" s="94" t="n">
        <v>1.32</v>
      </c>
      <c r="T783" s="117" t="n"/>
    </row>
    <row r="784">
      <c r="A784" s="89" t="inlineStr">
        <is>
          <t>16398XXX</t>
        </is>
      </c>
      <c r="B784" s="248" t="inlineStr">
        <is>
          <t>TAVERNITI</t>
        </is>
      </c>
      <c r="C784" s="88" t="n">
        <v>111000</v>
      </c>
      <c r="D784" s="88" t="n"/>
      <c r="E784" s="22" t="n"/>
      <c r="F784" s="22" t="n"/>
      <c r="G784" s="22" t="n"/>
      <c r="H784" s="22" t="n"/>
      <c r="I784" s="22" t="n"/>
      <c r="J784" s="22" t="n"/>
      <c r="K784" s="22" t="n"/>
      <c r="L784" s="22" t="n"/>
      <c r="M784" s="22" t="n"/>
      <c r="N784" s="88" t="n"/>
      <c r="P784" s="117" t="n"/>
      <c r="R784" s="117">
        <f>S784*C784</f>
        <v/>
      </c>
      <c r="S784" s="94" t="n">
        <v>1.32</v>
      </c>
      <c r="T784" s="117" t="n"/>
    </row>
    <row r="785">
      <c r="A785" s="89" t="inlineStr">
        <is>
          <t>16414XXX</t>
        </is>
      </c>
      <c r="B785" s="248" t="inlineStr">
        <is>
          <t>TAVERNITI</t>
        </is>
      </c>
      <c r="C785" s="22" t="n">
        <v>115800</v>
      </c>
      <c r="D785" s="22" t="n"/>
      <c r="E785" s="22" t="n"/>
      <c r="F785" s="22" t="n"/>
      <c r="G785" s="22" t="n"/>
      <c r="H785" s="22" t="n"/>
      <c r="I785" s="22" t="n"/>
      <c r="J785" s="22" t="n"/>
      <c r="K785" s="22" t="n"/>
      <c r="L785" s="22" t="n"/>
      <c r="M785" s="22" t="n"/>
      <c r="N785" s="88" t="n"/>
      <c r="P785" s="117" t="n"/>
      <c r="R785" s="117">
        <f>S785*C785</f>
        <v/>
      </c>
      <c r="S785" s="94" t="n">
        <v>1.32</v>
      </c>
      <c r="T785" s="117" t="n"/>
    </row>
    <row r="786">
      <c r="A786" s="89" t="inlineStr">
        <is>
          <t>16572XXX</t>
        </is>
      </c>
      <c r="B786" s="248" t="inlineStr">
        <is>
          <t>TAVERNITI</t>
        </is>
      </c>
      <c r="C786" s="22" t="n">
        <v>107200</v>
      </c>
      <c r="D786" s="22" t="n"/>
      <c r="E786" s="22" t="n"/>
      <c r="F786" s="22" t="n"/>
      <c r="G786" s="22" t="n"/>
      <c r="H786" s="22" t="n"/>
      <c r="I786" s="22" t="n"/>
      <c r="J786" s="22" t="n"/>
      <c r="K786" s="22" t="n"/>
      <c r="L786" s="22" t="n"/>
      <c r="M786" s="22" t="n"/>
      <c r="N786" s="88" t="n"/>
      <c r="P786" s="117" t="n"/>
      <c r="R786" s="117">
        <f>S786*C786</f>
        <v/>
      </c>
      <c r="S786" s="94" t="n">
        <v>1.32</v>
      </c>
      <c r="T786" s="117" t="n"/>
    </row>
    <row r="787">
      <c r="A787" s="89" t="inlineStr">
        <is>
          <t>16738XXX</t>
        </is>
      </c>
      <c r="B787" s="248" t="inlineStr">
        <is>
          <t>TAVERNITI</t>
        </is>
      </c>
      <c r="C787" s="88" t="n">
        <v>108900</v>
      </c>
      <c r="D787" s="88" t="n"/>
      <c r="E787" s="22" t="n"/>
      <c r="F787" s="22" t="n"/>
      <c r="G787" s="22" t="n"/>
      <c r="H787" s="22" t="n"/>
      <c r="I787" s="22" t="n"/>
      <c r="J787" s="22" t="n"/>
      <c r="K787" s="22" t="n"/>
      <c r="L787" s="22" t="n"/>
      <c r="M787" s="22" t="n"/>
      <c r="N787" s="88" t="n"/>
      <c r="P787" s="117" t="n"/>
      <c r="R787" s="117">
        <f>S787*C787</f>
        <v/>
      </c>
      <c r="S787" s="94" t="n">
        <v>1.32</v>
      </c>
      <c r="T787" s="117" t="n"/>
    </row>
    <row r="788">
      <c r="A788" s="89" t="inlineStr">
        <is>
          <t>17112XXX</t>
        </is>
      </c>
      <c r="B788" s="248" t="inlineStr">
        <is>
          <t>TAVERNITI</t>
        </is>
      </c>
      <c r="C788" s="88" t="n">
        <v>108900</v>
      </c>
      <c r="D788" s="88" t="n"/>
      <c r="E788" s="22" t="n"/>
      <c r="F788" s="22" t="n"/>
      <c r="G788" s="22" t="n"/>
      <c r="H788" s="22" t="n"/>
      <c r="I788" s="22" t="n"/>
      <c r="J788" s="22" t="n"/>
      <c r="K788" s="22" t="n"/>
      <c r="L788" s="22" t="n"/>
      <c r="M788" s="88" t="n"/>
      <c r="N788" s="88" t="n"/>
      <c r="P788" s="117" t="n"/>
      <c r="R788" s="117">
        <f>S788*C788</f>
        <v/>
      </c>
      <c r="S788" s="94" t="n">
        <v>1.32</v>
      </c>
      <c r="T788" s="117" t="n"/>
    </row>
    <row r="789">
      <c r="A789" s="89" t="inlineStr">
        <is>
          <t>17138XXX</t>
        </is>
      </c>
      <c r="B789" s="248" t="inlineStr">
        <is>
          <t>TAVERNITI</t>
        </is>
      </c>
      <c r="C789" s="88" t="n">
        <v>109000</v>
      </c>
      <c r="D789" s="88" t="n"/>
      <c r="E789" s="22" t="n"/>
      <c r="F789" s="22" t="n"/>
      <c r="G789" s="22" t="n"/>
      <c r="H789" s="22" t="n"/>
      <c r="I789" s="22" t="n"/>
      <c r="J789" s="22" t="n"/>
      <c r="K789" s="22" t="n"/>
      <c r="L789" s="22" t="n"/>
      <c r="M789" s="88" t="n"/>
      <c r="N789" s="88" t="n"/>
      <c r="P789" s="117" t="n"/>
      <c r="R789" s="117">
        <f>S789*C789</f>
        <v/>
      </c>
      <c r="S789" s="94" t="n">
        <v>1.32</v>
      </c>
      <c r="T789" s="117" t="n"/>
    </row>
    <row r="790">
      <c r="A790" s="89" t="inlineStr">
        <is>
          <t>17142XXX</t>
        </is>
      </c>
      <c r="B790" s="248" t="inlineStr">
        <is>
          <t>TAVERNITI</t>
        </is>
      </c>
      <c r="C790" s="88" t="n">
        <v>108900</v>
      </c>
      <c r="D790" s="88" t="n"/>
      <c r="E790" s="22" t="n"/>
      <c r="F790" s="22" t="n"/>
      <c r="G790" s="22" t="n"/>
      <c r="H790" s="22" t="n"/>
      <c r="I790" s="22" t="n"/>
      <c r="J790" s="22" t="n"/>
      <c r="K790" s="22" t="n"/>
      <c r="L790" s="22" t="n"/>
      <c r="M790" s="88" t="n"/>
      <c r="N790" s="88" t="n"/>
      <c r="P790" s="117" t="n"/>
      <c r="R790" s="117">
        <f>S790*C790</f>
        <v/>
      </c>
      <c r="S790" s="94" t="n">
        <v>1.32</v>
      </c>
      <c r="T790" s="117" t="n"/>
    </row>
    <row r="791">
      <c r="A791" s="89" t="inlineStr">
        <is>
          <t>17162XXX</t>
        </is>
      </c>
      <c r="B791" s="248" t="inlineStr">
        <is>
          <t>TAVERNITI</t>
        </is>
      </c>
      <c r="C791" s="88" t="n">
        <v>132100</v>
      </c>
      <c r="D791" s="88" t="n"/>
      <c r="E791" s="22" t="n"/>
      <c r="F791" s="22" t="n"/>
      <c r="G791" s="22" t="n"/>
      <c r="H791" s="22" t="n"/>
      <c r="I791" s="22" t="n"/>
      <c r="J791" s="22" t="n"/>
      <c r="K791" s="22" t="n"/>
      <c r="L791" s="22" t="n"/>
      <c r="M791" s="88" t="n"/>
      <c r="N791" s="88" t="n"/>
      <c r="P791" s="117" t="n"/>
      <c r="R791" s="117">
        <f>S791*C791</f>
        <v/>
      </c>
      <c r="S791" s="94" t="n">
        <v>1.32</v>
      </c>
      <c r="T791" s="117" t="n"/>
    </row>
    <row r="792">
      <c r="A792" s="89" t="inlineStr">
        <is>
          <t>17264XXX</t>
        </is>
      </c>
      <c r="B792" s="248" t="inlineStr">
        <is>
          <t>TAVERNITI</t>
        </is>
      </c>
      <c r="C792" s="88" t="n">
        <v>115000</v>
      </c>
      <c r="D792" s="88" t="n"/>
      <c r="E792" s="22" t="n"/>
      <c r="F792" s="22" t="n"/>
      <c r="G792" s="22" t="n"/>
      <c r="H792" s="22" t="n"/>
      <c r="I792" s="22" t="n"/>
      <c r="J792" s="22" t="n"/>
      <c r="K792" s="22" t="n"/>
      <c r="L792" s="22" t="n"/>
      <c r="M792" s="88" t="n"/>
      <c r="N792" s="88" t="n"/>
      <c r="P792" s="117" t="n"/>
      <c r="R792" s="117">
        <f>S792*C792</f>
        <v/>
      </c>
      <c r="S792" s="94" t="n">
        <v>1.32</v>
      </c>
      <c r="T792" s="117" t="n"/>
    </row>
    <row r="793">
      <c r="A793" s="89" t="inlineStr">
        <is>
          <t>17614XXX</t>
        </is>
      </c>
      <c r="B793" s="248" t="inlineStr">
        <is>
          <t>TAVERNITI</t>
        </is>
      </c>
      <c r="C793" s="88" t="n">
        <v>137200</v>
      </c>
      <c r="D793" s="88" t="n"/>
      <c r="E793" s="22" t="n"/>
      <c r="F793" s="22" t="n"/>
      <c r="G793" s="22" t="n"/>
      <c r="H793" s="22" t="n"/>
      <c r="I793" s="22" t="n"/>
      <c r="J793" s="22" t="n"/>
      <c r="K793" s="22" t="n"/>
      <c r="L793" s="22" t="n"/>
      <c r="M793" s="88" t="n"/>
      <c r="N793" s="88" t="n"/>
      <c r="P793" s="117" t="n"/>
      <c r="R793" s="117">
        <f>S793*C793</f>
        <v/>
      </c>
      <c r="S793" s="94" t="n">
        <v>1.32</v>
      </c>
      <c r="T793" s="117" t="n"/>
    </row>
    <row r="794">
      <c r="A794" s="89" t="inlineStr">
        <is>
          <t>17822XXX</t>
        </is>
      </c>
      <c r="B794" s="248" t="inlineStr">
        <is>
          <t>TAVERNITI</t>
        </is>
      </c>
      <c r="C794" s="88" t="n">
        <v>77600</v>
      </c>
      <c r="D794" s="88" t="n"/>
      <c r="E794" s="170" t="n"/>
      <c r="F794" s="170" t="n"/>
      <c r="G794" s="170" t="n"/>
      <c r="H794" s="170" t="n"/>
      <c r="I794" s="170" t="n"/>
      <c r="J794" s="170" t="n"/>
      <c r="K794" s="170" t="n"/>
      <c r="L794" s="170" t="n"/>
      <c r="M794" s="170" t="n"/>
      <c r="N794" s="170" t="n"/>
      <c r="O794" s="30" t="n"/>
      <c r="P794" s="170" t="n"/>
      <c r="Q794" s="30" t="n"/>
      <c r="R794" s="117">
        <f>S794*C794</f>
        <v/>
      </c>
      <c r="S794" s="94" t="n">
        <v>1.32</v>
      </c>
      <c r="T794" s="170" t="n"/>
      <c r="U794" s="30" t="n"/>
      <c r="V794" s="30" t="n"/>
      <c r="W794" s="30" t="n"/>
      <c r="X794" s="30" t="n"/>
      <c r="Y794" s="30" t="n"/>
      <c r="Z794" s="30" t="n"/>
      <c r="AA794" s="30" t="n"/>
      <c r="AL794" s="30" t="n"/>
      <c r="AM794" s="30" t="n"/>
      <c r="AN794" s="30" t="n"/>
      <c r="AO794" s="30" t="n"/>
    </row>
    <row r="795">
      <c r="A795" s="89" t="inlineStr">
        <is>
          <t>17810XXX</t>
        </is>
      </c>
      <c r="B795" s="248" t="inlineStr">
        <is>
          <t>TAVERNITI</t>
        </is>
      </c>
      <c r="C795" s="88" t="n">
        <v>94200</v>
      </c>
      <c r="D795" s="88" t="n"/>
      <c r="E795" s="170" t="n"/>
      <c r="F795" s="170" t="n"/>
      <c r="G795" s="170" t="n"/>
      <c r="H795" s="170" t="n"/>
      <c r="I795" s="170" t="n"/>
      <c r="J795" s="170" t="n"/>
      <c r="K795" s="170" t="n"/>
      <c r="L795" s="170" t="n"/>
      <c r="M795" s="170" t="n"/>
      <c r="N795" s="170" t="n"/>
      <c r="O795" s="30" t="n"/>
      <c r="P795" s="170" t="n"/>
      <c r="Q795" s="30" t="n"/>
      <c r="R795" s="117">
        <f>S795*C795</f>
        <v/>
      </c>
      <c r="S795" s="94" t="n">
        <v>1.32</v>
      </c>
      <c r="T795" s="170" t="n"/>
      <c r="U795" s="30" t="n"/>
      <c r="V795" s="30" t="n"/>
      <c r="W795" s="30" t="n"/>
      <c r="X795" s="30" t="n"/>
      <c r="Y795" s="30" t="n"/>
      <c r="Z795" s="30" t="n"/>
      <c r="AA795" s="30" t="n"/>
      <c r="AL795" s="30" t="n"/>
      <c r="AM795" s="30" t="n"/>
      <c r="AN795" s="30" t="n"/>
      <c r="AO795" s="30" t="n"/>
    </row>
    <row r="796">
      <c r="A796" s="89" t="inlineStr">
        <is>
          <t>17824XXX</t>
        </is>
      </c>
      <c r="B796" s="248" t="inlineStr">
        <is>
          <t>TAVERNITI</t>
        </is>
      </c>
      <c r="C796" s="88" t="n">
        <v>77600</v>
      </c>
      <c r="D796" s="88" t="n"/>
      <c r="E796" s="170" t="n"/>
      <c r="F796" s="170" t="n"/>
      <c r="G796" s="170" t="n"/>
      <c r="H796" s="170" t="n"/>
      <c r="I796" s="170" t="n"/>
      <c r="J796" s="170" t="n"/>
      <c r="K796" s="170" t="n"/>
      <c r="L796" s="170" t="n"/>
      <c r="M796" s="170" t="n"/>
      <c r="N796" s="170" t="n"/>
      <c r="O796" s="30" t="n"/>
      <c r="P796" s="170" t="n"/>
      <c r="Q796" s="30" t="n"/>
      <c r="R796" s="117">
        <f>S796*C796</f>
        <v/>
      </c>
      <c r="S796" s="94" t="n">
        <v>1.32</v>
      </c>
      <c r="T796" s="170" t="n"/>
      <c r="U796" s="30" t="n"/>
      <c r="V796" s="30" t="n"/>
      <c r="W796" s="30" t="n"/>
      <c r="X796" s="30" t="n"/>
      <c r="Y796" s="30" t="n"/>
      <c r="Z796" s="30" t="n"/>
      <c r="AA796" s="30" t="n"/>
      <c r="AL796" s="30" t="n"/>
      <c r="AM796" s="30" t="n"/>
      <c r="AN796" s="30" t="n"/>
      <c r="AO796" s="30" t="n"/>
    </row>
    <row r="797">
      <c r="A797" s="89" t="inlineStr">
        <is>
          <t>17826XXX</t>
        </is>
      </c>
      <c r="B797" s="248" t="inlineStr">
        <is>
          <t>TAVERNITI</t>
        </is>
      </c>
      <c r="C797" s="88" t="n">
        <v>97900</v>
      </c>
      <c r="D797" s="88" t="n"/>
      <c r="E797" s="170" t="n"/>
      <c r="F797" s="170" t="n"/>
      <c r="G797" s="170" t="n"/>
      <c r="H797" s="170" t="n"/>
      <c r="I797" s="170" t="n"/>
      <c r="J797" s="170" t="n"/>
      <c r="K797" s="170" t="n"/>
      <c r="L797" s="170" t="n"/>
      <c r="M797" s="170" t="n"/>
      <c r="N797" s="170" t="n"/>
      <c r="O797" s="30" t="n"/>
      <c r="P797" s="170" t="n"/>
      <c r="Q797" s="30" t="n"/>
      <c r="R797" s="117">
        <f>S797*C797</f>
        <v/>
      </c>
      <c r="S797" s="94" t="n">
        <v>1.32</v>
      </c>
      <c r="T797" s="170" t="n"/>
      <c r="U797" s="30" t="n"/>
      <c r="V797" s="30" t="n"/>
      <c r="W797" s="30" t="n"/>
      <c r="X797" s="30" t="n"/>
      <c r="Y797" s="30" t="n"/>
      <c r="Z797" s="30" t="n"/>
      <c r="AA797" s="30" t="n"/>
      <c r="AL797" s="30" t="n"/>
      <c r="AM797" s="30" t="n"/>
      <c r="AN797" s="30" t="n"/>
      <c r="AO797" s="30" t="n"/>
    </row>
    <row r="798">
      <c r="A798" s="89" t="inlineStr">
        <is>
          <t>17826XXX</t>
        </is>
      </c>
      <c r="B798" s="248" t="inlineStr">
        <is>
          <t>TAVERNITI</t>
        </is>
      </c>
      <c r="C798" s="88" t="n">
        <v>97900</v>
      </c>
      <c r="D798" s="88" t="n"/>
      <c r="E798" s="170" t="n"/>
      <c r="F798" s="170" t="n"/>
      <c r="G798" s="170" t="n"/>
      <c r="H798" s="170" t="n"/>
      <c r="I798" s="170" t="n"/>
      <c r="J798" s="170" t="n"/>
      <c r="K798" s="170" t="n"/>
      <c r="L798" s="170" t="n"/>
      <c r="M798" s="170" t="n"/>
      <c r="N798" s="170" t="n"/>
      <c r="O798" s="30" t="n"/>
      <c r="P798" s="170" t="n"/>
      <c r="Q798" s="30" t="n"/>
      <c r="R798" s="117">
        <f>S798*C798</f>
        <v/>
      </c>
      <c r="S798" s="94" t="n">
        <v>1.32</v>
      </c>
      <c r="T798" s="170" t="n"/>
      <c r="U798" s="30" t="n"/>
      <c r="V798" s="30" t="n"/>
      <c r="W798" s="30" t="n"/>
      <c r="X798" s="30" t="n"/>
      <c r="Y798" s="30" t="n"/>
      <c r="Z798" s="30" t="n"/>
      <c r="AA798" s="30" t="n"/>
      <c r="AL798" s="30" t="n"/>
      <c r="AM798" s="30" t="n"/>
      <c r="AN798" s="30" t="n"/>
      <c r="AO798" s="30" t="n"/>
    </row>
    <row r="799">
      <c r="A799" s="89" t="inlineStr">
        <is>
          <t>17830XXX</t>
        </is>
      </c>
      <c r="B799" s="248" t="inlineStr">
        <is>
          <t>TAVERNITI</t>
        </is>
      </c>
      <c r="C799" s="88" t="n">
        <v>154300</v>
      </c>
      <c r="D799" s="88" t="n"/>
      <c r="E799" s="170" t="n"/>
      <c r="F799" s="170" t="n"/>
      <c r="G799" s="170" t="n"/>
      <c r="H799" s="170" t="n"/>
      <c r="I799" s="170" t="n"/>
      <c r="J799" s="170" t="n"/>
      <c r="K799" s="170" t="n"/>
      <c r="L799" s="170" t="n"/>
      <c r="M799" s="170" t="n"/>
      <c r="N799" s="170" t="n"/>
      <c r="O799" s="30" t="n"/>
      <c r="P799" s="170" t="n"/>
      <c r="Q799" s="30" t="n"/>
      <c r="R799" s="117">
        <f>S799*C799</f>
        <v/>
      </c>
      <c r="S799" s="94" t="n">
        <v>1.32</v>
      </c>
      <c r="T799" s="170" t="n"/>
      <c r="U799" s="30" t="n"/>
      <c r="V799" s="30" t="n"/>
      <c r="W799" s="30" t="n"/>
      <c r="X799" s="30" t="n"/>
      <c r="Y799" s="30" t="n"/>
      <c r="Z799" s="30" t="n"/>
      <c r="AA799" s="30" t="n"/>
      <c r="AL799" s="30" t="n"/>
      <c r="AM799" s="30" t="n"/>
      <c r="AN799" s="30" t="n"/>
      <c r="AO799" s="30" t="n"/>
    </row>
    <row r="800">
      <c r="A800" s="89" t="inlineStr">
        <is>
          <t>17832XXX</t>
        </is>
      </c>
      <c r="B800" s="248" t="inlineStr">
        <is>
          <t>TAVERNITI</t>
        </is>
      </c>
      <c r="C800" s="88" t="n">
        <v>109100</v>
      </c>
      <c r="D800" s="88" t="n"/>
      <c r="E800" s="170" t="n"/>
      <c r="F800" s="170" t="n"/>
      <c r="G800" s="170" t="n"/>
      <c r="H800" s="170" t="n"/>
      <c r="I800" s="170" t="n"/>
      <c r="J800" s="170" t="n"/>
      <c r="K800" s="170" t="n"/>
      <c r="L800" s="170" t="n"/>
      <c r="M800" s="170" t="n"/>
      <c r="N800" s="170" t="n"/>
      <c r="O800" s="30" t="n"/>
      <c r="P800" s="170" t="n"/>
      <c r="Q800" s="30" t="n"/>
      <c r="R800" s="117">
        <f>S800*C800</f>
        <v/>
      </c>
      <c r="S800" s="94" t="n">
        <v>1.32</v>
      </c>
      <c r="T800" s="170" t="n"/>
      <c r="U800" s="30" t="n"/>
      <c r="V800" s="30" t="n"/>
      <c r="W800" s="30" t="n"/>
      <c r="X800" s="30" t="n"/>
      <c r="Y800" s="30" t="n"/>
      <c r="Z800" s="30" t="n"/>
      <c r="AA800" s="30" t="n"/>
      <c r="AL800" s="30" t="n"/>
      <c r="AM800" s="30" t="n"/>
      <c r="AN800" s="30" t="n"/>
      <c r="AO800" s="30" t="n"/>
    </row>
    <row r="801">
      <c r="A801" s="89" t="inlineStr">
        <is>
          <t>17834XXX</t>
        </is>
      </c>
      <c r="B801" s="248" t="inlineStr">
        <is>
          <t>TAVERNITI</t>
        </is>
      </c>
      <c r="C801" s="88" t="n">
        <v>126200</v>
      </c>
      <c r="D801" s="88" t="n"/>
      <c r="E801" s="170" t="n"/>
      <c r="F801" s="170" t="n"/>
      <c r="G801" s="170" t="n"/>
      <c r="H801" s="170" t="n"/>
      <c r="I801" s="170" t="n"/>
      <c r="J801" s="170" t="n"/>
      <c r="K801" s="170" t="n"/>
      <c r="L801" s="170" t="n"/>
      <c r="M801" s="170" t="n"/>
      <c r="N801" s="170" t="n"/>
      <c r="O801" s="30" t="n"/>
      <c r="P801" s="170" t="n"/>
      <c r="Q801" s="30" t="n"/>
      <c r="R801" s="117">
        <f>S801*C801</f>
        <v/>
      </c>
      <c r="S801" s="94" t="n">
        <v>1.32</v>
      </c>
      <c r="T801" s="170" t="n"/>
      <c r="U801" s="30" t="n"/>
      <c r="V801" s="30" t="n"/>
      <c r="W801" s="30" t="n"/>
      <c r="X801" s="30" t="n"/>
      <c r="Y801" s="30" t="n"/>
      <c r="Z801" s="30" t="n"/>
      <c r="AA801" s="30" t="n"/>
      <c r="AL801" s="30" t="n"/>
      <c r="AM801" s="30" t="n"/>
      <c r="AN801" s="30" t="n"/>
      <c r="AO801" s="30" t="n"/>
    </row>
    <row r="802">
      <c r="A802" s="89" t="inlineStr">
        <is>
          <t>17840XXX</t>
        </is>
      </c>
      <c r="B802" s="248" t="inlineStr">
        <is>
          <t>TAVERNITI</t>
        </is>
      </c>
      <c r="C802" s="88" t="n">
        <v>120800</v>
      </c>
      <c r="D802" s="88" t="n"/>
      <c r="E802" s="170" t="n"/>
      <c r="F802" s="170" t="n"/>
      <c r="G802" s="170" t="n"/>
      <c r="H802" s="170" t="n"/>
      <c r="I802" s="170" t="n"/>
      <c r="J802" s="170" t="n"/>
      <c r="K802" s="170" t="n"/>
      <c r="L802" s="170" t="n"/>
      <c r="M802" s="170" t="n"/>
      <c r="N802" s="170" t="n"/>
      <c r="O802" s="30" t="n"/>
      <c r="P802" s="170" t="n"/>
      <c r="Q802" s="30" t="n"/>
      <c r="R802" s="117">
        <f>S802*C802</f>
        <v/>
      </c>
      <c r="S802" s="94" t="n">
        <v>1.32</v>
      </c>
      <c r="T802" s="170" t="n"/>
      <c r="U802" s="30" t="n"/>
      <c r="V802" s="30" t="n"/>
      <c r="W802" s="30" t="n"/>
      <c r="X802" s="30" t="n"/>
      <c r="Y802" s="30" t="n"/>
      <c r="Z802" s="30" t="n"/>
      <c r="AA802" s="30" t="n"/>
      <c r="AL802" s="30" t="n"/>
      <c r="AM802" s="30" t="n"/>
      <c r="AN802" s="30" t="n"/>
      <c r="AO802" s="30" t="n"/>
    </row>
    <row r="803">
      <c r="A803" s="89" t="inlineStr">
        <is>
          <t>17844XXX</t>
        </is>
      </c>
      <c r="B803" s="248" t="inlineStr">
        <is>
          <t>TAVERNITI</t>
        </is>
      </c>
      <c r="C803" s="88" t="n">
        <v>110700</v>
      </c>
      <c r="D803" s="88" t="n"/>
      <c r="E803" s="170" t="n"/>
      <c r="F803" s="170" t="n"/>
      <c r="G803" s="170" t="n"/>
      <c r="H803" s="170" t="n"/>
      <c r="I803" s="170" t="n"/>
      <c r="J803" s="170" t="n"/>
      <c r="K803" s="170" t="n"/>
      <c r="L803" s="170" t="n"/>
      <c r="M803" s="170" t="n"/>
      <c r="N803" s="170" t="n"/>
      <c r="O803" s="30" t="n"/>
      <c r="P803" s="170" t="n"/>
      <c r="Q803" s="30" t="n"/>
      <c r="R803" s="117">
        <f>S803*C803</f>
        <v/>
      </c>
      <c r="S803" s="94" t="n">
        <v>1.32</v>
      </c>
      <c r="T803" s="170" t="n"/>
      <c r="U803" s="30" t="n"/>
      <c r="V803" s="30" t="n"/>
      <c r="W803" s="30" t="n"/>
      <c r="X803" s="30" t="n"/>
      <c r="Y803" s="30" t="n"/>
      <c r="Z803" s="30" t="n"/>
      <c r="AA803" s="30" t="n"/>
      <c r="AL803" s="30" t="n"/>
      <c r="AM803" s="30" t="n"/>
      <c r="AN803" s="30" t="n"/>
      <c r="AO803" s="30" t="n"/>
    </row>
    <row r="804">
      <c r="A804" s="89" t="inlineStr">
        <is>
          <t>17850XXX</t>
        </is>
      </c>
      <c r="B804" s="248" t="inlineStr">
        <is>
          <t>TAVERNITI</t>
        </is>
      </c>
      <c r="C804" s="88" t="n">
        <v>129100</v>
      </c>
      <c r="D804" s="88" t="n"/>
      <c r="E804" s="22" t="n"/>
      <c r="F804" s="22" t="n"/>
      <c r="G804" s="22" t="n"/>
      <c r="H804" s="22" t="n"/>
      <c r="I804" s="22" t="n"/>
      <c r="J804" s="22" t="n"/>
      <c r="K804" s="22" t="n"/>
      <c r="L804" s="22" t="n"/>
      <c r="M804" s="88" t="n"/>
      <c r="N804" s="88" t="n"/>
      <c r="P804" s="117" t="n"/>
      <c r="R804" s="117">
        <f>S804*C804</f>
        <v/>
      </c>
      <c r="S804" s="94" t="n">
        <v>1.32</v>
      </c>
      <c r="T804" s="117" t="n"/>
    </row>
    <row r="805">
      <c r="A805" s="89" t="inlineStr">
        <is>
          <t>18992XXX</t>
        </is>
      </c>
      <c r="B805" s="248" t="inlineStr">
        <is>
          <t>TAVERNITI</t>
        </is>
      </c>
      <c r="C805" s="88" t="n">
        <v>152100</v>
      </c>
      <c r="D805" s="88" t="n"/>
      <c r="E805" s="22" t="n"/>
      <c r="F805" s="22" t="n"/>
      <c r="G805" s="22" t="n"/>
      <c r="H805" s="22" t="n"/>
      <c r="I805" s="22" t="n"/>
      <c r="J805" s="22" t="n"/>
      <c r="K805" s="22" t="n"/>
      <c r="L805" s="22" t="n"/>
      <c r="M805" s="88" t="n"/>
      <c r="N805" s="88" t="n"/>
      <c r="P805" s="117" t="n"/>
      <c r="R805" s="117">
        <f>S805*C805</f>
        <v/>
      </c>
      <c r="S805" s="94" t="n">
        <v>1.32</v>
      </c>
      <c r="T805" s="117" t="n"/>
    </row>
    <row r="806">
      <c r="A806" s="89" t="inlineStr">
        <is>
          <t>19306XXX</t>
        </is>
      </c>
      <c r="B806" s="248" t="inlineStr">
        <is>
          <t>TAVERNITI</t>
        </is>
      </c>
      <c r="C806" s="88" t="n">
        <v>120000</v>
      </c>
      <c r="D806" s="88" t="n"/>
      <c r="E806" s="22" t="n"/>
      <c r="F806" s="22" t="n"/>
      <c r="G806" s="22" t="n"/>
      <c r="H806" s="22" t="n"/>
      <c r="I806" s="22" t="n"/>
      <c r="J806" s="22" t="n"/>
      <c r="K806" s="22" t="n"/>
      <c r="L806" s="22" t="n"/>
      <c r="M806" s="88" t="n"/>
      <c r="N806" s="88" t="n"/>
      <c r="P806" s="117" t="n"/>
      <c r="R806" s="117">
        <f>S806*C806</f>
        <v/>
      </c>
      <c r="S806" s="94" t="n">
        <v>1.32</v>
      </c>
      <c r="T806" s="117" t="n"/>
    </row>
    <row r="807">
      <c r="A807" s="89" t="inlineStr">
        <is>
          <t>19318XXX</t>
        </is>
      </c>
      <c r="B807" s="248" t="inlineStr">
        <is>
          <t>TAVERNITI</t>
        </is>
      </c>
      <c r="C807" s="88" t="n">
        <v>127400</v>
      </c>
      <c r="D807" s="88" t="n"/>
      <c r="E807" s="22" t="n"/>
      <c r="F807" s="22" t="n"/>
      <c r="G807" s="22" t="n"/>
      <c r="H807" s="22" t="n"/>
      <c r="I807" s="22" t="n"/>
      <c r="J807" s="22" t="n"/>
      <c r="K807" s="22" t="n"/>
      <c r="L807" s="22" t="n"/>
      <c r="M807" s="88" t="n"/>
      <c r="N807" s="88" t="n"/>
      <c r="P807" s="117" t="n"/>
      <c r="R807" s="117">
        <f>S807*C807</f>
        <v/>
      </c>
      <c r="S807" s="94" t="n">
        <v>1.32</v>
      </c>
      <c r="T807" s="117" t="n"/>
    </row>
    <row r="808">
      <c r="A808" s="89" t="inlineStr">
        <is>
          <t>20314XXX</t>
        </is>
      </c>
      <c r="B808" s="248" t="inlineStr">
        <is>
          <t>TAVERNITI</t>
        </is>
      </c>
      <c r="C808" s="88" t="n">
        <v>128000</v>
      </c>
      <c r="D808" s="170" t="n"/>
      <c r="E808" s="170" t="n"/>
      <c r="F808" s="170" t="n"/>
      <c r="G808" s="170" t="n"/>
      <c r="H808" s="170" t="n"/>
      <c r="I808" s="170" t="n"/>
      <c r="J808" s="170" t="n"/>
      <c r="K808" s="170" t="n"/>
      <c r="L808" s="170" t="n"/>
      <c r="M808" s="170" t="n"/>
      <c r="N808" s="170" t="n"/>
      <c r="O808" s="30" t="n"/>
      <c r="P808" s="170" t="n"/>
      <c r="Q808" s="30" t="n"/>
      <c r="R808" s="150">
        <f>S808*C808</f>
        <v/>
      </c>
      <c r="S808" s="94" t="n">
        <v>1.32</v>
      </c>
      <c r="T808" s="170" t="n"/>
      <c r="U808" s="30" t="n"/>
      <c r="V808" s="30" t="n"/>
      <c r="W808" s="30" t="n"/>
      <c r="X808" s="30" t="n"/>
      <c r="Y808" s="30" t="n"/>
      <c r="Z808" s="30" t="n"/>
      <c r="AA808" s="30" t="n"/>
      <c r="AB808" s="30" t="n"/>
      <c r="AC808" s="30" t="n"/>
      <c r="AD808" s="30" t="n"/>
      <c r="AE808" s="30" t="n"/>
      <c r="AF808" s="30" t="n"/>
      <c r="AG808" s="30" t="n"/>
      <c r="AH808" s="30" t="n"/>
      <c r="AI808" s="30" t="n"/>
      <c r="AJ808" s="30" t="n"/>
      <c r="AK808" s="30" t="n"/>
      <c r="AL808" s="30" t="n"/>
      <c r="AM808" s="30" t="n"/>
      <c r="AN808" s="30" t="n"/>
      <c r="AO808" s="30" t="n"/>
    </row>
    <row r="809">
      <c r="A809" s="89" t="inlineStr">
        <is>
          <t>20362XXX</t>
        </is>
      </c>
      <c r="B809" s="248" t="inlineStr">
        <is>
          <t>TAVERNITI</t>
        </is>
      </c>
      <c r="C809" s="88" t="n">
        <v>150400</v>
      </c>
      <c r="D809" s="88" t="n"/>
      <c r="E809" s="170" t="n"/>
      <c r="F809" s="170" t="n"/>
      <c r="G809" s="170" t="n"/>
      <c r="H809" s="170" t="n"/>
      <c r="I809" s="170" t="n"/>
      <c r="J809" s="170" t="n"/>
      <c r="K809" s="170" t="n"/>
      <c r="L809" s="170" t="n"/>
      <c r="M809" s="170" t="n"/>
      <c r="N809" s="170" t="n"/>
      <c r="O809" s="30" t="n"/>
      <c r="P809" s="170" t="n"/>
      <c r="Q809" s="30" t="n"/>
      <c r="R809" s="150">
        <f>S809*C809</f>
        <v/>
      </c>
      <c r="S809" s="94" t="n">
        <v>1.32</v>
      </c>
      <c r="T809" s="170" t="n"/>
      <c r="U809" s="30" t="n"/>
      <c r="V809" s="30" t="n"/>
      <c r="W809" s="30" t="n"/>
      <c r="X809" s="30" t="n"/>
      <c r="Y809" s="30" t="n"/>
      <c r="Z809" s="30" t="n"/>
      <c r="AA809" s="30" t="n"/>
      <c r="AB809" s="30" t="n"/>
      <c r="AC809" s="30" t="n"/>
      <c r="AD809" s="30" t="n"/>
      <c r="AE809" s="30" t="n"/>
      <c r="AF809" s="30" t="n"/>
      <c r="AG809" s="30" t="n"/>
      <c r="AH809" s="30" t="n"/>
      <c r="AI809" s="30" t="n"/>
      <c r="AJ809" s="30" t="n"/>
      <c r="AK809" s="30" t="n"/>
      <c r="AL809" s="30" t="n"/>
      <c r="AM809" s="30" t="n"/>
      <c r="AN809" s="30" t="n"/>
      <c r="AO809" s="30" t="n"/>
    </row>
    <row r="810">
      <c r="A810" s="89" t="inlineStr">
        <is>
          <t>20394XXX</t>
        </is>
      </c>
      <c r="B810" s="248" t="inlineStr">
        <is>
          <t>TAVERNITI</t>
        </is>
      </c>
      <c r="C810" s="88" t="n">
        <v>114700</v>
      </c>
      <c r="D810" s="88" t="n"/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88" t="n"/>
      <c r="N810" s="88" t="n"/>
      <c r="P810" s="117" t="n"/>
      <c r="R810" s="117">
        <f>S810*C810</f>
        <v/>
      </c>
      <c r="S810" s="94" t="n">
        <v>1.32</v>
      </c>
      <c r="T810" s="117" t="n"/>
    </row>
    <row r="811">
      <c r="A811" s="89" t="inlineStr">
        <is>
          <t>20396XXX</t>
        </is>
      </c>
      <c r="B811" s="248" t="inlineStr">
        <is>
          <t>TAVERNITI</t>
        </is>
      </c>
      <c r="C811" s="88" t="n">
        <v>128000</v>
      </c>
      <c r="D811" s="88" t="n"/>
      <c r="E811" s="22" t="n"/>
      <c r="F811" s="22" t="n"/>
      <c r="G811" s="22" t="n"/>
      <c r="H811" s="22" t="n"/>
      <c r="I811" s="22" t="n"/>
      <c r="J811" s="22" t="n"/>
      <c r="K811" s="22" t="n"/>
      <c r="L811" s="22" t="n"/>
      <c r="M811" s="88" t="n"/>
      <c r="N811" s="88" t="n"/>
      <c r="P811" s="117" t="n"/>
      <c r="R811" s="117">
        <f>S811*C811</f>
        <v/>
      </c>
      <c r="S811" s="94" t="n">
        <v>1.32</v>
      </c>
      <c r="T811" s="117" t="n"/>
    </row>
    <row r="812">
      <c r="A812" s="89" t="inlineStr">
        <is>
          <t>20398XXX</t>
        </is>
      </c>
      <c r="B812" s="248" t="inlineStr">
        <is>
          <t>TAVERNITI</t>
        </is>
      </c>
      <c r="C812" s="88" t="n">
        <v>128000</v>
      </c>
      <c r="D812" s="88" t="n"/>
      <c r="E812" s="22" t="n"/>
      <c r="F812" s="22" t="n"/>
      <c r="G812" s="22" t="n"/>
      <c r="H812" s="22" t="n"/>
      <c r="I812" s="22" t="n"/>
      <c r="J812" s="22" t="n"/>
      <c r="K812" s="22" t="n"/>
      <c r="L812" s="22" t="n"/>
      <c r="M812" s="88" t="n"/>
      <c r="N812" s="88" t="n"/>
      <c r="P812" s="117" t="n"/>
      <c r="R812" s="117">
        <f>S812*C812</f>
        <v/>
      </c>
      <c r="S812" s="94" t="n">
        <v>1.32</v>
      </c>
      <c r="T812" s="117" t="n"/>
    </row>
    <row r="813">
      <c r="A813" s="89" t="inlineStr">
        <is>
          <t>20930XXX</t>
        </is>
      </c>
      <c r="B813" s="248" t="inlineStr">
        <is>
          <t>TAVERNITI</t>
        </is>
      </c>
      <c r="C813" s="88" t="n">
        <v>119000</v>
      </c>
      <c r="D813" s="88" t="n"/>
      <c r="E813" s="22" t="n"/>
      <c r="F813" s="22" t="n"/>
      <c r="G813" s="22" t="n"/>
      <c r="H813" s="22" t="n"/>
      <c r="I813" s="22" t="n"/>
      <c r="J813" s="22" t="n"/>
      <c r="K813" s="22" t="n"/>
      <c r="L813" s="22" t="n"/>
      <c r="M813" s="88" t="n"/>
      <c r="N813" s="88" t="n"/>
      <c r="P813" s="117" t="n"/>
      <c r="R813" s="117">
        <f>S813*C813</f>
        <v/>
      </c>
      <c r="S813" s="94" t="n">
        <v>1.32</v>
      </c>
      <c r="T813" s="117" t="n"/>
    </row>
    <row r="814">
      <c r="A814" s="89" t="inlineStr">
        <is>
          <t>21018XXX</t>
        </is>
      </c>
      <c r="B814" s="248" t="inlineStr">
        <is>
          <t>TAVERNITI</t>
        </is>
      </c>
      <c r="C814" s="88" t="n">
        <v>135100</v>
      </c>
      <c r="D814" s="88" t="n"/>
      <c r="E814" s="22" t="n"/>
      <c r="F814" s="22" t="n"/>
      <c r="G814" s="22" t="n"/>
      <c r="H814" s="22" t="n"/>
      <c r="I814" s="22" t="n"/>
      <c r="J814" s="22" t="n"/>
      <c r="K814" s="22" t="n"/>
      <c r="L814" s="22" t="n"/>
      <c r="M814" s="88" t="n"/>
      <c r="N814" s="88" t="n"/>
      <c r="P814" s="117" t="n"/>
      <c r="R814" s="117">
        <f>S814*C814</f>
        <v/>
      </c>
      <c r="S814" s="94" t="n">
        <v>1.32</v>
      </c>
      <c r="T814" s="117" t="n"/>
    </row>
    <row r="815">
      <c r="A815" s="89" t="inlineStr">
        <is>
          <t>21410XXX</t>
        </is>
      </c>
      <c r="B815" s="248" t="inlineStr">
        <is>
          <t>TAVERNITI</t>
        </is>
      </c>
      <c r="C815" s="88" t="n">
        <v>115000</v>
      </c>
      <c r="D815" s="88" t="n"/>
      <c r="E815" s="22" t="n"/>
      <c r="F815" s="22" t="n"/>
      <c r="G815" s="22" t="n"/>
      <c r="H815" s="22" t="n"/>
      <c r="I815" s="22" t="n"/>
      <c r="J815" s="22" t="n"/>
      <c r="K815" s="22" t="n"/>
      <c r="L815" s="22" t="n"/>
      <c r="M815" s="88" t="n"/>
      <c r="N815" s="88" t="n"/>
      <c r="P815" s="117" t="n"/>
      <c r="R815" s="117">
        <f>S815*C815</f>
        <v/>
      </c>
      <c r="S815" s="94" t="n">
        <v>1.32</v>
      </c>
      <c r="T815" s="117" t="n"/>
    </row>
    <row r="816">
      <c r="A816" s="89" t="inlineStr">
        <is>
          <t>21432XXX</t>
        </is>
      </c>
      <c r="B816" s="248" t="inlineStr">
        <is>
          <t>TAVERNITI</t>
        </is>
      </c>
      <c r="C816" s="88" t="n">
        <v>125000</v>
      </c>
      <c r="D816" s="88" t="n"/>
      <c r="E816" s="22" t="n"/>
      <c r="F816" s="22" t="n"/>
      <c r="G816" s="22" t="n"/>
      <c r="H816" s="22" t="n"/>
      <c r="I816" s="22" t="n"/>
      <c r="J816" s="22" t="n"/>
      <c r="K816" s="22" t="n"/>
      <c r="L816" s="22" t="n"/>
      <c r="M816" s="88" t="n"/>
      <c r="N816" s="88" t="n"/>
      <c r="P816" s="117" t="n"/>
      <c r="R816" s="117">
        <f>S816*C816</f>
        <v/>
      </c>
      <c r="S816" s="94" t="n">
        <v>1.32</v>
      </c>
      <c r="T816" s="117" t="n"/>
    </row>
    <row r="817">
      <c r="A817" s="89" t="inlineStr">
        <is>
          <t>21470XXX</t>
        </is>
      </c>
      <c r="B817" s="248" t="inlineStr">
        <is>
          <t>TAVERNITI</t>
        </is>
      </c>
      <c r="C817" s="88" t="n">
        <v>119000</v>
      </c>
      <c r="D817" s="88" t="n"/>
      <c r="E817" s="22" t="n"/>
      <c r="F817" s="22" t="n"/>
      <c r="G817" s="22" t="n"/>
      <c r="H817" s="22" t="n"/>
      <c r="I817" s="22" t="n"/>
      <c r="J817" s="22" t="n"/>
      <c r="K817" s="22" t="n"/>
      <c r="L817" s="22" t="n"/>
      <c r="M817" s="88" t="n"/>
      <c r="N817" s="88" t="n"/>
      <c r="P817" s="117" t="n"/>
      <c r="R817" s="117">
        <f>S817*C817</f>
        <v/>
      </c>
      <c r="S817" s="94" t="n">
        <v>1.32</v>
      </c>
      <c r="T817" s="117" t="n"/>
    </row>
    <row r="818">
      <c r="A818" s="89" t="inlineStr">
        <is>
          <t>21608XXX</t>
        </is>
      </c>
      <c r="B818" s="248" t="inlineStr">
        <is>
          <t>TAVERNITI</t>
        </is>
      </c>
      <c r="C818" s="88" t="n">
        <v>119000</v>
      </c>
      <c r="D818" s="170" t="n"/>
      <c r="E818" s="170" t="n"/>
      <c r="F818" s="170" t="n"/>
      <c r="G818" s="170" t="n"/>
      <c r="H818" s="170" t="n"/>
      <c r="I818" s="170" t="n"/>
      <c r="J818" s="170" t="n"/>
      <c r="K818" s="170" t="n"/>
      <c r="L818" s="170" t="n"/>
      <c r="M818" s="170" t="n"/>
      <c r="N818" s="170" t="n"/>
      <c r="O818" s="30" t="n"/>
      <c r="P818" s="170" t="n"/>
      <c r="Q818" s="30" t="n"/>
      <c r="R818" s="150">
        <f>S818*C818</f>
        <v/>
      </c>
      <c r="S818" s="99" t="n">
        <v>1.32</v>
      </c>
      <c r="T818" s="170" t="n"/>
      <c r="U818" s="30" t="n"/>
      <c r="V818" s="30" t="n"/>
      <c r="W818" s="30" t="n"/>
      <c r="X818" s="30" t="n"/>
      <c r="Y818" s="30" t="n"/>
      <c r="Z818" s="30" t="n"/>
      <c r="AA818" s="30" t="n"/>
      <c r="AB818" s="30" t="n"/>
      <c r="AC818" s="30" t="n"/>
      <c r="AD818" s="30" t="n"/>
      <c r="AE818" s="30" t="n"/>
      <c r="AF818" s="30" t="n"/>
      <c r="AG818" s="30" t="n"/>
      <c r="AH818" s="30" t="n"/>
      <c r="AI818" s="30" t="n"/>
      <c r="AJ818" s="30" t="n"/>
      <c r="AK818" s="30" t="n"/>
      <c r="AL818" s="30" t="n"/>
      <c r="AM818" s="30" t="n"/>
      <c r="AN818" s="30" t="n"/>
      <c r="AO818" s="30" t="n"/>
    </row>
    <row r="819">
      <c r="A819" s="89" t="inlineStr">
        <is>
          <t>21610XXX</t>
        </is>
      </c>
      <c r="B819" s="248" t="inlineStr">
        <is>
          <t>TAVERNITI</t>
        </is>
      </c>
      <c r="C819" s="88" t="n">
        <v>119000</v>
      </c>
      <c r="D819" s="88" t="n"/>
      <c r="E819" s="22" t="n"/>
      <c r="F819" s="22" t="n"/>
      <c r="G819" s="22" t="n"/>
      <c r="H819" s="22" t="n"/>
      <c r="I819" s="22" t="n"/>
      <c r="J819" s="22" t="n"/>
      <c r="K819" s="22" t="n"/>
      <c r="L819" s="22" t="n"/>
      <c r="M819" s="88" t="n"/>
      <c r="N819" s="88" t="n"/>
      <c r="P819" s="117" t="n"/>
      <c r="R819" s="117">
        <f>S819*C819</f>
        <v/>
      </c>
      <c r="S819" s="94" t="n">
        <v>1.32</v>
      </c>
      <c r="T819" s="117" t="n"/>
    </row>
    <row r="820">
      <c r="A820" s="89" t="inlineStr">
        <is>
          <t>21612XXX</t>
        </is>
      </c>
      <c r="B820" s="248" t="inlineStr">
        <is>
          <t>TAVERNITI</t>
        </is>
      </c>
      <c r="C820" s="88" t="n">
        <v>119000</v>
      </c>
      <c r="D820" s="88" t="n"/>
      <c r="E820" s="22" t="n"/>
      <c r="F820" s="22" t="n"/>
      <c r="G820" s="22" t="n"/>
      <c r="H820" s="22" t="n"/>
      <c r="I820" s="22" t="n"/>
      <c r="J820" s="22" t="n"/>
      <c r="K820" s="22" t="n"/>
      <c r="L820" s="22" t="n"/>
      <c r="M820" s="88" t="n"/>
      <c r="N820" s="88" t="n"/>
      <c r="P820" s="117" t="n"/>
      <c r="R820" s="117">
        <f>S820*C820</f>
        <v/>
      </c>
      <c r="S820" s="94" t="n">
        <v>1.32</v>
      </c>
      <c r="T820" s="117" t="n"/>
    </row>
    <row r="821">
      <c r="A821" s="89" t="inlineStr">
        <is>
          <t>27090XXX</t>
        </is>
      </c>
      <c r="B821" s="248" t="inlineStr">
        <is>
          <t>TAVERNITI</t>
        </is>
      </c>
      <c r="C821" s="88" t="n">
        <v>117000</v>
      </c>
      <c r="D821" s="170" t="n"/>
      <c r="E821" s="170" t="n"/>
      <c r="F821" s="170" t="n"/>
      <c r="G821" s="170" t="n"/>
      <c r="H821" s="170" t="n"/>
      <c r="I821" s="170" t="n"/>
      <c r="J821" s="170" t="n"/>
      <c r="K821" s="170" t="n"/>
      <c r="L821" s="170" t="n"/>
      <c r="M821" s="170" t="n"/>
      <c r="N821" s="170" t="n"/>
      <c r="O821" s="30" t="n"/>
      <c r="P821" s="170" t="n"/>
      <c r="Q821" s="30" t="n"/>
      <c r="R821" s="150">
        <f>S821*C821</f>
        <v/>
      </c>
      <c r="S821" s="99" t="n">
        <v>1.32</v>
      </c>
      <c r="T821" s="170" t="n"/>
      <c r="U821" s="30" t="n"/>
      <c r="V821" s="30" t="n"/>
      <c r="W821" s="30" t="n"/>
      <c r="X821" s="30" t="n"/>
      <c r="Y821" s="30" t="n"/>
      <c r="Z821" s="30" t="n"/>
      <c r="AA821" s="30" t="n"/>
      <c r="AB821" s="30" t="n"/>
      <c r="AC821" s="30" t="n"/>
      <c r="AD821" s="30" t="n"/>
      <c r="AE821" s="30" t="n"/>
      <c r="AF821" s="30" t="n"/>
      <c r="AG821" s="30" t="n"/>
      <c r="AH821" s="30" t="n"/>
      <c r="AI821" s="30" t="n"/>
      <c r="AJ821" s="30" t="n"/>
      <c r="AK821" s="30" t="n"/>
      <c r="AL821" s="30" t="n"/>
      <c r="AM821" s="30" t="n"/>
      <c r="AN821" s="30" t="n"/>
      <c r="AO821" s="30" t="n"/>
    </row>
    <row r="822">
      <c r="A822" s="89" t="inlineStr">
        <is>
          <t>27094XXX</t>
        </is>
      </c>
      <c r="B822" s="248" t="inlineStr">
        <is>
          <t>TAVERNITI</t>
        </is>
      </c>
      <c r="C822" s="88" t="n">
        <v>117000</v>
      </c>
      <c r="D822" s="170" t="n"/>
      <c r="E822" s="170" t="n"/>
      <c r="F822" s="170" t="n"/>
      <c r="G822" s="170" t="n"/>
      <c r="H822" s="170" t="n"/>
      <c r="I822" s="170" t="n"/>
      <c r="J822" s="170" t="n"/>
      <c r="K822" s="170" t="n"/>
      <c r="L822" s="170" t="n"/>
      <c r="M822" s="170" t="n"/>
      <c r="N822" s="170" t="n"/>
      <c r="O822" s="30" t="n"/>
      <c r="P822" s="170" t="n"/>
      <c r="Q822" s="30" t="n"/>
      <c r="R822" s="150">
        <f>S822*C822</f>
        <v/>
      </c>
      <c r="S822" s="99" t="n">
        <v>1.32</v>
      </c>
      <c r="T822" s="170" t="n"/>
      <c r="U822" s="30" t="n"/>
      <c r="V822" s="30" t="n"/>
      <c r="W822" s="30" t="n"/>
      <c r="X822" s="30" t="n"/>
      <c r="Y822" s="30" t="n"/>
      <c r="Z822" s="30" t="n"/>
      <c r="AA822" s="30" t="n"/>
      <c r="AB822" s="30" t="n"/>
      <c r="AC822" s="30" t="n"/>
      <c r="AD822" s="30" t="n"/>
      <c r="AE822" s="30" t="n"/>
      <c r="AF822" s="30" t="n"/>
      <c r="AG822" s="30" t="n"/>
      <c r="AH822" s="30" t="n"/>
      <c r="AI822" s="30" t="n"/>
      <c r="AJ822" s="30" t="n"/>
      <c r="AK822" s="30" t="n"/>
      <c r="AL822" s="30" t="n"/>
      <c r="AM822" s="30" t="n"/>
      <c r="AN822" s="30" t="n"/>
      <c r="AO822" s="30" t="n"/>
    </row>
    <row r="823">
      <c r="A823" s="89" t="inlineStr">
        <is>
          <t>27096XXX</t>
        </is>
      </c>
      <c r="B823" s="248" t="inlineStr">
        <is>
          <t>TAVERNITI</t>
        </is>
      </c>
      <c r="C823" s="88" t="n">
        <v>119000</v>
      </c>
      <c r="D823" s="88" t="n"/>
      <c r="E823" s="22" t="n"/>
      <c r="F823" s="22" t="n"/>
      <c r="G823" s="22" t="n"/>
      <c r="H823" s="22" t="n"/>
      <c r="I823" s="22" t="n"/>
      <c r="J823" s="22" t="n"/>
      <c r="K823" s="22" t="n"/>
      <c r="L823" s="22" t="n"/>
      <c r="M823" s="88" t="n"/>
      <c r="N823" s="88" t="n"/>
      <c r="P823" s="117" t="n"/>
      <c r="R823" s="117">
        <f>S823*C823</f>
        <v/>
      </c>
      <c r="S823" s="94" t="n">
        <v>1.32</v>
      </c>
      <c r="T823" s="117" t="n"/>
    </row>
    <row r="824">
      <c r="A824" s="89" t="n"/>
      <c r="B824" s="248" t="n"/>
      <c r="C824" s="88" t="n"/>
      <c r="D824" s="88" t="n"/>
      <c r="E824" s="88" t="n"/>
      <c r="F824" s="88" t="n"/>
      <c r="G824" s="88" t="n"/>
      <c r="H824" s="88" t="n"/>
      <c r="I824" s="88" t="n"/>
      <c r="J824" s="88" t="n"/>
      <c r="K824" s="88" t="n"/>
      <c r="L824" s="88" t="n"/>
      <c r="M824" s="88" t="n"/>
      <c r="N824" s="88" t="n"/>
      <c r="P824" s="117" t="n"/>
      <c r="R824" s="117" t="n"/>
      <c r="T824" s="117" t="n"/>
    </row>
    <row r="825">
      <c r="A825" s="80" t="n"/>
      <c r="B825" s="81" t="inlineStr">
        <is>
          <t>CAMPERAS TEJIDAS HOMBRE</t>
        </is>
      </c>
      <c r="C825" s="83" t="inlineStr">
        <is>
          <t>1 AL 4</t>
        </is>
      </c>
      <c r="D825" s="83" t="n">
        <v>5</v>
      </c>
      <c r="E825" s="83" t="n">
        <v>6</v>
      </c>
      <c r="F825" s="83" t="n">
        <v>7</v>
      </c>
      <c r="G825" s="83" t="inlineStr">
        <is>
          <t>8 Y 9</t>
        </is>
      </c>
      <c r="H825" s="83" t="n">
        <v>10</v>
      </c>
      <c r="I825" s="83" t="inlineStr">
        <is>
          <t>12 Y 14</t>
        </is>
      </c>
      <c r="J825" s="83" t="n"/>
      <c r="K825" s="83" t="n"/>
      <c r="L825" s="83" t="n"/>
      <c r="M825" s="83" t="n"/>
      <c r="N825" s="80" t="inlineStr">
        <is>
          <t>03/24</t>
        </is>
      </c>
      <c r="P825" s="117" t="n"/>
      <c r="Q825" s="85" t="n"/>
      <c r="R825" s="84" t="n"/>
      <c r="S825" s="85" t="n"/>
      <c r="T825" s="84" t="n"/>
      <c r="U825" s="85" t="n"/>
      <c r="V825" s="85" t="n"/>
      <c r="W825" s="85" t="n"/>
      <c r="X825" s="85" t="n"/>
      <c r="Y825" s="85" t="n"/>
      <c r="Z825" s="85" t="n"/>
      <c r="AA825" s="85" t="n"/>
      <c r="AB825" s="85" t="n"/>
      <c r="AC825" s="85" t="n"/>
      <c r="AD825" s="85" t="n"/>
      <c r="AE825" s="85" t="n"/>
      <c r="AF825" s="85" t="n"/>
      <c r="AG825" s="85" t="n"/>
      <c r="AH825" s="85" t="n"/>
      <c r="AI825" s="85" t="n"/>
      <c r="AJ825" s="85" t="n"/>
      <c r="AK825" s="85" t="n"/>
      <c r="AL825" s="85" t="n"/>
      <c r="AM825" s="85" t="n"/>
      <c r="AN825" s="85" t="n"/>
      <c r="AO825" s="85" t="n"/>
    </row>
    <row r="826">
      <c r="A826" s="89" t="inlineStr">
        <is>
          <t>W04</t>
        </is>
      </c>
      <c r="B826" s="248" t="inlineStr">
        <is>
          <t>TEJIDA POLO CLUB</t>
        </is>
      </c>
      <c r="C826" s="88" t="n">
        <v>43500</v>
      </c>
      <c r="D826" s="88">
        <f>ROUND((C826*1.06)/100,0)*100</f>
        <v/>
      </c>
      <c r="E826" s="88">
        <f>ROUND((C826*1.15)/100,0)*100</f>
        <v/>
      </c>
      <c r="F826" s="88">
        <f>ROUND((C826*1.23)/100,0)*100</f>
        <v/>
      </c>
      <c r="G826" s="88">
        <f>ROUND((C826*1.29)/100,0)*100</f>
        <v/>
      </c>
      <c r="H826" s="88">
        <f>ROUND((C826*1.35)/100,0)*100</f>
        <v/>
      </c>
      <c r="I826" s="88">
        <f>ROUND((C826*1.43)/100,0)*100</f>
        <v/>
      </c>
      <c r="J826" s="88" t="n"/>
      <c r="K826" s="22" t="n"/>
      <c r="L826" s="22" t="n"/>
      <c r="M826" s="88" t="n"/>
      <c r="N826" s="88" t="n"/>
      <c r="P826" s="117" t="n"/>
      <c r="Q826" s="117">
        <f>R826*C826</f>
        <v/>
      </c>
      <c r="R826" s="94" t="n">
        <v>1.5</v>
      </c>
      <c r="T826" s="117" t="n"/>
      <c r="AD826" s="20" t="n"/>
    </row>
    <row r="827">
      <c r="A827" s="89" t="inlineStr">
        <is>
          <t>W12</t>
        </is>
      </c>
      <c r="B827" s="248" t="inlineStr">
        <is>
          <t>SACON TEJ POLO CLUB</t>
        </is>
      </c>
      <c r="C827" s="88" t="n">
        <v>43500</v>
      </c>
      <c r="D827" s="88">
        <f>ROUND((C827*1.06)/100,0)*100</f>
        <v/>
      </c>
      <c r="E827" s="88">
        <f>ROUND((C827*1.15)/100,0)*100</f>
        <v/>
      </c>
      <c r="F827" s="88">
        <f>ROUND((C827*1.23)/100,0)*100</f>
        <v/>
      </c>
      <c r="G827" s="88">
        <f>ROUND((C827*1.29)/100,0)*100</f>
        <v/>
      </c>
      <c r="H827" s="88">
        <f>ROUND((C827*1.35)/100,0)*100</f>
        <v/>
      </c>
      <c r="I827" s="88">
        <f>ROUND((C827*1.43)/100,0)*100</f>
        <v/>
      </c>
      <c r="J827" s="22" t="n"/>
      <c r="K827" s="88" t="n"/>
      <c r="L827" s="88" t="n"/>
      <c r="M827" s="88" t="n"/>
      <c r="N827" s="88" t="n"/>
      <c r="P827" s="117" t="n"/>
      <c r="Q827" s="117">
        <f>R827*C827</f>
        <v/>
      </c>
      <c r="R827" s="94" t="n">
        <v>1.5</v>
      </c>
      <c r="T827" s="117" t="n"/>
    </row>
    <row r="828">
      <c r="A828" s="89" t="inlineStr">
        <is>
          <t>W25W12</t>
        </is>
      </c>
      <c r="B828" s="248" t="inlineStr">
        <is>
          <t>STUART</t>
        </is>
      </c>
      <c r="C828" s="88" t="n">
        <v>56200</v>
      </c>
      <c r="D828" s="88">
        <f>ROUND((C828*1.06)/100,0)*100</f>
        <v/>
      </c>
      <c r="E828" s="88">
        <f>ROUND((C828*1.15)/100,0)*100</f>
        <v/>
      </c>
      <c r="F828" s="88">
        <f>ROUND((C828*1.23)/100,0)*100</f>
        <v/>
      </c>
      <c r="G828" s="88">
        <f>ROUND((C828*1.29)/100,0)*100</f>
        <v/>
      </c>
      <c r="H828" s="88">
        <f>ROUND((C828*1.35)/100,0)*100</f>
        <v/>
      </c>
      <c r="I828" s="88">
        <f>ROUND((C828*1.43)/100,0)*100</f>
        <v/>
      </c>
      <c r="J828" s="22" t="n"/>
      <c r="K828" s="88" t="n"/>
      <c r="L828" s="88" t="n"/>
      <c r="M828" s="88" t="n"/>
      <c r="N828" s="88" t="n"/>
      <c r="P828" s="117" t="n"/>
      <c r="Q828" s="117">
        <f>R828*C828</f>
        <v/>
      </c>
      <c r="R828" s="94" t="n">
        <v>1.5</v>
      </c>
      <c r="T828" s="117" t="n"/>
    </row>
    <row r="829">
      <c r="A829" s="89" t="inlineStr">
        <is>
          <t>W1SW11</t>
        </is>
      </c>
      <c r="B829" s="248" t="inlineStr">
        <is>
          <t>POLO CLUB</t>
        </is>
      </c>
      <c r="C829" s="88" t="n">
        <v>48600</v>
      </c>
      <c r="D829" s="88">
        <f>ROUND((C829*1.06)/100,0)*100</f>
        <v/>
      </c>
      <c r="E829" s="88">
        <f>ROUND((C829*1.15)/100,0)*100</f>
        <v/>
      </c>
      <c r="F829" s="88">
        <f>ROUND((C829*1.23)/100,0)*100</f>
        <v/>
      </c>
      <c r="G829" s="88">
        <f>ROUND((C829*1.29)/100,0)*100</f>
        <v/>
      </c>
      <c r="H829" s="88">
        <f>ROUND((C829*1.35)/100,0)*100</f>
        <v/>
      </c>
      <c r="I829" s="88">
        <f>ROUND((C829*1.43)/100,0)*100</f>
        <v/>
      </c>
      <c r="J829" s="22" t="n"/>
      <c r="K829" s="88" t="n"/>
      <c r="L829" s="88" t="n"/>
      <c r="M829" s="88" t="n"/>
      <c r="N829" s="88" t="n"/>
      <c r="P829" s="117" t="n"/>
      <c r="Q829" s="117">
        <f>R829*C829</f>
        <v/>
      </c>
      <c r="R829" s="94" t="n">
        <v>1.5</v>
      </c>
      <c r="T829" s="117" t="n"/>
    </row>
    <row r="830">
      <c r="A830" s="89" t="inlineStr">
        <is>
          <t>POLO CLUB</t>
        </is>
      </c>
      <c r="B830" s="248" t="inlineStr">
        <is>
          <t>GRIS TOPO VIVO CLARO EN CUELLO</t>
        </is>
      </c>
      <c r="C830" s="88" t="n">
        <v>53300</v>
      </c>
      <c r="D830" s="88">
        <f>ROUND((C830*1.06)/100,0)*100</f>
        <v/>
      </c>
      <c r="E830" s="88">
        <f>ROUND((C830*1.15)/100,0)*100</f>
        <v/>
      </c>
      <c r="F830" s="88">
        <f>ROUND((C830*1.23)/100,0)*100</f>
        <v/>
      </c>
      <c r="G830" s="88">
        <f>ROUND((C830*1.29)/100,0)*100</f>
        <v/>
      </c>
      <c r="H830" s="88">
        <f>ROUND((C830*1.35)/100,0)*100</f>
        <v/>
      </c>
      <c r="I830" s="88">
        <f>ROUND((C830*1.43)/100,0)*100</f>
        <v/>
      </c>
      <c r="J830" s="22" t="n"/>
      <c r="K830" s="88" t="n"/>
      <c r="L830" s="88" t="n"/>
      <c r="M830" s="88" t="n"/>
      <c r="N830" s="88" t="n"/>
      <c r="P830" s="117" t="n"/>
      <c r="Q830" s="117">
        <f>R830*C830</f>
        <v/>
      </c>
      <c r="R830" s="94" t="n">
        <v>1.5</v>
      </c>
      <c r="T830" s="117" t="n"/>
    </row>
    <row r="831">
      <c r="A831" s="89" t="inlineStr">
        <is>
          <t>60</t>
        </is>
      </c>
      <c r="B831" s="248" t="inlineStr">
        <is>
          <t>ENCINAS CAMPERA HILO LISA C CAPUCHA</t>
        </is>
      </c>
      <c r="C831" s="88" t="n">
        <v>53300</v>
      </c>
      <c r="D831" s="88">
        <f>ROUND((C831*1.06)/100,0)*100</f>
        <v/>
      </c>
      <c r="E831" s="88">
        <f>ROUND((C831*1.15)/100,0)*100</f>
        <v/>
      </c>
      <c r="F831" s="88">
        <f>ROUND((C831*1.23)/100,0)*100</f>
        <v/>
      </c>
      <c r="G831" s="88">
        <f>ROUND((C831*1.29)/100,0)*100</f>
        <v/>
      </c>
      <c r="H831" s="88">
        <f>ROUND((C831*1.35)/100,0)*100</f>
        <v/>
      </c>
      <c r="I831" s="88">
        <f>ROUND((C831*1.43)/100,0)*100</f>
        <v/>
      </c>
      <c r="J831" s="22" t="n"/>
      <c r="K831" s="88" t="n"/>
      <c r="L831" s="88" t="n"/>
      <c r="M831" s="88" t="n"/>
      <c r="N831" s="88" t="n"/>
      <c r="P831" s="117" t="n"/>
      <c r="Q831" s="117">
        <f>R831*C831</f>
        <v/>
      </c>
      <c r="R831" s="94" t="n">
        <v>1.5</v>
      </c>
      <c r="T831" s="117" t="n"/>
    </row>
    <row r="832">
      <c r="A832" s="89" t="inlineStr">
        <is>
          <t>68</t>
        </is>
      </c>
      <c r="B832" s="248" t="inlineStr">
        <is>
          <t>ENCINAS CAMPERA HILO UNISEX</t>
        </is>
      </c>
      <c r="C832" s="88" t="n">
        <v>53300</v>
      </c>
      <c r="D832" s="88">
        <f>ROUND((C832*1.06)/100,0)*100</f>
        <v/>
      </c>
      <c r="E832" s="88">
        <f>ROUND((C832*1.15)/100,0)*100</f>
        <v/>
      </c>
      <c r="F832" s="88">
        <f>ROUND((C832*1.23)/100,0)*100</f>
        <v/>
      </c>
      <c r="G832" s="88">
        <f>ROUND((C832*1.29)/100,0)*100</f>
        <v/>
      </c>
      <c r="H832" s="88">
        <f>ROUND((C832*1.35)/100,0)*100</f>
        <v/>
      </c>
      <c r="I832" s="88">
        <f>ROUND((C832*1.43)/100,0)*100</f>
        <v/>
      </c>
      <c r="J832" s="22" t="n"/>
      <c r="K832" s="88" t="n"/>
      <c r="L832" s="88" t="n"/>
      <c r="M832" s="88" t="n"/>
      <c r="N832" s="88" t="n"/>
      <c r="P832" s="117" t="n"/>
      <c r="Q832" s="117">
        <f>R832*C832</f>
        <v/>
      </c>
      <c r="R832" s="94" t="n">
        <v>1.5</v>
      </c>
      <c r="T832" s="117" t="n"/>
    </row>
    <row r="833">
      <c r="A833" s="89" t="inlineStr">
        <is>
          <t>81</t>
        </is>
      </c>
      <c r="B833" s="248" t="inlineStr">
        <is>
          <t>ENCINAS CAMPERA HILO RAY BOTON Y CAPUCHA</t>
        </is>
      </c>
      <c r="C833" s="88" t="n">
        <v>53300</v>
      </c>
      <c r="D833" s="88">
        <f>ROUND((C833*1.06)/100,0)*100</f>
        <v/>
      </c>
      <c r="E833" s="88">
        <f>ROUND((C833*1.15)/100,0)*100</f>
        <v/>
      </c>
      <c r="F833" s="88">
        <f>ROUND((C833*1.23)/100,0)*100</f>
        <v/>
      </c>
      <c r="G833" s="88">
        <f>ROUND((C833*1.29)/100,0)*100</f>
        <v/>
      </c>
      <c r="H833" s="88">
        <f>ROUND((C833*1.35)/100,0)*100</f>
        <v/>
      </c>
      <c r="I833" s="88">
        <f>ROUND((C833*1.43)/100,0)*100</f>
        <v/>
      </c>
      <c r="J833" s="22" t="n"/>
      <c r="K833" s="88" t="n"/>
      <c r="L833" s="88" t="n"/>
      <c r="M833" s="88" t="n"/>
      <c r="N833" s="88" t="n"/>
      <c r="P833" s="117" t="n"/>
      <c r="Q833" s="117">
        <f>R833*C833</f>
        <v/>
      </c>
      <c r="R833" s="94" t="n">
        <v>1.5</v>
      </c>
      <c r="T833" s="117" t="n"/>
    </row>
    <row r="834">
      <c r="A834" s="89" t="inlineStr">
        <is>
          <t>AER400</t>
        </is>
      </c>
      <c r="B834" s="248" t="inlineStr">
        <is>
          <t>CAMP TEJIDA DIFTER</t>
        </is>
      </c>
      <c r="C834" s="88" t="n">
        <v>53300</v>
      </c>
      <c r="D834" s="88">
        <f>ROUND((C834*1.06)/100,0)*100</f>
        <v/>
      </c>
      <c r="E834" s="88">
        <f>ROUND((C834*1.15)/100,0)*100</f>
        <v/>
      </c>
      <c r="F834" s="88">
        <f>ROUND((C834*1.23)/100,0)*100</f>
        <v/>
      </c>
      <c r="G834" s="88">
        <f>ROUND((C834*1.29)/100,0)*100</f>
        <v/>
      </c>
      <c r="H834" s="88">
        <f>ROUND((C834*1.35)/100,0)*100</f>
        <v/>
      </c>
      <c r="I834" s="88">
        <f>ROUND((C834*1.43)/100,0)*100</f>
        <v/>
      </c>
      <c r="J834" s="22" t="n"/>
      <c r="K834" s="88" t="n"/>
      <c r="L834" s="88" t="n"/>
      <c r="M834" s="88" t="n"/>
      <c r="N834" s="88" t="n"/>
      <c r="P834" s="117" t="n"/>
      <c r="Q834" s="117">
        <f>R834*C834</f>
        <v/>
      </c>
      <c r="R834" s="94" t="n">
        <v>1.5</v>
      </c>
      <c r="T834" s="117" t="n"/>
    </row>
    <row r="835">
      <c r="A835" s="89" t="inlineStr">
        <is>
          <t>AER499</t>
        </is>
      </c>
      <c r="B835" s="248" t="inlineStr">
        <is>
          <t>AERO CARDIGAN TEJIDO</t>
        </is>
      </c>
      <c r="C835" s="88" t="n">
        <v>24800</v>
      </c>
      <c r="D835" s="88">
        <f>ROUND((C835*1.06)/100,0)*100</f>
        <v/>
      </c>
      <c r="E835" s="88">
        <f>ROUND((C835*1.15)/100,0)*100</f>
        <v/>
      </c>
      <c r="F835" s="88">
        <f>ROUND((C835*1.23)/100,0)*100</f>
        <v/>
      </c>
      <c r="G835" s="88">
        <f>ROUND((C835*1.29)/100,0)*100</f>
        <v/>
      </c>
      <c r="H835" s="88">
        <f>ROUND((C835*1.35)/100,0)*100</f>
        <v/>
      </c>
      <c r="I835" s="88">
        <f>ROUND((C835*1.43)/100,0)*100</f>
        <v/>
      </c>
      <c r="J835" s="22" t="n"/>
      <c r="K835" s="88" t="n"/>
      <c r="L835" s="88" t="n"/>
      <c r="M835" s="88" t="n"/>
      <c r="N835" s="88" t="n"/>
      <c r="P835" s="117" t="n"/>
      <c r="Q835" s="117">
        <f>R835*C835</f>
        <v/>
      </c>
      <c r="R835" s="94" t="n">
        <v>1.5</v>
      </c>
      <c r="T835" s="117" t="n"/>
    </row>
    <row r="836">
      <c r="A836" s="89" t="inlineStr">
        <is>
          <t>640/350</t>
        </is>
      </c>
      <c r="B836" s="248" t="inlineStr">
        <is>
          <t>CAMPERA FRIZA RAYADA</t>
        </is>
      </c>
      <c r="C836" s="88" t="n">
        <v>24800</v>
      </c>
      <c r="D836" s="88">
        <f>ROUND((C836*1.06)/100,0)*100</f>
        <v/>
      </c>
      <c r="E836" s="88">
        <f>ROUND((C836*1.15)/100,0)*100</f>
        <v/>
      </c>
      <c r="F836" s="88">
        <f>ROUND((C836*1.23)/100,0)*100</f>
        <v/>
      </c>
      <c r="G836" s="88">
        <f>ROUND((C836*1.29)/100,0)*100</f>
        <v/>
      </c>
      <c r="H836" s="88">
        <f>ROUND((C836*1.35)/100,0)*100</f>
        <v/>
      </c>
      <c r="I836" s="88">
        <f>ROUND((C836*1.43)/100,0)*100</f>
        <v/>
      </c>
      <c r="J836" s="22" t="n"/>
      <c r="K836" s="88" t="n"/>
      <c r="L836" s="88" t="n"/>
      <c r="M836" s="88" t="n"/>
      <c r="N836" s="88" t="n"/>
      <c r="P836" s="117" t="n"/>
      <c r="Q836" s="117">
        <f>R836*C836</f>
        <v/>
      </c>
      <c r="R836" s="94" t="n">
        <v>1.5</v>
      </c>
      <c r="T836" s="117" t="n"/>
    </row>
    <row r="837">
      <c r="A837" s="89" t="inlineStr">
        <is>
          <t>AER679</t>
        </is>
      </c>
      <c r="B837" s="248" t="inlineStr">
        <is>
          <t>CAMP TEJ AERO</t>
        </is>
      </c>
      <c r="C837" s="88" t="n">
        <v>24800</v>
      </c>
      <c r="D837" s="88">
        <f>ROUND((C837*1.06)/100,0)*100</f>
        <v/>
      </c>
      <c r="E837" s="88">
        <f>ROUND((C837*1.15)/100,0)*100</f>
        <v/>
      </c>
      <c r="F837" s="88">
        <f>ROUND((C837*1.23)/100,0)*100</f>
        <v/>
      </c>
      <c r="G837" s="88">
        <f>ROUND((C837*1.29)/100,0)*100</f>
        <v/>
      </c>
      <c r="H837" s="88">
        <f>ROUND((C837*1.35)/100,0)*100</f>
        <v/>
      </c>
      <c r="I837" s="88">
        <f>ROUND((C837*1.43)/100,0)*100</f>
        <v/>
      </c>
      <c r="J837" s="22" t="n"/>
      <c r="K837" s="88" t="n"/>
      <c r="L837" s="88" t="n"/>
      <c r="M837" s="88" t="n"/>
      <c r="N837" s="88" t="n"/>
      <c r="P837" s="117" t="n"/>
      <c r="Q837" s="117">
        <f>R837*C837</f>
        <v/>
      </c>
      <c r="R837" s="94" t="n">
        <v>1.5</v>
      </c>
      <c r="T837" s="117" t="n"/>
    </row>
    <row r="838">
      <c r="A838" s="89" t="inlineStr">
        <is>
          <t>AER840</t>
        </is>
      </c>
      <c r="B838" s="248" t="inlineStr">
        <is>
          <t>AERO CARDIGAN TEJIDO</t>
        </is>
      </c>
      <c r="C838" s="88" t="n">
        <v>20900</v>
      </c>
      <c r="D838" s="88">
        <f>ROUND((C838*1.06)/100,0)*100</f>
        <v/>
      </c>
      <c r="E838" s="88">
        <f>ROUND((C838*1.15)/100,0)*100</f>
        <v/>
      </c>
      <c r="F838" s="88">
        <f>ROUND((C838*1.23)/100,0)*100</f>
        <v/>
      </c>
      <c r="G838" s="88">
        <f>ROUND((C838*1.29)/100,0)*100</f>
        <v/>
      </c>
      <c r="H838" s="88">
        <f>ROUND((C838*1.35)/100,0)*100</f>
        <v/>
      </c>
      <c r="I838" s="88">
        <f>ROUND((C838*1.43)/100,0)*100</f>
        <v/>
      </c>
      <c r="J838" s="22" t="n"/>
      <c r="K838" s="88" t="n"/>
      <c r="L838" s="88" t="n"/>
      <c r="M838" s="88" t="n"/>
      <c r="N838" s="88" t="n"/>
      <c r="P838" s="117" t="n"/>
      <c r="Q838" s="117">
        <f>R838*C838</f>
        <v/>
      </c>
      <c r="R838" s="94" t="n">
        <v>1.5</v>
      </c>
      <c r="T838" s="117" t="n"/>
    </row>
    <row r="839">
      <c r="A839" s="89" t="inlineStr">
        <is>
          <t>1406</t>
        </is>
      </c>
      <c r="B839" s="248" t="inlineStr">
        <is>
          <t>LOFT CAMPERA TEJIDA</t>
        </is>
      </c>
      <c r="C839" s="88" t="n">
        <v>21300</v>
      </c>
      <c r="D839" s="88">
        <f>ROUND((C839*1.06)/100,0)*100</f>
        <v/>
      </c>
      <c r="E839" s="88">
        <f>ROUND((C839*1.15)/100,0)*100</f>
        <v/>
      </c>
      <c r="F839" s="88">
        <f>ROUND((C839*1.23)/100,0)*100</f>
        <v/>
      </c>
      <c r="G839" s="88">
        <f>ROUND((C839*1.29)/100,0)*100</f>
        <v/>
      </c>
      <c r="H839" s="88">
        <f>ROUND((C839*1.35)/100,0)*100</f>
        <v/>
      </c>
      <c r="I839" s="88">
        <f>ROUND((C839*1.43)/100,0)*100</f>
        <v/>
      </c>
      <c r="J839" s="22" t="n"/>
      <c r="K839" s="88" t="n"/>
      <c r="L839" s="88" t="n"/>
      <c r="M839" s="88" t="n"/>
      <c r="N839" s="88" t="n"/>
      <c r="P839" s="117" t="n"/>
      <c r="Q839" s="117">
        <f>R839*C839</f>
        <v/>
      </c>
      <c r="R839" s="94" t="n">
        <v>1.5</v>
      </c>
      <c r="T839" s="117" t="n"/>
    </row>
    <row r="840">
      <c r="A840" s="89" t="inlineStr">
        <is>
          <t>1440</t>
        </is>
      </c>
      <c r="B840" s="248" t="inlineStr">
        <is>
          <t>MOJO CAMPERA ALGODON RUSTICO</t>
        </is>
      </c>
      <c r="C840" s="88" t="n">
        <v>19100</v>
      </c>
      <c r="D840" s="88">
        <f>ROUND((C840*1.06)/100,0)*100</f>
        <v/>
      </c>
      <c r="E840" s="88">
        <f>ROUND((C840*1.15)/100,0)*100</f>
        <v/>
      </c>
      <c r="F840" s="88">
        <f>ROUND((C840*1.23)/100,0)*100</f>
        <v/>
      </c>
      <c r="G840" s="88">
        <f>ROUND((C840*1.29)/100,0)*100</f>
        <v/>
      </c>
      <c r="H840" s="88">
        <f>ROUND((C840*1.35)/100,0)*100</f>
        <v/>
      </c>
      <c r="I840" s="88">
        <f>ROUND((C840*1.43)/100,0)*100</f>
        <v/>
      </c>
      <c r="J840" s="22" t="n"/>
      <c r="K840" s="88" t="n"/>
      <c r="L840" s="88" t="n"/>
      <c r="M840" s="88" t="n"/>
      <c r="N840" s="88" t="n"/>
      <c r="P840" s="117" t="n"/>
      <c r="Q840" s="117">
        <f>R840*C840</f>
        <v/>
      </c>
      <c r="R840" s="94" t="n">
        <v>1.5</v>
      </c>
      <c r="T840" s="117" t="n"/>
    </row>
    <row r="841">
      <c r="A841" s="89" t="inlineStr">
        <is>
          <t>1441</t>
        </is>
      </c>
      <c r="B841" s="248" t="inlineStr">
        <is>
          <t>MOJO CAMPERA ALGODON 20/1</t>
        </is>
      </c>
      <c r="C841" s="88" t="n">
        <v>19100</v>
      </c>
      <c r="D841" s="88">
        <f>ROUND((C841*1.06)/100,0)*100</f>
        <v/>
      </c>
      <c r="E841" s="88">
        <f>ROUND((C841*1.15)/100,0)*100</f>
        <v/>
      </c>
      <c r="F841" s="88">
        <f>ROUND((C841*1.23)/100,0)*100</f>
        <v/>
      </c>
      <c r="G841" s="88">
        <f>ROUND((C841*1.29)/100,0)*100</f>
        <v/>
      </c>
      <c r="H841" s="88">
        <f>ROUND((C841*1.35)/100,0)*100</f>
        <v/>
      </c>
      <c r="I841" s="88">
        <f>ROUND((C841*1.43)/100,0)*100</f>
        <v/>
      </c>
      <c r="J841" s="22" t="n"/>
      <c r="K841" s="88" t="n"/>
      <c r="L841" s="88" t="n"/>
      <c r="M841" s="88" t="n"/>
      <c r="N841" s="88" t="n"/>
      <c r="P841" s="117" t="n"/>
      <c r="Q841" s="117">
        <f>R841*C841</f>
        <v/>
      </c>
      <c r="R841" s="94" t="n">
        <v>1.5</v>
      </c>
      <c r="T841" s="117" t="n"/>
    </row>
    <row r="842">
      <c r="A842" s="89" t="inlineStr">
        <is>
          <t>1442</t>
        </is>
      </c>
      <c r="B842" s="248" t="inlineStr">
        <is>
          <t>MOJO CAMPERA KETEN</t>
        </is>
      </c>
      <c r="C842" s="88" t="n">
        <v>19100</v>
      </c>
      <c r="D842" s="88">
        <f>ROUND((C842*1.06)/100,0)*100</f>
        <v/>
      </c>
      <c r="E842" s="88">
        <f>ROUND((C842*1.15)/100,0)*100</f>
        <v/>
      </c>
      <c r="F842" s="88">
        <f>ROUND((C842*1.23)/100,0)*100</f>
        <v/>
      </c>
      <c r="G842" s="88">
        <f>ROUND((C842*1.29)/100,0)*100</f>
        <v/>
      </c>
      <c r="H842" s="88">
        <f>ROUND((C842*1.35)/100,0)*100</f>
        <v/>
      </c>
      <c r="I842" s="88">
        <f>ROUND((C842*1.43)/100,0)*100</f>
        <v/>
      </c>
      <c r="J842" s="22" t="n"/>
      <c r="K842" s="88" t="n"/>
      <c r="L842" s="88" t="n"/>
      <c r="M842" s="88" t="n"/>
      <c r="N842" s="88" t="n"/>
      <c r="P842" s="117" t="n"/>
      <c r="Q842" s="117">
        <f>R842*C842</f>
        <v/>
      </c>
      <c r="R842" s="94" t="n">
        <v>1.5</v>
      </c>
      <c r="T842" s="117" t="n"/>
    </row>
    <row r="843">
      <c r="A843" s="89" t="inlineStr">
        <is>
          <t>1443</t>
        </is>
      </c>
      <c r="B843" s="248" t="inlineStr">
        <is>
          <t>MOJO CAMPERA RUSTICO</t>
        </is>
      </c>
      <c r="C843" s="88" t="n">
        <v>19100</v>
      </c>
      <c r="D843" s="88">
        <f>ROUND((C843*1.06)/100,0)*100</f>
        <v/>
      </c>
      <c r="E843" s="88">
        <f>ROUND((C843*1.15)/100,0)*100</f>
        <v/>
      </c>
      <c r="F843" s="88">
        <f>ROUND((C843*1.23)/100,0)*100</f>
        <v/>
      </c>
      <c r="G843" s="88">
        <f>ROUND((C843*1.29)/100,0)*100</f>
        <v/>
      </c>
      <c r="H843" s="88">
        <f>ROUND((C843*1.35)/100,0)*100</f>
        <v/>
      </c>
      <c r="I843" s="88">
        <f>ROUND((C843*1.43)/100,0)*100</f>
        <v/>
      </c>
      <c r="J843" s="22" t="n"/>
      <c r="K843" s="88" t="n"/>
      <c r="L843" s="88" t="n"/>
      <c r="M843" s="88" t="n"/>
      <c r="N843" s="88" t="n"/>
      <c r="P843" s="117" t="n"/>
      <c r="Q843" s="117">
        <f>R843*C843</f>
        <v/>
      </c>
      <c r="R843" s="94" t="n">
        <v>1.5</v>
      </c>
      <c r="T843" s="117" t="n"/>
    </row>
    <row r="844">
      <c r="A844" s="89" t="inlineStr">
        <is>
          <t>1450</t>
        </is>
      </c>
      <c r="B844" s="248" t="inlineStr">
        <is>
          <t>CARDINAL ALGODON S/FRIZA</t>
        </is>
      </c>
      <c r="C844" s="88" t="n">
        <v>24500</v>
      </c>
      <c r="D844" s="88">
        <f>ROUND((C844*1.06)/100,0)*100</f>
        <v/>
      </c>
      <c r="E844" s="88">
        <f>ROUND((C844*1.15)/100,0)*100</f>
        <v/>
      </c>
      <c r="F844" s="88">
        <f>ROUND((C844*1.23)/100,0)*100</f>
        <v/>
      </c>
      <c r="G844" s="88">
        <f>ROUND((C844*1.29)/100,0)*100</f>
        <v/>
      </c>
      <c r="H844" s="88">
        <f>ROUND((C844*1.35)/100,0)*100</f>
        <v/>
      </c>
      <c r="I844" s="88">
        <f>ROUND((C844*1.43)/100,0)*100</f>
        <v/>
      </c>
      <c r="J844" s="22" t="n"/>
      <c r="K844" s="88" t="n"/>
      <c r="L844" s="88" t="n"/>
      <c r="M844" s="88" t="n"/>
      <c r="N844" s="88" t="n"/>
      <c r="P844" s="117" t="n"/>
      <c r="Q844" s="117">
        <f>R844*C844</f>
        <v/>
      </c>
      <c r="R844" s="94" t="n">
        <v>1.5</v>
      </c>
      <c r="T844" s="117" t="n"/>
    </row>
    <row r="845">
      <c r="A845" s="89" t="inlineStr">
        <is>
          <t>1451</t>
        </is>
      </c>
      <c r="B845" s="248" t="n"/>
      <c r="C845" s="88" t="n">
        <v>24500</v>
      </c>
      <c r="D845" s="88">
        <f>ROUND((C845*1.06)/100,0)*100</f>
        <v/>
      </c>
      <c r="E845" s="88">
        <f>ROUND((C845*1.15)/100,0)*100</f>
        <v/>
      </c>
      <c r="F845" s="88">
        <f>ROUND((C845*1.23)/100,0)*100</f>
        <v/>
      </c>
      <c r="G845" s="88">
        <f>ROUND((C845*1.29)/100,0)*100</f>
        <v/>
      </c>
      <c r="H845" s="88">
        <f>ROUND((C845*1.35)/100,0)*100</f>
        <v/>
      </c>
      <c r="I845" s="88">
        <f>ROUND((C845*1.43)/100,0)*100</f>
        <v/>
      </c>
      <c r="J845" s="22" t="n"/>
      <c r="K845" s="88" t="n"/>
      <c r="L845" s="88" t="n"/>
      <c r="M845" s="88" t="n"/>
      <c r="N845" s="88" t="n"/>
      <c r="P845" s="117" t="n"/>
      <c r="Q845" s="117">
        <f>R845*C845</f>
        <v/>
      </c>
      <c r="R845" s="94" t="n">
        <v>1.5</v>
      </c>
      <c r="T845" s="117" t="n"/>
    </row>
    <row r="846">
      <c r="A846" s="89" t="inlineStr">
        <is>
          <t>1452</t>
        </is>
      </c>
      <c r="B846" s="248" t="inlineStr">
        <is>
          <t>PIERRE CHICE CAMP LISA</t>
        </is>
      </c>
      <c r="C846" s="88" t="n">
        <v>25700</v>
      </c>
      <c r="D846" s="88">
        <f>ROUND((C846*1.06)/100,0)*100</f>
        <v/>
      </c>
      <c r="E846" s="88">
        <f>ROUND((C846*1.15)/100,0)*100</f>
        <v/>
      </c>
      <c r="F846" s="88">
        <f>ROUND((C846*1.23)/100,0)*100</f>
        <v/>
      </c>
      <c r="G846" s="88">
        <f>ROUND((C846*1.29)/100,0)*100</f>
        <v/>
      </c>
      <c r="H846" s="88">
        <f>ROUND((C846*1.35)/100,0)*100</f>
        <v/>
      </c>
      <c r="I846" s="88">
        <f>ROUND((C846*1.43)/100,0)*100</f>
        <v/>
      </c>
      <c r="J846" s="22" t="n"/>
      <c r="K846" s="88" t="n"/>
      <c r="L846" s="88" t="n"/>
      <c r="M846" s="88" t="n"/>
      <c r="N846" s="88" t="n"/>
      <c r="P846" s="117" t="n"/>
      <c r="Q846" s="117">
        <f>R846*C846</f>
        <v/>
      </c>
      <c r="R846" s="94" t="n">
        <v>1.5</v>
      </c>
      <c r="T846" s="117" t="n"/>
    </row>
    <row r="847">
      <c r="A847" s="89" t="inlineStr">
        <is>
          <t>1453</t>
        </is>
      </c>
      <c r="B847" s="248" t="inlineStr">
        <is>
          <t>CAMP/CARDIGAN HILO IMPORTADA</t>
        </is>
      </c>
      <c r="C847" s="88" t="n">
        <v>25700</v>
      </c>
      <c r="D847" s="88">
        <f>ROUND((C847*1.06)/100,0)*100</f>
        <v/>
      </c>
      <c r="E847" s="88">
        <f>ROUND((C847*1.15)/100,0)*100</f>
        <v/>
      </c>
      <c r="F847" s="88">
        <f>ROUND((C847*1.23)/100,0)*100</f>
        <v/>
      </c>
      <c r="G847" s="88">
        <f>ROUND((C847*1.29)/100,0)*100</f>
        <v/>
      </c>
      <c r="H847" s="88">
        <f>ROUND((C847*1.35)/100,0)*100</f>
        <v/>
      </c>
      <c r="I847" s="88">
        <f>ROUND((C847*1.43)/100,0)*100</f>
        <v/>
      </c>
      <c r="J847" s="22" t="n"/>
      <c r="K847" s="88" t="n"/>
      <c r="L847" s="88" t="n"/>
      <c r="M847" s="88" t="n"/>
      <c r="N847" s="88" t="n"/>
      <c r="P847" s="117" t="n"/>
      <c r="Q847" s="117">
        <f>R847*C847</f>
        <v/>
      </c>
      <c r="R847" s="94" t="n">
        <v>1.5</v>
      </c>
      <c r="T847" s="117" t="n"/>
    </row>
    <row r="848">
      <c r="A848" s="89" t="inlineStr">
        <is>
          <t>14541</t>
        </is>
      </c>
      <c r="B848" s="248" t="inlineStr">
        <is>
          <t>PRINGLES CAMPERA TEJIDA</t>
        </is>
      </c>
      <c r="C848" s="88" t="n">
        <v>64000</v>
      </c>
      <c r="D848" s="88" t="n"/>
      <c r="E848" s="88" t="n"/>
      <c r="F848" s="88" t="n"/>
      <c r="G848" s="88" t="n"/>
      <c r="H848" s="88" t="n"/>
      <c r="I848" s="88" t="n"/>
      <c r="J848" s="22" t="n"/>
      <c r="K848" s="88" t="n"/>
      <c r="L848" s="88" t="n"/>
      <c r="M848" s="88" t="n"/>
      <c r="N848" s="88" t="n"/>
      <c r="P848" s="117" t="n"/>
      <c r="Q848" s="117" t="n"/>
      <c r="R848" s="94" t="n"/>
      <c r="T848" s="117" t="n"/>
    </row>
    <row r="849">
      <c r="A849" s="89" t="inlineStr">
        <is>
          <t>AER4135</t>
        </is>
      </c>
      <c r="B849" s="248" t="inlineStr">
        <is>
          <t>AERO CAMPERA</t>
        </is>
      </c>
      <c r="C849" s="88" t="n">
        <v>23800</v>
      </c>
      <c r="D849" s="88">
        <f>ROUND((C849*1.06)/100,0)*100</f>
        <v/>
      </c>
      <c r="E849" s="88">
        <f>ROUND((C849*1.15)/100,0)*100</f>
        <v/>
      </c>
      <c r="F849" s="88">
        <f>ROUND((C849*1.23)/100,0)*100</f>
        <v/>
      </c>
      <c r="G849" s="88">
        <f>ROUND((C849*1.29)/100,0)*100</f>
        <v/>
      </c>
      <c r="H849" s="88">
        <f>ROUND((C849*1.35)/100,0)*100</f>
        <v/>
      </c>
      <c r="I849" s="88">
        <f>ROUND((C849*1.43)/100,0)*100</f>
        <v/>
      </c>
      <c r="J849" s="22" t="n"/>
      <c r="K849" s="88" t="n"/>
      <c r="L849" s="88" t="n"/>
      <c r="M849" s="88" t="n"/>
      <c r="N849" s="88" t="n"/>
      <c r="P849" s="117" t="n"/>
      <c r="Q849" s="117">
        <f>R849*C849</f>
        <v/>
      </c>
      <c r="R849" s="94" t="n">
        <v>1.5</v>
      </c>
      <c r="T849" s="117" t="n"/>
    </row>
    <row r="850">
      <c r="A850" s="89" t="inlineStr">
        <is>
          <t>AER4152</t>
        </is>
      </c>
      <c r="B850" s="248" t="inlineStr">
        <is>
          <t>AERO CAMPERA</t>
        </is>
      </c>
      <c r="C850" s="88" t="n">
        <v>23800</v>
      </c>
      <c r="D850" s="88">
        <f>ROUND((C850*1.06)/100,0)*100</f>
        <v/>
      </c>
      <c r="E850" s="88">
        <f>ROUND((C850*1.15)/100,0)*100</f>
        <v/>
      </c>
      <c r="F850" s="88">
        <f>ROUND((C850*1.23)/100,0)*100</f>
        <v/>
      </c>
      <c r="G850" s="88">
        <f>ROUND((C850*1.29)/100,0)*100</f>
        <v/>
      </c>
      <c r="H850" s="88">
        <f>ROUND((C850*1.35)/100,0)*100</f>
        <v/>
      </c>
      <c r="I850" s="88">
        <f>ROUND((C850*1.43)/100,0)*100</f>
        <v/>
      </c>
      <c r="J850" s="22" t="n"/>
      <c r="K850" s="88" t="n"/>
      <c r="L850" s="88" t="n"/>
      <c r="M850" s="88" t="n"/>
      <c r="N850" s="88" t="n"/>
      <c r="P850" s="117" t="n"/>
      <c r="Q850" s="117">
        <f>R850*C850</f>
        <v/>
      </c>
      <c r="R850" s="94" t="n">
        <v>1.5</v>
      </c>
      <c r="T850" s="117" t="n"/>
    </row>
    <row r="851">
      <c r="A851" s="89" t="inlineStr">
        <is>
          <t>AER4153</t>
        </is>
      </c>
      <c r="B851" s="248" t="inlineStr">
        <is>
          <t>AERO CAMPERA</t>
        </is>
      </c>
      <c r="C851" s="88" t="n">
        <v>23800</v>
      </c>
      <c r="D851" s="88">
        <f>ROUND((C851*1.06)/100,0)*100</f>
        <v/>
      </c>
      <c r="E851" s="88">
        <f>ROUND((C851*1.15)/100,0)*100</f>
        <v/>
      </c>
      <c r="F851" s="88">
        <f>ROUND((C851*1.23)/100,0)*100</f>
        <v/>
      </c>
      <c r="G851" s="88">
        <f>ROUND((C851*1.29)/100,0)*100</f>
        <v/>
      </c>
      <c r="H851" s="88">
        <f>ROUND((C851*1.35)/100,0)*100</f>
        <v/>
      </c>
      <c r="I851" s="88">
        <f>ROUND((C851*1.43)/100,0)*100</f>
        <v/>
      </c>
      <c r="J851" s="22" t="n"/>
      <c r="K851" s="88" t="n"/>
      <c r="L851" s="88" t="n"/>
      <c r="M851" s="88" t="n"/>
      <c r="N851" s="88" t="n"/>
      <c r="P851" s="117" t="n"/>
      <c r="Q851" s="117">
        <f>R851*C851</f>
        <v/>
      </c>
      <c r="R851" s="94" t="n">
        <v>1.5</v>
      </c>
      <c r="T851" s="117" t="n"/>
    </row>
    <row r="852">
      <c r="A852" s="89" t="inlineStr">
        <is>
          <t>AER4154</t>
        </is>
      </c>
      <c r="B852" s="248" t="inlineStr">
        <is>
          <t>AERO CAMPERA</t>
        </is>
      </c>
      <c r="C852" s="88" t="n">
        <v>23800</v>
      </c>
      <c r="D852" s="88">
        <f>ROUND((C852*1.06)/100,0)*100</f>
        <v/>
      </c>
      <c r="E852" s="88">
        <f>ROUND((C852*1.15)/100,0)*100</f>
        <v/>
      </c>
      <c r="F852" s="88">
        <f>ROUND((C852*1.23)/100,0)*100</f>
        <v/>
      </c>
      <c r="G852" s="88">
        <f>ROUND((C852*1.29)/100,0)*100</f>
        <v/>
      </c>
      <c r="H852" s="88">
        <f>ROUND((C852*1.35)/100,0)*100</f>
        <v/>
      </c>
      <c r="I852" s="88">
        <f>ROUND((C852*1.43)/100,0)*100</f>
        <v/>
      </c>
      <c r="J852" s="22" t="n"/>
      <c r="K852" s="88" t="n"/>
      <c r="L852" s="88" t="n"/>
      <c r="M852" s="88" t="n"/>
      <c r="N852" s="88" t="n"/>
      <c r="P852" s="117" t="n"/>
      <c r="Q852" s="117">
        <f>R852*C852</f>
        <v/>
      </c>
      <c r="R852" s="94" t="n">
        <v>1.5</v>
      </c>
      <c r="T852" s="117" t="n"/>
    </row>
    <row r="853">
      <c r="A853" s="89" t="inlineStr">
        <is>
          <t>AER4160</t>
        </is>
      </c>
      <c r="B853" s="248" t="inlineStr">
        <is>
          <t>AERO CAMPERA</t>
        </is>
      </c>
      <c r="C853" s="88" t="n">
        <v>23800</v>
      </c>
      <c r="D853" s="88">
        <f>ROUND((C853*1.06)/100,0)*100</f>
        <v/>
      </c>
      <c r="E853" s="88">
        <f>ROUND((C853*1.15)/100,0)*100</f>
        <v/>
      </c>
      <c r="F853" s="88">
        <f>ROUND((C853*1.23)/100,0)*100</f>
        <v/>
      </c>
      <c r="G853" s="88">
        <f>ROUND((C853*1.29)/100,0)*100</f>
        <v/>
      </c>
      <c r="H853" s="88">
        <f>ROUND((C853*1.35)/100,0)*100</f>
        <v/>
      </c>
      <c r="I853" s="88">
        <f>ROUND((C853*1.43)/100,0)*100</f>
        <v/>
      </c>
      <c r="J853" s="22" t="n"/>
      <c r="K853" s="88" t="n"/>
      <c r="L853" s="88" t="n"/>
      <c r="M853" s="88" t="n"/>
      <c r="N853" s="88" t="n"/>
      <c r="P853" s="117" t="n"/>
      <c r="Q853" s="117">
        <f>R853*C853</f>
        <v/>
      </c>
      <c r="R853" s="94" t="n">
        <v>1.5</v>
      </c>
      <c r="T853" s="117" t="n"/>
    </row>
    <row r="854">
      <c r="A854" s="89" t="inlineStr">
        <is>
          <t>AER4162</t>
        </is>
      </c>
      <c r="B854" s="248" t="inlineStr">
        <is>
          <t>AERO CAMPERA</t>
        </is>
      </c>
      <c r="C854" s="88" t="n">
        <v>25100</v>
      </c>
      <c r="D854" s="88">
        <f>ROUND((C854*1.06)/100,0)*100</f>
        <v/>
      </c>
      <c r="E854" s="88">
        <f>ROUND((C854*1.15)/100,0)*100</f>
        <v/>
      </c>
      <c r="F854" s="88">
        <f>ROUND((C854*1.23)/100,0)*100</f>
        <v/>
      </c>
      <c r="G854" s="88">
        <f>ROUND((C854*1.29)/100,0)*100</f>
        <v/>
      </c>
      <c r="H854" s="88">
        <f>ROUND((C854*1.35)/100,0)*100</f>
        <v/>
      </c>
      <c r="I854" s="88">
        <f>ROUND((C854*1.43)/100,0)*100</f>
        <v/>
      </c>
      <c r="J854" s="22" t="n"/>
      <c r="K854" s="88" t="n"/>
      <c r="L854" s="88" t="n"/>
      <c r="M854" s="88" t="n"/>
      <c r="N854" s="88" t="n"/>
      <c r="P854" s="117" t="n"/>
      <c r="Q854" s="117">
        <f>R854*C854</f>
        <v/>
      </c>
      <c r="R854" s="94" t="n">
        <v>1.5</v>
      </c>
      <c r="T854" s="117" t="n"/>
    </row>
    <row r="855">
      <c r="A855" s="89" t="inlineStr">
        <is>
          <t>AER4227</t>
        </is>
      </c>
      <c r="B855" s="248" t="inlineStr">
        <is>
          <t>AERO CAMPERA TEJIDA</t>
        </is>
      </c>
      <c r="C855" s="88" t="n">
        <v>25100</v>
      </c>
      <c r="D855" s="88">
        <f>ROUND((C855*1.06)/100,0)*100</f>
        <v/>
      </c>
      <c r="E855" s="88">
        <f>ROUND((C855*1.15)/100,0)*100</f>
        <v/>
      </c>
      <c r="F855" s="88">
        <f>ROUND((C855*1.23)/100,0)*100</f>
        <v/>
      </c>
      <c r="G855" s="88">
        <f>ROUND((C855*1.29)/100,0)*100</f>
        <v/>
      </c>
      <c r="H855" s="88">
        <f>ROUND((C855*1.35)/100,0)*100</f>
        <v/>
      </c>
      <c r="I855" s="88">
        <f>ROUND((C855*1.43)/100,0)*100</f>
        <v/>
      </c>
      <c r="J855" s="22" t="n"/>
      <c r="K855" s="88" t="n"/>
      <c r="L855" s="88" t="n"/>
      <c r="M855" s="88" t="n"/>
      <c r="N855" s="88" t="n"/>
      <c r="P855" s="117" t="n"/>
      <c r="Q855" s="117">
        <f>R855*C855</f>
        <v/>
      </c>
      <c r="R855" s="94" t="n">
        <v>1.5</v>
      </c>
      <c r="T855" s="117" t="n"/>
    </row>
    <row r="856">
      <c r="A856" s="89" t="inlineStr">
        <is>
          <t>AER4353</t>
        </is>
      </c>
      <c r="B856" s="248" t="inlineStr">
        <is>
          <t>CAMPERA CON TAPACIERRE MODA</t>
        </is>
      </c>
      <c r="C856" s="88" t="n">
        <v>25100</v>
      </c>
      <c r="D856" s="88">
        <f>ROUND((C856*1.06)/100,0)*100</f>
        <v/>
      </c>
      <c r="E856" s="88">
        <f>ROUND((C856*1.15)/100,0)*100</f>
        <v/>
      </c>
      <c r="F856" s="88">
        <f>ROUND((C856*1.23)/100,0)*100</f>
        <v/>
      </c>
      <c r="G856" s="88">
        <f>ROUND((C856*1.29)/100,0)*100</f>
        <v/>
      </c>
      <c r="H856" s="88">
        <f>ROUND((C856*1.35)/100,0)*100</f>
        <v/>
      </c>
      <c r="I856" s="88">
        <f>ROUND((C856*1.43)/100,0)*100</f>
        <v/>
      </c>
      <c r="J856" s="22" t="n"/>
      <c r="K856" s="88" t="n"/>
      <c r="L856" s="88" t="n"/>
      <c r="M856" s="88" t="n"/>
      <c r="N856" s="88" t="n"/>
      <c r="P856" s="117" t="n"/>
      <c r="Q856" s="117">
        <f>R856*C856</f>
        <v/>
      </c>
      <c r="R856" s="94" t="n">
        <v>1.5</v>
      </c>
      <c r="T856" s="117" t="n"/>
    </row>
    <row r="857">
      <c r="A857" s="89" t="inlineStr">
        <is>
          <t>AER4354</t>
        </is>
      </c>
      <c r="B857" s="248" t="inlineStr">
        <is>
          <t>CAMPERA CON ROMBOS INT. 2 COL</t>
        </is>
      </c>
      <c r="C857" s="88" t="n">
        <v>24800</v>
      </c>
      <c r="D857" s="88">
        <f>ROUND((C857*1.06)/100,0)*100</f>
        <v/>
      </c>
      <c r="E857" s="88">
        <f>ROUND((C857*1.15)/100,0)*100</f>
        <v/>
      </c>
      <c r="F857" s="88">
        <f>ROUND((C857*1.23)/100,0)*100</f>
        <v/>
      </c>
      <c r="G857" s="88">
        <f>ROUND((C857*1.29)/100,0)*100</f>
        <v/>
      </c>
      <c r="H857" s="88">
        <f>ROUND((C857*1.35)/100,0)*100</f>
        <v/>
      </c>
      <c r="I857" s="88">
        <f>ROUND((C857*1.43)/100,0)*100</f>
        <v/>
      </c>
      <c r="J857" s="22" t="n"/>
      <c r="K857" s="88" t="n"/>
      <c r="L857" s="88" t="n"/>
      <c r="M857" s="88" t="n"/>
      <c r="N857" s="88" t="n"/>
      <c r="P857" s="117" t="n"/>
      <c r="Q857" s="117">
        <f>R857*C857</f>
        <v/>
      </c>
      <c r="R857" s="94" t="n">
        <v>1.5</v>
      </c>
      <c r="T857" s="117" t="n"/>
    </row>
    <row r="858">
      <c r="A858" s="89" t="inlineStr">
        <is>
          <t>AER4358</t>
        </is>
      </c>
      <c r="B858" s="248" t="inlineStr">
        <is>
          <t>CAMPERA CANGURO DOBLE CUELLO</t>
        </is>
      </c>
      <c r="C858" s="88" t="n">
        <v>25400</v>
      </c>
      <c r="D858" s="88">
        <f>ROUND((C858*1.06)/100,0)*100</f>
        <v/>
      </c>
      <c r="E858" s="88">
        <f>ROUND((C858*1.15)/100,0)*100</f>
        <v/>
      </c>
      <c r="F858" s="88">
        <f>ROUND((C858*1.23)/100,0)*100</f>
        <v/>
      </c>
      <c r="G858" s="88">
        <f>ROUND((C858*1.29)/100,0)*100</f>
        <v/>
      </c>
      <c r="H858" s="88">
        <f>ROUND((C858*1.35)/100,0)*100</f>
        <v/>
      </c>
      <c r="I858" s="88">
        <f>ROUND((C858*1.43)/100,0)*100</f>
        <v/>
      </c>
      <c r="J858" s="22" t="n"/>
      <c r="K858" s="88" t="n"/>
      <c r="L858" s="88" t="n"/>
      <c r="M858" s="88" t="n"/>
      <c r="N858" s="88" t="n"/>
      <c r="P858" s="117" t="n"/>
      <c r="Q858" s="117">
        <f>R858*C858</f>
        <v/>
      </c>
      <c r="R858" s="94" t="n">
        <v>1.5</v>
      </c>
      <c r="T858" s="117" t="n"/>
    </row>
    <row r="859">
      <c r="A859" s="89" t="inlineStr">
        <is>
          <t>AER4359</t>
        </is>
      </c>
      <c r="B859" s="248" t="inlineStr">
        <is>
          <t>AERO</t>
        </is>
      </c>
      <c r="C859" s="88" t="n">
        <v>24100</v>
      </c>
      <c r="D859" s="88">
        <f>ROUND((C859*1.06)/100,0)*100</f>
        <v/>
      </c>
      <c r="E859" s="88">
        <f>ROUND((C859*1.15)/100,0)*100</f>
        <v/>
      </c>
      <c r="F859" s="88">
        <f>ROUND((C859*1.23)/100,0)*100</f>
        <v/>
      </c>
      <c r="G859" s="88">
        <f>ROUND((C859*1.29)/100,0)*100</f>
        <v/>
      </c>
      <c r="H859" s="88">
        <f>ROUND((C859*1.35)/100,0)*100</f>
        <v/>
      </c>
      <c r="I859" s="88">
        <f>ROUND((C859*1.43)/100,0)*100</f>
        <v/>
      </c>
      <c r="J859" s="22" t="n"/>
      <c r="K859" s="88" t="n"/>
      <c r="L859" s="88" t="n"/>
      <c r="M859" s="88" t="n"/>
      <c r="N859" s="88" t="n"/>
      <c r="P859" s="117" t="n"/>
      <c r="Q859" s="117">
        <f>R859*C859</f>
        <v/>
      </c>
      <c r="R859" s="94" t="n">
        <v>1.5</v>
      </c>
      <c r="T859" s="117" t="n"/>
    </row>
    <row r="860">
      <c r="A860" s="89" t="inlineStr">
        <is>
          <t>AER4366</t>
        </is>
      </c>
      <c r="B860" s="248" t="inlineStr">
        <is>
          <t>AERO</t>
        </is>
      </c>
      <c r="C860" s="88" t="n">
        <v>25100</v>
      </c>
      <c r="D860" s="88">
        <f>ROUND((C860*1.06)/100,0)*100</f>
        <v/>
      </c>
      <c r="E860" s="88">
        <f>ROUND((C860*1.15)/100,0)*100</f>
        <v/>
      </c>
      <c r="F860" s="88">
        <f>ROUND((C860*1.23)/100,0)*100</f>
        <v/>
      </c>
      <c r="G860" s="88">
        <f>ROUND((C860*1.29)/100,0)*100</f>
        <v/>
      </c>
      <c r="H860" s="88">
        <f>ROUND((C860*1.35)/100,0)*100</f>
        <v/>
      </c>
      <c r="I860" s="88">
        <f>ROUND((C860*1.43)/100,0)*100</f>
        <v/>
      </c>
      <c r="J860" s="22" t="n"/>
      <c r="K860" s="88" t="n"/>
      <c r="L860" s="88" t="n"/>
      <c r="M860" s="88" t="n"/>
      <c r="N860" s="88" t="n"/>
      <c r="P860" s="117" t="n"/>
      <c r="Q860" s="117">
        <f>R860*C860</f>
        <v/>
      </c>
      <c r="R860" s="94" t="n">
        <v>1.5</v>
      </c>
      <c r="T860" s="117" t="n"/>
    </row>
    <row r="861">
      <c r="A861" s="89" t="inlineStr">
        <is>
          <t>AER4369</t>
        </is>
      </c>
      <c r="B861" s="248" t="inlineStr">
        <is>
          <t>AERO</t>
        </is>
      </c>
      <c r="C861" s="88" t="n">
        <v>25400</v>
      </c>
      <c r="D861" s="88">
        <f>ROUND((C861*1.06)/100,0)*100</f>
        <v/>
      </c>
      <c r="E861" s="88">
        <f>ROUND((C861*1.15)/100,0)*100</f>
        <v/>
      </c>
      <c r="F861" s="88">
        <f>ROUND((C861*1.23)/100,0)*100</f>
        <v/>
      </c>
      <c r="G861" s="88">
        <f>ROUND((C861*1.29)/100,0)*100</f>
        <v/>
      </c>
      <c r="H861" s="88">
        <f>ROUND((C861*1.35)/100,0)*100</f>
        <v/>
      </c>
      <c r="I861" s="88">
        <f>ROUND((C861*1.43)/100,0)*100</f>
        <v/>
      </c>
      <c r="J861" s="22" t="n"/>
      <c r="K861" s="88" t="n"/>
      <c r="L861" s="88" t="n"/>
      <c r="M861" s="88" t="n"/>
      <c r="N861" s="88" t="n"/>
      <c r="P861" s="117" t="n"/>
      <c r="Q861" s="117">
        <f>R861*C861</f>
        <v/>
      </c>
      <c r="R861" s="94" t="n">
        <v>1.5</v>
      </c>
      <c r="T861" s="117" t="n"/>
    </row>
    <row r="862">
      <c r="A862" s="89" t="inlineStr">
        <is>
          <t>AER4371</t>
        </is>
      </c>
      <c r="B862" s="248" t="inlineStr">
        <is>
          <t>AERO</t>
        </is>
      </c>
      <c r="C862" s="88" t="n">
        <v>25700</v>
      </c>
      <c r="D862" s="88">
        <f>ROUND((C862*1.06)/100,0)*100</f>
        <v/>
      </c>
      <c r="E862" s="88">
        <f>ROUND((C862*1.15)/100,0)*100</f>
        <v/>
      </c>
      <c r="F862" s="88">
        <f>ROUND((C862*1.23)/100,0)*100</f>
        <v/>
      </c>
      <c r="G862" s="88">
        <f>ROUND((C862*1.29)/100,0)*100</f>
        <v/>
      </c>
      <c r="H862" s="88">
        <f>ROUND((C862*1.35)/100,0)*100</f>
        <v/>
      </c>
      <c r="I862" s="88">
        <f>ROUND((C862*1.43)/100,0)*100</f>
        <v/>
      </c>
      <c r="J862" s="22" t="n"/>
      <c r="K862" s="88" t="n"/>
      <c r="L862" s="88" t="n"/>
      <c r="M862" s="88" t="n"/>
      <c r="N862" s="88" t="n"/>
      <c r="P862" s="117" t="n"/>
      <c r="Q862" s="117">
        <f>R862*C862</f>
        <v/>
      </c>
      <c r="R862" s="94" t="n">
        <v>1.5</v>
      </c>
      <c r="T862" s="117" t="n"/>
    </row>
    <row r="863">
      <c r="A863" s="89" t="inlineStr">
        <is>
          <t>AER4372</t>
        </is>
      </c>
      <c r="B863" s="248" t="inlineStr">
        <is>
          <t>DIFTER CAMPERA MATIZADA C/ARANES</t>
        </is>
      </c>
      <c r="C863" s="88" t="n">
        <v>25700</v>
      </c>
      <c r="D863" s="88">
        <f>ROUND((C863*1.06)/100,0)*100</f>
        <v/>
      </c>
      <c r="E863" s="88">
        <f>ROUND((C863*1.15)/100,0)*100</f>
        <v/>
      </c>
      <c r="F863" s="88">
        <f>ROUND((C863*1.23)/100,0)*100</f>
        <v/>
      </c>
      <c r="G863" s="88">
        <f>ROUND((C863*1.29)/100,0)*100</f>
        <v/>
      </c>
      <c r="H863" s="88">
        <f>ROUND((C863*1.35)/100,0)*100</f>
        <v/>
      </c>
      <c r="I863" s="88">
        <f>ROUND((C863*1.43)/100,0)*100</f>
        <v/>
      </c>
      <c r="J863" s="22" t="n"/>
      <c r="K863" s="88" t="n"/>
      <c r="L863" s="88" t="n"/>
      <c r="M863" s="88" t="n"/>
      <c r="N863" s="88" t="n"/>
      <c r="P863" s="117" t="n"/>
      <c r="Q863" s="117">
        <f>R863*C863</f>
        <v/>
      </c>
      <c r="R863" s="94" t="n">
        <v>1.5</v>
      </c>
      <c r="T863" s="117" t="n"/>
    </row>
    <row r="864">
      <c r="A864" s="89" t="inlineStr">
        <is>
          <t>4374</t>
        </is>
      </c>
      <c r="B864" s="248" t="inlineStr">
        <is>
          <t>AERO</t>
        </is>
      </c>
      <c r="C864" s="88" t="n">
        <v>25700</v>
      </c>
      <c r="D864" s="88">
        <f>ROUND((C864*1.06)/100,0)*100</f>
        <v/>
      </c>
      <c r="E864" s="88">
        <f>ROUND((C864*1.15)/100,0)*100</f>
        <v/>
      </c>
      <c r="F864" s="88">
        <f>ROUND((C864*1.23)/100,0)*100</f>
        <v/>
      </c>
      <c r="G864" s="88">
        <f>ROUND((C864*1.29)/100,0)*100</f>
        <v/>
      </c>
      <c r="H864" s="88">
        <f>ROUND((C864*1.35)/100,0)*100</f>
        <v/>
      </c>
      <c r="I864" s="88">
        <f>ROUND((C864*1.43)/100,0)*100</f>
        <v/>
      </c>
      <c r="J864" s="22" t="n"/>
      <c r="K864" s="88" t="n"/>
      <c r="L864" s="88" t="n"/>
      <c r="M864" s="88" t="n"/>
      <c r="N864" s="88" t="n"/>
      <c r="P864" s="117" t="n"/>
      <c r="Q864" s="117">
        <f>R864*C864</f>
        <v/>
      </c>
      <c r="R864" s="94" t="n">
        <v>1.5</v>
      </c>
      <c r="T864" s="117" t="n"/>
    </row>
    <row r="865">
      <c r="A865" s="89" t="inlineStr">
        <is>
          <t>4375</t>
        </is>
      </c>
      <c r="B865" s="248" t="inlineStr">
        <is>
          <t>CARDIGAN LISO FANTASIA</t>
        </is>
      </c>
      <c r="C865" s="88" t="n">
        <v>24800</v>
      </c>
      <c r="D865" s="88">
        <f>ROUND((C865*1.06)/100,0)*100</f>
        <v/>
      </c>
      <c r="E865" s="88">
        <f>ROUND((C865*1.15)/100,0)*100</f>
        <v/>
      </c>
      <c r="F865" s="88">
        <f>ROUND((C865*1.23)/100,0)*100</f>
        <v/>
      </c>
      <c r="G865" s="88">
        <f>ROUND((C865*1.29)/100,0)*100</f>
        <v/>
      </c>
      <c r="H865" s="88">
        <f>ROUND((C865*1.35)/100,0)*100</f>
        <v/>
      </c>
      <c r="I865" s="88">
        <f>ROUND((C865*1.43)/100,0)*100</f>
        <v/>
      </c>
      <c r="J865" s="22" t="n"/>
      <c r="K865" s="88" t="n"/>
      <c r="L865" s="88" t="n"/>
      <c r="M865" s="88" t="n"/>
      <c r="N865" s="88" t="n"/>
      <c r="P865" s="117" t="n"/>
      <c r="Q865" s="117">
        <f>R865*C865</f>
        <v/>
      </c>
      <c r="R865" s="94" t="n">
        <v>1.5</v>
      </c>
      <c r="T865" s="117" t="n"/>
    </row>
    <row r="866">
      <c r="A866" s="89" t="inlineStr">
        <is>
          <t>4559</t>
        </is>
      </c>
      <c r="B866" s="248" t="inlineStr">
        <is>
          <t>DIFTER CAMP TEJ</t>
        </is>
      </c>
      <c r="C866" s="88" t="n">
        <v>25100</v>
      </c>
      <c r="D866" s="88">
        <f>ROUND((C866*1.06)/100,0)*100</f>
        <v/>
      </c>
      <c r="E866" s="88">
        <f>ROUND((C866*1.15)/100,0)*100</f>
        <v/>
      </c>
      <c r="F866" s="88">
        <f>ROUND((C866*1.23)/100,0)*100</f>
        <v/>
      </c>
      <c r="G866" s="88">
        <f>ROUND((C866*1.29)/100,0)*100</f>
        <v/>
      </c>
      <c r="H866" s="88">
        <f>ROUND((C866*1.35)/100,0)*100</f>
        <v/>
      </c>
      <c r="I866" s="88">
        <f>ROUND((C866*1.43)/100,0)*100</f>
        <v/>
      </c>
      <c r="J866" s="22" t="n"/>
      <c r="K866" s="88" t="n"/>
      <c r="L866" s="88" t="n"/>
      <c r="M866" s="88" t="n"/>
      <c r="N866" s="88" t="n"/>
      <c r="P866" s="117" t="n"/>
      <c r="Q866" s="117">
        <f>R866*C866</f>
        <v/>
      </c>
      <c r="R866" s="94" t="n">
        <v>1.5</v>
      </c>
      <c r="T866" s="117" t="n"/>
    </row>
    <row r="867">
      <c r="A867" s="89" t="inlineStr">
        <is>
          <t>4561</t>
        </is>
      </c>
      <c r="B867" s="248" t="inlineStr">
        <is>
          <t>DIFTER CAMP TEJ ROMBOS</t>
        </is>
      </c>
      <c r="C867" s="88" t="n">
        <v>25400</v>
      </c>
      <c r="D867" s="88">
        <f>ROUND((C867*1.06)/100,0)*100</f>
        <v/>
      </c>
      <c r="E867" s="88">
        <f>ROUND((C867*1.15)/100,0)*100</f>
        <v/>
      </c>
      <c r="F867" s="88">
        <f>ROUND((C867*1.23)/100,0)*100</f>
        <v/>
      </c>
      <c r="G867" s="88">
        <f>ROUND((C867*1.29)/100,0)*100</f>
        <v/>
      </c>
      <c r="H867" s="88">
        <f>ROUND((C867*1.35)/100,0)*100</f>
        <v/>
      </c>
      <c r="I867" s="88">
        <f>ROUND((C867*1.43)/100,0)*100</f>
        <v/>
      </c>
      <c r="J867" s="22" t="n"/>
      <c r="K867" s="88" t="n"/>
      <c r="L867" s="88" t="n"/>
      <c r="M867" s="88" t="n"/>
      <c r="N867" s="88" t="n"/>
      <c r="P867" s="117" t="n"/>
      <c r="Q867" s="117">
        <f>R867*C867</f>
        <v/>
      </c>
      <c r="R867" s="94" t="n">
        <v>1.5</v>
      </c>
      <c r="T867" s="117" t="n"/>
    </row>
    <row r="868">
      <c r="A868" s="89" t="inlineStr">
        <is>
          <t>4576</t>
        </is>
      </c>
      <c r="B868" s="248" t="inlineStr">
        <is>
          <t>DIFTER SACON CAMP TEJ</t>
        </is>
      </c>
      <c r="C868" s="88" t="n">
        <v>28900</v>
      </c>
      <c r="D868" s="88">
        <f>ROUND((C868*1.06)/100,0)*100</f>
        <v/>
      </c>
      <c r="E868" s="88">
        <f>ROUND((C868*1.15)/100,0)*100</f>
        <v/>
      </c>
      <c r="F868" s="88">
        <f>ROUND((C868*1.23)/100,0)*100</f>
        <v/>
      </c>
      <c r="G868" s="88">
        <f>ROUND((C868*1.29)/100,0)*100</f>
        <v/>
      </c>
      <c r="H868" s="88">
        <f>ROUND((C868*1.35)/100,0)*100</f>
        <v/>
      </c>
      <c r="I868" s="88">
        <f>ROUND((C868*1.43)/100,0)*100</f>
        <v/>
      </c>
      <c r="J868" s="22" t="n"/>
      <c r="K868" s="88" t="n"/>
      <c r="L868" s="88" t="n"/>
      <c r="M868" s="88" t="n"/>
      <c r="N868" s="88" t="n"/>
      <c r="P868" s="117" t="n"/>
      <c r="Q868" s="117">
        <f>R868*C868</f>
        <v/>
      </c>
      <c r="R868" s="94" t="n">
        <v>1.5</v>
      </c>
      <c r="T868" s="117" t="n"/>
    </row>
    <row r="869">
      <c r="A869" s="89" t="inlineStr">
        <is>
          <t>4669</t>
        </is>
      </c>
      <c r="B869" s="248" t="inlineStr">
        <is>
          <t>DIFTER CAMP TEJ</t>
        </is>
      </c>
      <c r="C869" s="88" t="n">
        <v>25400</v>
      </c>
      <c r="D869" s="88">
        <f>ROUND((C869*1.06)/100,0)*100</f>
        <v/>
      </c>
      <c r="E869" s="88">
        <f>ROUND((C869*1.15)/100,0)*100</f>
        <v/>
      </c>
      <c r="F869" s="88">
        <f>ROUND((C869*1.23)/100,0)*100</f>
        <v/>
      </c>
      <c r="G869" s="88">
        <f>ROUND((C869*1.29)/100,0)*100</f>
        <v/>
      </c>
      <c r="H869" s="88">
        <f>ROUND((C869*1.35)/100,0)*100</f>
        <v/>
      </c>
      <c r="I869" s="88">
        <f>ROUND((C869*1.43)/100,0)*100</f>
        <v/>
      </c>
      <c r="J869" s="22" t="n"/>
      <c r="K869" s="88" t="n"/>
      <c r="L869" s="88" t="n"/>
      <c r="M869" s="88" t="n"/>
      <c r="N869" s="88" t="n"/>
      <c r="P869" s="117" t="n"/>
      <c r="Q869" s="117">
        <f>R869*C869</f>
        <v/>
      </c>
      <c r="R869" s="94" t="n">
        <v>1.5</v>
      </c>
      <c r="T869" s="117" t="n"/>
    </row>
    <row r="870">
      <c r="A870" s="89" t="inlineStr">
        <is>
          <t>4759</t>
        </is>
      </c>
      <c r="B870" s="248" t="inlineStr">
        <is>
          <t>CAMP TEJ DIFTER</t>
        </is>
      </c>
      <c r="C870" s="88" t="n">
        <v>44300</v>
      </c>
      <c r="D870" s="88">
        <f>ROUND((C870*1.06)/100,0)*100</f>
        <v/>
      </c>
      <c r="E870" s="88">
        <f>ROUND((C870*1.15)/100,0)*100</f>
        <v/>
      </c>
      <c r="F870" s="88">
        <f>ROUND((C870*1.23)/100,0)*100</f>
        <v/>
      </c>
      <c r="G870" s="88">
        <f>ROUND((C870*1.29)/100,0)*100</f>
        <v/>
      </c>
      <c r="H870" s="88">
        <f>ROUND((C870*1.35)/100,0)*100</f>
        <v/>
      </c>
      <c r="I870" s="88">
        <f>ROUND((C870*1.43)/100,0)*100</f>
        <v/>
      </c>
      <c r="J870" s="22" t="n"/>
      <c r="K870" s="88" t="n"/>
      <c r="L870" s="88" t="n"/>
      <c r="M870" s="88" t="n"/>
      <c r="N870" s="88" t="n"/>
      <c r="P870" s="117" t="n"/>
      <c r="Q870" s="117">
        <f>R870*C870</f>
        <v/>
      </c>
      <c r="R870" s="94" t="n">
        <v>1.5</v>
      </c>
      <c r="T870" s="117" t="n"/>
    </row>
    <row r="871">
      <c r="A871" s="89" t="inlineStr">
        <is>
          <t>4767</t>
        </is>
      </c>
      <c r="B871" s="248" t="inlineStr">
        <is>
          <t>CAMP TEJIDA</t>
        </is>
      </c>
      <c r="C871" s="88" t="n">
        <v>24800</v>
      </c>
      <c r="D871" s="88">
        <f>ROUND((C871*1.06)/100,0)*100</f>
        <v/>
      </c>
      <c r="E871" s="88">
        <f>ROUND((C871*1.15)/100,0)*100</f>
        <v/>
      </c>
      <c r="F871" s="88">
        <f>ROUND((C871*1.23)/100,0)*100</f>
        <v/>
      </c>
      <c r="G871" s="88">
        <f>ROUND((C871*1.29)/100,0)*100</f>
        <v/>
      </c>
      <c r="H871" s="88">
        <f>ROUND((C871*1.35)/100,0)*100</f>
        <v/>
      </c>
      <c r="I871" s="88">
        <f>ROUND((C871*1.43)/100,0)*100</f>
        <v/>
      </c>
      <c r="J871" s="22" t="n"/>
      <c r="K871" s="88" t="n"/>
      <c r="L871" s="88" t="n"/>
      <c r="M871" s="88" t="n"/>
      <c r="N871" s="88" t="n"/>
      <c r="P871" s="117" t="n"/>
      <c r="Q871" s="117">
        <f>R871*C871</f>
        <v/>
      </c>
      <c r="R871" s="94" t="n">
        <v>1.5</v>
      </c>
      <c r="T871" s="117" t="n"/>
    </row>
    <row r="872">
      <c r="A872" s="89" t="inlineStr">
        <is>
          <t>4840</t>
        </is>
      </c>
      <c r="B872" s="248" t="inlineStr">
        <is>
          <t>CARDIGAN CON ROMBOS</t>
        </is>
      </c>
      <c r="C872" s="88" t="n">
        <v>24800</v>
      </c>
      <c r="D872" s="88">
        <f>ROUND((C872*1.06)/100,0)*100</f>
        <v/>
      </c>
      <c r="E872" s="88">
        <f>ROUND((C872*1.15)/100,0)*100</f>
        <v/>
      </c>
      <c r="F872" s="88">
        <f>ROUND((C872*1.23)/100,0)*100</f>
        <v/>
      </c>
      <c r="G872" s="88">
        <f>ROUND((C872*1.29)/100,0)*100</f>
        <v/>
      </c>
      <c r="H872" s="88">
        <f>ROUND((C872*1.35)/100,0)*100</f>
        <v/>
      </c>
      <c r="I872" s="88">
        <f>ROUND((C872*1.43)/100,0)*100</f>
        <v/>
      </c>
      <c r="J872" s="22" t="n"/>
      <c r="K872" s="88" t="n"/>
      <c r="L872" s="88" t="n"/>
      <c r="M872" s="88" t="n"/>
      <c r="N872" s="88" t="n"/>
      <c r="P872" s="117" t="n"/>
      <c r="Q872" s="117">
        <f>R872*C872</f>
        <v/>
      </c>
      <c r="R872" s="94" t="n">
        <v>1.5</v>
      </c>
      <c r="T872" s="117" t="n"/>
    </row>
    <row r="873">
      <c r="A873" s="89" t="inlineStr">
        <is>
          <t>4870</t>
        </is>
      </c>
      <c r="B873" s="248" t="inlineStr">
        <is>
          <t>CAMP TEJIDA AERO</t>
        </is>
      </c>
      <c r="C873" s="88" t="n">
        <v>24800</v>
      </c>
      <c r="D873" s="88">
        <f>ROUND((C873*1.06)/100,0)*100</f>
        <v/>
      </c>
      <c r="E873" s="88">
        <f>ROUND((C873*1.15)/100,0)*100</f>
        <v/>
      </c>
      <c r="F873" s="88">
        <f>ROUND((C873*1.23)/100,0)*100</f>
        <v/>
      </c>
      <c r="G873" s="88">
        <f>ROUND((C873*1.29)/100,0)*100</f>
        <v/>
      </c>
      <c r="H873" s="88">
        <f>ROUND((C873*1.35)/100,0)*100</f>
        <v/>
      </c>
      <c r="I873" s="88">
        <f>ROUND((C873*1.43)/100,0)*100</f>
        <v/>
      </c>
      <c r="J873" s="22" t="n"/>
      <c r="K873" s="88" t="n"/>
      <c r="L873" s="88" t="n"/>
      <c r="M873" s="88" t="n"/>
      <c r="N873" s="88" t="n"/>
      <c r="P873" s="117" t="n"/>
      <c r="Q873" s="117">
        <f>R873*C873</f>
        <v/>
      </c>
      <c r="R873" s="94" t="n">
        <v>1.5</v>
      </c>
      <c r="T873" s="117" t="n"/>
    </row>
    <row r="874">
      <c r="A874" s="89" t="inlineStr">
        <is>
          <t>4872</t>
        </is>
      </c>
      <c r="B874" s="248" t="inlineStr">
        <is>
          <t>CAMP TEJIDA AERO</t>
        </is>
      </c>
      <c r="C874" s="88" t="n">
        <v>24800</v>
      </c>
      <c r="D874" s="88">
        <f>ROUND((C874*1.06)/100,0)*100</f>
        <v/>
      </c>
      <c r="E874" s="88">
        <f>ROUND((C874*1.15)/100,0)*100</f>
        <v/>
      </c>
      <c r="F874" s="88">
        <f>ROUND((C874*1.23)/100,0)*100</f>
        <v/>
      </c>
      <c r="G874" s="88">
        <f>ROUND((C874*1.29)/100,0)*100</f>
        <v/>
      </c>
      <c r="H874" s="88">
        <f>ROUND((C874*1.35)/100,0)*100</f>
        <v/>
      </c>
      <c r="I874" s="88">
        <f>ROUND((C874*1.43)/100,0)*100</f>
        <v/>
      </c>
      <c r="J874" s="22" t="n"/>
      <c r="K874" s="88" t="n"/>
      <c r="L874" s="88" t="n"/>
      <c r="M874" s="88" t="n"/>
      <c r="N874" s="88" t="n"/>
      <c r="P874" s="117" t="n"/>
      <c r="Q874" s="117">
        <f>R874*C874</f>
        <v/>
      </c>
      <c r="R874" s="94" t="n">
        <v>1.5</v>
      </c>
      <c r="T874" s="117" t="n"/>
    </row>
    <row r="875">
      <c r="A875" s="89" t="inlineStr">
        <is>
          <t>4973</t>
        </is>
      </c>
      <c r="B875" s="248" t="inlineStr">
        <is>
          <t>CAMPERA PTO. INGLES C/VIVOS T/ESP</t>
        </is>
      </c>
      <c r="C875" s="88" t="n">
        <v>24800</v>
      </c>
      <c r="D875" s="88">
        <f>ROUND((C875*1.06)/100,0)*100</f>
        <v/>
      </c>
      <c r="E875" s="88">
        <f>ROUND((C875*1.15)/100,0)*100</f>
        <v/>
      </c>
      <c r="F875" s="88">
        <f>ROUND((C875*1.23)/100,0)*100</f>
        <v/>
      </c>
      <c r="G875" s="88">
        <f>ROUND((C875*1.29)/100,0)*100</f>
        <v/>
      </c>
      <c r="H875" s="88">
        <f>ROUND((C875*1.35)/100,0)*100</f>
        <v/>
      </c>
      <c r="I875" s="88">
        <f>ROUND((C875*1.43)/100,0)*100</f>
        <v/>
      </c>
      <c r="J875" s="22" t="n"/>
      <c r="K875" s="88" t="n"/>
      <c r="L875" s="88" t="n"/>
      <c r="M875" s="88" t="n"/>
      <c r="N875" s="88" t="n"/>
      <c r="P875" s="117" t="n"/>
      <c r="Q875" s="117">
        <f>R875*C875</f>
        <v/>
      </c>
      <c r="R875" s="94" t="n">
        <v>1.5</v>
      </c>
      <c r="T875" s="117" t="n"/>
    </row>
    <row r="876">
      <c r="A876" s="89" t="inlineStr">
        <is>
          <t>4875</t>
        </is>
      </c>
      <c r="B876" s="248" t="inlineStr">
        <is>
          <t>AERO CAMP TEJIDA SIMIL POLO CLUB</t>
        </is>
      </c>
      <c r="C876" s="88" t="n">
        <v>24800</v>
      </c>
      <c r="D876" s="88">
        <f>ROUND((C876*1.06)/100,0)*100</f>
        <v/>
      </c>
      <c r="E876" s="88">
        <f>ROUND((C876*1.15)/100,0)*100</f>
        <v/>
      </c>
      <c r="F876" s="88">
        <f>ROUND((C876*1.23)/100,0)*100</f>
        <v/>
      </c>
      <c r="G876" s="88">
        <f>ROUND((C876*1.29)/100,0)*100</f>
        <v/>
      </c>
      <c r="H876" s="88">
        <f>ROUND((C876*1.35)/100,0)*100</f>
        <v/>
      </c>
      <c r="I876" s="88">
        <f>ROUND((C876*1.43)/100,0)*100</f>
        <v/>
      </c>
      <c r="J876" s="22" t="n"/>
      <c r="K876" s="88" t="n"/>
      <c r="L876" s="88" t="n"/>
      <c r="M876" s="88" t="n"/>
      <c r="N876" s="88" t="n"/>
      <c r="P876" s="117" t="n"/>
      <c r="Q876" s="117">
        <f>R876*C876</f>
        <v/>
      </c>
      <c r="R876" s="94" t="n">
        <v>1.5</v>
      </c>
      <c r="T876" s="117" t="n"/>
    </row>
    <row r="877">
      <c r="A877" s="89" t="inlineStr">
        <is>
          <t>4877</t>
        </is>
      </c>
      <c r="B877" s="248" t="inlineStr">
        <is>
          <t>CAMP TEJIDA AERO</t>
        </is>
      </c>
      <c r="C877" s="88" t="n">
        <v>24800</v>
      </c>
      <c r="D877" s="88">
        <f>ROUND((C877*1.06)/100,0)*100</f>
        <v/>
      </c>
      <c r="E877" s="88">
        <f>ROUND((C877*1.15)/100,0)*100</f>
        <v/>
      </c>
      <c r="F877" s="88">
        <f>ROUND((C877*1.23)/100,0)*100</f>
        <v/>
      </c>
      <c r="G877" s="88">
        <f>ROUND((C877*1.29)/100,0)*100</f>
        <v/>
      </c>
      <c r="H877" s="88">
        <f>ROUND((C877*1.35)/100,0)*100</f>
        <v/>
      </c>
      <c r="I877" s="88">
        <f>ROUND((C877*1.43)/100,0)*100</f>
        <v/>
      </c>
      <c r="J877" s="22" t="n"/>
      <c r="K877" s="88" t="n"/>
      <c r="L877" s="88" t="n"/>
      <c r="M877" s="88" t="n"/>
      <c r="N877" s="88" t="n"/>
      <c r="P877" s="117" t="n"/>
      <c r="Q877" s="117">
        <f>R877*C877</f>
        <v/>
      </c>
      <c r="R877" s="94" t="n">
        <v>1.5</v>
      </c>
      <c r="T877" s="117" t="n"/>
    </row>
    <row r="878">
      <c r="A878" s="89" t="inlineStr">
        <is>
          <t>4880</t>
        </is>
      </c>
      <c r="B878" s="248" t="inlineStr">
        <is>
          <t>CAMP TEJIDA</t>
        </is>
      </c>
      <c r="C878" s="88" t="n">
        <v>24800</v>
      </c>
      <c r="D878" s="88">
        <f>ROUND((C878*1.06)/100,0)*100</f>
        <v/>
      </c>
      <c r="E878" s="88">
        <f>ROUND((C878*1.15)/100,0)*100</f>
        <v/>
      </c>
      <c r="F878" s="88">
        <f>ROUND((C878*1.23)/100,0)*100</f>
        <v/>
      </c>
      <c r="G878" s="88">
        <f>ROUND((C878*1.29)/100,0)*100</f>
        <v/>
      </c>
      <c r="H878" s="88">
        <f>ROUND((C878*1.35)/100,0)*100</f>
        <v/>
      </c>
      <c r="I878" s="88">
        <f>ROUND((C878*1.43)/100,0)*100</f>
        <v/>
      </c>
      <c r="J878" s="22" t="n"/>
      <c r="K878" s="88" t="n"/>
      <c r="L878" s="88" t="n"/>
      <c r="M878" s="88" t="n"/>
      <c r="N878" s="88" t="n"/>
      <c r="P878" s="117" t="n"/>
      <c r="Q878" s="117">
        <f>R878*C878</f>
        <v/>
      </c>
      <c r="R878" s="94" t="n">
        <v>1.5</v>
      </c>
      <c r="T878" s="117" t="n"/>
    </row>
    <row r="879">
      <c r="A879" s="89" t="inlineStr">
        <is>
          <t>4881</t>
        </is>
      </c>
      <c r="B879" s="248" t="inlineStr">
        <is>
          <t>CAMP TEJIDA</t>
        </is>
      </c>
      <c r="C879" s="88" t="n">
        <v>24800</v>
      </c>
      <c r="D879" s="88">
        <f>ROUND((C879*1.06)/100,0)*100</f>
        <v/>
      </c>
      <c r="E879" s="88">
        <f>ROUND((C879*1.15)/100,0)*100</f>
        <v/>
      </c>
      <c r="F879" s="88">
        <f>ROUND((C879*1.23)/100,0)*100</f>
        <v/>
      </c>
      <c r="G879" s="88">
        <f>ROUND((C879*1.29)/100,0)*100</f>
        <v/>
      </c>
      <c r="H879" s="88">
        <f>ROUND((C879*1.35)/100,0)*100</f>
        <v/>
      </c>
      <c r="I879" s="88">
        <f>ROUND((C879*1.43)/100,0)*100</f>
        <v/>
      </c>
      <c r="J879" s="22" t="n"/>
      <c r="K879" s="88" t="n"/>
      <c r="L879" s="88" t="n"/>
      <c r="M879" s="88" t="n"/>
      <c r="N879" s="88" t="n"/>
      <c r="P879" s="117" t="n"/>
      <c r="Q879" s="117">
        <f>R879*C879</f>
        <v/>
      </c>
      <c r="R879" s="94" t="n">
        <v>1.5</v>
      </c>
      <c r="T879" s="117" t="n"/>
    </row>
    <row r="880">
      <c r="A880" s="89" t="inlineStr">
        <is>
          <t>4920</t>
        </is>
      </c>
      <c r="B880" s="248" t="inlineStr">
        <is>
          <t>AERO</t>
        </is>
      </c>
      <c r="C880" s="88" t="n">
        <v>24800</v>
      </c>
      <c r="D880" s="88">
        <f>ROUND((C880*1.06)/100,0)*100</f>
        <v/>
      </c>
      <c r="E880" s="88">
        <f>ROUND((C880*1.15)/100,0)*100</f>
        <v/>
      </c>
      <c r="F880" s="88">
        <f>ROUND((C880*1.23)/100,0)*100</f>
        <v/>
      </c>
      <c r="G880" s="88">
        <f>ROUND((C880*1.29)/100,0)*100</f>
        <v/>
      </c>
      <c r="H880" s="88">
        <f>ROUND((C880*1.35)/100,0)*100</f>
        <v/>
      </c>
      <c r="I880" s="88">
        <f>ROUND((C880*1.43)/100,0)*100</f>
        <v/>
      </c>
      <c r="J880" s="22" t="n"/>
      <c r="K880" s="88" t="n"/>
      <c r="L880" s="88" t="n"/>
      <c r="M880" s="88" t="n"/>
      <c r="N880" s="88" t="n"/>
      <c r="P880" s="117" t="n"/>
      <c r="Q880" s="117">
        <f>R880*C880</f>
        <v/>
      </c>
      <c r="R880" s="94" t="n">
        <v>1.5</v>
      </c>
      <c r="T880" s="117" t="n"/>
    </row>
    <row r="881">
      <c r="A881" s="89" t="inlineStr">
        <is>
          <t>4923</t>
        </is>
      </c>
      <c r="B881" s="248" t="inlineStr">
        <is>
          <t>CAMP TEJ ROMBOS</t>
        </is>
      </c>
      <c r="C881" s="88" t="n">
        <v>24800</v>
      </c>
      <c r="D881" s="88">
        <f>ROUND((C881*1.06)/100,0)*100</f>
        <v/>
      </c>
      <c r="E881" s="88">
        <f>ROUND((C881*1.15)/100,0)*100</f>
        <v/>
      </c>
      <c r="F881" s="88">
        <f>ROUND((C881*1.23)/100,0)*100</f>
        <v/>
      </c>
      <c r="G881" s="88">
        <f>ROUND((C881*1.29)/100,0)*100</f>
        <v/>
      </c>
      <c r="H881" s="88">
        <f>ROUND((C881*1.35)/100,0)*100</f>
        <v/>
      </c>
      <c r="I881" s="88">
        <f>ROUND((C881*1.43)/100,0)*100</f>
        <v/>
      </c>
      <c r="J881" s="22" t="n"/>
      <c r="K881" s="88" t="n"/>
      <c r="L881" s="88" t="n"/>
      <c r="M881" s="88" t="n"/>
      <c r="N881" s="88" t="n"/>
      <c r="P881" s="117" t="n"/>
      <c r="Q881" s="117">
        <f>R881*C881</f>
        <v/>
      </c>
      <c r="R881" s="94" t="n">
        <v>1.5</v>
      </c>
      <c r="T881" s="117" t="n"/>
    </row>
    <row r="882">
      <c r="A882" s="89" t="inlineStr">
        <is>
          <t>4929</t>
        </is>
      </c>
      <c r="B882" s="248" t="inlineStr">
        <is>
          <t>CAMP TEJ C TRENZAS</t>
        </is>
      </c>
      <c r="C882" s="88" t="n">
        <v>24800</v>
      </c>
      <c r="D882" s="88">
        <f>ROUND((C882*1.06)/100,0)*100</f>
        <v/>
      </c>
      <c r="E882" s="88">
        <f>ROUND((C882*1.15)/100,0)*100</f>
        <v/>
      </c>
      <c r="F882" s="88">
        <f>ROUND((C882*1.23)/100,0)*100</f>
        <v/>
      </c>
      <c r="G882" s="88">
        <f>ROUND((C882*1.29)/100,0)*100</f>
        <v/>
      </c>
      <c r="H882" s="88">
        <f>ROUND((C882*1.35)/100,0)*100</f>
        <v/>
      </c>
      <c r="I882" s="88">
        <f>ROUND((C882*1.43)/100,0)*100</f>
        <v/>
      </c>
      <c r="J882" s="22" t="n"/>
      <c r="K882" s="88" t="n"/>
      <c r="L882" s="88" t="n"/>
      <c r="M882" s="88" t="n"/>
      <c r="N882" s="88" t="n"/>
      <c r="P882" s="117" t="n"/>
      <c r="Q882" s="117">
        <f>R882*C882</f>
        <v/>
      </c>
      <c r="R882" s="94" t="n">
        <v>1.5</v>
      </c>
      <c r="T882" s="117" t="n"/>
    </row>
    <row r="883">
      <c r="A883" s="89" t="inlineStr">
        <is>
          <t>4932</t>
        </is>
      </c>
      <c r="B883" s="248" t="inlineStr">
        <is>
          <t>AERO</t>
        </is>
      </c>
      <c r="C883" s="88" t="n">
        <v>24800</v>
      </c>
      <c r="D883" s="88">
        <f>ROUND((C883*1.06)/100,0)*100</f>
        <v/>
      </c>
      <c r="E883" s="88">
        <f>ROUND((C883*1.15)/100,0)*100</f>
        <v/>
      </c>
      <c r="F883" s="88">
        <f>ROUND((C883*1.23)/100,0)*100</f>
        <v/>
      </c>
      <c r="G883" s="88">
        <f>ROUND((C883*1.29)/100,0)*100</f>
        <v/>
      </c>
      <c r="H883" s="88">
        <f>ROUND((C883*1.35)/100,0)*100</f>
        <v/>
      </c>
      <c r="I883" s="88">
        <f>ROUND((C883*1.43)/100,0)*100</f>
        <v/>
      </c>
      <c r="J883" s="22" t="n"/>
      <c r="K883" s="88" t="n"/>
      <c r="L883" s="88" t="n"/>
      <c r="M883" s="88" t="n"/>
      <c r="N883" s="88" t="n"/>
      <c r="P883" s="117" t="n"/>
      <c r="Q883" s="117">
        <f>R883*C883</f>
        <v/>
      </c>
      <c r="R883" s="94" t="n">
        <v>1.5</v>
      </c>
      <c r="T883" s="117" t="n"/>
    </row>
    <row r="884">
      <c r="A884" s="89" t="inlineStr">
        <is>
          <t>4938</t>
        </is>
      </c>
      <c r="B884" s="248" t="inlineStr">
        <is>
          <t>AERO</t>
        </is>
      </c>
      <c r="C884" s="88" t="n">
        <v>24800</v>
      </c>
      <c r="D884" s="88">
        <f>ROUND((C884*1.06)/100,0)*100</f>
        <v/>
      </c>
      <c r="E884" s="88">
        <f>ROUND((C884*1.15)/100,0)*100</f>
        <v/>
      </c>
      <c r="F884" s="88">
        <f>ROUND((C884*1.23)/100,0)*100</f>
        <v/>
      </c>
      <c r="G884" s="88">
        <f>ROUND((C884*1.29)/100,0)*100</f>
        <v/>
      </c>
      <c r="H884" s="88">
        <f>ROUND((C884*1.35)/100,0)*100</f>
        <v/>
      </c>
      <c r="I884" s="88">
        <f>ROUND((C884*1.43)/100,0)*100</f>
        <v/>
      </c>
      <c r="J884" s="22" t="n"/>
      <c r="K884" s="88" t="n"/>
      <c r="L884" s="88" t="n"/>
      <c r="M884" s="88" t="n"/>
      <c r="N884" s="88" t="n"/>
      <c r="P884" s="117" t="n"/>
      <c r="Q884" s="117">
        <f>R884*C884</f>
        <v/>
      </c>
      <c r="R884" s="94" t="n">
        <v>1.5</v>
      </c>
      <c r="T884" s="117" t="n"/>
    </row>
    <row r="885">
      <c r="A885" s="89" t="inlineStr">
        <is>
          <t>4939</t>
        </is>
      </c>
      <c r="B885" s="248" t="inlineStr">
        <is>
          <t>AERO</t>
        </is>
      </c>
      <c r="C885" s="88" t="n">
        <v>24800</v>
      </c>
      <c r="D885" s="88">
        <f>ROUND((C885*1.06)/100,0)*100</f>
        <v/>
      </c>
      <c r="E885" s="88">
        <f>ROUND((C885*1.15)/100,0)*100</f>
        <v/>
      </c>
      <c r="F885" s="88">
        <f>ROUND((C885*1.23)/100,0)*100</f>
        <v/>
      </c>
      <c r="G885" s="88">
        <f>ROUND((C885*1.29)/100,0)*100</f>
        <v/>
      </c>
      <c r="H885" s="88">
        <f>ROUND((C885*1.35)/100,0)*100</f>
        <v/>
      </c>
      <c r="I885" s="88">
        <f>ROUND((C885*1.43)/100,0)*100</f>
        <v/>
      </c>
      <c r="J885" s="22" t="n"/>
      <c r="K885" s="88" t="n"/>
      <c r="L885" s="88" t="n"/>
      <c r="M885" s="88" t="n"/>
      <c r="N885" s="88" t="n"/>
      <c r="P885" s="117" t="n"/>
      <c r="Q885" s="117">
        <f>R885*C885</f>
        <v/>
      </c>
      <c r="R885" s="94" t="n">
        <v>1.5</v>
      </c>
      <c r="T885" s="117" t="n"/>
    </row>
    <row r="886">
      <c r="A886" s="89" t="inlineStr">
        <is>
          <t>4950</t>
        </is>
      </c>
      <c r="B886" s="248" t="inlineStr">
        <is>
          <t>AERO</t>
        </is>
      </c>
      <c r="C886" s="88" t="n">
        <v>24800</v>
      </c>
      <c r="D886" s="88">
        <f>ROUND((C886*1.06)/100,0)*100</f>
        <v/>
      </c>
      <c r="E886" s="88">
        <f>ROUND((C886*1.15)/100,0)*100</f>
        <v/>
      </c>
      <c r="F886" s="88">
        <f>ROUND((C886*1.23)/100,0)*100</f>
        <v/>
      </c>
      <c r="G886" s="88">
        <f>ROUND((C886*1.29)/100,0)*100</f>
        <v/>
      </c>
      <c r="H886" s="88">
        <f>ROUND((C886*1.35)/100,0)*100</f>
        <v/>
      </c>
      <c r="I886" s="88">
        <f>ROUND((C886*1.43)/100,0)*100</f>
        <v/>
      </c>
      <c r="J886" s="22" t="n"/>
      <c r="K886" s="88" t="n"/>
      <c r="L886" s="88" t="n"/>
      <c r="M886" s="88" t="n"/>
      <c r="N886" s="88" t="n"/>
      <c r="P886" s="117" t="n"/>
      <c r="Q886" s="117">
        <f>R886*C886</f>
        <v/>
      </c>
      <c r="R886" s="94" t="n">
        <v>1.5</v>
      </c>
      <c r="T886" s="117" t="n"/>
    </row>
    <row r="887">
      <c r="A887" s="89" t="inlineStr">
        <is>
          <t>4965</t>
        </is>
      </c>
      <c r="B887" s="248" t="inlineStr">
        <is>
          <t>AERO</t>
        </is>
      </c>
      <c r="C887" s="88" t="n">
        <v>24800</v>
      </c>
      <c r="D887" s="88">
        <f>ROUND((C887*1.06)/100,0)*100</f>
        <v/>
      </c>
      <c r="E887" s="88">
        <f>ROUND((C887*1.15)/100,0)*100</f>
        <v/>
      </c>
      <c r="F887" s="88">
        <f>ROUND((C887*1.23)/100,0)*100</f>
        <v/>
      </c>
      <c r="G887" s="88">
        <f>ROUND((C887*1.29)/100,0)*100</f>
        <v/>
      </c>
      <c r="H887" s="88">
        <f>ROUND((C887*1.35)/100,0)*100</f>
        <v/>
      </c>
      <c r="I887" s="88">
        <f>ROUND((C887*1.43)/100,0)*100</f>
        <v/>
      </c>
      <c r="J887" s="22" t="n"/>
      <c r="K887" s="88" t="n"/>
      <c r="L887" s="88" t="n"/>
      <c r="M887" s="88" t="n"/>
      <c r="N887" s="88" t="n"/>
      <c r="P887" s="117" t="n"/>
      <c r="Q887" s="117">
        <f>R887*C887</f>
        <v/>
      </c>
      <c r="R887" s="94" t="n">
        <v>1.5</v>
      </c>
      <c r="T887" s="117" t="n"/>
    </row>
    <row r="888">
      <c r="A888" s="89" t="inlineStr">
        <is>
          <t>4973</t>
        </is>
      </c>
      <c r="B888" s="248" t="inlineStr">
        <is>
          <t>AERO</t>
        </is>
      </c>
      <c r="C888" s="88" t="n">
        <v>24800</v>
      </c>
      <c r="D888" s="88">
        <f>ROUND((C888*1.06)/100,0)*100</f>
        <v/>
      </c>
      <c r="E888" s="88">
        <f>ROUND((C888*1.15)/100,0)*100</f>
        <v/>
      </c>
      <c r="F888" s="88">
        <f>ROUND((C888*1.23)/100,0)*100</f>
        <v/>
      </c>
      <c r="G888" s="88">
        <f>ROUND((C888*1.29)/100,0)*100</f>
        <v/>
      </c>
      <c r="H888" s="88">
        <f>ROUND((C888*1.35)/100,0)*100</f>
        <v/>
      </c>
      <c r="I888" s="88">
        <f>ROUND((C888*1.43)/100,0)*100</f>
        <v/>
      </c>
      <c r="J888" s="22" t="n"/>
      <c r="K888" s="88" t="n"/>
      <c r="L888" s="88" t="n"/>
      <c r="M888" s="88" t="n"/>
      <c r="N888" s="88" t="n"/>
      <c r="P888" s="117" t="n"/>
      <c r="Q888" s="117">
        <f>R888*C888</f>
        <v/>
      </c>
      <c r="R888" s="94" t="n">
        <v>1.5</v>
      </c>
      <c r="T888" s="117" t="n"/>
    </row>
    <row r="889">
      <c r="A889" s="89" t="inlineStr">
        <is>
          <t>4974</t>
        </is>
      </c>
      <c r="B889" s="248" t="inlineStr">
        <is>
          <t>AERO</t>
        </is>
      </c>
      <c r="C889" s="88" t="n">
        <v>24800</v>
      </c>
      <c r="D889" s="88">
        <f>ROUND((C889*1.06)/100,0)*100</f>
        <v/>
      </c>
      <c r="E889" s="88">
        <f>ROUND((C889*1.15)/100,0)*100</f>
        <v/>
      </c>
      <c r="F889" s="88">
        <f>ROUND((C889*1.23)/100,0)*100</f>
        <v/>
      </c>
      <c r="G889" s="88">
        <f>ROUND((C889*1.29)/100,0)*100</f>
        <v/>
      </c>
      <c r="H889" s="88">
        <f>ROUND((C889*1.35)/100,0)*100</f>
        <v/>
      </c>
      <c r="I889" s="88">
        <f>ROUND((C889*1.43)/100,0)*100</f>
        <v/>
      </c>
      <c r="J889" s="22" t="n"/>
      <c r="K889" s="88" t="n"/>
      <c r="L889" s="88" t="n"/>
      <c r="M889" s="88" t="n"/>
      <c r="N889" s="88" t="n"/>
      <c r="P889" s="117" t="n"/>
      <c r="Q889" s="117">
        <f>R889*C889</f>
        <v/>
      </c>
      <c r="R889" s="94" t="n">
        <v>1.5</v>
      </c>
      <c r="T889" s="117" t="n"/>
    </row>
    <row r="890">
      <c r="A890" s="89" t="inlineStr">
        <is>
          <t>4975</t>
        </is>
      </c>
      <c r="B890" s="248" t="inlineStr">
        <is>
          <t>CAMPERA CON TAPACIERRE Y BOLSILLO T/ESP</t>
        </is>
      </c>
      <c r="C890" s="88" t="n">
        <v>24800</v>
      </c>
      <c r="D890" s="88">
        <f>ROUND((C890*1.06)/100,0)*100</f>
        <v/>
      </c>
      <c r="E890" s="88">
        <f>ROUND((C890*1.15)/100,0)*100</f>
        <v/>
      </c>
      <c r="F890" s="88">
        <f>ROUND((C890*1.23)/100,0)*100</f>
        <v/>
      </c>
      <c r="G890" s="88">
        <f>ROUND((C890*1.29)/100,0)*100</f>
        <v/>
      </c>
      <c r="H890" s="88">
        <f>ROUND((C890*1.35)/100,0)*100</f>
        <v/>
      </c>
      <c r="I890" s="88">
        <f>ROUND((C890*1.43)/100,0)*100</f>
        <v/>
      </c>
      <c r="J890" s="22" t="n"/>
      <c r="K890" s="88" t="n"/>
      <c r="L890" s="88" t="n"/>
      <c r="M890" s="88" t="n"/>
      <c r="N890" s="88" t="n"/>
      <c r="P890" s="117" t="n"/>
      <c r="Q890" s="117">
        <f>R890*C890</f>
        <v/>
      </c>
      <c r="R890" s="94" t="n">
        <v>1.5</v>
      </c>
      <c r="T890" s="117" t="n"/>
    </row>
    <row r="891">
      <c r="A891" s="89" t="inlineStr">
        <is>
          <t>4976</t>
        </is>
      </c>
      <c r="B891" s="248" t="inlineStr">
        <is>
          <t>AERO</t>
        </is>
      </c>
      <c r="C891" s="88" t="n">
        <v>24800</v>
      </c>
      <c r="D891" s="88">
        <f>ROUND((C891*1.06)/100,0)*100</f>
        <v/>
      </c>
      <c r="E891" s="88">
        <f>ROUND((C891*1.15)/100,0)*100</f>
        <v/>
      </c>
      <c r="F891" s="88">
        <f>ROUND((C891*1.23)/100,0)*100</f>
        <v/>
      </c>
      <c r="G891" s="88">
        <f>ROUND((C891*1.29)/100,0)*100</f>
        <v/>
      </c>
      <c r="H891" s="88">
        <f>ROUND((C891*1.35)/100,0)*100</f>
        <v/>
      </c>
      <c r="I891" s="88">
        <f>ROUND((C891*1.43)/100,0)*100</f>
        <v/>
      </c>
      <c r="J891" s="22" t="n"/>
      <c r="K891" s="88" t="n"/>
      <c r="L891" s="88" t="n"/>
      <c r="M891" s="88" t="n"/>
      <c r="N891" s="88" t="n"/>
      <c r="P891" s="117" t="n"/>
      <c r="Q891" s="117">
        <f>R891*C891</f>
        <v/>
      </c>
      <c r="R891" s="94" t="n">
        <v>1.5</v>
      </c>
      <c r="T891" s="117" t="n"/>
    </row>
    <row r="892">
      <c r="A892" s="89" t="inlineStr">
        <is>
          <t>4977</t>
        </is>
      </c>
      <c r="B892" s="248" t="inlineStr">
        <is>
          <t>AERO</t>
        </is>
      </c>
      <c r="C892" s="88" t="n">
        <v>24800</v>
      </c>
      <c r="D892" s="88">
        <f>ROUND((C892*1.06)/100,0)*100</f>
        <v/>
      </c>
      <c r="E892" s="88">
        <f>ROUND((C892*1.15)/100,0)*100</f>
        <v/>
      </c>
      <c r="F892" s="88">
        <f>ROUND((C892*1.23)/100,0)*100</f>
        <v/>
      </c>
      <c r="G892" s="88">
        <f>ROUND((C892*1.29)/100,0)*100</f>
        <v/>
      </c>
      <c r="H892" s="88">
        <f>ROUND((C892*1.35)/100,0)*100</f>
        <v/>
      </c>
      <c r="I892" s="88">
        <f>ROUND((C892*1.43)/100,0)*100</f>
        <v/>
      </c>
      <c r="J892" s="22" t="n"/>
      <c r="K892" s="88" t="n"/>
      <c r="L892" s="88" t="n"/>
      <c r="M892" s="88" t="n"/>
      <c r="N892" s="88" t="n"/>
      <c r="P892" s="117" t="n"/>
      <c r="Q892" s="117">
        <f>R892*C892</f>
        <v/>
      </c>
      <c r="R892" s="94" t="n">
        <v>1.5</v>
      </c>
      <c r="T892" s="117" t="n"/>
    </row>
    <row r="893">
      <c r="A893" s="89" t="inlineStr">
        <is>
          <t>4983</t>
        </is>
      </c>
      <c r="B893" s="248" t="inlineStr">
        <is>
          <t>AERO</t>
        </is>
      </c>
      <c r="C893" s="88" t="n">
        <v>24800</v>
      </c>
      <c r="D893" s="88">
        <f>ROUND((C893*1.06)/100,0)*100</f>
        <v/>
      </c>
      <c r="E893" s="88">
        <f>ROUND((C893*1.15)/100,0)*100</f>
        <v/>
      </c>
      <c r="F893" s="88">
        <f>ROUND((C893*1.23)/100,0)*100</f>
        <v/>
      </c>
      <c r="G893" s="88">
        <f>ROUND((C893*1.29)/100,0)*100</f>
        <v/>
      </c>
      <c r="H893" s="88">
        <f>ROUND((C893*1.35)/100,0)*100</f>
        <v/>
      </c>
      <c r="I893" s="88">
        <f>ROUND((C893*1.43)/100,0)*100</f>
        <v/>
      </c>
      <c r="J893" s="22" t="n"/>
      <c r="K893" s="88" t="n"/>
      <c r="L893" s="88" t="n"/>
      <c r="M893" s="88" t="n"/>
      <c r="N893" s="88" t="n"/>
      <c r="P893" s="117" t="n"/>
      <c r="Q893" s="117">
        <f>R893*C893</f>
        <v/>
      </c>
      <c r="R893" s="94" t="n">
        <v>1.5</v>
      </c>
      <c r="T893" s="117" t="n"/>
    </row>
    <row r="894">
      <c r="A894" s="89" t="inlineStr">
        <is>
          <t>4990</t>
        </is>
      </c>
      <c r="B894" s="248" t="inlineStr">
        <is>
          <t>CAMPERA MOLINE CON ARANES Y BOLSILLO</t>
        </is>
      </c>
      <c r="C894" s="88" t="n">
        <v>24800</v>
      </c>
      <c r="D894" s="88">
        <f>ROUND((C894*1.06)/100,0)*100</f>
        <v/>
      </c>
      <c r="E894" s="88">
        <f>ROUND((C894*1.15)/100,0)*100</f>
        <v/>
      </c>
      <c r="F894" s="88">
        <f>ROUND((C894*1.23)/100,0)*100</f>
        <v/>
      </c>
      <c r="G894" s="88">
        <f>ROUND((C894*1.29)/100,0)*100</f>
        <v/>
      </c>
      <c r="H894" s="88">
        <f>ROUND((C894*1.35)/100,0)*100</f>
        <v/>
      </c>
      <c r="I894" s="88">
        <f>ROUND((C894*1.43)/100,0)*100</f>
        <v/>
      </c>
      <c r="J894" s="22" t="n"/>
      <c r="K894" s="88" t="n"/>
      <c r="L894" s="88" t="n"/>
      <c r="M894" s="88" t="n"/>
      <c r="N894" s="88" t="n"/>
      <c r="P894" s="117" t="n"/>
      <c r="Q894" s="117">
        <f>R894*C894</f>
        <v/>
      </c>
      <c r="R894" s="94" t="n">
        <v>1.5</v>
      </c>
      <c r="T894" s="117" t="n"/>
    </row>
    <row r="895">
      <c r="A895" s="89" t="inlineStr">
        <is>
          <t>5260</t>
        </is>
      </c>
      <c r="B895" s="248" t="inlineStr">
        <is>
          <t>CARDIGAN AERO</t>
        </is>
      </c>
      <c r="C895" s="88" t="n">
        <v>24800</v>
      </c>
      <c r="D895" s="88">
        <f>ROUND((C895*1.06)/100,0)*100</f>
        <v/>
      </c>
      <c r="E895" s="88">
        <f>ROUND((C895*1.15)/100,0)*100</f>
        <v/>
      </c>
      <c r="F895" s="88">
        <f>ROUND((C895*1.23)/100,0)*100</f>
        <v/>
      </c>
      <c r="G895" s="88">
        <f>ROUND((C895*1.29)/100,0)*100</f>
        <v/>
      </c>
      <c r="H895" s="88">
        <f>ROUND((C895*1.35)/100,0)*100</f>
        <v/>
      </c>
      <c r="I895" s="88">
        <f>ROUND((C895*1.43)/100,0)*100</f>
        <v/>
      </c>
      <c r="J895" s="22" t="n"/>
      <c r="K895" s="88" t="n"/>
      <c r="L895" s="88" t="n"/>
      <c r="M895" s="88" t="n"/>
      <c r="N895" s="88" t="n"/>
      <c r="P895" s="117" t="n"/>
      <c r="Q895" s="117">
        <f>R895*C895</f>
        <v/>
      </c>
      <c r="R895" s="94" t="n">
        <v>1.5</v>
      </c>
      <c r="T895" s="117" t="n"/>
    </row>
    <row r="896">
      <c r="A896" s="89" t="inlineStr">
        <is>
          <t>DFT5305</t>
        </is>
      </c>
      <c r="B896" s="248" t="inlineStr">
        <is>
          <t>CAMP COMB. CON TIRA</t>
        </is>
      </c>
      <c r="C896" s="88" t="n">
        <v>24800</v>
      </c>
      <c r="D896" s="88">
        <f>ROUND((C896*1.06)/100,0)*100</f>
        <v/>
      </c>
      <c r="E896" s="88">
        <f>ROUND((C896*1.15)/100,0)*100</f>
        <v/>
      </c>
      <c r="F896" s="88">
        <f>ROUND((C896*1.23)/100,0)*100</f>
        <v/>
      </c>
      <c r="G896" s="88">
        <f>ROUND((C896*1.29)/100,0)*100</f>
        <v/>
      </c>
      <c r="H896" s="88">
        <f>ROUND((C896*1.35)/100,0)*100</f>
        <v/>
      </c>
      <c r="I896" s="88">
        <f>ROUND((C896*1.43)/100,0)*100</f>
        <v/>
      </c>
      <c r="J896" s="170" t="n"/>
      <c r="K896" s="170" t="n"/>
      <c r="L896" s="170" t="n"/>
      <c r="M896" s="170" t="n"/>
      <c r="N896" s="170" t="n"/>
      <c r="O896" s="30" t="n"/>
      <c r="P896" s="170" t="n"/>
      <c r="Q896" s="117">
        <f>R896*C896</f>
        <v/>
      </c>
      <c r="R896" s="94" t="n">
        <v>1.5</v>
      </c>
      <c r="S896" s="96" t="n"/>
      <c r="T896" s="150" t="n"/>
      <c r="U896" s="96" t="n"/>
      <c r="V896" s="96" t="n"/>
      <c r="AC896" s="30" t="n"/>
      <c r="AD896" s="30" t="n"/>
      <c r="AE896" s="170" t="n"/>
      <c r="AF896" s="170" t="n"/>
      <c r="AG896" s="170" t="n"/>
      <c r="AH896" s="170" t="n"/>
      <c r="AI896" s="170" t="n"/>
      <c r="AJ896" s="170" t="n"/>
      <c r="AK896" s="170" t="n"/>
      <c r="AL896" s="170" t="n"/>
      <c r="AM896" s="170" t="n"/>
      <c r="AN896" s="170" t="n"/>
      <c r="AO896" s="170" t="n"/>
    </row>
    <row r="897">
      <c r="A897" s="89" t="inlineStr">
        <is>
          <t>DFT5364</t>
        </is>
      </c>
      <c r="B897" s="248" t="inlineStr">
        <is>
          <t>CAMP COMB. CON TIRA</t>
        </is>
      </c>
      <c r="C897" s="88" t="n">
        <v>24800</v>
      </c>
      <c r="D897" s="88">
        <f>ROUND((C897*1.06)/100,0)*100</f>
        <v/>
      </c>
      <c r="E897" s="88">
        <f>ROUND((C897*1.15)/100,0)*100</f>
        <v/>
      </c>
      <c r="F897" s="88">
        <f>ROUND((C897*1.23)/100,0)*100</f>
        <v/>
      </c>
      <c r="G897" s="88">
        <f>ROUND((C897*1.29)/100,0)*100</f>
        <v/>
      </c>
      <c r="H897" s="88">
        <f>ROUND((C897*1.35)/100,0)*100</f>
        <v/>
      </c>
      <c r="I897" s="88">
        <f>ROUND((C897*1.43)/100,0)*100</f>
        <v/>
      </c>
      <c r="J897" s="170" t="n"/>
      <c r="K897" s="170" t="n"/>
      <c r="L897" s="170" t="n"/>
      <c r="M897" s="170" t="n"/>
      <c r="N897" s="170" t="n"/>
      <c r="O897" s="30" t="n"/>
      <c r="P897" s="170" t="n"/>
      <c r="Q897" s="117">
        <f>R897*C897</f>
        <v/>
      </c>
      <c r="R897" s="94" t="n">
        <v>1.5</v>
      </c>
      <c r="T897" s="117" t="n"/>
      <c r="AC897" s="30" t="n"/>
      <c r="AD897" s="30" t="n"/>
      <c r="AE897" s="170" t="n"/>
      <c r="AF897" s="170" t="n"/>
      <c r="AG897" s="170" t="n"/>
      <c r="AH897" s="170" t="n"/>
      <c r="AI897" s="170" t="n"/>
      <c r="AJ897" s="170" t="n"/>
      <c r="AK897" s="170" t="n"/>
      <c r="AL897" s="170" t="n"/>
      <c r="AM897" s="170" t="n"/>
      <c r="AN897" s="170" t="n"/>
      <c r="AO897" s="170" t="n"/>
    </row>
    <row r="898">
      <c r="A898" s="89" t="inlineStr">
        <is>
          <t>5725</t>
        </is>
      </c>
      <c r="B898" s="248" t="inlineStr">
        <is>
          <t>AERO</t>
        </is>
      </c>
      <c r="C898" s="88" t="n">
        <v>24800</v>
      </c>
      <c r="D898" s="88">
        <f>ROUND((C898*1.06)/100,0)*100</f>
        <v/>
      </c>
      <c r="E898" s="88">
        <f>ROUND((C898*1.15)/100,0)*100</f>
        <v/>
      </c>
      <c r="F898" s="88">
        <f>ROUND((C898*1.23)/100,0)*100</f>
        <v/>
      </c>
      <c r="G898" s="88">
        <f>ROUND((C898*1.29)/100,0)*100</f>
        <v/>
      </c>
      <c r="H898" s="88">
        <f>ROUND((C898*1.35)/100,0)*100</f>
        <v/>
      </c>
      <c r="I898" s="88">
        <f>ROUND((C898*1.43)/100,0)*100</f>
        <v/>
      </c>
      <c r="J898" s="88" t="n"/>
      <c r="K898" s="88" t="n"/>
      <c r="L898" s="88" t="n"/>
      <c r="M898" s="88" t="n"/>
      <c r="N898" s="88" t="n"/>
      <c r="P898" s="117" t="n"/>
      <c r="Q898" s="117">
        <f>R898*C898</f>
        <v/>
      </c>
      <c r="R898" s="94" t="n">
        <v>1.5</v>
      </c>
      <c r="T898" s="117" t="n"/>
    </row>
    <row r="899">
      <c r="A899" s="89" t="inlineStr">
        <is>
          <t>5840</t>
        </is>
      </c>
      <c r="B899" s="248" t="inlineStr">
        <is>
          <t>CARDIGAN AERO</t>
        </is>
      </c>
      <c r="C899" s="88" t="n">
        <v>24800</v>
      </c>
      <c r="D899" s="88">
        <f>ROUND((C899*1.06)/100,0)*100</f>
        <v/>
      </c>
      <c r="E899" s="88">
        <f>ROUND((C899*1.15)/100,0)*100</f>
        <v/>
      </c>
      <c r="F899" s="88">
        <f>ROUND((C899*1.23)/100,0)*100</f>
        <v/>
      </c>
      <c r="G899" s="88">
        <f>ROUND((C899*1.29)/100,0)*100</f>
        <v/>
      </c>
      <c r="H899" s="88">
        <f>ROUND((C899*1.35)/100,0)*100</f>
        <v/>
      </c>
      <c r="I899" s="88">
        <f>ROUND((C899*1.43)/100,0)*100</f>
        <v/>
      </c>
      <c r="J899" s="88" t="n"/>
      <c r="K899" s="88" t="n"/>
      <c r="L899" s="88" t="n"/>
      <c r="M899" s="88" t="n"/>
      <c r="N899" s="88" t="n"/>
      <c r="P899" s="117" t="n"/>
      <c r="Q899" s="117">
        <f>R899*C899</f>
        <v/>
      </c>
      <c r="R899" s="94" t="n">
        <v>1.5</v>
      </c>
      <c r="T899" s="117" t="n"/>
    </row>
    <row r="900">
      <c r="A900" s="89" t="inlineStr">
        <is>
          <t>5840</t>
        </is>
      </c>
      <c r="B900" s="248" t="inlineStr">
        <is>
          <t>CARDIGAN AERO</t>
        </is>
      </c>
      <c r="C900" s="88" t="n">
        <v>24800</v>
      </c>
      <c r="D900" s="88">
        <f>ROUND((C900*1.06)/100,0)*100</f>
        <v/>
      </c>
      <c r="E900" s="88">
        <f>ROUND((C900*1.15)/100,0)*100</f>
        <v/>
      </c>
      <c r="F900" s="88">
        <f>ROUND((C900*1.23)/100,0)*100</f>
        <v/>
      </c>
      <c r="G900" s="88">
        <f>ROUND((C900*1.29)/100,0)*100</f>
        <v/>
      </c>
      <c r="H900" s="88">
        <f>ROUND((C900*1.35)/100,0)*100</f>
        <v/>
      </c>
      <c r="I900" s="88">
        <f>ROUND((C900*1.43)/100,0)*100</f>
        <v/>
      </c>
      <c r="J900" s="88" t="n"/>
      <c r="K900" s="88" t="n"/>
      <c r="L900" s="88" t="n"/>
      <c r="M900" s="88" t="n"/>
      <c r="N900" s="88" t="n"/>
      <c r="P900" s="117" t="n"/>
      <c r="Q900" s="117">
        <f>R900*C900</f>
        <v/>
      </c>
      <c r="R900" s="94" t="n">
        <v>1.5</v>
      </c>
      <c r="T900" s="117" t="n"/>
    </row>
    <row r="901">
      <c r="A901" s="89" t="inlineStr">
        <is>
          <t>8739/8741/8744</t>
        </is>
      </c>
      <c r="B901" s="248" t="inlineStr">
        <is>
          <t>WRGE HILO ALGODÓN</t>
        </is>
      </c>
      <c r="C901" s="88" t="n">
        <v>36200</v>
      </c>
      <c r="D901" s="88" t="n">
        <v>0</v>
      </c>
      <c r="E901" s="22" t="n">
        <v>0</v>
      </c>
      <c r="F901" s="22" t="n">
        <v>0</v>
      </c>
      <c r="G901" s="22" t="n">
        <v>0</v>
      </c>
      <c r="H901" s="22" t="n">
        <v>0</v>
      </c>
      <c r="I901" s="22" t="n">
        <v>0</v>
      </c>
      <c r="J901" s="22" t="n"/>
      <c r="K901" s="88" t="n"/>
      <c r="L901" s="88" t="n"/>
      <c r="M901" s="88" t="n"/>
      <c r="N901" s="88" t="n"/>
      <c r="P901" s="117" t="n"/>
      <c r="Q901" s="117">
        <f>R901*C901</f>
        <v/>
      </c>
      <c r="R901" s="94" t="n">
        <v>1.5</v>
      </c>
      <c r="T901" s="117" t="n"/>
    </row>
    <row r="902">
      <c r="A902" s="89" t="inlineStr">
        <is>
          <t>8715</t>
        </is>
      </c>
      <c r="B902" s="248" t="inlineStr">
        <is>
          <t>CAMPERA WRGE</t>
        </is>
      </c>
      <c r="C902" s="88" t="n">
        <v>29700</v>
      </c>
      <c r="D902" s="88" t="n">
        <v>0</v>
      </c>
      <c r="E902" s="22" t="n">
        <v>0</v>
      </c>
      <c r="F902" s="22" t="n">
        <v>0</v>
      </c>
      <c r="G902" s="22" t="n">
        <v>0</v>
      </c>
      <c r="H902" s="22" t="n">
        <v>0</v>
      </c>
      <c r="I902" s="22" t="n">
        <v>0</v>
      </c>
      <c r="J902" s="22" t="n"/>
      <c r="K902" s="88" t="n"/>
      <c r="L902" s="88" t="n"/>
      <c r="M902" s="88" t="n"/>
      <c r="N902" s="88" t="n"/>
      <c r="P902" s="117" t="n"/>
      <c r="Q902" s="117">
        <f>R902*C902</f>
        <v/>
      </c>
      <c r="R902" s="94" t="n">
        <v>1.5</v>
      </c>
      <c r="T902" s="117" t="n"/>
    </row>
    <row r="903">
      <c r="A903" s="89" t="inlineStr">
        <is>
          <t>8728</t>
        </is>
      </c>
      <c r="B903" s="248" t="inlineStr">
        <is>
          <t>CAMPERA WRGE</t>
        </is>
      </c>
      <c r="C903" s="88" t="n">
        <v>29700</v>
      </c>
      <c r="D903" s="88" t="n">
        <v>0</v>
      </c>
      <c r="E903" s="22" t="n">
        <v>0</v>
      </c>
      <c r="F903" s="22" t="n">
        <v>0</v>
      </c>
      <c r="G903" s="22" t="n">
        <v>0</v>
      </c>
      <c r="H903" s="22" t="n">
        <v>0</v>
      </c>
      <c r="I903" s="22" t="n">
        <v>0</v>
      </c>
      <c r="J903" s="22" t="n"/>
      <c r="K903" s="88" t="n"/>
      <c r="L903" s="88" t="n"/>
      <c r="M903" s="88" t="n"/>
      <c r="N903" s="88" t="n"/>
      <c r="P903" s="117" t="n"/>
      <c r="Q903" s="117">
        <f>R903*C903</f>
        <v/>
      </c>
      <c r="R903" s="94" t="n">
        <v>1.5</v>
      </c>
      <c r="T903" s="117" t="n"/>
    </row>
    <row r="904">
      <c r="A904" s="89" t="inlineStr">
        <is>
          <t>9033</t>
        </is>
      </c>
      <c r="B904" s="248" t="inlineStr">
        <is>
          <t>MIXTICA CAMPERA</t>
        </is>
      </c>
      <c r="C904" s="88" t="n">
        <v>24800</v>
      </c>
      <c r="D904" s="88" t="n">
        <v>0</v>
      </c>
      <c r="E904" s="22" t="n">
        <v>0</v>
      </c>
      <c r="F904" s="22" t="n">
        <v>0</v>
      </c>
      <c r="G904" s="22" t="n">
        <v>0</v>
      </c>
      <c r="H904" s="22" t="n">
        <v>0</v>
      </c>
      <c r="I904" s="22" t="n">
        <v>0</v>
      </c>
      <c r="J904" s="22" t="n"/>
      <c r="K904" s="88" t="n"/>
      <c r="L904" s="88" t="n"/>
      <c r="M904" s="88" t="n"/>
      <c r="N904" s="88" t="n"/>
      <c r="P904" s="117" t="n"/>
      <c r="Q904" s="117">
        <f>R904*C904</f>
        <v/>
      </c>
      <c r="R904" s="94" t="n">
        <v>1.5</v>
      </c>
      <c r="T904" s="117" t="n"/>
    </row>
    <row r="905">
      <c r="A905" s="89" t="inlineStr">
        <is>
          <t>9014</t>
        </is>
      </c>
      <c r="B905" s="248" t="inlineStr">
        <is>
          <t>MIXTICA CAMPERA</t>
        </is>
      </c>
      <c r="C905" s="88" t="n">
        <v>24800</v>
      </c>
      <c r="D905" s="88" t="n">
        <v>0</v>
      </c>
      <c r="E905" s="22" t="n">
        <v>0</v>
      </c>
      <c r="F905" s="22" t="n">
        <v>0</v>
      </c>
      <c r="G905" s="22" t="n">
        <v>0</v>
      </c>
      <c r="H905" s="22" t="n">
        <v>0</v>
      </c>
      <c r="I905" s="22" t="n">
        <v>0</v>
      </c>
      <c r="J905" s="22" t="n"/>
      <c r="K905" s="88" t="n"/>
      <c r="L905" s="88" t="n"/>
      <c r="M905" s="88" t="n"/>
      <c r="N905" s="88" t="n"/>
      <c r="P905" s="117" t="n"/>
      <c r="Q905" s="117">
        <f>R905*C905</f>
        <v/>
      </c>
      <c r="R905" s="94" t="n">
        <v>1.5</v>
      </c>
      <c r="T905" s="117" t="n"/>
    </row>
    <row r="906">
      <c r="A906" s="89" t="inlineStr">
        <is>
          <t>93801</t>
        </is>
      </c>
      <c r="B906" s="248" t="inlineStr">
        <is>
          <t>DUET CAMPERA</t>
        </is>
      </c>
      <c r="C906" s="88" t="n">
        <v>24800</v>
      </c>
      <c r="D906" s="88" t="n">
        <v>0</v>
      </c>
      <c r="E906" s="22" t="n">
        <v>0</v>
      </c>
      <c r="F906" s="22" t="n">
        <v>0</v>
      </c>
      <c r="G906" s="22" t="n">
        <v>0</v>
      </c>
      <c r="H906" s="22" t="n">
        <v>0</v>
      </c>
      <c r="I906" s="22" t="n">
        <v>0</v>
      </c>
      <c r="J906" s="22" t="n"/>
      <c r="K906" s="88" t="n"/>
      <c r="L906" s="88" t="n"/>
      <c r="M906" s="88" t="n"/>
      <c r="N906" s="88" t="n"/>
      <c r="P906" s="117" t="n"/>
      <c r="Q906" s="117">
        <f>R906*C906</f>
        <v/>
      </c>
      <c r="R906" s="94" t="n">
        <v>1.5</v>
      </c>
      <c r="T906" s="117" t="n"/>
    </row>
    <row r="907">
      <c r="A907" s="89" t="inlineStr">
        <is>
          <t>93802</t>
        </is>
      </c>
      <c r="B907" s="248" t="inlineStr">
        <is>
          <t>CAMPERA CHENILE FRIZA</t>
        </is>
      </c>
      <c r="C907" s="88" t="n">
        <v>75000</v>
      </c>
      <c r="D907" s="88" t="n">
        <v>0</v>
      </c>
      <c r="E907" s="22" t="n">
        <v>0</v>
      </c>
      <c r="F907" s="22" t="n">
        <v>0</v>
      </c>
      <c r="G907" s="22" t="n">
        <v>0</v>
      </c>
      <c r="H907" s="22" t="n">
        <v>0</v>
      </c>
      <c r="I907" s="22" t="n">
        <v>0</v>
      </c>
      <c r="J907" s="22" t="n"/>
      <c r="K907" s="88" t="n"/>
      <c r="L907" s="88" t="n"/>
      <c r="M907" s="88" t="n"/>
      <c r="N907" s="88" t="n"/>
      <c r="P907" s="117" t="n"/>
      <c r="Q907" s="117">
        <f>R907*C907</f>
        <v/>
      </c>
      <c r="R907" s="94" t="n">
        <v>1.5</v>
      </c>
      <c r="T907" s="117" t="n"/>
    </row>
    <row r="908">
      <c r="A908" s="89" t="n"/>
      <c r="B908" s="248" t="n"/>
      <c r="C908" s="88" t="n"/>
      <c r="D908" s="88" t="n"/>
      <c r="E908" s="88" t="n"/>
      <c r="F908" s="88" t="n"/>
      <c r="G908" s="88" t="n"/>
      <c r="H908" s="88" t="n"/>
      <c r="I908" s="88" t="n"/>
      <c r="J908" s="88" t="n"/>
      <c r="K908" s="88" t="n"/>
      <c r="L908" s="88" t="n"/>
      <c r="M908" s="88" t="n"/>
      <c r="N908" s="88" t="n"/>
      <c r="P908" s="117" t="n"/>
      <c r="R908" s="117" t="n"/>
      <c r="T908" s="117" t="n"/>
    </row>
    <row r="909">
      <c r="A909" s="89" t="n"/>
      <c r="B909" s="81" t="inlineStr">
        <is>
          <t>CHALECOS HOMBRE</t>
        </is>
      </c>
      <c r="C909" s="83" t="inlineStr">
        <is>
          <t>1 al 4</t>
        </is>
      </c>
      <c r="D909" s="83" t="n">
        <v>5</v>
      </c>
      <c r="E909" s="83" t="n">
        <v>6</v>
      </c>
      <c r="F909" s="83" t="n">
        <v>7</v>
      </c>
      <c r="G909" s="83" t="n">
        <v>8</v>
      </c>
      <c r="H909" s="83" t="n">
        <v>9</v>
      </c>
      <c r="I909" s="83" t="n">
        <v>10</v>
      </c>
      <c r="J909" s="83" t="n">
        <v>12</v>
      </c>
      <c r="K909" s="83" t="n">
        <v>14</v>
      </c>
      <c r="L909" s="83" t="n">
        <v>16</v>
      </c>
      <c r="M909" s="83" t="n"/>
      <c r="N909" s="89" t="inlineStr">
        <is>
          <t>05/25</t>
        </is>
      </c>
      <c r="P909" s="117" t="n"/>
      <c r="Q909" s="85" t="n"/>
      <c r="R909" s="84" t="n"/>
      <c r="S909" s="85" t="n"/>
      <c r="T909" s="84" t="n"/>
      <c r="U909" s="85" t="n"/>
      <c r="V909" s="85" t="n"/>
      <c r="W909" s="85" t="n"/>
      <c r="X909" s="85" t="n"/>
      <c r="Y909" s="85" t="n"/>
      <c r="Z909" s="85" t="n"/>
      <c r="AA909" s="85" t="n"/>
      <c r="AB909" s="85" t="n"/>
      <c r="AC909" s="85" t="n"/>
      <c r="AD909" s="85" t="n"/>
      <c r="AE909" s="85" t="n"/>
      <c r="AF909" s="85" t="n"/>
      <c r="AG909" s="85" t="n"/>
      <c r="AH909" s="85" t="n"/>
      <c r="AI909" s="85" t="n"/>
      <c r="AJ909" s="85" t="n"/>
      <c r="AK909" s="85" t="n"/>
      <c r="AL909" s="85" t="n"/>
      <c r="AM909" s="85" t="n"/>
      <c r="AN909" s="85" t="n"/>
      <c r="AO909" s="85" t="n"/>
    </row>
    <row r="910">
      <c r="A910" s="89" t="inlineStr">
        <is>
          <t>131</t>
        </is>
      </c>
      <c r="B910" s="248" t="inlineStr">
        <is>
          <t>WELLINGTON CHALECO</t>
        </is>
      </c>
      <c r="C910" s="88" t="n">
        <v>81000</v>
      </c>
      <c r="D910" s="88">
        <f>ROUND((C910*1.06)/100,0)*100</f>
        <v/>
      </c>
      <c r="E910" s="88">
        <f>ROUND((C910*1.15)/100,0)*100</f>
        <v/>
      </c>
      <c r="F910" s="88">
        <f>ROUND((C910*1.23)/100,0)*100</f>
        <v/>
      </c>
      <c r="G910" s="88">
        <f>ROUND((C910*1.29)/100,0)*100</f>
        <v/>
      </c>
      <c r="H910" s="88">
        <f>ROUND((C910*1.35)/100,0)*100</f>
        <v/>
      </c>
      <c r="I910" s="88">
        <f>ROUND((C910*1.39)/100,0)*100</f>
        <v/>
      </c>
      <c r="J910" s="88">
        <f>ROUND((C910*1.39)/100,0)*100</f>
        <v/>
      </c>
      <c r="K910" s="22">
        <f>ROUND((C910*1.43)/100,0)*100</f>
        <v/>
      </c>
      <c r="L910" s="22">
        <f>ROUND((C910*1.43)/100,0)*100</f>
        <v/>
      </c>
      <c r="M910" s="88" t="n"/>
      <c r="N910" s="88" t="n"/>
      <c r="P910" s="117" t="n"/>
      <c r="R910" s="117" t="n"/>
      <c r="S910" s="117">
        <f>T910*C910</f>
        <v/>
      </c>
      <c r="T910" s="99" t="n">
        <v>1.27</v>
      </c>
      <c r="AK910" s="20" t="n"/>
    </row>
    <row r="911">
      <c r="A911" s="89" t="inlineStr">
        <is>
          <t>535</t>
        </is>
      </c>
      <c r="B911" s="248" t="inlineStr">
        <is>
          <t>CHALECO INFLABLE</t>
        </is>
      </c>
      <c r="C911" s="88" t="n">
        <v>81000</v>
      </c>
      <c r="D911" s="88">
        <f>ROUND((C911*1.06)/100,0)*100</f>
        <v/>
      </c>
      <c r="E911" s="88">
        <f>ROUND((C911*1.15)/100,0)*100</f>
        <v/>
      </c>
      <c r="F911" s="88">
        <f>ROUND((C911*1.23)/100,0)*100</f>
        <v/>
      </c>
      <c r="G911" s="88">
        <f>ROUND((C911*1.29)/100,0)*100</f>
        <v/>
      </c>
      <c r="H911" s="88">
        <f>ROUND((C911*1.35)/100,0)*100</f>
        <v/>
      </c>
      <c r="I911" s="88">
        <f>ROUND((C911*1.39)/100,0)*100</f>
        <v/>
      </c>
      <c r="J911" s="88">
        <f>ROUND((C911*1.39)/100,0)*100</f>
        <v/>
      </c>
      <c r="K911" s="22">
        <f>ROUND((C911*1.43)/100,0)*100</f>
        <v/>
      </c>
      <c r="L911" s="22">
        <f>ROUND((C911*1.43)/100,0)*100</f>
        <v/>
      </c>
      <c r="M911" s="88" t="n"/>
      <c r="N911" s="88" t="n"/>
      <c r="P911" s="117" t="n"/>
      <c r="R911" s="117" t="n"/>
      <c r="S911" s="117">
        <f>T911*C911</f>
        <v/>
      </c>
      <c r="T911" s="99" t="n">
        <v>1.27</v>
      </c>
    </row>
    <row r="912">
      <c r="A912" s="89" t="inlineStr">
        <is>
          <t>AER564</t>
        </is>
      </c>
      <c r="B912" s="248" t="inlineStr">
        <is>
          <t>CHALECO POLAR</t>
        </is>
      </c>
      <c r="C912" s="88" t="n">
        <v>59600</v>
      </c>
      <c r="D912" s="88">
        <f>ROUND((C912*1.06)/100,0)*100</f>
        <v/>
      </c>
      <c r="E912" s="88">
        <f>ROUND((C912*1.15)/100,0)*100</f>
        <v/>
      </c>
      <c r="F912" s="88">
        <f>ROUND((C912*1.23)/100,0)*100</f>
        <v/>
      </c>
      <c r="G912" s="88">
        <f>ROUND((C912*1.29)/100,0)*100</f>
        <v/>
      </c>
      <c r="H912" s="88">
        <f>ROUND((C912*1.35)/100,0)*100</f>
        <v/>
      </c>
      <c r="I912" s="88">
        <f>ROUND((C912*1.39)/100,0)*100</f>
        <v/>
      </c>
      <c r="J912" s="88">
        <f>ROUND((C912*1.39)/100,0)*100</f>
        <v/>
      </c>
      <c r="K912" s="22">
        <f>ROUND((C912*1.43)/100,0)*100</f>
        <v/>
      </c>
      <c r="L912" s="22">
        <f>ROUND((C912*1.43)/100,0)*100</f>
        <v/>
      </c>
      <c r="M912" s="88" t="n"/>
      <c r="N912" s="88" t="n"/>
      <c r="P912" s="117" t="n"/>
      <c r="R912" s="117" t="n"/>
      <c r="S912" s="117">
        <f>T912*C912</f>
        <v/>
      </c>
      <c r="T912" s="99" t="n">
        <v>1.27</v>
      </c>
    </row>
    <row r="913">
      <c r="A913" s="89" t="inlineStr">
        <is>
          <t>560</t>
        </is>
      </c>
      <c r="B913" s="248" t="inlineStr">
        <is>
          <t>CHALECO INFLABLE</t>
        </is>
      </c>
      <c r="C913" s="88" t="n">
        <v>55800</v>
      </c>
      <c r="D913" s="88">
        <f>ROUND((C913*1.06)/100,0)*100</f>
        <v/>
      </c>
      <c r="E913" s="88">
        <f>ROUND((C913*1.15)/100,0)*100</f>
        <v/>
      </c>
      <c r="F913" s="88">
        <f>ROUND((C913*1.23)/100,0)*100</f>
        <v/>
      </c>
      <c r="G913" s="88">
        <f>ROUND((C913*1.29)/100,0)*100</f>
        <v/>
      </c>
      <c r="H913" s="88">
        <f>ROUND((C913*1.35)/100,0)*100</f>
        <v/>
      </c>
      <c r="I913" s="88">
        <f>ROUND((C913*1.39)/100,0)*100</f>
        <v/>
      </c>
      <c r="J913" s="88">
        <f>ROUND((C913*1.39)/100,0)*100</f>
        <v/>
      </c>
      <c r="K913" s="22">
        <f>ROUND((C913*1.43)/100,0)*100</f>
        <v/>
      </c>
      <c r="L913" s="22">
        <f>ROUND((C913*1.43)/100,0)*100</f>
        <v/>
      </c>
      <c r="M913" s="88" t="n"/>
      <c r="N913" s="88" t="n"/>
      <c r="P913" s="117" t="n"/>
      <c r="R913" s="117" t="n"/>
      <c r="S913" s="117">
        <f>T913*C913</f>
        <v/>
      </c>
      <c r="T913" s="99" t="n">
        <v>1.27</v>
      </c>
    </row>
    <row r="914">
      <c r="A914" s="89" t="inlineStr">
        <is>
          <t>AER622</t>
        </is>
      </c>
      <c r="B914" s="248" t="inlineStr">
        <is>
          <t>CHALECO AERO</t>
        </is>
      </c>
      <c r="C914" s="88" t="n">
        <v>55800</v>
      </c>
      <c r="D914" s="88">
        <f>ROUND((C914*1.06)/100,0)*100</f>
        <v/>
      </c>
      <c r="E914" s="88">
        <f>ROUND((C914*1.15)/100,0)*100</f>
        <v/>
      </c>
      <c r="F914" s="88">
        <f>ROUND((C914*1.23)/100,0)*100</f>
        <v/>
      </c>
      <c r="G914" s="88">
        <f>ROUND((C914*1.29)/100,0)*100</f>
        <v/>
      </c>
      <c r="H914" s="88">
        <f>ROUND((C914*1.35)/100,0)*100</f>
        <v/>
      </c>
      <c r="I914" s="88">
        <f>ROUND((C914*1.39)/100,0)*100</f>
        <v/>
      </c>
      <c r="J914" s="88">
        <f>ROUND((C914*1.39)/100,0)*100</f>
        <v/>
      </c>
      <c r="K914" s="22">
        <f>ROUND((C914*1.43)/100,0)*100</f>
        <v/>
      </c>
      <c r="L914" s="22">
        <f>ROUND((C914*1.43)/100,0)*100</f>
        <v/>
      </c>
      <c r="M914" s="88" t="n"/>
      <c r="N914" s="88" t="n"/>
      <c r="P914" s="117" t="n"/>
      <c r="R914" s="117" t="n"/>
      <c r="S914" s="117">
        <f>T914*C914</f>
        <v/>
      </c>
      <c r="T914" s="99" t="n">
        <v>1.27</v>
      </c>
    </row>
    <row r="915">
      <c r="A915" s="89" t="inlineStr">
        <is>
          <t>AER709</t>
        </is>
      </c>
      <c r="B915" s="248" t="inlineStr">
        <is>
          <t>AERO CHAL SOFTSHELL PREMIUM</t>
        </is>
      </c>
      <c r="C915" s="88" t="n">
        <v>76200</v>
      </c>
      <c r="D915" s="88">
        <f>ROUND((C915*1.06)/100,0)*100</f>
        <v/>
      </c>
      <c r="E915" s="88">
        <f>ROUND((C915*1.15)/100,0)*100</f>
        <v/>
      </c>
      <c r="F915" s="88">
        <f>ROUND((C915*1.23)/100,0)*100</f>
        <v/>
      </c>
      <c r="G915" s="88">
        <f>ROUND((C915*1.29)/100,0)*100</f>
        <v/>
      </c>
      <c r="H915" s="88">
        <f>ROUND((C915*1.35)/100,0)*100</f>
        <v/>
      </c>
      <c r="I915" s="88">
        <f>ROUND((C915*1.39)/100,0)*100</f>
        <v/>
      </c>
      <c r="J915" s="88">
        <f>ROUND((C915*1.39)/100,0)*100</f>
        <v/>
      </c>
      <c r="K915" s="22">
        <f>ROUND((C915*1.43)/100,0)*100</f>
        <v/>
      </c>
      <c r="L915" s="22">
        <f>ROUND((C915*1.43)/100,0)*100</f>
        <v/>
      </c>
      <c r="M915" s="88" t="n"/>
      <c r="N915" s="88" t="n"/>
      <c r="P915" s="117" t="n"/>
      <c r="R915" s="117" t="n"/>
      <c r="S915" s="117">
        <f>T915*C915</f>
        <v/>
      </c>
      <c r="T915" s="99" t="n">
        <v>1.27</v>
      </c>
    </row>
    <row r="916">
      <c r="A916" s="89" t="inlineStr">
        <is>
          <t>AER746</t>
        </is>
      </c>
      <c r="B916" s="248" t="inlineStr">
        <is>
          <t>AERO CHALECO</t>
        </is>
      </c>
      <c r="C916" s="88" t="n">
        <v>55800</v>
      </c>
      <c r="D916" s="88">
        <f>ROUND((C916*1.06)/100,0)*100</f>
        <v/>
      </c>
      <c r="E916" s="88">
        <f>ROUND((C916*1.15)/100,0)*100</f>
        <v/>
      </c>
      <c r="F916" s="88">
        <f>ROUND((C916*1.23)/100,0)*100</f>
        <v/>
      </c>
      <c r="G916" s="88">
        <f>ROUND((C916*1.29)/100,0)*100</f>
        <v/>
      </c>
      <c r="H916" s="88">
        <f>ROUND((C916*1.35)/100,0)*100</f>
        <v/>
      </c>
      <c r="I916" s="88">
        <f>ROUND((C916*1.39)/100,0)*100</f>
        <v/>
      </c>
      <c r="J916" s="88">
        <f>ROUND((C916*1.39)/100,0)*100</f>
        <v/>
      </c>
      <c r="K916" s="22">
        <f>ROUND((C916*1.43)/100,0)*100</f>
        <v/>
      </c>
      <c r="L916" s="22">
        <f>ROUND((C916*1.43)/100,0)*100</f>
        <v/>
      </c>
      <c r="M916" s="88" t="n"/>
      <c r="N916" s="88" t="n"/>
      <c r="P916" s="117" t="n"/>
      <c r="R916" s="117" t="n"/>
      <c r="S916" s="117">
        <f>T916*C916</f>
        <v/>
      </c>
      <c r="T916" s="99" t="n">
        <v>1.27</v>
      </c>
    </row>
    <row r="917">
      <c r="A917" s="89" t="inlineStr">
        <is>
          <t>1500</t>
        </is>
      </c>
      <c r="B917" s="248" t="inlineStr">
        <is>
          <t>AUTHENTIC JACKET MICROF FORRADO</t>
        </is>
      </c>
      <c r="C917" s="88" t="n">
        <v>83900</v>
      </c>
      <c r="D917" s="88">
        <f>ROUND((C917*1.06)/100,0)*100</f>
        <v/>
      </c>
      <c r="E917" s="88">
        <f>ROUND((C917*1.15)/100,0)*100</f>
        <v/>
      </c>
      <c r="F917" s="88">
        <f>ROUND((C917*1.23)/100,0)*100</f>
        <v/>
      </c>
      <c r="G917" s="88">
        <f>ROUND((C917*1.29)/100,0)*100</f>
        <v/>
      </c>
      <c r="H917" s="88">
        <f>ROUND((C917*1.35)/100,0)*100</f>
        <v/>
      </c>
      <c r="I917" s="88">
        <f>ROUND((C917*1.39)/100,0)*100</f>
        <v/>
      </c>
      <c r="J917" s="88">
        <f>ROUND((C917*1.39)/100,0)*100</f>
        <v/>
      </c>
      <c r="K917" s="22">
        <f>ROUND((C917*1.43)/100,0)*100</f>
        <v/>
      </c>
      <c r="L917" s="22">
        <f>ROUND((C917*1.43)/100,0)*100</f>
        <v/>
      </c>
      <c r="M917" s="88" t="n"/>
      <c r="N917" s="88" t="n"/>
      <c r="P917" s="117" t="n"/>
      <c r="R917" s="117" t="n"/>
      <c r="S917" s="117">
        <f>T917*C917</f>
        <v/>
      </c>
      <c r="T917" s="99" t="n">
        <v>1.27</v>
      </c>
    </row>
    <row r="918">
      <c r="A918" s="89" t="inlineStr">
        <is>
          <t>1501</t>
        </is>
      </c>
      <c r="B918" s="248" t="inlineStr">
        <is>
          <t>TABAKO CHALECO MICROF. C POLAR</t>
        </is>
      </c>
      <c r="C918" s="88" t="n">
        <v>29900</v>
      </c>
      <c r="D918" s="88">
        <f>ROUND((C918*1.06)/100,0)*100</f>
        <v/>
      </c>
      <c r="E918" s="88">
        <f>ROUND((C918*1.15)/100,0)*100</f>
        <v/>
      </c>
      <c r="F918" s="88">
        <f>ROUND((C918*1.23)/100,0)*100</f>
        <v/>
      </c>
      <c r="G918" s="88">
        <f>ROUND((C918*1.29)/100,0)*100</f>
        <v/>
      </c>
      <c r="H918" s="88">
        <f>ROUND((C918*1.35)/100,0)*100</f>
        <v/>
      </c>
      <c r="I918" s="88">
        <f>ROUND((C918*1.39)/100,0)*100</f>
        <v/>
      </c>
      <c r="J918" s="88">
        <f>ROUND((C918*1.39)/100,0)*100</f>
        <v/>
      </c>
      <c r="K918" s="22">
        <f>ROUND((C918*1.43)/100,0)*100</f>
        <v/>
      </c>
      <c r="L918" s="22">
        <f>ROUND((C918*1.43)/100,0)*100</f>
        <v/>
      </c>
      <c r="M918" s="88" t="n"/>
      <c r="N918" s="88" t="n"/>
      <c r="P918" s="117" t="n"/>
      <c r="R918" s="117" t="n"/>
      <c r="S918" s="117">
        <f>T918*C918</f>
        <v/>
      </c>
      <c r="T918" s="99" t="n">
        <v>1.27</v>
      </c>
    </row>
    <row r="919">
      <c r="A919" s="89" t="inlineStr">
        <is>
          <t>1502</t>
        </is>
      </c>
      <c r="B919" s="248" t="inlineStr">
        <is>
          <t>42 FT CHALECO CAMPERA</t>
        </is>
      </c>
      <c r="C919" s="88" t="n">
        <v>55900</v>
      </c>
      <c r="D919" s="88">
        <f>ROUND((C919*1.06)/100,0)*100</f>
        <v/>
      </c>
      <c r="E919" s="88">
        <f>ROUND((C919*1.15)/100,0)*100</f>
        <v/>
      </c>
      <c r="F919" s="88">
        <f>ROUND((C919*1.23)/100,0)*100</f>
        <v/>
      </c>
      <c r="G919" s="88">
        <f>ROUND((C919*1.29)/100,0)*100</f>
        <v/>
      </c>
      <c r="H919" s="88">
        <f>ROUND((C919*1.35)/100,0)*100</f>
        <v/>
      </c>
      <c r="I919" s="88">
        <f>ROUND((C919*1.39)/100,0)*100</f>
        <v/>
      </c>
      <c r="J919" s="88">
        <f>ROUND((C919*1.39)/100,0)*100</f>
        <v/>
      </c>
      <c r="K919" s="22">
        <f>ROUND((C919*1.43)/100,0)*100</f>
        <v/>
      </c>
      <c r="L919" s="22">
        <f>ROUND((C919*1.43)/100,0)*100</f>
        <v/>
      </c>
      <c r="M919" s="88" t="n"/>
      <c r="N919" s="88" t="n"/>
      <c r="P919" s="117" t="n"/>
      <c r="R919" s="117" t="n"/>
      <c r="S919" s="117">
        <f>T919*C919</f>
        <v/>
      </c>
      <c r="T919" s="99" t="n">
        <v>1.27</v>
      </c>
    </row>
    <row r="920">
      <c r="A920" s="89" t="inlineStr">
        <is>
          <t>1503</t>
        </is>
      </c>
      <c r="B920" s="248" t="inlineStr">
        <is>
          <t>NEW DAY CHALECO</t>
        </is>
      </c>
      <c r="C920" s="88" t="n">
        <v>55900</v>
      </c>
      <c r="D920" s="88">
        <f>ROUND((C920*1.06)/100,0)*100</f>
        <v/>
      </c>
      <c r="E920" s="88">
        <f>ROUND((C920*1.15)/100,0)*100</f>
        <v/>
      </c>
      <c r="F920" s="88">
        <f>ROUND((C920*1.23)/100,0)*100</f>
        <v/>
      </c>
      <c r="G920" s="88">
        <f>ROUND((C920*1.29)/100,0)*100</f>
        <v/>
      </c>
      <c r="H920" s="88">
        <f>ROUND((C920*1.35)/100,0)*100</f>
        <v/>
      </c>
      <c r="I920" s="88">
        <f>ROUND((C920*1.39)/100,0)*100</f>
        <v/>
      </c>
      <c r="J920" s="88">
        <f>ROUND((C920*1.39)/100,0)*100</f>
        <v/>
      </c>
      <c r="K920" s="22">
        <f>ROUND((C920*1.43)/100,0)*100</f>
        <v/>
      </c>
      <c r="L920" s="22">
        <f>ROUND((C920*1.43)/100,0)*100</f>
        <v/>
      </c>
      <c r="M920" s="88" t="n"/>
      <c r="N920" s="88" t="n"/>
      <c r="P920" s="117" t="n"/>
      <c r="R920" s="117" t="n"/>
      <c r="S920" s="117">
        <f>T920*C920</f>
        <v/>
      </c>
      <c r="T920" s="99" t="n">
        <v>1.27</v>
      </c>
    </row>
    <row r="921">
      <c r="A921" s="89" t="inlineStr">
        <is>
          <t>1504</t>
        </is>
      </c>
      <c r="B921" s="248" t="inlineStr">
        <is>
          <t>42 FT CHALECO LISO</t>
        </is>
      </c>
      <c r="C921" s="88" t="n">
        <v>52300</v>
      </c>
      <c r="D921" s="88">
        <f>ROUND((C921*1.06)/100,0)*100</f>
        <v/>
      </c>
      <c r="E921" s="88">
        <f>ROUND((C921*1.15)/100,0)*100</f>
        <v/>
      </c>
      <c r="F921" s="88">
        <f>ROUND((C921*1.23)/100,0)*100</f>
        <v/>
      </c>
      <c r="G921" s="88">
        <f>ROUND((C921*1.29)/100,0)*100</f>
        <v/>
      </c>
      <c r="H921" s="88">
        <f>ROUND((C921*1.35)/100,0)*100</f>
        <v/>
      </c>
      <c r="I921" s="88">
        <f>ROUND((C921*1.39)/100,0)*100</f>
        <v/>
      </c>
      <c r="J921" s="88">
        <f>ROUND((C921*1.39)/100,0)*100</f>
        <v/>
      </c>
      <c r="K921" s="22">
        <f>ROUND((C921*1.43)/100,0)*100</f>
        <v/>
      </c>
      <c r="L921" s="22">
        <f>ROUND((C921*1.43)/100,0)*100</f>
        <v/>
      </c>
      <c r="M921" s="88" t="n"/>
      <c r="N921" s="88" t="n"/>
      <c r="P921" s="117" t="n"/>
      <c r="R921" s="117" t="n"/>
      <c r="S921" s="117">
        <f>T921*C921</f>
        <v/>
      </c>
      <c r="T921" s="99" t="n">
        <v>1.27</v>
      </c>
    </row>
    <row r="922">
      <c r="A922" s="89" t="inlineStr">
        <is>
          <t>1505</t>
        </is>
      </c>
      <c r="B922" s="248" t="inlineStr">
        <is>
          <t>SHAFFE CHALECO INFLABLE</t>
        </is>
      </c>
      <c r="C922" s="88" t="n">
        <v>52400</v>
      </c>
      <c r="D922" s="88">
        <f>ROUND((C922*1.06)/100,0)*100</f>
        <v/>
      </c>
      <c r="E922" s="88">
        <f>ROUND((C922*1.15)/100,0)*100</f>
        <v/>
      </c>
      <c r="F922" s="88">
        <f>ROUND((C922*1.23)/100,0)*100</f>
        <v/>
      </c>
      <c r="G922" s="88">
        <f>ROUND((C922*1.29)/100,0)*100</f>
        <v/>
      </c>
      <c r="H922" s="88">
        <f>ROUND((C922*1.35)/100,0)*100</f>
        <v/>
      </c>
      <c r="I922" s="88">
        <f>ROUND((C922*1.39)/100,0)*100</f>
        <v/>
      </c>
      <c r="J922" s="88">
        <f>ROUND((C922*1.39)/100,0)*100</f>
        <v/>
      </c>
      <c r="K922" s="22">
        <f>ROUND((C922*1.43)/100,0)*100</f>
        <v/>
      </c>
      <c r="L922" s="22">
        <f>ROUND((C922*1.43)/100,0)*100</f>
        <v/>
      </c>
      <c r="M922" s="88" t="n"/>
      <c r="N922" s="88" t="n"/>
      <c r="P922" s="117" t="n"/>
      <c r="R922" s="117" t="n"/>
      <c r="S922" s="117">
        <f>T922*C922</f>
        <v/>
      </c>
      <c r="T922" s="99" t="n">
        <v>1.27</v>
      </c>
    </row>
    <row r="923">
      <c r="A923" s="89" t="inlineStr">
        <is>
          <t>15061</t>
        </is>
      </c>
      <c r="B923" s="248" t="inlineStr">
        <is>
          <t>BOOTY CHALECO INFLABLE</t>
        </is>
      </c>
      <c r="C923" s="88" t="n">
        <v>119100</v>
      </c>
      <c r="D923" s="88">
        <f>ROUND((C923*1.06)/100,0)*100</f>
        <v/>
      </c>
      <c r="E923" s="88">
        <f>ROUND((C923*1.15)/100,0)*100</f>
        <v/>
      </c>
      <c r="F923" s="88">
        <f>ROUND((C923*1.23)/100,0)*100</f>
        <v/>
      </c>
      <c r="G923" s="88">
        <f>ROUND((C923*1.29)/100,0)*100</f>
        <v/>
      </c>
      <c r="H923" s="88">
        <f>ROUND((C923*1.35)/100,0)*100</f>
        <v/>
      </c>
      <c r="I923" s="88">
        <f>ROUND((C923*1.39)/100,0)*100</f>
        <v/>
      </c>
      <c r="J923" s="88">
        <f>ROUND((C923*1.39)/100,0)*100</f>
        <v/>
      </c>
      <c r="K923" s="22">
        <f>ROUND((C923*1.43)/100,0)*100</f>
        <v/>
      </c>
      <c r="L923" s="22">
        <f>ROUND((C923*1.43)/100,0)*100</f>
        <v/>
      </c>
      <c r="M923" s="88" t="n"/>
      <c r="N923" s="88" t="n"/>
      <c r="P923" s="117" t="n"/>
      <c r="R923" s="117" t="n"/>
      <c r="S923" s="117">
        <f>T923*C923</f>
        <v/>
      </c>
      <c r="T923" s="99" t="n">
        <v>1.27</v>
      </c>
    </row>
    <row r="924">
      <c r="A924" s="89" t="inlineStr">
        <is>
          <t>15062</t>
        </is>
      </c>
      <c r="B924" s="248" t="inlineStr">
        <is>
          <t>CHALECO LARGO INFLABLE</t>
        </is>
      </c>
      <c r="C924" s="88" t="n">
        <v>125000</v>
      </c>
      <c r="D924" s="88">
        <f>ROUND((C924*1.06)/100,0)*100</f>
        <v/>
      </c>
      <c r="E924" s="88">
        <f>ROUND((C924*1.15)/100,0)*100</f>
        <v/>
      </c>
      <c r="F924" s="88">
        <f>ROUND((C924*1.23)/100,0)*100</f>
        <v/>
      </c>
      <c r="G924" s="88">
        <f>ROUND((C924*1.29)/100,0)*100</f>
        <v/>
      </c>
      <c r="H924" s="88">
        <f>ROUND((C924*1.35)/100,0)*100</f>
        <v/>
      </c>
      <c r="I924" s="88">
        <f>ROUND((C924*1.39)/100,0)*100</f>
        <v/>
      </c>
      <c r="J924" s="88">
        <f>ROUND((C924*1.39)/100,0)*100</f>
        <v/>
      </c>
      <c r="K924" s="22">
        <f>ROUND((C924*1.43)/100,0)*100</f>
        <v/>
      </c>
      <c r="L924" s="22">
        <f>ROUND((C924*1.43)/100,0)*100</f>
        <v/>
      </c>
      <c r="M924" s="88" t="n"/>
      <c r="N924" s="88" t="n"/>
      <c r="P924" s="117" t="n"/>
      <c r="R924" s="117" t="n"/>
      <c r="S924" s="117">
        <f>T924*C924</f>
        <v/>
      </c>
      <c r="T924" s="99" t="n">
        <v>1.27</v>
      </c>
    </row>
    <row r="925">
      <c r="A925" s="89" t="inlineStr">
        <is>
          <t>2490</t>
        </is>
      </c>
      <c r="B925" s="248" t="inlineStr">
        <is>
          <t>M. POINT CHALECO POLAR</t>
        </is>
      </c>
      <c r="C925" s="88" t="n">
        <v>38300</v>
      </c>
      <c r="D925" s="88">
        <f>ROUND((C925*1.06)/100,0)*100</f>
        <v/>
      </c>
      <c r="E925" s="88">
        <f>ROUND((C925*1.15)/100,0)*100</f>
        <v/>
      </c>
      <c r="F925" s="88">
        <f>ROUND((C925*1.23)/100,0)*100</f>
        <v/>
      </c>
      <c r="G925" s="88">
        <f>ROUND((C925*1.29)/100,0)*100</f>
        <v/>
      </c>
      <c r="H925" s="88">
        <f>ROUND((C925*1.35)/100,0)*100</f>
        <v/>
      </c>
      <c r="I925" s="88">
        <f>ROUND((C925*1.39)/100,0)*100</f>
        <v/>
      </c>
      <c r="J925" s="88">
        <f>ROUND((C925*1.39)/100,0)*100</f>
        <v/>
      </c>
      <c r="K925" s="22">
        <f>ROUND((C925*1.43)/100,0)*100</f>
        <v/>
      </c>
      <c r="L925" s="22">
        <f>ROUND((C925*1.43)/100,0)*100</f>
        <v/>
      </c>
      <c r="M925" s="88" t="n"/>
      <c r="N925" s="88" t="n"/>
      <c r="P925" s="117" t="n"/>
      <c r="R925" s="117" t="n"/>
      <c r="S925" s="117">
        <f>T925*C925</f>
        <v/>
      </c>
      <c r="T925" s="99" t="n">
        <v>1.27</v>
      </c>
    </row>
    <row r="926">
      <c r="A926" s="89" t="inlineStr">
        <is>
          <t>20213</t>
        </is>
      </c>
      <c r="B926" s="248" t="inlineStr">
        <is>
          <t>CHALECO MCKAY</t>
        </is>
      </c>
      <c r="C926" s="88" t="n">
        <v>35900</v>
      </c>
      <c r="D926" s="88">
        <f>ROUND((C926*1.06)/100,0)*100</f>
        <v/>
      </c>
      <c r="E926" s="88">
        <f>ROUND((C926*1.15)/100,0)*100</f>
        <v/>
      </c>
      <c r="F926" s="88">
        <f>ROUND((C926*1.23)/100,0)*100</f>
        <v/>
      </c>
      <c r="G926" s="88">
        <f>ROUND((C926*1.29)/100,0)*100</f>
        <v/>
      </c>
      <c r="H926" s="88">
        <f>ROUND((C926*1.35)/100,0)*100</f>
        <v/>
      </c>
      <c r="I926" s="88">
        <f>ROUND((C926*1.39)/100,0)*100</f>
        <v/>
      </c>
      <c r="J926" s="88">
        <f>ROUND((C926*1.39)/100,0)*100</f>
        <v/>
      </c>
      <c r="K926" s="22">
        <f>ROUND((C926*1.43)/100,0)*100</f>
        <v/>
      </c>
      <c r="L926" s="22">
        <f>ROUND((C926*1.43)/100,0)*100</f>
        <v/>
      </c>
      <c r="M926" s="88" t="n"/>
      <c r="N926" s="88" t="n"/>
      <c r="P926" s="117" t="n"/>
      <c r="R926" s="117" t="n"/>
      <c r="S926" s="117">
        <f>T926*C926</f>
        <v/>
      </c>
      <c r="T926" s="99" t="n">
        <v>1.27</v>
      </c>
    </row>
    <row r="927">
      <c r="A927" s="89" t="inlineStr">
        <is>
          <t>03122XXX</t>
        </is>
      </c>
      <c r="B927" s="248" t="inlineStr">
        <is>
          <t>TAVERNITI CHALECO</t>
        </is>
      </c>
      <c r="C927" s="88" t="n">
        <v>113500</v>
      </c>
      <c r="D927" s="170" t="n"/>
      <c r="E927" s="170" t="n"/>
      <c r="F927" s="170" t="n"/>
      <c r="G927" s="170" t="n"/>
      <c r="H927" s="170" t="n"/>
      <c r="I927" s="170" t="n"/>
      <c r="J927" s="170" t="n"/>
      <c r="K927" s="170" t="n"/>
      <c r="L927" s="170" t="n"/>
      <c r="M927" s="170" t="n"/>
      <c r="N927" s="170" t="n"/>
      <c r="O927" s="30" t="n"/>
      <c r="P927" s="170" t="n"/>
      <c r="Q927" s="30" t="n"/>
      <c r="R927" s="170" t="n"/>
      <c r="S927" s="150">
        <f>T927*C927</f>
        <v/>
      </c>
      <c r="T927" s="99" t="n">
        <v>1.27</v>
      </c>
      <c r="U927" s="30" t="n"/>
      <c r="V927" s="30" t="n"/>
      <c r="W927" s="30" t="n"/>
      <c r="X927" s="30" t="n"/>
      <c r="Y927" s="30" t="n"/>
      <c r="Z927" s="30" t="n"/>
      <c r="AA927" s="30" t="n"/>
      <c r="AB927" s="30" t="n"/>
      <c r="AC927" s="30" t="n"/>
      <c r="AD927" s="30" t="n"/>
      <c r="AE927" s="30" t="n"/>
      <c r="AF927" s="30" t="n"/>
      <c r="AG927" s="30" t="n"/>
      <c r="AH927" s="30" t="n"/>
      <c r="AI927" s="30" t="n"/>
      <c r="AJ927" s="30" t="n"/>
      <c r="AK927" s="30" t="n"/>
      <c r="AL927" s="30" t="n"/>
      <c r="AM927" s="30" t="n"/>
      <c r="AN927" s="30" t="n"/>
      <c r="AO927" s="30" t="n"/>
    </row>
    <row r="928">
      <c r="A928" s="89" t="inlineStr">
        <is>
          <t>3132XXX</t>
        </is>
      </c>
      <c r="B928" s="248" t="inlineStr">
        <is>
          <t>TAVERNITI CHALECO</t>
        </is>
      </c>
      <c r="C928" s="88" t="n">
        <v>132300</v>
      </c>
      <c r="D928" s="88" t="n"/>
      <c r="E928" s="88" t="n"/>
      <c r="F928" s="88" t="n"/>
      <c r="G928" s="88" t="n"/>
      <c r="H928" s="88" t="n"/>
      <c r="I928" s="88" t="n"/>
      <c r="J928" s="88" t="n"/>
      <c r="K928" s="22" t="n"/>
      <c r="L928" s="22" t="n"/>
      <c r="M928" s="88" t="n"/>
      <c r="N928" s="88" t="n"/>
      <c r="P928" s="117" t="n"/>
      <c r="R928" s="117" t="n"/>
      <c r="S928" s="117">
        <f>T928*C928</f>
        <v/>
      </c>
      <c r="T928" s="99" t="n">
        <v>1.27</v>
      </c>
    </row>
    <row r="929">
      <c r="A929" s="89" t="inlineStr">
        <is>
          <t>XXX</t>
        </is>
      </c>
      <c r="B929" s="248" t="inlineStr">
        <is>
          <t>TAVERNITI CHALECO</t>
        </is>
      </c>
      <c r="C929" s="88" t="n">
        <v>141800</v>
      </c>
      <c r="D929" s="88" t="n"/>
      <c r="E929" s="88" t="n"/>
      <c r="F929" s="88" t="n"/>
      <c r="G929" s="88" t="n"/>
      <c r="H929" s="88" t="n"/>
      <c r="I929" s="88" t="n"/>
      <c r="J929" s="88" t="n"/>
      <c r="K929" s="22" t="n"/>
      <c r="L929" s="22" t="n"/>
      <c r="M929" s="88" t="n"/>
      <c r="N929" s="88" t="n"/>
      <c r="P929" s="117" t="n"/>
      <c r="R929" s="117" t="n"/>
      <c r="S929" s="117">
        <f>T929*C929</f>
        <v/>
      </c>
      <c r="T929" s="99" t="n">
        <v>1.27</v>
      </c>
    </row>
    <row r="930">
      <c r="A930" s="89" t="inlineStr">
        <is>
          <t>3646XXX</t>
        </is>
      </c>
      <c r="B930" s="248" t="inlineStr">
        <is>
          <t>TAVERNITI CHALECO</t>
        </is>
      </c>
      <c r="C930" s="88" t="n">
        <v>133100</v>
      </c>
      <c r="D930" s="88" t="n"/>
      <c r="E930" s="88" t="n"/>
      <c r="F930" s="88" t="n"/>
      <c r="G930" s="88" t="n"/>
      <c r="H930" s="88" t="n"/>
      <c r="I930" s="88" t="n"/>
      <c r="J930" s="88" t="n"/>
      <c r="K930" s="22" t="n"/>
      <c r="L930" s="22" t="n"/>
      <c r="M930" s="88" t="n"/>
      <c r="N930" s="88" t="n"/>
      <c r="P930" s="117" t="n"/>
      <c r="R930" s="117" t="n"/>
      <c r="S930" s="117">
        <f>T930*C930</f>
        <v/>
      </c>
      <c r="T930" s="99" t="n">
        <v>1.27</v>
      </c>
    </row>
    <row r="931">
      <c r="A931" s="89" t="inlineStr">
        <is>
          <t>4234XXX</t>
        </is>
      </c>
      <c r="B931" s="248" t="inlineStr">
        <is>
          <t>TAVERNITI CHALECO</t>
        </is>
      </c>
      <c r="C931" s="88" t="n">
        <v>96400</v>
      </c>
      <c r="D931" s="88" t="n"/>
      <c r="E931" s="88" t="n"/>
      <c r="F931" s="88" t="n"/>
      <c r="G931" s="88" t="n"/>
      <c r="H931" s="88" t="n"/>
      <c r="I931" s="88" t="n"/>
      <c r="J931" s="88" t="n"/>
      <c r="K931" s="22" t="n"/>
      <c r="L931" s="22" t="n"/>
      <c r="M931" s="88" t="n"/>
      <c r="N931" s="88" t="n"/>
      <c r="P931" s="117" t="n"/>
      <c r="R931" s="117" t="n"/>
      <c r="S931" s="117">
        <f>T931*C931</f>
        <v/>
      </c>
      <c r="T931" s="99" t="n">
        <v>1.27</v>
      </c>
    </row>
    <row r="932">
      <c r="A932" s="89" t="inlineStr">
        <is>
          <t>11280XXX</t>
        </is>
      </c>
      <c r="B932" s="248" t="inlineStr">
        <is>
          <t>TAVERNITI CHALECO</t>
        </is>
      </c>
      <c r="C932" s="88" t="n">
        <v>153700</v>
      </c>
      <c r="D932" s="88" t="n"/>
      <c r="E932" s="88" t="n"/>
      <c r="F932" s="88" t="n"/>
      <c r="G932" s="88" t="n"/>
      <c r="H932" s="88" t="n"/>
      <c r="I932" s="88" t="n"/>
      <c r="J932" s="88" t="n"/>
      <c r="K932" s="22" t="n"/>
      <c r="L932" s="22" t="n"/>
      <c r="M932" s="88" t="n"/>
      <c r="N932" s="88" t="n"/>
      <c r="P932" s="117" t="n"/>
      <c r="R932" s="117" t="n"/>
      <c r="S932" s="117">
        <f>T932*C932</f>
        <v/>
      </c>
      <c r="T932" s="99" t="n">
        <v>1.27</v>
      </c>
    </row>
    <row r="933">
      <c r="A933" s="89" t="inlineStr">
        <is>
          <t>13698XXX</t>
        </is>
      </c>
      <c r="B933" s="248" t="inlineStr">
        <is>
          <t>TAVERNITI CHALECO</t>
        </is>
      </c>
      <c r="C933" s="88" t="n">
        <v>109500</v>
      </c>
      <c r="D933" s="170" t="n"/>
      <c r="E933" s="170" t="n"/>
      <c r="F933" s="170" t="n"/>
      <c r="G933" s="170" t="n"/>
      <c r="H933" s="170" t="n"/>
      <c r="I933" s="170" t="n"/>
      <c r="J933" s="170" t="n"/>
      <c r="K933" s="170" t="n"/>
      <c r="L933" s="170" t="n"/>
      <c r="M933" s="170" t="n"/>
      <c r="N933" s="170" t="n"/>
      <c r="O933" s="30" t="n"/>
      <c r="P933" s="170" t="n"/>
      <c r="Q933" s="30" t="n"/>
      <c r="R933" s="170" t="n"/>
      <c r="S933" s="150">
        <f>T933*C933</f>
        <v/>
      </c>
      <c r="T933" s="99" t="n">
        <v>1.27</v>
      </c>
      <c r="U933" s="30" t="n"/>
      <c r="V933" s="30" t="n"/>
      <c r="W933" s="30" t="n"/>
      <c r="X933" s="30" t="n"/>
      <c r="Y933" s="30" t="n"/>
      <c r="Z933" s="30" t="n"/>
      <c r="AA933" s="30" t="n"/>
      <c r="AB933" s="30" t="n"/>
      <c r="AC933" s="30" t="n"/>
      <c r="AD933" s="30" t="n"/>
      <c r="AE933" s="30" t="n"/>
      <c r="AF933" s="30" t="n"/>
      <c r="AG933" s="30" t="n"/>
      <c r="AH933" s="30" t="n"/>
      <c r="AI933" s="30" t="n"/>
      <c r="AJ933" s="30" t="n"/>
      <c r="AK933" s="30" t="n"/>
      <c r="AL933" s="30" t="n"/>
      <c r="AM933" s="30" t="n"/>
      <c r="AN933" s="30" t="n"/>
      <c r="AO933" s="30" t="n"/>
    </row>
    <row r="934">
      <c r="A934" s="89" t="inlineStr">
        <is>
          <t>13706XXX</t>
        </is>
      </c>
      <c r="B934" s="248" t="inlineStr">
        <is>
          <t>TAVERNITI CHALECO</t>
        </is>
      </c>
      <c r="C934" s="88" t="n">
        <v>109500</v>
      </c>
      <c r="D934" s="170" t="n"/>
      <c r="E934" s="170" t="n"/>
      <c r="F934" s="170" t="n"/>
      <c r="G934" s="170" t="n"/>
      <c r="H934" s="170" t="n"/>
      <c r="I934" s="170" t="n"/>
      <c r="J934" s="170" t="n"/>
      <c r="K934" s="170" t="n"/>
      <c r="L934" s="170" t="n"/>
      <c r="M934" s="170" t="n"/>
      <c r="N934" s="170" t="n"/>
      <c r="O934" s="30" t="n"/>
      <c r="P934" s="170" t="n"/>
      <c r="Q934" s="30" t="n"/>
      <c r="R934" s="170" t="n"/>
      <c r="S934" s="150">
        <f>T934*C934</f>
        <v/>
      </c>
      <c r="T934" s="99" t="n">
        <v>1.27</v>
      </c>
      <c r="U934" s="30" t="n"/>
      <c r="V934" s="30" t="n"/>
      <c r="W934" s="30" t="n"/>
      <c r="X934" s="30" t="n"/>
      <c r="Y934" s="30" t="n"/>
      <c r="Z934" s="30" t="n"/>
      <c r="AA934" s="30" t="n"/>
      <c r="AB934" s="30" t="n"/>
      <c r="AC934" s="30" t="n"/>
      <c r="AD934" s="30" t="n"/>
      <c r="AE934" s="30" t="n"/>
      <c r="AF934" s="30" t="n"/>
      <c r="AG934" s="30" t="n"/>
      <c r="AH934" s="30" t="n"/>
      <c r="AI934" s="30" t="n"/>
      <c r="AJ934" s="30" t="n"/>
      <c r="AK934" s="30" t="n"/>
      <c r="AL934" s="30" t="n"/>
      <c r="AM934" s="30" t="n"/>
      <c r="AN934" s="30" t="n"/>
      <c r="AO934" s="30" t="n"/>
    </row>
    <row r="935">
      <c r="A935" s="89" t="inlineStr">
        <is>
          <t>14702XXX</t>
        </is>
      </c>
      <c r="B935" s="248" t="inlineStr">
        <is>
          <t>TAVERNITI CHALECO</t>
        </is>
      </c>
      <c r="C935" s="88" t="n">
        <v>97900</v>
      </c>
      <c r="D935" s="88" t="n"/>
      <c r="E935" s="88" t="n"/>
      <c r="F935" s="88" t="n"/>
      <c r="G935" s="88" t="n"/>
      <c r="H935" s="88" t="n"/>
      <c r="I935" s="88" t="n"/>
      <c r="J935" s="88" t="n"/>
      <c r="K935" s="22" t="n"/>
      <c r="L935" s="22" t="n"/>
      <c r="M935" s="88" t="n"/>
      <c r="N935" s="88" t="n"/>
      <c r="P935" s="117" t="n"/>
      <c r="R935" s="117" t="n"/>
      <c r="S935" s="117">
        <f>T935*C935</f>
        <v/>
      </c>
      <c r="T935" s="99" t="n">
        <v>1.27</v>
      </c>
    </row>
    <row r="936">
      <c r="A936" s="89" t="inlineStr">
        <is>
          <t>14706XXX</t>
        </is>
      </c>
      <c r="B936" s="248" t="inlineStr">
        <is>
          <t>TAVERNITI CHALECO</t>
        </is>
      </c>
      <c r="C936" s="88" t="n">
        <v>137800</v>
      </c>
      <c r="D936" s="88" t="n"/>
      <c r="E936" s="88" t="n"/>
      <c r="F936" s="88" t="n"/>
      <c r="G936" s="88" t="n"/>
      <c r="H936" s="88" t="n"/>
      <c r="I936" s="88" t="n"/>
      <c r="J936" s="88" t="n"/>
      <c r="K936" s="22" t="n"/>
      <c r="L936" s="22" t="n"/>
      <c r="M936" s="88" t="n"/>
      <c r="N936" s="88" t="n"/>
      <c r="P936" s="117" t="n"/>
      <c r="R936" s="117" t="n"/>
      <c r="S936" s="117">
        <f>T936*C936</f>
        <v/>
      </c>
      <c r="T936" s="99" t="n">
        <v>1.27</v>
      </c>
    </row>
    <row r="937">
      <c r="A937" s="89" t="inlineStr">
        <is>
          <t>606060X</t>
        </is>
      </c>
      <c r="B937" s="248" t="inlineStr">
        <is>
          <t>TAVERNITI CHALECO</t>
        </is>
      </c>
      <c r="C937" s="88" t="n">
        <v>155400</v>
      </c>
      <c r="D937" s="88" t="n"/>
      <c r="E937" s="88" t="n"/>
      <c r="F937" s="88" t="n"/>
      <c r="G937" s="88" t="n"/>
      <c r="H937" s="88" t="n"/>
      <c r="I937" s="88" t="n"/>
      <c r="J937" s="88" t="n"/>
      <c r="K937" s="22" t="n"/>
      <c r="L937" s="22" t="n"/>
      <c r="M937" s="88" t="n"/>
      <c r="N937" s="88" t="n"/>
      <c r="P937" s="117" t="n"/>
      <c r="R937" s="117" t="n"/>
      <c r="S937" s="117">
        <f>T937*C937</f>
        <v/>
      </c>
      <c r="T937" s="99" t="n">
        <v>1.27</v>
      </c>
    </row>
    <row r="938">
      <c r="A938" s="89" t="inlineStr">
        <is>
          <t>502060</t>
        </is>
      </c>
      <c r="B938" s="248" t="inlineStr">
        <is>
          <t>CHALECO UNISEX</t>
        </is>
      </c>
      <c r="C938" s="88" t="n">
        <v>59000</v>
      </c>
      <c r="D938" s="88" t="n"/>
      <c r="E938" s="88" t="n"/>
      <c r="F938" s="88" t="n"/>
      <c r="G938" s="88" t="n"/>
      <c r="H938" s="88" t="n"/>
      <c r="I938" s="88" t="n"/>
      <c r="J938" s="88" t="n"/>
      <c r="K938" s="22" t="n"/>
      <c r="L938" s="22" t="n"/>
      <c r="M938" s="88" t="n"/>
      <c r="N938" s="88" t="n"/>
      <c r="P938" s="117" t="n"/>
      <c r="R938" s="117" t="n"/>
      <c r="S938" s="117">
        <f>T938*C938</f>
        <v/>
      </c>
      <c r="T938" s="99" t="n">
        <v>1.27</v>
      </c>
    </row>
    <row r="939">
      <c r="A939" s="89" t="n"/>
      <c r="B939" s="248" t="n"/>
      <c r="C939" s="22" t="n"/>
      <c r="D939" s="88" t="n"/>
      <c r="E939" s="88" t="n"/>
      <c r="F939" s="88" t="n"/>
      <c r="G939" s="88" t="n"/>
      <c r="H939" s="88" t="n"/>
      <c r="I939" s="88" t="n"/>
      <c r="J939" s="88" t="n"/>
      <c r="K939" s="22" t="n"/>
      <c r="L939" s="22" t="n"/>
      <c r="M939" s="88" t="n"/>
      <c r="N939" s="88" t="n"/>
      <c r="P939" s="117" t="n"/>
      <c r="R939" s="117" t="n"/>
      <c r="T939" s="117" t="n"/>
    </row>
    <row r="940">
      <c r="A940" s="80" t="n"/>
      <c r="B940" s="81" t="inlineStr">
        <is>
          <t>CHALECOS TEJIDOS</t>
        </is>
      </c>
      <c r="C940" s="83" t="inlineStr">
        <is>
          <t>1 al 4</t>
        </is>
      </c>
      <c r="D940" s="83" t="n">
        <v>5</v>
      </c>
      <c r="E940" s="83" t="n">
        <v>6</v>
      </c>
      <c r="F940" s="83" t="n">
        <v>7</v>
      </c>
      <c r="G940" s="83" t="n">
        <v>8</v>
      </c>
      <c r="H940" s="83" t="n">
        <v>9</v>
      </c>
      <c r="I940" s="83" t="n">
        <v>10</v>
      </c>
      <c r="J940" s="83" t="n">
        <v>12</v>
      </c>
      <c r="K940" s="83" t="n">
        <v>14</v>
      </c>
      <c r="L940" s="83" t="n">
        <v>16</v>
      </c>
      <c r="M940" s="83" t="n"/>
      <c r="N940" s="80" t="inlineStr">
        <is>
          <t>03/24</t>
        </is>
      </c>
      <c r="P940" s="117" t="n"/>
      <c r="Q940" s="85" t="n"/>
      <c r="R940" s="84" t="n"/>
      <c r="S940" s="85" t="n"/>
      <c r="T940" s="84" t="n"/>
      <c r="U940" s="85" t="n"/>
      <c r="V940" s="85" t="n"/>
      <c r="W940" s="85" t="n"/>
      <c r="X940" s="85" t="n"/>
      <c r="Y940" s="85" t="n"/>
      <c r="Z940" s="85" t="n"/>
      <c r="AA940" s="85" t="n"/>
      <c r="AB940" s="85" t="n"/>
      <c r="AC940" s="85" t="n"/>
      <c r="AD940" s="85" t="n"/>
      <c r="AE940" s="85" t="n"/>
      <c r="AF940" s="85" t="n"/>
      <c r="AG940" s="85" t="n"/>
      <c r="AH940" s="85" t="n"/>
      <c r="AI940" s="85" t="n"/>
      <c r="AJ940" s="85" t="n"/>
      <c r="AK940" s="85" t="n"/>
      <c r="AL940" s="85" t="n"/>
      <c r="AM940" s="85" t="n"/>
      <c r="AN940" s="85" t="n"/>
      <c r="AO940" s="85" t="n"/>
    </row>
    <row r="941">
      <c r="A941" s="89" t="n"/>
      <c r="B941" s="248" t="inlineStr">
        <is>
          <t>AERO CLASICO LISO</t>
        </is>
      </c>
      <c r="C941" s="88" t="n">
        <v>26400</v>
      </c>
      <c r="D941" s="88">
        <f>ROUND((C941*1.06)/100,0)*100</f>
        <v/>
      </c>
      <c r="E941" s="88">
        <f>ROUND((C941*1.15)/100,0)*100</f>
        <v/>
      </c>
      <c r="F941" s="88">
        <f>ROUND((C941*1.23)/100,0)*100</f>
        <v/>
      </c>
      <c r="G941" s="88">
        <f>ROUND((C941*1.29)/100,0)*100</f>
        <v/>
      </c>
      <c r="H941" s="88">
        <f>ROUND((C941*1.35)/100,0)*100</f>
        <v/>
      </c>
      <c r="I941" s="88">
        <f>ROUND((C941*1.39)/100,0)*100</f>
        <v/>
      </c>
      <c r="J941" s="88">
        <f>ROUND((C941*1.39)/100,0)*100</f>
        <v/>
      </c>
      <c r="K941" s="22">
        <f>ROUND((C941*1.43)/100,0)*100</f>
        <v/>
      </c>
      <c r="L941" s="22">
        <f>ROUND((C941*1.43)/100,0)*100</f>
        <v/>
      </c>
      <c r="M941" s="88" t="n">
        <v>1.2</v>
      </c>
      <c r="N941" s="88" t="n"/>
      <c r="P941" s="117" t="n"/>
      <c r="R941" s="117" t="n"/>
      <c r="T941" s="117" t="n"/>
      <c r="U941" s="117">
        <f>V941*C941</f>
        <v/>
      </c>
      <c r="V941" s="94" t="n">
        <v>1.6</v>
      </c>
    </row>
    <row r="942">
      <c r="A942" s="89" t="inlineStr">
        <is>
          <t>600</t>
        </is>
      </c>
      <c r="B942" s="248" t="inlineStr">
        <is>
          <t>WRGE CLASICO LISO</t>
        </is>
      </c>
      <c r="C942" s="88" t="n">
        <v>26400</v>
      </c>
      <c r="D942" s="88">
        <f>ROUND((C942*1.06)/100,0)*100</f>
        <v/>
      </c>
      <c r="E942" s="88">
        <f>ROUND((C942*1.15)/100,0)*100</f>
        <v/>
      </c>
      <c r="F942" s="88">
        <f>ROUND((C942*1.23)/100,0)*100</f>
        <v/>
      </c>
      <c r="G942" s="88">
        <f>ROUND((C942*1.29)/100,0)*100</f>
        <v/>
      </c>
      <c r="H942" s="88">
        <f>ROUND((C942*1.35)/100,0)*100</f>
        <v/>
      </c>
      <c r="I942" s="88">
        <f>ROUND((C942*1.39)/100,0)*100</f>
        <v/>
      </c>
      <c r="J942" s="88">
        <f>ROUND((C942*1.39)/100,0)*100</f>
        <v/>
      </c>
      <c r="K942" s="22">
        <f>ROUND((C942*1.43)/100,0)*100</f>
        <v/>
      </c>
      <c r="L942" s="22">
        <f>ROUND((C942*1.43)/100,0)*100</f>
        <v/>
      </c>
      <c r="M942" s="88" t="n"/>
      <c r="N942" s="88" t="n"/>
      <c r="P942" s="117" t="n"/>
      <c r="R942" s="117" t="n"/>
      <c r="T942" s="117" t="n"/>
      <c r="U942" s="117">
        <f>V942*C942</f>
        <v/>
      </c>
      <c r="V942" s="94" t="n">
        <v>1.6</v>
      </c>
      <c r="X942" s="20" t="n"/>
    </row>
    <row r="943">
      <c r="A943" s="89" t="inlineStr">
        <is>
          <t>601</t>
        </is>
      </c>
      <c r="B943" s="248" t="inlineStr">
        <is>
          <t>MESSAGGI CLASICO LISO</t>
        </is>
      </c>
      <c r="C943" s="88" t="n">
        <v>21000</v>
      </c>
      <c r="D943" s="88">
        <f>ROUND((C943*1.06)/100,0)*100</f>
        <v/>
      </c>
      <c r="E943" s="88">
        <f>ROUND((C943*1.15)/100,0)*100</f>
        <v/>
      </c>
      <c r="F943" s="88">
        <f>ROUND((C943*1.23)/100,0)*100</f>
        <v/>
      </c>
      <c r="G943" s="88">
        <f>ROUND((C943*1.29)/100,0)*100</f>
        <v/>
      </c>
      <c r="H943" s="88">
        <f>ROUND((C943*1.35)/100,0)*100</f>
        <v/>
      </c>
      <c r="I943" s="88">
        <f>ROUND((C943*1.39)/100,0)*100</f>
        <v/>
      </c>
      <c r="J943" s="88">
        <f>ROUND((C943*1.39)/100,0)*100</f>
        <v/>
      </c>
      <c r="K943" s="22">
        <f>ROUND((C943*1.43)/100,0)*100</f>
        <v/>
      </c>
      <c r="L943" s="22">
        <f>ROUND((C943*1.43)/100,0)*100</f>
        <v/>
      </c>
      <c r="M943" s="88" t="n"/>
      <c r="N943" s="88" t="n"/>
      <c r="P943" s="117" t="n"/>
      <c r="R943" s="117" t="n"/>
      <c r="T943" s="117" t="n"/>
      <c r="U943" s="117">
        <f>V943*C943</f>
        <v/>
      </c>
      <c r="V943" s="94" t="n">
        <v>1.6</v>
      </c>
    </row>
    <row r="944">
      <c r="A944" s="89" t="inlineStr">
        <is>
          <t>645</t>
        </is>
      </c>
      <c r="B944" s="248" t="inlineStr">
        <is>
          <t>AERO</t>
        </is>
      </c>
      <c r="C944" s="88" t="n">
        <v>16900</v>
      </c>
      <c r="D944" s="88">
        <f>ROUND((C944*1.06)/100,0)*100</f>
        <v/>
      </c>
      <c r="E944" s="88">
        <f>ROUND((C944*1.15)/100,0)*100</f>
        <v/>
      </c>
      <c r="F944" s="88">
        <f>ROUND((C944*1.23)/100,0)*100</f>
        <v/>
      </c>
      <c r="G944" s="88">
        <f>ROUND((C944*1.29)/100,0)*100</f>
        <v/>
      </c>
      <c r="H944" s="88">
        <f>ROUND((C944*1.35)/100,0)*100</f>
        <v/>
      </c>
      <c r="I944" s="88">
        <f>ROUND((C944*1.39)/100,0)*100</f>
        <v/>
      </c>
      <c r="J944" s="88">
        <f>ROUND((C944*1.39)/100,0)*100</f>
        <v/>
      </c>
      <c r="K944" s="22">
        <f>ROUND((C944*1.43)/100,0)*100</f>
        <v/>
      </c>
      <c r="L944" s="22">
        <f>ROUND((C944*1.43)/100,0)*100</f>
        <v/>
      </c>
      <c r="M944" s="88" t="n"/>
      <c r="N944" s="88" t="n"/>
      <c r="P944" s="117" t="n"/>
      <c r="R944" s="117" t="n"/>
      <c r="T944" s="117" t="n"/>
      <c r="U944" s="117">
        <f>V944*C944</f>
        <v/>
      </c>
      <c r="V944" s="94" t="n">
        <v>1.6</v>
      </c>
    </row>
    <row r="945">
      <c r="A945" s="89" t="inlineStr">
        <is>
          <t>840</t>
        </is>
      </c>
      <c r="B945" s="248" t="inlineStr">
        <is>
          <t>AERO CARDIGAN CHALECO</t>
        </is>
      </c>
      <c r="C945" s="88" t="n">
        <v>31500</v>
      </c>
      <c r="D945" s="88">
        <f>ROUND((C945*1.06)/100,0)*100</f>
        <v/>
      </c>
      <c r="E945" s="88">
        <f>ROUND((C945*1.15)/100,0)*100</f>
        <v/>
      </c>
      <c r="F945" s="88">
        <f>ROUND((C945*1.23)/100,0)*100</f>
        <v/>
      </c>
      <c r="G945" s="88">
        <f>ROUND((C945*1.29)/100,0)*100</f>
        <v/>
      </c>
      <c r="H945" s="88">
        <f>ROUND((C945*1.35)/100,0)*100</f>
        <v/>
      </c>
      <c r="I945" s="88">
        <f>ROUND((C945*1.39)/100,0)*100</f>
        <v/>
      </c>
      <c r="J945" s="88">
        <f>ROUND((C945*1.39)/100,0)*100</f>
        <v/>
      </c>
      <c r="K945" s="22">
        <f>ROUND((C945*1.43)/100,0)*100</f>
        <v/>
      </c>
      <c r="L945" s="22">
        <f>ROUND((C945*1.43)/100,0)*100</f>
        <v/>
      </c>
      <c r="M945" s="88" t="n"/>
      <c r="N945" s="88" t="n"/>
      <c r="P945" s="117" t="n"/>
      <c r="R945" s="117" t="n"/>
      <c r="T945" s="117" t="n"/>
      <c r="U945" s="117">
        <f>V945*C945</f>
        <v/>
      </c>
      <c r="V945" s="94" t="n">
        <v>1.6</v>
      </c>
    </row>
    <row r="946">
      <c r="A946" s="89" t="inlineStr">
        <is>
          <t>844</t>
        </is>
      </c>
      <c r="B946" s="248" t="inlineStr">
        <is>
          <t>AERO</t>
        </is>
      </c>
      <c r="C946" s="88" t="n">
        <v>16900</v>
      </c>
      <c r="D946" s="88">
        <f>ROUND((C946*1.06)/100,0)*100</f>
        <v/>
      </c>
      <c r="E946" s="88">
        <f>ROUND((C946*1.15)/100,0)*100</f>
        <v/>
      </c>
      <c r="F946" s="88">
        <f>ROUND((C946*1.23)/100,0)*100</f>
        <v/>
      </c>
      <c r="G946" s="88">
        <f>ROUND((C946*1.29)/100,0)*100</f>
        <v/>
      </c>
      <c r="H946" s="88">
        <f>ROUND((C946*1.35)/100,0)*100</f>
        <v/>
      </c>
      <c r="I946" s="88">
        <f>ROUND((C946*1.39)/100,0)*100</f>
        <v/>
      </c>
      <c r="J946" s="88">
        <f>ROUND((C946*1.39)/100,0)*100</f>
        <v/>
      </c>
      <c r="K946" s="22">
        <f>ROUND((C946*1.43)/100,0)*100</f>
        <v/>
      </c>
      <c r="L946" s="22">
        <f>ROUND((C946*1.43)/100,0)*100</f>
        <v/>
      </c>
      <c r="M946" s="88" t="n"/>
      <c r="N946" s="88" t="n"/>
      <c r="P946" s="117" t="n"/>
      <c r="R946" s="117" t="n"/>
      <c r="T946" s="117" t="n"/>
      <c r="U946" s="117">
        <f>V946*C946</f>
        <v/>
      </c>
      <c r="V946" s="94" t="n">
        <v>1.6</v>
      </c>
    </row>
    <row r="947">
      <c r="A947" s="89" t="inlineStr">
        <is>
          <t>90</t>
        </is>
      </c>
      <c r="B947" s="248" t="inlineStr">
        <is>
          <t>AERO</t>
        </is>
      </c>
      <c r="C947" s="88" t="n">
        <v>16900</v>
      </c>
      <c r="D947" s="88">
        <f>ROUND((C947*1.06)/100,0)*100</f>
        <v/>
      </c>
      <c r="E947" s="88">
        <f>ROUND((C947*1.15)/100,0)*100</f>
        <v/>
      </c>
      <c r="F947" s="88">
        <f>ROUND((C947*1.23)/100,0)*100</f>
        <v/>
      </c>
      <c r="G947" s="88">
        <f>ROUND((C947*1.29)/100,0)*100</f>
        <v/>
      </c>
      <c r="H947" s="88">
        <f>ROUND((C947*1.35)/100,0)*100</f>
        <v/>
      </c>
      <c r="I947" s="88">
        <f>ROUND((C947*1.39)/100,0)*100</f>
        <v/>
      </c>
      <c r="J947" s="88">
        <f>ROUND((C947*1.39)/100,0)*100</f>
        <v/>
      </c>
      <c r="K947" s="22">
        <f>ROUND((C947*1.43)/100,0)*100</f>
        <v/>
      </c>
      <c r="L947" s="22">
        <f>ROUND((C947*1.43)/100,0)*100</f>
        <v/>
      </c>
      <c r="M947" s="88" t="n"/>
      <c r="N947" s="88" t="n"/>
      <c r="P947" s="117" t="n"/>
      <c r="R947" s="117" t="n"/>
      <c r="T947" s="117" t="n"/>
      <c r="U947" s="117">
        <f>V947*C947</f>
        <v/>
      </c>
      <c r="V947" s="94" t="n">
        <v>1.6</v>
      </c>
    </row>
    <row r="948">
      <c r="A948" s="89" t="inlineStr">
        <is>
          <t>891/91</t>
        </is>
      </c>
      <c r="B948" s="248" t="inlineStr">
        <is>
          <t>AERO</t>
        </is>
      </c>
      <c r="C948" s="88" t="n">
        <v>16900</v>
      </c>
      <c r="D948" s="88">
        <f>ROUND((C948*1.06)/100,0)*100</f>
        <v/>
      </c>
      <c r="E948" s="88">
        <f>ROUND((C948*1.15)/100,0)*100</f>
        <v/>
      </c>
      <c r="F948" s="88">
        <f>ROUND((C948*1.23)/100,0)*100</f>
        <v/>
      </c>
      <c r="G948" s="88">
        <f>ROUND((C948*1.29)/100,0)*100</f>
        <v/>
      </c>
      <c r="H948" s="88">
        <f>ROUND((C948*1.35)/100,0)*100</f>
        <v/>
      </c>
      <c r="I948" s="88">
        <f>ROUND((C948*1.39)/100,0)*100</f>
        <v/>
      </c>
      <c r="J948" s="88">
        <f>ROUND((C948*1.39)/100,0)*100</f>
        <v/>
      </c>
      <c r="K948" s="22">
        <f>ROUND((C948*1.43)/100,0)*100</f>
        <v/>
      </c>
      <c r="L948" s="22">
        <f>ROUND((C948*1.43)/100,0)*100</f>
        <v/>
      </c>
      <c r="M948" s="88" t="n"/>
      <c r="N948" s="88" t="n"/>
      <c r="P948" s="117" t="n"/>
      <c r="R948" s="117" t="n"/>
      <c r="T948" s="117" t="n"/>
      <c r="U948" s="117">
        <f>V948*C948</f>
        <v/>
      </c>
      <c r="V948" s="94" t="n">
        <v>1.6</v>
      </c>
    </row>
    <row r="949">
      <c r="A949" s="89" t="inlineStr">
        <is>
          <t>4295</t>
        </is>
      </c>
      <c r="B949" s="248" t="inlineStr">
        <is>
          <t>AERO</t>
        </is>
      </c>
      <c r="C949" s="88" t="n">
        <v>24100</v>
      </c>
      <c r="D949" s="88">
        <f>ROUND((C949*1.06)/100,0)*100</f>
        <v/>
      </c>
      <c r="E949" s="88">
        <f>ROUND((C949*1.15)/100,0)*100</f>
        <v/>
      </c>
      <c r="F949" s="88">
        <f>ROUND((C949*1.23)/100,0)*100</f>
        <v/>
      </c>
      <c r="G949" s="88">
        <f>ROUND((C949*1.29)/100,0)*100</f>
        <v/>
      </c>
      <c r="H949" s="88">
        <f>ROUND((C949*1.35)/100,0)*100</f>
        <v/>
      </c>
      <c r="I949" s="88">
        <f>ROUND((C949*1.39)/100,0)*100</f>
        <v/>
      </c>
      <c r="J949" s="88">
        <f>ROUND((C949*1.39)/100,0)*100</f>
        <v/>
      </c>
      <c r="K949" s="22">
        <f>ROUND((C949*1.43)/100,0)*100</f>
        <v/>
      </c>
      <c r="L949" s="22">
        <f>ROUND((C949*1.43)/100,0)*100</f>
        <v/>
      </c>
      <c r="M949" s="88" t="n"/>
      <c r="N949" s="88" t="n"/>
      <c r="P949" s="117" t="n"/>
      <c r="R949" s="117" t="n"/>
      <c r="T949" s="117" t="n"/>
      <c r="U949" s="117">
        <f>V949*C949</f>
        <v/>
      </c>
      <c r="V949" s="94" t="n">
        <v>1.6</v>
      </c>
    </row>
    <row r="950">
      <c r="A950" s="89" t="inlineStr">
        <is>
          <t>4296</t>
        </is>
      </c>
      <c r="B950" s="248" t="inlineStr">
        <is>
          <t>AERO CARDIGAN</t>
        </is>
      </c>
      <c r="C950" s="88" t="n">
        <v>30900</v>
      </c>
      <c r="D950" s="88">
        <f>ROUND((C950*1.06)/100,0)*100</f>
        <v/>
      </c>
      <c r="E950" s="88">
        <f>ROUND((C950*1.15)/100,0)*100</f>
        <v/>
      </c>
      <c r="F950" s="88">
        <f>ROUND((C950*1.23)/100,0)*100</f>
        <v/>
      </c>
      <c r="G950" s="88">
        <f>ROUND((C950*1.29)/100,0)*100</f>
        <v/>
      </c>
      <c r="H950" s="88">
        <f>ROUND((C950*1.35)/100,0)*100</f>
        <v/>
      </c>
      <c r="I950" s="88">
        <f>ROUND((C950*1.39)/100,0)*100</f>
        <v/>
      </c>
      <c r="J950" s="88">
        <f>ROUND((C950*1.39)/100,0)*100</f>
        <v/>
      </c>
      <c r="K950" s="22">
        <f>ROUND((C950*1.43)/100,0)*100</f>
        <v/>
      </c>
      <c r="L950" s="22">
        <f>ROUND((C950*1.43)/100,0)*100</f>
        <v/>
      </c>
      <c r="M950" s="88" t="n"/>
      <c r="N950" s="88" t="n"/>
      <c r="P950" s="117" t="n"/>
      <c r="R950" s="117" t="n"/>
      <c r="T950" s="117" t="n"/>
      <c r="U950" s="117">
        <f>V950*C950</f>
        <v/>
      </c>
      <c r="V950" s="94" t="n">
        <v>1.6</v>
      </c>
    </row>
    <row r="951">
      <c r="A951" s="89" t="inlineStr">
        <is>
          <t>4297</t>
        </is>
      </c>
      <c r="B951" s="248" t="inlineStr">
        <is>
          <t>AERO</t>
        </is>
      </c>
      <c r="C951" s="88" t="n">
        <v>17200</v>
      </c>
      <c r="D951" s="88">
        <f>ROUND((C951*1.06)/100,0)*100</f>
        <v/>
      </c>
      <c r="E951" s="88">
        <f>ROUND((C951*1.15)/100,0)*100</f>
        <v/>
      </c>
      <c r="F951" s="88">
        <f>ROUND((C951*1.23)/100,0)*100</f>
        <v/>
      </c>
      <c r="G951" s="88">
        <f>ROUND((C951*1.29)/100,0)*100</f>
        <v/>
      </c>
      <c r="H951" s="88">
        <f>ROUND((C951*1.35)/100,0)*100</f>
        <v/>
      </c>
      <c r="I951" s="88">
        <f>ROUND((C951*1.39)/100,0)*100</f>
        <v/>
      </c>
      <c r="J951" s="88">
        <f>ROUND((C951*1.39)/100,0)*100</f>
        <v/>
      </c>
      <c r="K951" s="22">
        <f>ROUND((C951*1.43)/100,0)*100</f>
        <v/>
      </c>
      <c r="L951" s="22">
        <f>ROUND((C951*1.43)/100,0)*100</f>
        <v/>
      </c>
      <c r="M951" s="88" t="n"/>
      <c r="N951" s="88" t="n"/>
      <c r="P951" s="117" t="n"/>
      <c r="R951" s="117" t="n"/>
      <c r="T951" s="117" t="n"/>
      <c r="U951" s="117">
        <f>V951*C951</f>
        <v/>
      </c>
      <c r="V951" s="94" t="n">
        <v>1.6</v>
      </c>
    </row>
    <row r="952">
      <c r="A952" s="89" t="inlineStr">
        <is>
          <t>4298</t>
        </is>
      </c>
      <c r="B952" s="248" t="inlineStr">
        <is>
          <t>AERO</t>
        </is>
      </c>
      <c r="C952" s="88" t="n">
        <v>17200</v>
      </c>
      <c r="D952" s="88">
        <f>ROUND((C952*1.06)/100,0)*100</f>
        <v/>
      </c>
      <c r="E952" s="88">
        <f>ROUND((C952*1.15)/100,0)*100</f>
        <v/>
      </c>
      <c r="F952" s="88">
        <f>ROUND((C952*1.23)/100,0)*100</f>
        <v/>
      </c>
      <c r="G952" s="88">
        <f>ROUND((C952*1.29)/100,0)*100</f>
        <v/>
      </c>
      <c r="H952" s="88">
        <f>ROUND((C952*1.35)/100,0)*100</f>
        <v/>
      </c>
      <c r="I952" s="88">
        <f>ROUND((C952*1.39)/100,0)*100</f>
        <v/>
      </c>
      <c r="J952" s="88">
        <f>ROUND((C952*1.39)/100,0)*100</f>
        <v/>
      </c>
      <c r="K952" s="22">
        <f>ROUND((C952*1.43)/100,0)*100</f>
        <v/>
      </c>
      <c r="L952" s="22">
        <f>ROUND((C952*1.43)/100,0)*100</f>
        <v/>
      </c>
      <c r="M952" s="88" t="n"/>
      <c r="N952" s="88" t="n"/>
      <c r="P952" s="117" t="n"/>
      <c r="R952" s="117" t="n"/>
      <c r="T952" s="117" t="n"/>
      <c r="U952" s="117">
        <f>V952*C952</f>
        <v/>
      </c>
      <c r="V952" s="94" t="n">
        <v>1.6</v>
      </c>
    </row>
    <row r="953">
      <c r="A953" s="89" t="inlineStr">
        <is>
          <t>4498</t>
        </is>
      </c>
      <c r="B953" s="248" t="inlineStr">
        <is>
          <t>AERO</t>
        </is>
      </c>
      <c r="C953" s="88" t="n">
        <v>17200</v>
      </c>
      <c r="D953" s="88">
        <f>ROUND((C953*1.06)/100,0)*100</f>
        <v/>
      </c>
      <c r="E953" s="88">
        <f>ROUND((C953*1.15)/100,0)*100</f>
        <v/>
      </c>
      <c r="F953" s="88">
        <f>ROUND((C953*1.23)/100,0)*100</f>
        <v/>
      </c>
      <c r="G953" s="88">
        <f>ROUND((C953*1.29)/100,0)*100</f>
        <v/>
      </c>
      <c r="H953" s="88">
        <f>ROUND((C953*1.35)/100,0)*100</f>
        <v/>
      </c>
      <c r="I953" s="88">
        <f>ROUND((C953*1.39)/100,0)*100</f>
        <v/>
      </c>
      <c r="J953" s="88">
        <f>ROUND((C953*1.39)/100,0)*100</f>
        <v/>
      </c>
      <c r="K953" s="22">
        <f>ROUND((C953*1.43)/100,0)*100</f>
        <v/>
      </c>
      <c r="L953" s="22">
        <f>ROUND((C953*1.43)/100,0)*100</f>
        <v/>
      </c>
      <c r="M953" s="88" t="n"/>
      <c r="N953" s="88" t="n"/>
      <c r="P953" s="117" t="n"/>
      <c r="R953" s="117" t="n"/>
      <c r="T953" s="117" t="n"/>
      <c r="U953" s="117">
        <f>V953*C953</f>
        <v/>
      </c>
      <c r="V953" s="94" t="n">
        <v>1.6</v>
      </c>
    </row>
    <row r="954">
      <c r="A954" s="89" t="inlineStr">
        <is>
          <t>4592</t>
        </is>
      </c>
      <c r="B954" s="248" t="inlineStr">
        <is>
          <t>AERO</t>
        </is>
      </c>
      <c r="C954" s="88" t="n">
        <v>16400</v>
      </c>
      <c r="D954" s="88">
        <f>ROUND((C954*1.06)/100,0)*100</f>
        <v/>
      </c>
      <c r="E954" s="88">
        <f>ROUND((C954*1.15)/100,0)*100</f>
        <v/>
      </c>
      <c r="F954" s="88">
        <f>ROUND((C954*1.23)/100,0)*100</f>
        <v/>
      </c>
      <c r="G954" s="88">
        <f>ROUND((C954*1.29)/100,0)*100</f>
        <v/>
      </c>
      <c r="H954" s="88">
        <f>ROUND((C954*1.35)/100,0)*100</f>
        <v/>
      </c>
      <c r="I954" s="88">
        <f>ROUND((C954*1.39)/100,0)*100</f>
        <v/>
      </c>
      <c r="J954" s="88">
        <f>ROUND((C954*1.39)/100,0)*100</f>
        <v/>
      </c>
      <c r="K954" s="22">
        <f>ROUND((C954*1.43)/100,0)*100</f>
        <v/>
      </c>
      <c r="L954" s="22">
        <f>ROUND((C954*1.43)/100,0)*100</f>
        <v/>
      </c>
      <c r="M954" s="88" t="n"/>
      <c r="N954" s="88" t="n"/>
      <c r="P954" s="117" t="n"/>
      <c r="R954" s="117" t="n"/>
      <c r="T954" s="117" t="n"/>
      <c r="U954" s="117">
        <f>V954*C954</f>
        <v/>
      </c>
      <c r="V954" s="94" t="n">
        <v>1.6</v>
      </c>
    </row>
    <row r="955">
      <c r="A955" s="89" t="inlineStr">
        <is>
          <t>4599</t>
        </is>
      </c>
      <c r="B955" s="248" t="inlineStr">
        <is>
          <t>AERO</t>
        </is>
      </c>
      <c r="C955" s="88" t="n">
        <v>18400</v>
      </c>
      <c r="D955" s="88">
        <f>ROUND((C955*1.06)/100,0)*100</f>
        <v/>
      </c>
      <c r="E955" s="88">
        <f>ROUND((C955*1.15)/100,0)*100</f>
        <v/>
      </c>
      <c r="F955" s="88">
        <f>ROUND((C955*1.23)/100,0)*100</f>
        <v/>
      </c>
      <c r="G955" s="88">
        <f>ROUND((C955*1.29)/100,0)*100</f>
        <v/>
      </c>
      <c r="H955" s="88">
        <f>ROUND((C955*1.35)/100,0)*100</f>
        <v/>
      </c>
      <c r="I955" s="88">
        <f>ROUND((C955*1.39)/100,0)*100</f>
        <v/>
      </c>
      <c r="J955" s="88">
        <f>ROUND((C955*1.39)/100,0)*100</f>
        <v/>
      </c>
      <c r="K955" s="22">
        <f>ROUND((C955*1.43)/100,0)*100</f>
        <v/>
      </c>
      <c r="L955" s="22">
        <f>ROUND((C955*1.43)/100,0)*100</f>
        <v/>
      </c>
      <c r="M955" s="88" t="n"/>
      <c r="N955" s="88" t="n"/>
      <c r="P955" s="117" t="n"/>
      <c r="R955" s="117" t="n"/>
      <c r="T955" s="117" t="n"/>
      <c r="U955" s="117">
        <f>V955*C955</f>
        <v/>
      </c>
      <c r="V955" s="94" t="n">
        <v>1.6</v>
      </c>
    </row>
    <row r="956">
      <c r="A956" s="89" t="inlineStr">
        <is>
          <t>4846</t>
        </is>
      </c>
      <c r="B956" s="248" t="inlineStr">
        <is>
          <t>AERO</t>
        </is>
      </c>
      <c r="C956" s="88" t="n">
        <v>18400</v>
      </c>
      <c r="D956" s="88">
        <f>ROUND((C956*1.06)/100,0)*100</f>
        <v/>
      </c>
      <c r="E956" s="88">
        <f>ROUND((C956*1.15)/100,0)*100</f>
        <v/>
      </c>
      <c r="F956" s="88">
        <f>ROUND((C956*1.23)/100,0)*100</f>
        <v/>
      </c>
      <c r="G956" s="88">
        <f>ROUND((C956*1.29)/100,0)*100</f>
        <v/>
      </c>
      <c r="H956" s="88">
        <f>ROUND((C956*1.35)/100,0)*100</f>
        <v/>
      </c>
      <c r="I956" s="88">
        <f>ROUND((C956*1.39)/100,0)*100</f>
        <v/>
      </c>
      <c r="J956" s="88">
        <f>ROUND((C956*1.39)/100,0)*100</f>
        <v/>
      </c>
      <c r="K956" s="22">
        <f>ROUND((C956*1.43)/100,0)*100</f>
        <v/>
      </c>
      <c r="L956" s="22">
        <f>ROUND((C956*1.43)/100,0)*100</f>
        <v/>
      </c>
      <c r="M956" s="88" t="n"/>
      <c r="N956" s="88" t="n"/>
      <c r="P956" s="117" t="n"/>
      <c r="R956" s="117" t="n"/>
      <c r="T956" s="117" t="n"/>
      <c r="U956" s="117">
        <f>V956*C956</f>
        <v/>
      </c>
      <c r="V956" s="94" t="n">
        <v>1.6</v>
      </c>
    </row>
    <row r="957">
      <c r="A957" s="89" t="inlineStr">
        <is>
          <t>4868</t>
        </is>
      </c>
      <c r="B957" s="248" t="inlineStr">
        <is>
          <t>AERO CARDIGAN CHALECO</t>
        </is>
      </c>
      <c r="C957" s="88" t="n">
        <v>30600</v>
      </c>
      <c r="D957" s="88">
        <f>ROUND((C957*1.06)/100,0)*100</f>
        <v/>
      </c>
      <c r="E957" s="88">
        <f>ROUND((C957*1.15)/100,0)*100</f>
        <v/>
      </c>
      <c r="F957" s="88">
        <f>ROUND((C957*1.23)/100,0)*100</f>
        <v/>
      </c>
      <c r="G957" s="88">
        <f>ROUND((C957*1.29)/100,0)*100</f>
        <v/>
      </c>
      <c r="H957" s="88">
        <f>ROUND((C957*1.35)/100,0)*100</f>
        <v/>
      </c>
      <c r="I957" s="88">
        <f>ROUND((C957*1.39)/100,0)*100</f>
        <v/>
      </c>
      <c r="J957" s="88">
        <f>ROUND((C957*1.39)/100,0)*100</f>
        <v/>
      </c>
      <c r="K957" s="22">
        <f>ROUND((C957*1.43)/100,0)*100</f>
        <v/>
      </c>
      <c r="L957" s="22">
        <f>ROUND((C957*1.43)/100,0)*100</f>
        <v/>
      </c>
      <c r="M957" s="88" t="n"/>
      <c r="N957" s="88" t="n"/>
      <c r="P957" s="117" t="n"/>
      <c r="R957" s="117" t="n"/>
      <c r="T957" s="117" t="n"/>
      <c r="U957" s="117">
        <f>V957*C957</f>
        <v/>
      </c>
      <c r="V957" s="94" t="n">
        <v>1.6</v>
      </c>
    </row>
    <row r="958">
      <c r="A958" s="89" t="inlineStr">
        <is>
          <t>3003</t>
        </is>
      </c>
      <c r="B958" s="248" t="inlineStr">
        <is>
          <t>BERBANIA BREMER</t>
        </is>
      </c>
      <c r="C958" s="88" t="n">
        <v>55100</v>
      </c>
      <c r="D958" s="88">
        <f>ROUND((C958*1.06)/100,0)*100</f>
        <v/>
      </c>
      <c r="E958" s="88">
        <f>ROUND((C958*1.15)/100,0)*100</f>
        <v/>
      </c>
      <c r="F958" s="88">
        <f>ROUND((C958*1.23)/100,0)*100</f>
        <v/>
      </c>
      <c r="G958" s="88">
        <f>ROUND((C958*1.29)/100,0)*100</f>
        <v/>
      </c>
      <c r="H958" s="88">
        <f>ROUND((C958*1.35)/100,0)*100</f>
        <v/>
      </c>
      <c r="I958" s="88">
        <f>ROUND((C958*1.39)/100,0)*100</f>
        <v/>
      </c>
      <c r="J958" s="88">
        <f>ROUND((C958*1.39)/100,0)*100</f>
        <v/>
      </c>
      <c r="K958" s="22">
        <f>ROUND((C958*1.43)/100,0)*100</f>
        <v/>
      </c>
      <c r="L958" s="22">
        <f>ROUND((C958*1.43)/100,0)*100</f>
        <v/>
      </c>
      <c r="M958" s="88" t="n"/>
      <c r="N958" s="88" t="n"/>
      <c r="P958" s="117" t="n"/>
      <c r="R958" s="117" t="n"/>
      <c r="T958" s="117" t="n"/>
      <c r="U958" s="117">
        <f>V958*C958</f>
        <v/>
      </c>
      <c r="V958" s="94" t="n">
        <v>1.6</v>
      </c>
    </row>
    <row r="959">
      <c r="A959" s="89" t="n"/>
      <c r="B959" s="248" t="n"/>
      <c r="C959" s="88" t="n"/>
      <c r="D959" s="88" t="n"/>
      <c r="E959" s="88" t="n"/>
      <c r="F959" s="88" t="n"/>
      <c r="G959" s="88" t="n"/>
      <c r="H959" s="88" t="n"/>
      <c r="I959" s="88" t="n"/>
      <c r="J959" s="88" t="n"/>
      <c r="K959" s="88" t="n"/>
      <c r="L959" s="88" t="n"/>
      <c r="M959" s="88" t="n"/>
      <c r="N959" s="88" t="n"/>
      <c r="P959" s="117" t="n"/>
      <c r="R959" s="117" t="n"/>
      <c r="T959" s="117" t="n"/>
    </row>
    <row r="960">
      <c r="A960" s="80" t="n"/>
      <c r="B960" s="100" t="inlineStr">
        <is>
          <t>CHOMBAS M/LARGA</t>
        </is>
      </c>
      <c r="C960" s="83" t="inlineStr">
        <is>
          <t>S-XL 1-4</t>
        </is>
      </c>
      <c r="D960" s="83" t="n"/>
      <c r="E960" s="83" t="n">
        <v>5</v>
      </c>
      <c r="F960" s="83" t="inlineStr">
        <is>
          <t>3XL 6</t>
        </is>
      </c>
      <c r="G960" s="83" t="inlineStr">
        <is>
          <t>4XL 7</t>
        </is>
      </c>
      <c r="H960" s="83" t="n">
        <v>8</v>
      </c>
      <c r="I960" s="83" t="n">
        <v>9</v>
      </c>
      <c r="J960" s="83" t="n">
        <v>10</v>
      </c>
      <c r="K960" s="83" t="n">
        <v>12</v>
      </c>
      <c r="L960" s="83" t="n">
        <v>14</v>
      </c>
      <c r="M960" s="83" t="n"/>
      <c r="N960" s="80" t="inlineStr">
        <is>
          <t>03/25</t>
        </is>
      </c>
      <c r="P960" s="117" t="n"/>
      <c r="Q960" s="85" t="n"/>
      <c r="R960" s="84" t="n"/>
      <c r="S960" s="85" t="n"/>
      <c r="T960" s="84" t="n"/>
      <c r="U960" s="85" t="n"/>
      <c r="V960" s="85" t="n"/>
      <c r="W960" s="85" t="n"/>
      <c r="X960" s="85" t="n"/>
      <c r="Y960" s="85" t="n"/>
      <c r="Z960" s="85" t="n"/>
      <c r="AA960" s="85" t="n"/>
      <c r="AB960" s="85" t="n"/>
      <c r="AC960" s="85" t="n"/>
      <c r="AD960" s="85" t="n"/>
      <c r="AE960" s="85" t="n"/>
      <c r="AF960" s="85" t="n"/>
      <c r="AG960" s="85" t="n"/>
      <c r="AH960" s="85" t="n"/>
      <c r="AI960" s="85" t="n"/>
      <c r="AJ960" s="85" t="n"/>
      <c r="AK960" s="85" t="n"/>
      <c r="AL960" s="85" t="n"/>
      <c r="AM960" s="85" t="n"/>
      <c r="AN960" s="85" t="n"/>
      <c r="AO960" s="85" t="n"/>
    </row>
    <row r="961">
      <c r="A961" s="89" t="inlineStr">
        <is>
          <t>48706001</t>
        </is>
      </c>
      <c r="B961" s="248" t="inlineStr">
        <is>
          <t>WRANGLER ANDY POLO</t>
        </is>
      </c>
      <c r="C961" s="88" t="n">
        <v>79300</v>
      </c>
      <c r="D961" s="88" t="n"/>
      <c r="E961" s="22" t="n"/>
      <c r="F961" s="22" t="n"/>
      <c r="G961" s="22" t="n"/>
      <c r="H961" s="22" t="n"/>
      <c r="I961" s="22" t="n"/>
      <c r="J961" s="22" t="n"/>
      <c r="K961" s="22" t="n"/>
      <c r="L961" s="22" t="n"/>
      <c r="M961" s="88" t="n"/>
      <c r="N961" s="227" t="n"/>
      <c r="P961" s="117" t="n"/>
      <c r="R961" s="117" t="n"/>
      <c r="T961" s="117" t="n"/>
      <c r="U961" s="117">
        <f>V961*C961</f>
        <v/>
      </c>
      <c r="V961" s="94" t="n">
        <v>1.38</v>
      </c>
      <c r="X961" s="22" t="n"/>
    </row>
    <row r="962">
      <c r="A962" s="89" t="inlineStr">
        <is>
          <t>4190</t>
        </is>
      </c>
      <c r="B962" s="248" t="inlineStr">
        <is>
          <t>TAVERNITI CHOMBA m/L</t>
        </is>
      </c>
      <c r="C962" s="88" t="n">
        <v>68200</v>
      </c>
      <c r="D962" s="88" t="n"/>
      <c r="E962" s="22" t="n"/>
      <c r="F962" s="22" t="n"/>
      <c r="G962" s="22" t="n"/>
      <c r="H962" s="22" t="n"/>
      <c r="I962" s="22" t="n"/>
      <c r="J962" s="22" t="n"/>
      <c r="K962" s="22" t="n"/>
      <c r="L962" s="22" t="n"/>
      <c r="M962" s="88" t="n">
        <v>1.2</v>
      </c>
      <c r="N962" s="227" t="n"/>
      <c r="P962" s="117" t="n"/>
      <c r="R962" s="117" t="n"/>
      <c r="T962" s="117" t="n"/>
      <c r="U962" s="117">
        <f>V962*C962</f>
        <v/>
      </c>
      <c r="V962" s="94" t="n">
        <v>1.38</v>
      </c>
    </row>
    <row r="963">
      <c r="A963" s="89" t="inlineStr">
        <is>
          <t>4192</t>
        </is>
      </c>
      <c r="B963" s="248" t="inlineStr">
        <is>
          <t>TAVERNITI CHOMBA m/L</t>
        </is>
      </c>
      <c r="C963" s="88" t="n">
        <v>52700</v>
      </c>
      <c r="D963" s="88" t="n"/>
      <c r="E963" s="22" t="n"/>
      <c r="F963" s="22" t="n"/>
      <c r="G963" s="22" t="n"/>
      <c r="H963" s="22" t="n"/>
      <c r="I963" s="22" t="n"/>
      <c r="J963" s="22" t="n"/>
      <c r="K963" s="22" t="n"/>
      <c r="L963" s="22" t="n"/>
      <c r="M963" s="88" t="n"/>
      <c r="N963" s="227" t="n"/>
      <c r="P963" s="117" t="n"/>
      <c r="R963" s="117" t="n"/>
      <c r="T963" s="117" t="n"/>
      <c r="U963" s="117">
        <f>V963*C963</f>
        <v/>
      </c>
      <c r="V963" s="94" t="n">
        <v>1.38</v>
      </c>
    </row>
    <row r="964">
      <c r="A964" s="89" t="inlineStr">
        <is>
          <t>4198</t>
        </is>
      </c>
      <c r="B964" s="248" t="inlineStr">
        <is>
          <t>TAVERNITI CHOMBA m/L</t>
        </is>
      </c>
      <c r="C964" s="88" t="n">
        <v>75100</v>
      </c>
      <c r="D964" s="88" t="n"/>
      <c r="E964" s="22" t="n"/>
      <c r="F964" s="22" t="n"/>
      <c r="G964" s="22" t="n"/>
      <c r="H964" s="22" t="n"/>
      <c r="I964" s="22" t="n"/>
      <c r="J964" s="22" t="n"/>
      <c r="K964" s="22" t="n"/>
      <c r="L964" s="22" t="n"/>
      <c r="M964" s="88" t="n"/>
      <c r="N964" s="227" t="n"/>
      <c r="P964" s="117" t="n"/>
      <c r="R964" s="117" t="n"/>
      <c r="T964" s="117" t="n"/>
      <c r="U964" s="117">
        <f>V964*C964</f>
        <v/>
      </c>
      <c r="V964" s="94" t="n">
        <v>1.38</v>
      </c>
    </row>
    <row r="965">
      <c r="A965" s="89" t="inlineStr">
        <is>
          <t>4200</t>
        </is>
      </c>
      <c r="B965" s="248" t="inlineStr">
        <is>
          <t>TAVERNITI CHOMBA m/L</t>
        </is>
      </c>
      <c r="C965" s="88" t="n">
        <v>75100</v>
      </c>
      <c r="D965" s="88" t="n"/>
      <c r="E965" s="22" t="n"/>
      <c r="F965" s="22" t="n"/>
      <c r="G965" s="22" t="n"/>
      <c r="H965" s="22" t="n"/>
      <c r="I965" s="22" t="n"/>
      <c r="J965" s="22" t="n"/>
      <c r="K965" s="22" t="n"/>
      <c r="L965" s="22" t="n"/>
      <c r="M965" s="88" t="n"/>
      <c r="N965" s="227" t="n"/>
      <c r="P965" s="117" t="n"/>
      <c r="R965" s="117" t="n"/>
      <c r="T965" s="117" t="n"/>
      <c r="U965" s="117">
        <f>V965*C965</f>
        <v/>
      </c>
      <c r="V965" s="94" t="n">
        <v>1.38</v>
      </c>
    </row>
    <row r="966">
      <c r="A966" s="89" t="inlineStr">
        <is>
          <t>4206</t>
        </is>
      </c>
      <c r="B966" s="248" t="inlineStr">
        <is>
          <t>TAVERNITI CHOMBA m/L</t>
        </is>
      </c>
      <c r="C966" s="88" t="n">
        <v>74000</v>
      </c>
      <c r="D966" s="88" t="n"/>
      <c r="E966" s="22" t="n"/>
      <c r="F966" s="22" t="n"/>
      <c r="G966" s="22" t="n"/>
      <c r="H966" s="22" t="n"/>
      <c r="I966" s="22" t="n"/>
      <c r="J966" s="22" t="n"/>
      <c r="K966" s="22" t="n"/>
      <c r="L966" s="22" t="n"/>
      <c r="M966" s="88" t="n"/>
      <c r="N966" s="227" t="n"/>
      <c r="P966" s="117" t="n"/>
      <c r="R966" s="117" t="n"/>
      <c r="T966" s="117" t="n"/>
      <c r="U966" s="117">
        <f>V966*C966</f>
        <v/>
      </c>
      <c r="V966" s="94" t="n">
        <v>1.38</v>
      </c>
    </row>
    <row r="967">
      <c r="A967" s="89" t="inlineStr">
        <is>
          <t>4208</t>
        </is>
      </c>
      <c r="B967" s="248" t="inlineStr">
        <is>
          <t>TAVERNITI CHOMBA m/L</t>
        </is>
      </c>
      <c r="C967" s="88" t="n">
        <v>76300</v>
      </c>
      <c r="D967" s="88" t="n"/>
      <c r="E967" s="22" t="n"/>
      <c r="F967" s="22" t="n"/>
      <c r="G967" s="22" t="n"/>
      <c r="H967" s="22" t="n"/>
      <c r="I967" s="22" t="n"/>
      <c r="J967" s="22" t="n"/>
      <c r="K967" s="22" t="n"/>
      <c r="L967" s="22" t="n"/>
      <c r="M967" s="88" t="n"/>
      <c r="N967" s="227" t="n"/>
      <c r="P967" s="117" t="n"/>
      <c r="R967" s="117" t="n"/>
      <c r="T967" s="117" t="n"/>
      <c r="U967" s="117">
        <f>V967*C967</f>
        <v/>
      </c>
      <c r="V967" s="94" t="n">
        <v>1.38</v>
      </c>
    </row>
    <row r="968">
      <c r="A968" s="89" t="inlineStr">
        <is>
          <t>4210</t>
        </is>
      </c>
      <c r="B968" s="248" t="inlineStr">
        <is>
          <t>TAVERNITI CHOMBA m/L</t>
        </is>
      </c>
      <c r="C968" s="88" t="n">
        <v>75100</v>
      </c>
      <c r="D968" s="88" t="n"/>
      <c r="E968" s="22" t="n"/>
      <c r="F968" s="22" t="n"/>
      <c r="G968" s="22" t="n"/>
      <c r="H968" s="22" t="n"/>
      <c r="I968" s="22" t="n"/>
      <c r="J968" s="22" t="n"/>
      <c r="K968" s="22" t="n"/>
      <c r="L968" s="22" t="n"/>
      <c r="M968" s="88" t="n"/>
      <c r="N968" s="227" t="n"/>
      <c r="P968" s="117" t="n"/>
      <c r="R968" s="117" t="n"/>
      <c r="T968" s="117" t="n"/>
      <c r="U968" s="117">
        <f>V968*C968</f>
        <v/>
      </c>
      <c r="V968" s="94" t="n">
        <v>1.38</v>
      </c>
    </row>
    <row r="969">
      <c r="A969" s="89" t="inlineStr">
        <is>
          <t>4214</t>
        </is>
      </c>
      <c r="B969" s="248" t="inlineStr">
        <is>
          <t>TAVERNITI CHOMBA m/L</t>
        </is>
      </c>
      <c r="C969" s="88" t="n">
        <v>76300</v>
      </c>
      <c r="D969" s="88" t="n"/>
      <c r="E969" s="22" t="n"/>
      <c r="F969" s="22" t="n"/>
      <c r="G969" s="22" t="n"/>
      <c r="H969" s="22" t="n"/>
      <c r="I969" s="22" t="n"/>
      <c r="J969" s="22" t="n"/>
      <c r="K969" s="22" t="n"/>
      <c r="L969" s="22" t="n"/>
      <c r="M969" s="88" t="n"/>
      <c r="N969" s="227" t="n"/>
      <c r="P969" s="117" t="n"/>
      <c r="R969" s="117" t="n"/>
      <c r="T969" s="117" t="n"/>
      <c r="U969" s="117">
        <f>V969*C969</f>
        <v/>
      </c>
      <c r="V969" s="94" t="n">
        <v>1.38</v>
      </c>
    </row>
    <row r="970">
      <c r="A970" s="89" t="inlineStr">
        <is>
          <t>04240XXX</t>
        </is>
      </c>
      <c r="B970" s="248" t="inlineStr">
        <is>
          <t>TAVERNITI CHOMBA m/L</t>
        </is>
      </c>
      <c r="C970" s="88" t="n">
        <v>71700</v>
      </c>
      <c r="D970" s="88" t="n"/>
      <c r="E970" s="22" t="n"/>
      <c r="F970" s="22" t="n"/>
      <c r="G970" s="22" t="n"/>
      <c r="H970" s="22" t="n"/>
      <c r="I970" s="22" t="n"/>
      <c r="J970" s="22" t="n"/>
      <c r="K970" s="22" t="n"/>
      <c r="L970" s="22" t="n"/>
      <c r="M970" s="88" t="n"/>
      <c r="N970" s="227" t="n"/>
      <c r="P970" s="117" t="n"/>
      <c r="R970" s="117" t="n"/>
      <c r="T970" s="117" t="n"/>
      <c r="U970" s="117">
        <f>V970*C970</f>
        <v/>
      </c>
      <c r="V970" s="94" t="n">
        <v>1.38</v>
      </c>
    </row>
    <row r="971">
      <c r="A971" s="89" t="inlineStr">
        <is>
          <t>4320</t>
        </is>
      </c>
      <c r="B971" s="248" t="inlineStr">
        <is>
          <t>TAVERNITI CHOMBA m/L</t>
        </is>
      </c>
      <c r="C971" s="88" t="n">
        <v>68200</v>
      </c>
      <c r="D971" s="88" t="n"/>
      <c r="E971" s="22" t="n"/>
      <c r="F971" s="22" t="n"/>
      <c r="G971" s="22" t="n"/>
      <c r="H971" s="22" t="n"/>
      <c r="I971" s="22" t="n"/>
      <c r="J971" s="22" t="n"/>
      <c r="K971" s="22" t="n"/>
      <c r="L971" s="22" t="n"/>
      <c r="M971" s="88" t="n"/>
      <c r="N971" s="227" t="n"/>
      <c r="P971" s="117" t="n"/>
      <c r="R971" s="117" t="n"/>
      <c r="T971" s="117" t="n"/>
      <c r="U971" s="117">
        <f>V971*C971</f>
        <v/>
      </c>
      <c r="V971" s="94" t="n">
        <v>1.38</v>
      </c>
    </row>
    <row r="972">
      <c r="A972" s="89" t="inlineStr">
        <is>
          <t>4324</t>
        </is>
      </c>
      <c r="B972" s="248" t="inlineStr">
        <is>
          <t>TAVERNITI CHOMBA m/L</t>
        </is>
      </c>
      <c r="C972" s="88" t="n">
        <v>68200</v>
      </c>
      <c r="D972" s="88" t="n"/>
      <c r="E972" s="22" t="n"/>
      <c r="F972" s="22" t="n"/>
      <c r="G972" s="22" t="n"/>
      <c r="H972" s="22" t="n"/>
      <c r="I972" s="22" t="n"/>
      <c r="J972" s="22" t="n"/>
      <c r="K972" s="22" t="n"/>
      <c r="L972" s="22" t="n"/>
      <c r="M972" s="88" t="n"/>
      <c r="N972" s="227" t="n"/>
      <c r="P972" s="117" t="n"/>
      <c r="R972" s="117" t="n"/>
      <c r="T972" s="117" t="n"/>
      <c r="U972" s="117">
        <f>V972*C972</f>
        <v/>
      </c>
      <c r="V972" s="94" t="n">
        <v>1.38</v>
      </c>
    </row>
    <row r="973">
      <c r="A973" s="89" t="inlineStr">
        <is>
          <t>4326</t>
        </is>
      </c>
      <c r="B973" s="248" t="inlineStr">
        <is>
          <t>TAVERNITI CHOMBA m/L</t>
        </is>
      </c>
      <c r="C973" s="88" t="n">
        <v>68200</v>
      </c>
      <c r="D973" s="88" t="n"/>
      <c r="E973" s="22" t="n"/>
      <c r="F973" s="22" t="n"/>
      <c r="G973" s="22" t="n"/>
      <c r="H973" s="22" t="n"/>
      <c r="I973" s="22" t="n"/>
      <c r="J973" s="22" t="n"/>
      <c r="K973" s="22" t="n"/>
      <c r="L973" s="22" t="n"/>
      <c r="M973" s="88" t="n"/>
      <c r="N973" s="227" t="n"/>
      <c r="P973" s="117" t="n"/>
      <c r="R973" s="117" t="n"/>
      <c r="T973" s="117" t="n"/>
      <c r="U973" s="117">
        <f>V973*C973</f>
        <v/>
      </c>
      <c r="V973" s="94" t="n">
        <v>1.38</v>
      </c>
    </row>
    <row r="974">
      <c r="A974" s="89" t="inlineStr">
        <is>
          <t>4330</t>
        </is>
      </c>
      <c r="B974" s="248" t="inlineStr">
        <is>
          <t>TAVERNITI CHOMBA m/L</t>
        </is>
      </c>
      <c r="C974" s="88" t="n">
        <v>68200</v>
      </c>
      <c r="D974" s="88" t="n"/>
      <c r="E974" s="22" t="n"/>
      <c r="F974" s="22" t="n"/>
      <c r="G974" s="22" t="n"/>
      <c r="H974" s="22" t="n"/>
      <c r="I974" s="22" t="n"/>
      <c r="J974" s="22" t="n"/>
      <c r="K974" s="22" t="n"/>
      <c r="L974" s="22" t="n"/>
      <c r="M974" s="88" t="n"/>
      <c r="N974" s="227" t="n"/>
      <c r="P974" s="117" t="n"/>
      <c r="R974" s="117" t="n"/>
      <c r="T974" s="117" t="n"/>
      <c r="U974" s="117">
        <f>V974*C974</f>
        <v/>
      </c>
      <c r="V974" s="94" t="n">
        <v>1.38</v>
      </c>
    </row>
    <row r="975">
      <c r="A975" s="89" t="inlineStr">
        <is>
          <t>4332</t>
        </is>
      </c>
      <c r="B975" s="248" t="inlineStr">
        <is>
          <t>TAVERNITI CHOMBA m/L</t>
        </is>
      </c>
      <c r="C975" s="88" t="n">
        <v>68200</v>
      </c>
      <c r="D975" s="88" t="n"/>
      <c r="E975" s="22" t="n"/>
      <c r="F975" s="22" t="n"/>
      <c r="G975" s="22" t="n"/>
      <c r="H975" s="22" t="n"/>
      <c r="I975" s="22" t="n"/>
      <c r="J975" s="22" t="n"/>
      <c r="K975" s="22" t="n"/>
      <c r="L975" s="22" t="n"/>
      <c r="M975" s="88" t="n"/>
      <c r="N975" s="227" t="n"/>
      <c r="P975" s="117" t="n"/>
      <c r="R975" s="117" t="n"/>
      <c r="T975" s="117" t="n"/>
      <c r="U975" s="117">
        <f>V975*C975</f>
        <v/>
      </c>
      <c r="V975" s="94" t="n">
        <v>1.38</v>
      </c>
    </row>
    <row r="976">
      <c r="A976" s="89" t="inlineStr">
        <is>
          <t>4334</t>
        </is>
      </c>
      <c r="B976" s="248" t="inlineStr">
        <is>
          <t>TAVERNITI CHOMBA m/L</t>
        </is>
      </c>
      <c r="C976" s="88" t="n">
        <v>68200</v>
      </c>
      <c r="D976" s="88" t="n"/>
      <c r="E976" s="22" t="n"/>
      <c r="F976" s="22" t="n"/>
      <c r="G976" s="22" t="n"/>
      <c r="H976" s="22" t="n"/>
      <c r="I976" s="22" t="n"/>
      <c r="J976" s="22" t="n"/>
      <c r="K976" s="22" t="n"/>
      <c r="L976" s="22" t="n"/>
      <c r="M976" s="88" t="n"/>
      <c r="N976" s="227" t="n"/>
      <c r="P976" s="117" t="n"/>
      <c r="R976" s="117" t="n"/>
      <c r="T976" s="117" t="n"/>
      <c r="U976" s="117">
        <f>V976*C976</f>
        <v/>
      </c>
      <c r="V976" s="94" t="n">
        <v>1.38</v>
      </c>
    </row>
    <row r="977">
      <c r="A977" s="89" t="inlineStr">
        <is>
          <t>4336</t>
        </is>
      </c>
      <c r="B977" s="248" t="inlineStr">
        <is>
          <t>TAVERNITI CHOMBA m/L</t>
        </is>
      </c>
      <c r="C977" s="88" t="n">
        <v>68200</v>
      </c>
      <c r="D977" s="88" t="n"/>
      <c r="E977" s="22" t="n"/>
      <c r="F977" s="22" t="n"/>
      <c r="G977" s="22" t="n"/>
      <c r="H977" s="22" t="n"/>
      <c r="I977" s="22" t="n"/>
      <c r="J977" s="22" t="n"/>
      <c r="K977" s="22" t="n"/>
      <c r="L977" s="22" t="n"/>
      <c r="M977" s="88" t="n"/>
      <c r="N977" s="227" t="n"/>
      <c r="P977" s="117" t="n"/>
      <c r="R977" s="117" t="n"/>
      <c r="T977" s="117" t="n"/>
      <c r="U977" s="117">
        <f>V977*C977</f>
        <v/>
      </c>
      <c r="V977" s="94" t="n">
        <v>1.38</v>
      </c>
    </row>
    <row r="978">
      <c r="A978" s="89" t="inlineStr">
        <is>
          <t>4834</t>
        </is>
      </c>
      <c r="B978" s="248" t="inlineStr">
        <is>
          <t>TAVERNITI CHOMBA m/L</t>
        </is>
      </c>
      <c r="C978" s="88" t="n">
        <v>68200</v>
      </c>
      <c r="D978" s="88" t="n"/>
      <c r="E978" s="22" t="n"/>
      <c r="F978" s="22" t="n"/>
      <c r="G978" s="22" t="n"/>
      <c r="H978" s="22" t="n"/>
      <c r="I978" s="22" t="n"/>
      <c r="J978" s="22" t="n"/>
      <c r="K978" s="22" t="n"/>
      <c r="L978" s="22" t="n"/>
      <c r="M978" s="88" t="n"/>
      <c r="N978" s="227" t="n"/>
      <c r="P978" s="117" t="n"/>
      <c r="R978" s="117" t="n"/>
      <c r="T978" s="117" t="n"/>
      <c r="U978" s="117">
        <f>V978*C978</f>
        <v/>
      </c>
      <c r="V978" s="94" t="n">
        <v>1.38</v>
      </c>
    </row>
    <row r="979">
      <c r="A979" s="89" t="inlineStr">
        <is>
          <t>4836</t>
        </is>
      </c>
      <c r="B979" s="248" t="inlineStr">
        <is>
          <t>TAVERNITI CHOMBA m/L</t>
        </is>
      </c>
      <c r="C979" s="88" t="n">
        <v>68200</v>
      </c>
      <c r="D979" s="88" t="n"/>
      <c r="E979" s="22" t="n"/>
      <c r="F979" s="22" t="n"/>
      <c r="G979" s="22" t="n"/>
      <c r="H979" s="22" t="n"/>
      <c r="I979" s="22" t="n"/>
      <c r="J979" s="22" t="n"/>
      <c r="K979" s="22" t="n"/>
      <c r="L979" s="22" t="n"/>
      <c r="M979" s="88" t="n"/>
      <c r="N979" s="227" t="n"/>
      <c r="P979" s="117" t="n"/>
      <c r="R979" s="117" t="n"/>
      <c r="T979" s="117" t="n"/>
      <c r="U979" s="117">
        <f>V979*C979</f>
        <v/>
      </c>
      <c r="V979" s="94" t="n">
        <v>1.38</v>
      </c>
    </row>
    <row r="980">
      <c r="A980" s="89" t="inlineStr">
        <is>
          <t>4838</t>
        </is>
      </c>
      <c r="B980" s="248" t="inlineStr">
        <is>
          <t>TAVERNITI CHOMBA m/L</t>
        </is>
      </c>
      <c r="C980" s="88" t="n">
        <v>68200</v>
      </c>
      <c r="D980" s="88" t="n"/>
      <c r="E980" s="22" t="n"/>
      <c r="F980" s="22" t="n"/>
      <c r="G980" s="22" t="n"/>
      <c r="H980" s="22" t="n"/>
      <c r="I980" s="22" t="n"/>
      <c r="J980" s="22" t="n"/>
      <c r="K980" s="22" t="n"/>
      <c r="L980" s="22" t="n"/>
      <c r="M980" s="88" t="n"/>
      <c r="N980" s="227" t="n"/>
      <c r="P980" s="117" t="n"/>
      <c r="R980" s="117" t="n"/>
      <c r="T980" s="117" t="n"/>
      <c r="U980" s="117">
        <f>V980*C980</f>
        <v/>
      </c>
      <c r="V980" s="94" t="n">
        <v>1.38</v>
      </c>
    </row>
    <row r="981">
      <c r="A981" s="89" t="inlineStr">
        <is>
          <t>4840</t>
        </is>
      </c>
      <c r="B981" s="248" t="inlineStr">
        <is>
          <t>TAVERNITI CHOMBA m/L</t>
        </is>
      </c>
      <c r="C981" s="88" t="n">
        <v>68200</v>
      </c>
      <c r="D981" s="88" t="n"/>
      <c r="E981" s="22" t="n"/>
      <c r="F981" s="22" t="n"/>
      <c r="G981" s="22" t="n"/>
      <c r="H981" s="22" t="n"/>
      <c r="I981" s="22" t="n"/>
      <c r="J981" s="22" t="n"/>
      <c r="K981" s="22" t="n"/>
      <c r="L981" s="22" t="n"/>
      <c r="M981" s="88" t="n"/>
      <c r="N981" s="227" t="n"/>
      <c r="P981" s="117" t="n"/>
      <c r="R981" s="117" t="n"/>
      <c r="T981" s="117" t="n"/>
      <c r="U981" s="117">
        <f>V981*C981</f>
        <v/>
      </c>
      <c r="V981" s="94" t="n">
        <v>1.38</v>
      </c>
    </row>
    <row r="982">
      <c r="A982" s="89" t="inlineStr">
        <is>
          <t>4850</t>
        </is>
      </c>
      <c r="B982" s="248" t="inlineStr">
        <is>
          <t>TAVERNITI CHOMBA m/L</t>
        </is>
      </c>
      <c r="C982" s="88" t="n">
        <v>68200</v>
      </c>
      <c r="D982" s="88" t="n"/>
      <c r="E982" s="22" t="n"/>
      <c r="F982" s="22" t="n"/>
      <c r="G982" s="22" t="n"/>
      <c r="H982" s="22" t="n"/>
      <c r="I982" s="22" t="n"/>
      <c r="J982" s="22" t="n"/>
      <c r="K982" s="22" t="n"/>
      <c r="L982" s="22" t="n"/>
      <c r="M982" s="88" t="n"/>
      <c r="N982" s="227" t="n"/>
      <c r="P982" s="117" t="n"/>
      <c r="R982" s="117" t="n"/>
      <c r="T982" s="117" t="n"/>
      <c r="U982" s="117">
        <f>V982*C982</f>
        <v/>
      </c>
      <c r="V982" s="94" t="n">
        <v>1.38</v>
      </c>
    </row>
    <row r="983">
      <c r="A983" s="89" t="inlineStr">
        <is>
          <t>4852</t>
        </is>
      </c>
      <c r="B983" s="248" t="inlineStr">
        <is>
          <t>TAVERNITI CHOMBA m/L</t>
        </is>
      </c>
      <c r="C983" s="88" t="n">
        <v>68200</v>
      </c>
      <c r="D983" s="88" t="n"/>
      <c r="E983" s="22" t="n"/>
      <c r="F983" s="22" t="n"/>
      <c r="G983" s="22" t="n"/>
      <c r="H983" s="22" t="n"/>
      <c r="I983" s="22" t="n"/>
      <c r="J983" s="22" t="n"/>
      <c r="K983" s="22" t="n"/>
      <c r="L983" s="22" t="n"/>
      <c r="M983" s="88" t="n"/>
      <c r="N983" s="227" t="n"/>
      <c r="P983" s="117" t="n"/>
      <c r="R983" s="117" t="n"/>
      <c r="T983" s="117" t="n"/>
      <c r="U983" s="117">
        <f>V983*C983</f>
        <v/>
      </c>
      <c r="V983" s="94" t="n">
        <v>1.38</v>
      </c>
    </row>
    <row r="984">
      <c r="A984" s="89" t="inlineStr">
        <is>
          <t>4894</t>
        </is>
      </c>
      <c r="B984" s="248" t="inlineStr">
        <is>
          <t>TAVERNITI CHOMBA m/L</t>
        </is>
      </c>
      <c r="C984" s="88" t="n">
        <v>68200</v>
      </c>
      <c r="D984" s="88" t="n"/>
      <c r="E984" s="22" t="n"/>
      <c r="F984" s="22" t="n"/>
      <c r="G984" s="22" t="n"/>
      <c r="H984" s="22" t="n"/>
      <c r="I984" s="22" t="n"/>
      <c r="J984" s="22" t="n"/>
      <c r="K984" s="22" t="n"/>
      <c r="L984" s="22" t="n"/>
      <c r="M984" s="88" t="n"/>
      <c r="N984" s="227" t="n"/>
      <c r="P984" s="117" t="n"/>
      <c r="R984" s="117" t="n"/>
      <c r="T984" s="117" t="n"/>
      <c r="U984" s="117">
        <f>V984*C984</f>
        <v/>
      </c>
      <c r="V984" s="94" t="n">
        <v>1.38</v>
      </c>
    </row>
    <row r="985">
      <c r="A985" s="89" t="inlineStr">
        <is>
          <t>4896</t>
        </is>
      </c>
      <c r="B985" s="248" t="inlineStr">
        <is>
          <t>TAVERNITI CHOMBA m/L</t>
        </is>
      </c>
      <c r="C985" s="88" t="n">
        <v>68200</v>
      </c>
      <c r="D985" s="88" t="n"/>
      <c r="E985" s="22" t="n"/>
      <c r="F985" s="22" t="n"/>
      <c r="G985" s="22" t="n"/>
      <c r="H985" s="22" t="n"/>
      <c r="I985" s="22" t="n"/>
      <c r="J985" s="22" t="n"/>
      <c r="K985" s="22" t="n"/>
      <c r="L985" s="22" t="n"/>
      <c r="M985" s="88" t="n"/>
      <c r="N985" s="227" t="n"/>
      <c r="P985" s="117" t="n"/>
      <c r="R985" s="117" t="n"/>
      <c r="T985" s="117" t="n"/>
      <c r="U985" s="117">
        <f>V985*C985</f>
        <v/>
      </c>
      <c r="V985" s="94" t="n">
        <v>1.38</v>
      </c>
    </row>
    <row r="986">
      <c r="A986" s="89" t="inlineStr">
        <is>
          <t>4900</t>
        </is>
      </c>
      <c r="B986" s="248" t="inlineStr">
        <is>
          <t>TAVERNITI CHOMBA m/L</t>
        </is>
      </c>
      <c r="C986" s="88" t="n">
        <v>68200</v>
      </c>
      <c r="D986" s="88" t="n"/>
      <c r="E986" s="22" t="n"/>
      <c r="F986" s="22" t="n"/>
      <c r="G986" s="22" t="n"/>
      <c r="H986" s="22" t="n"/>
      <c r="I986" s="22" t="n"/>
      <c r="J986" s="22" t="n"/>
      <c r="K986" s="22" t="n"/>
      <c r="L986" s="22" t="n"/>
      <c r="M986" s="88" t="n"/>
      <c r="N986" s="227" t="n"/>
      <c r="P986" s="117" t="n"/>
      <c r="R986" s="117" t="n"/>
      <c r="T986" s="117" t="n"/>
      <c r="U986" s="117">
        <f>V986*C986</f>
        <v/>
      </c>
      <c r="V986" s="94" t="n">
        <v>1.38</v>
      </c>
    </row>
    <row r="987">
      <c r="A987" s="89" t="inlineStr">
        <is>
          <t>4906</t>
        </is>
      </c>
      <c r="B987" s="248" t="inlineStr">
        <is>
          <t>TAVERNITI CHOMBA m/L</t>
        </is>
      </c>
      <c r="C987" s="88" t="n">
        <v>68200</v>
      </c>
      <c r="D987" s="88" t="n"/>
      <c r="E987" s="22" t="n"/>
      <c r="F987" s="22" t="n"/>
      <c r="G987" s="22" t="n"/>
      <c r="H987" s="22" t="n"/>
      <c r="I987" s="22" t="n"/>
      <c r="J987" s="22" t="n"/>
      <c r="K987" s="22" t="n"/>
      <c r="L987" s="22" t="n"/>
      <c r="M987" s="88" t="n"/>
      <c r="N987" s="227" t="n"/>
      <c r="P987" s="117" t="n"/>
      <c r="R987" s="117" t="n"/>
      <c r="T987" s="117" t="n"/>
      <c r="U987" s="117">
        <f>V987*C987</f>
        <v/>
      </c>
      <c r="V987" s="94" t="n">
        <v>1.38</v>
      </c>
    </row>
    <row r="988">
      <c r="A988" s="89" t="inlineStr">
        <is>
          <t>XXX</t>
        </is>
      </c>
      <c r="B988" s="248" t="inlineStr">
        <is>
          <t>TAVERNITI CHOMBA m/L</t>
        </is>
      </c>
      <c r="C988" s="88" t="n">
        <v>84400</v>
      </c>
      <c r="D988" s="88" t="n"/>
      <c r="E988" s="170" t="n"/>
      <c r="F988" s="170" t="n"/>
      <c r="G988" s="170" t="n"/>
      <c r="H988" s="170" t="n"/>
      <c r="I988" s="170" t="n"/>
      <c r="J988" s="170" t="n"/>
      <c r="K988" s="170" t="n"/>
      <c r="L988" s="170" t="n"/>
      <c r="M988" s="170" t="n"/>
      <c r="N988" s="105" t="n"/>
      <c r="O988" s="30" t="n"/>
      <c r="P988" s="170" t="n"/>
      <c r="Q988" s="30" t="n"/>
      <c r="R988" s="170" t="n"/>
      <c r="S988" s="30" t="n"/>
      <c r="T988" s="170" t="n"/>
      <c r="U988" s="150">
        <f>V988*C988</f>
        <v/>
      </c>
      <c r="V988" s="94" t="n">
        <v>1.38</v>
      </c>
      <c r="W988" s="30" t="n"/>
      <c r="X988" s="30" t="n"/>
      <c r="Y988" s="30" t="n"/>
      <c r="Z988" s="30" t="n"/>
      <c r="AA988" s="30" t="n"/>
      <c r="AB988" s="30" t="n"/>
      <c r="AC988" s="30" t="n"/>
      <c r="AD988" s="30" t="n"/>
      <c r="AE988" s="30" t="n"/>
      <c r="AF988" s="30" t="n"/>
      <c r="AG988" s="30" t="n"/>
      <c r="AH988" s="30" t="n"/>
      <c r="AI988" s="30" t="n"/>
      <c r="AJ988" s="30" t="n"/>
      <c r="AK988" s="30" t="n"/>
      <c r="AL988" s="30" t="n"/>
      <c r="AM988" s="30" t="n"/>
      <c r="AN988" s="30" t="n"/>
      <c r="AO988" s="30" t="n"/>
    </row>
    <row r="989">
      <c r="A989" s="89" t="inlineStr">
        <is>
          <t>5280XXX</t>
        </is>
      </c>
      <c r="B989" s="248" t="inlineStr">
        <is>
          <t>TAVERNITI CHOMBA m/L</t>
        </is>
      </c>
      <c r="C989" s="88" t="n">
        <v>83600</v>
      </c>
      <c r="D989" s="88" t="n"/>
      <c r="E989" s="170" t="n"/>
      <c r="F989" s="170" t="n"/>
      <c r="G989" s="170" t="n"/>
      <c r="H989" s="170" t="n"/>
      <c r="I989" s="170" t="n"/>
      <c r="J989" s="170" t="n"/>
      <c r="K989" s="170" t="n"/>
      <c r="L989" s="170" t="n"/>
      <c r="M989" s="170" t="n"/>
      <c r="N989" s="105" t="n"/>
      <c r="O989" s="30" t="n"/>
      <c r="P989" s="170" t="n"/>
      <c r="Q989" s="30" t="n"/>
      <c r="R989" s="170" t="n"/>
      <c r="S989" s="30" t="n"/>
      <c r="T989" s="170" t="n"/>
      <c r="U989" s="150">
        <f>V989*C989</f>
        <v/>
      </c>
      <c r="V989" s="94" t="n">
        <v>1.38</v>
      </c>
      <c r="W989" s="30" t="n"/>
      <c r="X989" s="30" t="n"/>
      <c r="Y989" s="30" t="n"/>
      <c r="Z989" s="30" t="n"/>
      <c r="AA989" s="30" t="n"/>
      <c r="AB989" s="30" t="n"/>
      <c r="AC989" s="30" t="n"/>
      <c r="AD989" s="30" t="n"/>
      <c r="AE989" s="30" t="n"/>
      <c r="AF989" s="30" t="n"/>
      <c r="AG989" s="30" t="n"/>
      <c r="AH989" s="30" t="n"/>
      <c r="AI989" s="30" t="n"/>
      <c r="AJ989" s="30" t="n"/>
      <c r="AK989" s="30" t="n"/>
      <c r="AL989" s="30" t="n"/>
      <c r="AM989" s="30" t="n"/>
      <c r="AN989" s="30" t="n"/>
      <c r="AO989" s="30" t="n"/>
    </row>
    <row r="990">
      <c r="A990" s="89" t="inlineStr">
        <is>
          <t>5284XXX</t>
        </is>
      </c>
      <c r="B990" s="248" t="inlineStr">
        <is>
          <t>TAVERNITI CHOMBA m/L</t>
        </is>
      </c>
      <c r="C990" s="88" t="n">
        <v>77300</v>
      </c>
      <c r="D990" s="88" t="n"/>
      <c r="E990" s="170" t="n"/>
      <c r="F990" s="170" t="n"/>
      <c r="G990" s="170" t="n"/>
      <c r="H990" s="170" t="n"/>
      <c r="I990" s="170" t="n"/>
      <c r="J990" s="170" t="n"/>
      <c r="K990" s="170" t="n"/>
      <c r="L990" s="170" t="n"/>
      <c r="M990" s="170" t="n"/>
      <c r="N990" s="105" t="n"/>
      <c r="O990" s="30" t="n"/>
      <c r="P990" s="170" t="n"/>
      <c r="Q990" s="30" t="n"/>
      <c r="R990" s="170" t="n"/>
      <c r="S990" s="30" t="n"/>
      <c r="T990" s="170" t="n"/>
      <c r="U990" s="150">
        <f>V990*C990</f>
        <v/>
      </c>
      <c r="V990" s="94" t="n">
        <v>1.38</v>
      </c>
      <c r="W990" s="30" t="n"/>
      <c r="X990" s="30" t="n"/>
      <c r="Y990" s="30" t="n"/>
      <c r="Z990" s="30" t="n"/>
      <c r="AA990" s="30" t="n"/>
      <c r="AB990" s="30" t="n"/>
      <c r="AC990" s="30" t="n"/>
      <c r="AD990" s="30" t="n"/>
      <c r="AE990" s="30" t="n"/>
      <c r="AF990" s="30" t="n"/>
      <c r="AG990" s="30" t="n"/>
      <c r="AH990" s="30" t="n"/>
      <c r="AI990" s="30" t="n"/>
      <c r="AJ990" s="30" t="n"/>
      <c r="AK990" s="30" t="n"/>
      <c r="AL990" s="30" t="n"/>
      <c r="AM990" s="30" t="n"/>
      <c r="AN990" s="30" t="n"/>
      <c r="AO990" s="30" t="n"/>
    </row>
    <row r="991">
      <c r="A991" s="89" t="inlineStr">
        <is>
          <t>5286XXX</t>
        </is>
      </c>
      <c r="B991" s="248" t="inlineStr">
        <is>
          <t>TAVERNITI CHOMBA m/L</t>
        </is>
      </c>
      <c r="C991" s="88" t="n">
        <v>73900</v>
      </c>
      <c r="D991" s="88" t="n"/>
      <c r="E991" s="170" t="n"/>
      <c r="F991" s="170" t="n"/>
      <c r="G991" s="170" t="n"/>
      <c r="H991" s="170" t="n"/>
      <c r="I991" s="170" t="n"/>
      <c r="J991" s="170" t="n"/>
      <c r="K991" s="170" t="n"/>
      <c r="L991" s="170" t="n"/>
      <c r="M991" s="170" t="n"/>
      <c r="N991" s="105" t="n"/>
      <c r="O991" s="30" t="n"/>
      <c r="P991" s="170" t="n"/>
      <c r="Q991" s="30" t="n"/>
      <c r="R991" s="170" t="n"/>
      <c r="S991" s="30" t="n"/>
      <c r="T991" s="170" t="n"/>
      <c r="U991" s="150">
        <f>V991*C991</f>
        <v/>
      </c>
      <c r="V991" s="94" t="n">
        <v>1.38</v>
      </c>
      <c r="W991" s="30" t="n"/>
      <c r="X991" s="30" t="n"/>
      <c r="Y991" s="30" t="n"/>
      <c r="Z991" s="30" t="n"/>
      <c r="AA991" s="30" t="n"/>
      <c r="AB991" s="30" t="n"/>
      <c r="AC991" s="30" t="n"/>
      <c r="AD991" s="30" t="n"/>
      <c r="AE991" s="30" t="n"/>
      <c r="AF991" s="30" t="n"/>
      <c r="AG991" s="30" t="n"/>
      <c r="AH991" s="30" t="n"/>
      <c r="AI991" s="30" t="n"/>
      <c r="AJ991" s="30" t="n"/>
      <c r="AK991" s="30" t="n"/>
      <c r="AL991" s="30" t="n"/>
      <c r="AM991" s="30" t="n"/>
      <c r="AN991" s="30" t="n"/>
      <c r="AO991" s="30" t="n"/>
    </row>
    <row r="992">
      <c r="A992" s="89" t="inlineStr">
        <is>
          <t>5280XXX</t>
        </is>
      </c>
      <c r="B992" s="248" t="inlineStr">
        <is>
          <t>TAVERNITI CHOMBA m/L</t>
        </is>
      </c>
      <c r="C992" s="88" t="n">
        <v>73900</v>
      </c>
      <c r="D992" s="88" t="n"/>
      <c r="E992" s="170" t="n"/>
      <c r="F992" s="170" t="n"/>
      <c r="G992" s="170" t="n"/>
      <c r="H992" s="170" t="n"/>
      <c r="I992" s="170" t="n"/>
      <c r="J992" s="170" t="n"/>
      <c r="K992" s="170" t="n"/>
      <c r="L992" s="170" t="n"/>
      <c r="M992" s="170" t="n"/>
      <c r="N992" s="105" t="n"/>
      <c r="O992" s="30" t="n"/>
      <c r="P992" s="170" t="n"/>
      <c r="Q992" s="30" t="n"/>
      <c r="R992" s="170" t="n"/>
      <c r="S992" s="30" t="n"/>
      <c r="T992" s="170" t="n"/>
      <c r="U992" s="150">
        <f>V992*C992</f>
        <v/>
      </c>
      <c r="V992" s="94" t="n">
        <v>1.38</v>
      </c>
      <c r="W992" s="30" t="n"/>
      <c r="X992" s="30" t="n"/>
      <c r="Y992" s="30" t="n"/>
      <c r="Z992" s="30" t="n"/>
      <c r="AA992" s="30" t="n"/>
      <c r="AB992" s="30" t="n"/>
      <c r="AC992" s="30" t="n"/>
      <c r="AD992" s="30" t="n"/>
      <c r="AE992" s="30" t="n"/>
      <c r="AF992" s="30" t="n"/>
      <c r="AG992" s="30" t="n"/>
      <c r="AH992" s="30" t="n"/>
      <c r="AI992" s="30" t="n"/>
      <c r="AJ992" s="30" t="n"/>
      <c r="AK992" s="30" t="n"/>
      <c r="AL992" s="30" t="n"/>
      <c r="AM992" s="30" t="n"/>
      <c r="AN992" s="30" t="n"/>
      <c r="AO992" s="30" t="n"/>
    </row>
    <row r="993">
      <c r="A993" s="89" t="inlineStr">
        <is>
          <t>5280XXX</t>
        </is>
      </c>
      <c r="B993" s="248" t="inlineStr">
        <is>
          <t>TAVERNITI CHOMBA m/L</t>
        </is>
      </c>
      <c r="C993" s="88" t="n">
        <v>73900</v>
      </c>
      <c r="D993" s="88" t="n"/>
      <c r="E993" s="170" t="n"/>
      <c r="F993" s="170" t="n"/>
      <c r="G993" s="170" t="n"/>
      <c r="H993" s="170" t="n"/>
      <c r="I993" s="170" t="n"/>
      <c r="J993" s="170" t="n"/>
      <c r="K993" s="170" t="n"/>
      <c r="L993" s="170" t="n"/>
      <c r="M993" s="170" t="n"/>
      <c r="N993" s="105" t="n"/>
      <c r="O993" s="30" t="n"/>
      <c r="P993" s="170" t="n"/>
      <c r="Q993" s="30" t="n"/>
      <c r="R993" s="170" t="n"/>
      <c r="S993" s="30" t="n"/>
      <c r="T993" s="170" t="n"/>
      <c r="U993" s="150">
        <f>V993*C993</f>
        <v/>
      </c>
      <c r="V993" s="94" t="n">
        <v>1.38</v>
      </c>
      <c r="W993" s="30" t="n"/>
      <c r="X993" s="30" t="n"/>
      <c r="Y993" s="30" t="n"/>
      <c r="Z993" s="30" t="n"/>
      <c r="AA993" s="30" t="n"/>
      <c r="AB993" s="30" t="n"/>
      <c r="AC993" s="30" t="n"/>
      <c r="AD993" s="30" t="n"/>
      <c r="AE993" s="30" t="n"/>
      <c r="AF993" s="30" t="n"/>
      <c r="AG993" s="30" t="n"/>
      <c r="AH993" s="30" t="n"/>
      <c r="AI993" s="30" t="n"/>
      <c r="AJ993" s="30" t="n"/>
      <c r="AK993" s="30" t="n"/>
      <c r="AL993" s="30" t="n"/>
      <c r="AM993" s="30" t="n"/>
      <c r="AN993" s="30" t="n"/>
      <c r="AO993" s="30" t="n"/>
    </row>
    <row r="994">
      <c r="A994" s="89" t="inlineStr">
        <is>
          <t>5290XXX</t>
        </is>
      </c>
      <c r="B994" s="248" t="inlineStr">
        <is>
          <t>TAVERNITI CHOMBA m/L</t>
        </is>
      </c>
      <c r="C994" s="88" t="n">
        <v>80000</v>
      </c>
      <c r="D994" s="88" t="n"/>
      <c r="E994" s="170" t="n"/>
      <c r="F994" s="170" t="n"/>
      <c r="G994" s="170" t="n"/>
      <c r="H994" s="170" t="n"/>
      <c r="I994" s="170" t="n"/>
      <c r="J994" s="170" t="n"/>
      <c r="K994" s="170" t="n"/>
      <c r="L994" s="170" t="n"/>
      <c r="M994" s="170" t="n"/>
      <c r="N994" s="105" t="n"/>
      <c r="O994" s="30" t="n"/>
      <c r="P994" s="170" t="n"/>
      <c r="Q994" s="30" t="n"/>
      <c r="R994" s="170" t="n"/>
      <c r="S994" s="30" t="n"/>
      <c r="T994" s="170" t="n"/>
      <c r="U994" s="150">
        <f>V994*C994</f>
        <v/>
      </c>
      <c r="V994" s="94" t="n">
        <v>1.38</v>
      </c>
      <c r="W994" s="30" t="n"/>
      <c r="X994" s="30" t="n"/>
      <c r="Y994" s="30" t="n"/>
      <c r="Z994" s="30" t="n"/>
      <c r="AA994" s="30" t="n"/>
      <c r="AB994" s="30" t="n"/>
      <c r="AC994" s="30" t="n"/>
      <c r="AD994" s="30" t="n"/>
      <c r="AE994" s="30" t="n"/>
      <c r="AF994" s="30" t="n"/>
      <c r="AG994" s="30" t="n"/>
      <c r="AH994" s="30" t="n"/>
      <c r="AI994" s="30" t="n"/>
      <c r="AJ994" s="30" t="n"/>
      <c r="AK994" s="30" t="n"/>
      <c r="AL994" s="30" t="n"/>
      <c r="AM994" s="30" t="n"/>
      <c r="AN994" s="30" t="n"/>
      <c r="AO994" s="30" t="n"/>
    </row>
    <row r="995">
      <c r="A995" s="89" t="inlineStr">
        <is>
          <t>6119XXX</t>
        </is>
      </c>
      <c r="B995" s="248" t="inlineStr">
        <is>
          <t>TAVERNITI CHOMBA m/L</t>
        </is>
      </c>
      <c r="C995" s="88" t="n">
        <v>68200</v>
      </c>
      <c r="D995" s="88" t="n"/>
      <c r="E995" s="22" t="n"/>
      <c r="F995" s="22" t="n"/>
      <c r="G995" s="22" t="n"/>
      <c r="H995" s="22" t="n"/>
      <c r="I995" s="22" t="n"/>
      <c r="J995" s="22" t="n"/>
      <c r="K995" s="22" t="n"/>
      <c r="L995" s="22" t="n"/>
      <c r="M995" s="88" t="n"/>
      <c r="N995" s="227" t="n"/>
      <c r="P995" s="117" t="n"/>
      <c r="R995" s="117" t="n"/>
      <c r="T995" s="117" t="n"/>
      <c r="U995" s="117">
        <f>V995*C995</f>
        <v/>
      </c>
      <c r="V995" s="94" t="n">
        <v>1.38</v>
      </c>
    </row>
    <row r="996">
      <c r="A996" s="89" t="inlineStr">
        <is>
          <t>6184XXX</t>
        </is>
      </c>
      <c r="B996" s="248" t="inlineStr">
        <is>
          <t>TAVERNITI CHOMBA m/L</t>
        </is>
      </c>
      <c r="C996" s="88" t="n">
        <v>68200</v>
      </c>
      <c r="D996" s="88" t="n"/>
      <c r="E996" s="22" t="n"/>
      <c r="F996" s="22" t="n"/>
      <c r="G996" s="22" t="n"/>
      <c r="H996" s="22" t="n"/>
      <c r="I996" s="22" t="n"/>
      <c r="J996" s="22" t="n"/>
      <c r="K996" s="22" t="n"/>
      <c r="L996" s="22" t="n"/>
      <c r="M996" s="88" t="n"/>
      <c r="N996" s="227" t="n"/>
      <c r="P996" s="117" t="n"/>
      <c r="R996" s="117" t="n"/>
      <c r="T996" s="117" t="n"/>
      <c r="U996" s="117">
        <f>V996*C996</f>
        <v/>
      </c>
      <c r="V996" s="94" t="n">
        <v>1.38</v>
      </c>
    </row>
    <row r="997">
      <c r="A997" s="89" t="inlineStr">
        <is>
          <t>6190XXX</t>
        </is>
      </c>
      <c r="B997" s="248" t="inlineStr">
        <is>
          <t>TAVERNITI CHOMBA m/L</t>
        </is>
      </c>
      <c r="C997" s="88" t="n">
        <v>68200</v>
      </c>
      <c r="D997" s="88" t="n"/>
      <c r="E997" s="22" t="n"/>
      <c r="F997" s="22" t="n"/>
      <c r="G997" s="22" t="n"/>
      <c r="H997" s="22" t="n"/>
      <c r="I997" s="22" t="n"/>
      <c r="J997" s="22" t="n"/>
      <c r="K997" s="22" t="n"/>
      <c r="L997" s="22" t="n"/>
      <c r="M997" s="88" t="n"/>
      <c r="N997" s="227" t="n"/>
      <c r="P997" s="117" t="n"/>
      <c r="R997" s="117" t="n"/>
      <c r="T997" s="117" t="n"/>
      <c r="U997" s="117">
        <f>V997*C997</f>
        <v/>
      </c>
      <c r="V997" s="94" t="n">
        <v>1.38</v>
      </c>
    </row>
    <row r="998">
      <c r="A998" s="89" t="inlineStr">
        <is>
          <t>6192XXX</t>
        </is>
      </c>
      <c r="B998" s="248" t="inlineStr">
        <is>
          <t>TAVERNITI CHOMBA m/L</t>
        </is>
      </c>
      <c r="C998" s="88" t="n">
        <v>68200</v>
      </c>
      <c r="D998" s="88" t="n"/>
      <c r="E998" s="22" t="n"/>
      <c r="F998" s="22" t="n"/>
      <c r="G998" s="22" t="n"/>
      <c r="H998" s="22" t="n"/>
      <c r="I998" s="22" t="n"/>
      <c r="J998" s="22" t="n"/>
      <c r="K998" s="22" t="n"/>
      <c r="L998" s="22" t="n"/>
      <c r="M998" s="88" t="n"/>
      <c r="N998" s="227" t="n"/>
      <c r="P998" s="117" t="n"/>
      <c r="R998" s="117" t="n"/>
      <c r="T998" s="117" t="n"/>
      <c r="U998" s="117">
        <f>V998*C998</f>
        <v/>
      </c>
      <c r="V998" s="94" t="n">
        <v>1.38</v>
      </c>
    </row>
    <row r="999">
      <c r="A999" s="89" t="inlineStr">
        <is>
          <t>6208XXX</t>
        </is>
      </c>
      <c r="B999" s="248" t="inlineStr">
        <is>
          <t>TAVERNITI CHOMBA m/L</t>
        </is>
      </c>
      <c r="C999" s="88" t="n">
        <v>68200</v>
      </c>
      <c r="D999" s="88" t="n"/>
      <c r="E999" s="22" t="n"/>
      <c r="F999" s="22" t="n"/>
      <c r="G999" s="22" t="n"/>
      <c r="H999" s="22" t="n"/>
      <c r="I999" s="22" t="n"/>
      <c r="J999" s="22" t="n"/>
      <c r="K999" s="22" t="n"/>
      <c r="L999" s="22" t="n"/>
      <c r="M999" s="88" t="n"/>
      <c r="N999" s="227" t="n"/>
      <c r="P999" s="117" t="n"/>
      <c r="R999" s="117" t="n"/>
      <c r="T999" s="117" t="n"/>
      <c r="U999" s="117">
        <f>V999*C999</f>
        <v/>
      </c>
      <c r="V999" s="94" t="n">
        <v>1.38</v>
      </c>
    </row>
    <row r="1000">
      <c r="A1000" s="89" t="inlineStr">
        <is>
          <t>7298XXX</t>
        </is>
      </c>
      <c r="B1000" s="248" t="inlineStr">
        <is>
          <t>TAVERNITI-LISA VIVO CUELLO</t>
        </is>
      </c>
      <c r="C1000" s="88" t="n">
        <v>54200</v>
      </c>
      <c r="D1000" s="88" t="n"/>
      <c r="E1000" s="22" t="n"/>
      <c r="F1000" s="22" t="n"/>
      <c r="G1000" s="22" t="n"/>
      <c r="H1000" s="22" t="n"/>
      <c r="I1000" s="22" t="n"/>
      <c r="J1000" s="22" t="n"/>
      <c r="K1000" s="22" t="n"/>
      <c r="L1000" s="22" t="n"/>
      <c r="M1000" s="88" t="n"/>
      <c r="N1000" s="227" t="n"/>
      <c r="P1000" s="117" t="n"/>
      <c r="R1000" s="117" t="n"/>
      <c r="T1000" s="117" t="n"/>
      <c r="U1000" s="117">
        <f>V1000*C1000</f>
        <v/>
      </c>
      <c r="V1000" s="94" t="n">
        <v>1.38</v>
      </c>
    </row>
    <row r="1001">
      <c r="A1001" s="89" t="inlineStr">
        <is>
          <t>07544XXX</t>
        </is>
      </c>
      <c r="B1001" s="248" t="inlineStr">
        <is>
          <t>TAVERNITI-FRIZA LISA VIVO CUELLO</t>
        </is>
      </c>
      <c r="C1001" s="88" t="n">
        <v>71700</v>
      </c>
      <c r="D1001" s="88" t="n"/>
      <c r="E1001" s="22" t="n"/>
      <c r="F1001" s="22" t="n"/>
      <c r="G1001" s="22" t="n"/>
      <c r="H1001" s="22" t="n"/>
      <c r="I1001" s="22" t="n"/>
      <c r="J1001" s="22" t="n"/>
      <c r="K1001" s="22" t="n"/>
      <c r="L1001" s="22" t="n"/>
      <c r="M1001" s="88" t="n"/>
      <c r="N1001" s="227" t="n"/>
      <c r="P1001" s="117" t="n"/>
      <c r="R1001" s="117" t="n"/>
      <c r="T1001" s="117" t="n"/>
      <c r="U1001" s="117">
        <f>V1001*C1001</f>
        <v/>
      </c>
      <c r="V1001" s="94" t="n">
        <v>1.38</v>
      </c>
    </row>
    <row r="1002">
      <c r="A1002" s="89" t="inlineStr">
        <is>
          <t>14586</t>
        </is>
      </c>
      <c r="B1002" s="248" t="inlineStr">
        <is>
          <t>TAVERNITI CHOMBA m/L</t>
        </is>
      </c>
      <c r="C1002" s="88" t="n">
        <v>75500</v>
      </c>
      <c r="D1002" s="88" t="n"/>
      <c r="E1002" s="22" t="n"/>
      <c r="F1002" s="22" t="n"/>
      <c r="G1002" s="22" t="n"/>
      <c r="H1002" s="22" t="n"/>
      <c r="I1002" s="22" t="n"/>
      <c r="J1002" s="22" t="n"/>
      <c r="K1002" s="22" t="n"/>
      <c r="L1002" s="22" t="n"/>
      <c r="M1002" s="88" t="n"/>
      <c r="N1002" s="227" t="n"/>
      <c r="P1002" s="117" t="n"/>
      <c r="R1002" s="117" t="n"/>
      <c r="T1002" s="117" t="n"/>
      <c r="U1002" s="117">
        <f>V1002*C1002</f>
        <v/>
      </c>
      <c r="V1002" s="94" t="n">
        <v>1.37999999999999</v>
      </c>
    </row>
    <row r="1003">
      <c r="A1003" s="89" t="inlineStr">
        <is>
          <t>14592</t>
        </is>
      </c>
      <c r="B1003" s="248" t="inlineStr">
        <is>
          <t>TAVERNITI CHOMBA m/L</t>
        </is>
      </c>
      <c r="C1003" s="88" t="n">
        <v>75500</v>
      </c>
      <c r="D1003" s="88" t="n"/>
      <c r="E1003" s="22" t="n"/>
      <c r="F1003" s="22" t="n"/>
      <c r="G1003" s="22" t="n"/>
      <c r="H1003" s="22" t="n"/>
      <c r="I1003" s="22" t="n"/>
      <c r="J1003" s="22" t="n"/>
      <c r="K1003" s="22" t="n"/>
      <c r="L1003" s="22" t="n"/>
      <c r="M1003" s="88" t="n"/>
      <c r="N1003" s="227" t="n"/>
      <c r="P1003" s="117" t="n"/>
      <c r="R1003" s="117" t="n"/>
      <c r="T1003" s="117" t="n"/>
      <c r="U1003" s="117">
        <f>V1003*C1003</f>
        <v/>
      </c>
      <c r="V1003" s="94" t="n">
        <v>1.37999999999999</v>
      </c>
    </row>
    <row r="1004">
      <c r="A1004" s="89" t="inlineStr">
        <is>
          <t>14594</t>
        </is>
      </c>
      <c r="B1004" s="248" t="inlineStr">
        <is>
          <t>TAVERNITI CHOMBA m/L</t>
        </is>
      </c>
      <c r="C1004" s="88" t="n">
        <v>75500</v>
      </c>
      <c r="D1004" s="88" t="n"/>
      <c r="E1004" s="22" t="n"/>
      <c r="F1004" s="22" t="n"/>
      <c r="G1004" s="22" t="n"/>
      <c r="H1004" s="22" t="n"/>
      <c r="I1004" s="22" t="n"/>
      <c r="J1004" s="22" t="n"/>
      <c r="K1004" s="22" t="n"/>
      <c r="L1004" s="22" t="n"/>
      <c r="M1004" s="88" t="n"/>
      <c r="N1004" s="227" t="n"/>
      <c r="P1004" s="117" t="n"/>
      <c r="R1004" s="117" t="n"/>
      <c r="T1004" s="117" t="n"/>
      <c r="U1004" s="117">
        <f>V1004*C1004</f>
        <v/>
      </c>
      <c r="V1004" s="94" t="n">
        <v>1.37999999999999</v>
      </c>
    </row>
    <row r="1005">
      <c r="A1005" s="89" t="inlineStr">
        <is>
          <t>14596</t>
        </is>
      </c>
      <c r="B1005" s="248" t="inlineStr">
        <is>
          <t>TAVERNITI CHOMBA m/L</t>
        </is>
      </c>
      <c r="C1005" s="88" t="n">
        <v>75500</v>
      </c>
      <c r="D1005" s="88" t="n"/>
      <c r="E1005" s="22" t="n"/>
      <c r="F1005" s="22" t="n"/>
      <c r="G1005" s="22" t="n"/>
      <c r="H1005" s="22" t="n"/>
      <c r="I1005" s="22" t="n"/>
      <c r="J1005" s="22" t="n"/>
      <c r="K1005" s="22" t="n"/>
      <c r="L1005" s="22" t="n"/>
      <c r="M1005" s="88" t="n"/>
      <c r="N1005" s="227" t="n"/>
      <c r="P1005" s="117" t="n"/>
      <c r="R1005" s="117" t="n"/>
      <c r="T1005" s="117" t="n"/>
      <c r="U1005" s="117">
        <f>V1005*C1005</f>
        <v/>
      </c>
      <c r="V1005" s="94" t="n">
        <v>1.37999999999999</v>
      </c>
    </row>
    <row r="1006">
      <c r="A1006" s="89" t="inlineStr">
        <is>
          <t>14598</t>
        </is>
      </c>
      <c r="B1006" s="248" t="inlineStr">
        <is>
          <t>TAVERNITI CHOMBA m/L</t>
        </is>
      </c>
      <c r="C1006" s="88" t="n">
        <v>75500</v>
      </c>
      <c r="D1006" s="88" t="n"/>
      <c r="E1006" s="22" t="n"/>
      <c r="F1006" s="22" t="n"/>
      <c r="G1006" s="22" t="n"/>
      <c r="H1006" s="22" t="n"/>
      <c r="I1006" s="22" t="n"/>
      <c r="J1006" s="22" t="n"/>
      <c r="K1006" s="22" t="n"/>
      <c r="L1006" s="22" t="n"/>
      <c r="M1006" s="88" t="n"/>
      <c r="N1006" s="227" t="n"/>
      <c r="P1006" s="117" t="n"/>
      <c r="R1006" s="117" t="n"/>
      <c r="T1006" s="117" t="n"/>
      <c r="U1006" s="117">
        <f>V1006*C1006</f>
        <v/>
      </c>
      <c r="V1006" s="94" t="n">
        <v>1.37999999999999</v>
      </c>
    </row>
    <row r="1007">
      <c r="A1007" s="89" t="inlineStr">
        <is>
          <t>14600</t>
        </is>
      </c>
      <c r="B1007" s="248" t="inlineStr">
        <is>
          <t>TAVERNITI CHOMBA m/L</t>
        </is>
      </c>
      <c r="C1007" s="88" t="n">
        <v>75500</v>
      </c>
      <c r="D1007" s="88" t="n"/>
      <c r="E1007" s="22" t="n"/>
      <c r="F1007" s="22" t="n"/>
      <c r="G1007" s="22" t="n"/>
      <c r="H1007" s="22" t="n"/>
      <c r="I1007" s="22" t="n"/>
      <c r="J1007" s="22" t="n"/>
      <c r="K1007" s="22" t="n"/>
      <c r="L1007" s="22" t="n"/>
      <c r="M1007" s="88" t="n"/>
      <c r="N1007" s="227" t="n"/>
      <c r="P1007" s="117" t="n"/>
      <c r="R1007" s="117" t="n"/>
      <c r="T1007" s="117" t="n"/>
      <c r="U1007" s="117">
        <f>V1007*C1007</f>
        <v/>
      </c>
      <c r="V1007" s="94" t="n">
        <v>1.37999999999999</v>
      </c>
    </row>
    <row r="1008">
      <c r="A1008" s="89" t="inlineStr">
        <is>
          <t>14602</t>
        </is>
      </c>
      <c r="B1008" s="248" t="inlineStr">
        <is>
          <t>TAVERNITI CHOMBA m/L</t>
        </is>
      </c>
      <c r="C1008" s="88" t="n">
        <v>75500</v>
      </c>
      <c r="D1008" s="88" t="n"/>
      <c r="E1008" s="22" t="n"/>
      <c r="F1008" s="22" t="n"/>
      <c r="G1008" s="22" t="n"/>
      <c r="H1008" s="22" t="n"/>
      <c r="I1008" s="22" t="n"/>
      <c r="J1008" s="22" t="n"/>
      <c r="K1008" s="22" t="n"/>
      <c r="L1008" s="22" t="n"/>
      <c r="M1008" s="88" t="n"/>
      <c r="N1008" s="227" t="n"/>
      <c r="P1008" s="117" t="n"/>
      <c r="R1008" s="117" t="n"/>
      <c r="T1008" s="117" t="n"/>
      <c r="U1008" s="117">
        <f>V1008*C1008</f>
        <v/>
      </c>
      <c r="V1008" s="94" t="n">
        <v>1.37999999999999</v>
      </c>
    </row>
    <row r="1009">
      <c r="A1009" s="89" t="inlineStr">
        <is>
          <t>14604</t>
        </is>
      </c>
      <c r="B1009" s="248" t="inlineStr">
        <is>
          <t>TAVERNITI CHOMBA m/L</t>
        </is>
      </c>
      <c r="C1009" s="88" t="n">
        <v>75500</v>
      </c>
      <c r="D1009" s="88" t="n"/>
      <c r="E1009" s="22" t="n"/>
      <c r="F1009" s="22" t="n"/>
      <c r="G1009" s="22" t="n"/>
      <c r="H1009" s="22" t="n"/>
      <c r="I1009" s="22" t="n"/>
      <c r="J1009" s="22" t="n"/>
      <c r="K1009" s="22" t="n"/>
      <c r="L1009" s="22" t="n"/>
      <c r="M1009" s="88" t="n"/>
      <c r="N1009" s="227" t="n"/>
      <c r="P1009" s="117" t="n"/>
      <c r="R1009" s="117" t="n"/>
      <c r="T1009" s="117" t="n"/>
      <c r="U1009" s="117">
        <f>V1009*C1009</f>
        <v/>
      </c>
      <c r="V1009" s="94" t="n">
        <v>1.37999999999999</v>
      </c>
    </row>
    <row r="1010">
      <c r="A1010" s="89" t="inlineStr">
        <is>
          <t>14606</t>
        </is>
      </c>
      <c r="B1010" s="248" t="inlineStr">
        <is>
          <t>TAVERNITI CHOMBA m/L</t>
        </is>
      </c>
      <c r="C1010" s="88" t="n">
        <v>75500</v>
      </c>
      <c r="D1010" s="88" t="n"/>
      <c r="E1010" s="22" t="n"/>
      <c r="F1010" s="22" t="n"/>
      <c r="G1010" s="22" t="n"/>
      <c r="H1010" s="22" t="n"/>
      <c r="I1010" s="22" t="n"/>
      <c r="J1010" s="22" t="n"/>
      <c r="K1010" s="22" t="n"/>
      <c r="L1010" s="22" t="n"/>
      <c r="M1010" s="88" t="n"/>
      <c r="N1010" s="227" t="n"/>
      <c r="P1010" s="117" t="n"/>
      <c r="R1010" s="117" t="n"/>
      <c r="T1010" s="117" t="n"/>
      <c r="U1010" s="117">
        <f>V1010*C1010</f>
        <v/>
      </c>
      <c r="V1010" s="94" t="n">
        <v>1.37999999999999</v>
      </c>
    </row>
    <row r="1011">
      <c r="A1011" s="89" t="inlineStr">
        <is>
          <t>14608</t>
        </is>
      </c>
      <c r="B1011" s="248" t="inlineStr">
        <is>
          <t>TAVERNITI CHOMBA m/L</t>
        </is>
      </c>
      <c r="C1011" s="88" t="n">
        <v>75500</v>
      </c>
      <c r="D1011" s="88" t="n"/>
      <c r="E1011" s="22" t="n"/>
      <c r="F1011" s="22" t="n"/>
      <c r="G1011" s="22" t="n"/>
      <c r="H1011" s="22" t="n"/>
      <c r="I1011" s="22" t="n"/>
      <c r="J1011" s="22" t="n"/>
      <c r="K1011" s="22" t="n"/>
      <c r="L1011" s="22" t="n"/>
      <c r="M1011" s="88" t="n"/>
      <c r="N1011" s="227" t="n"/>
      <c r="P1011" s="117" t="n"/>
      <c r="R1011" s="117" t="n"/>
      <c r="T1011" s="117" t="n"/>
      <c r="U1011" s="117">
        <f>V1011*C1011</f>
        <v/>
      </c>
      <c r="V1011" s="94" t="n">
        <v>1.37999999999999</v>
      </c>
    </row>
    <row r="1012">
      <c r="A1012" s="89" t="inlineStr">
        <is>
          <t>14610</t>
        </is>
      </c>
      <c r="B1012" s="248" t="inlineStr">
        <is>
          <t>TAVERNITI CHOMBA m/L</t>
        </is>
      </c>
      <c r="C1012" s="88" t="n">
        <v>75500</v>
      </c>
      <c r="D1012" s="88" t="n"/>
      <c r="E1012" s="22" t="n"/>
      <c r="F1012" s="22" t="n"/>
      <c r="G1012" s="22" t="n"/>
      <c r="H1012" s="22" t="n"/>
      <c r="I1012" s="22" t="n"/>
      <c r="J1012" s="22" t="n"/>
      <c r="K1012" s="22" t="n"/>
      <c r="L1012" s="22" t="n"/>
      <c r="M1012" s="88" t="n"/>
      <c r="N1012" s="227" t="n"/>
      <c r="P1012" s="117" t="n"/>
      <c r="R1012" s="117" t="n"/>
      <c r="T1012" s="117" t="n"/>
      <c r="U1012" s="117">
        <f>V1012*C1012</f>
        <v/>
      </c>
      <c r="V1012" s="94" t="n">
        <v>1.37999999999999</v>
      </c>
    </row>
    <row r="1013">
      <c r="A1013" s="89" t="inlineStr">
        <is>
          <t>14612</t>
        </is>
      </c>
      <c r="B1013" s="248" t="inlineStr">
        <is>
          <t>TAVERNITI CHOMBA m/L</t>
        </is>
      </c>
      <c r="C1013" s="88" t="n">
        <v>75500</v>
      </c>
      <c r="D1013" s="88" t="n"/>
      <c r="E1013" s="22" t="n"/>
      <c r="F1013" s="22" t="n"/>
      <c r="G1013" s="22" t="n"/>
      <c r="H1013" s="22" t="n"/>
      <c r="I1013" s="22" t="n"/>
      <c r="J1013" s="22" t="n"/>
      <c r="K1013" s="22" t="n"/>
      <c r="L1013" s="22" t="n"/>
      <c r="M1013" s="88" t="n"/>
      <c r="N1013" s="227" t="n"/>
      <c r="P1013" s="117" t="n"/>
      <c r="R1013" s="117" t="n"/>
      <c r="T1013" s="117" t="n"/>
      <c r="U1013" s="117">
        <f>V1013*C1013</f>
        <v/>
      </c>
      <c r="V1013" s="94" t="n">
        <v>1.37999999999999</v>
      </c>
    </row>
    <row r="1014">
      <c r="A1014" s="89" t="inlineStr">
        <is>
          <t>14614</t>
        </is>
      </c>
      <c r="B1014" s="248" t="inlineStr">
        <is>
          <t>TAVERNITI CHOMBA m/L</t>
        </is>
      </c>
      <c r="C1014" s="88" t="n">
        <v>75500</v>
      </c>
      <c r="D1014" s="88" t="n"/>
      <c r="E1014" s="22" t="n"/>
      <c r="F1014" s="22" t="n"/>
      <c r="G1014" s="22" t="n"/>
      <c r="H1014" s="22" t="n"/>
      <c r="I1014" s="22" t="n"/>
      <c r="J1014" s="22" t="n"/>
      <c r="K1014" s="22" t="n"/>
      <c r="L1014" s="22" t="n"/>
      <c r="M1014" s="88" t="n"/>
      <c r="N1014" s="227" t="n"/>
      <c r="P1014" s="117" t="n"/>
      <c r="R1014" s="117" t="n"/>
      <c r="T1014" s="117" t="n"/>
      <c r="U1014" s="117">
        <f>V1014*C1014</f>
        <v/>
      </c>
      <c r="V1014" s="94" t="n">
        <v>1.37999999999999</v>
      </c>
    </row>
    <row r="1015">
      <c r="A1015" s="89" t="inlineStr">
        <is>
          <t>14622</t>
        </is>
      </c>
      <c r="B1015" s="248" t="inlineStr">
        <is>
          <t>TAVERNITI CHOMBA m/L</t>
        </is>
      </c>
      <c r="C1015" s="88" t="n">
        <v>75500</v>
      </c>
      <c r="D1015" s="88" t="n"/>
      <c r="E1015" s="22" t="n"/>
      <c r="F1015" s="22" t="n"/>
      <c r="G1015" s="22" t="n"/>
      <c r="H1015" s="22" t="n"/>
      <c r="I1015" s="22" t="n"/>
      <c r="J1015" s="22" t="n"/>
      <c r="K1015" s="22" t="n"/>
      <c r="L1015" s="22" t="n"/>
      <c r="M1015" s="88" t="n"/>
      <c r="N1015" s="227" t="n"/>
      <c r="P1015" s="117" t="n"/>
      <c r="R1015" s="117" t="n"/>
      <c r="T1015" s="117" t="n"/>
      <c r="U1015" s="117">
        <f>V1015*C1015</f>
        <v/>
      </c>
      <c r="V1015" s="94" t="n">
        <v>1.37999999999999</v>
      </c>
    </row>
    <row r="1016">
      <c r="A1016" s="89" t="inlineStr">
        <is>
          <t>14624</t>
        </is>
      </c>
      <c r="B1016" s="248" t="inlineStr">
        <is>
          <t>TAVERNITI CHOMBA m/L</t>
        </is>
      </c>
      <c r="C1016" s="88" t="n">
        <v>75500</v>
      </c>
      <c r="D1016" s="88" t="n"/>
      <c r="E1016" s="22" t="n"/>
      <c r="F1016" s="22" t="n"/>
      <c r="G1016" s="22" t="n"/>
      <c r="H1016" s="22" t="n"/>
      <c r="I1016" s="22" t="n"/>
      <c r="J1016" s="22" t="n"/>
      <c r="K1016" s="22" t="n"/>
      <c r="L1016" s="22" t="n"/>
      <c r="M1016" s="88" t="n"/>
      <c r="N1016" s="227" t="n"/>
      <c r="P1016" s="117" t="n"/>
      <c r="R1016" s="117" t="n"/>
      <c r="T1016" s="117" t="n"/>
      <c r="U1016" s="117">
        <f>V1016*C1016</f>
        <v/>
      </c>
      <c r="V1016" s="94" t="n">
        <v>1.37999999999999</v>
      </c>
    </row>
    <row r="1017">
      <c r="A1017" s="68" t="inlineStr">
        <is>
          <t>14608</t>
        </is>
      </c>
      <c r="B1017" s="248" t="inlineStr">
        <is>
          <t>TAVERNITI CHOMBA m/L</t>
        </is>
      </c>
      <c r="C1017" s="88" t="n">
        <v>75500</v>
      </c>
      <c r="D1017" s="88" t="n"/>
      <c r="E1017" s="219" t="n"/>
      <c r="F1017" s="219" t="n"/>
      <c r="G1017" s="219" t="n"/>
      <c r="H1017" s="219" t="n"/>
      <c r="I1017" s="219" t="n"/>
      <c r="J1017" s="219" t="n"/>
      <c r="K1017" s="219" t="n"/>
      <c r="L1017" s="183" t="n"/>
      <c r="M1017" s="219" t="n"/>
      <c r="N1017" s="180" t="n"/>
      <c r="P1017" s="117" t="n"/>
      <c r="R1017" s="117" t="n"/>
      <c r="T1017" s="117" t="n"/>
      <c r="U1017" s="117">
        <f>V1017*C1017</f>
        <v/>
      </c>
      <c r="V1017" s="94" t="n">
        <v>1.37999999999999</v>
      </c>
    </row>
    <row r="1018">
      <c r="A1018" s="68" t="inlineStr">
        <is>
          <t>14616</t>
        </is>
      </c>
      <c r="B1018" s="248" t="inlineStr">
        <is>
          <t>TAVERNITI CHOMBA m/L</t>
        </is>
      </c>
      <c r="C1018" s="88" t="n">
        <v>75500</v>
      </c>
      <c r="D1018" s="88" t="n"/>
      <c r="E1018" s="219" t="n"/>
      <c r="F1018" s="219" t="n"/>
      <c r="G1018" s="219" t="n"/>
      <c r="H1018" s="219" t="n"/>
      <c r="I1018" s="219" t="n"/>
      <c r="J1018" s="219" t="n"/>
      <c r="K1018" s="219" t="n"/>
      <c r="L1018" s="183" t="n"/>
      <c r="M1018" s="219" t="n"/>
      <c r="N1018" s="180" t="n"/>
      <c r="P1018" s="117" t="n"/>
      <c r="R1018" s="117" t="n"/>
      <c r="T1018" s="117" t="n"/>
      <c r="U1018" s="117">
        <f>V1018*C1018</f>
        <v/>
      </c>
      <c r="V1018" s="94" t="n">
        <v>1.37999999999999</v>
      </c>
    </row>
    <row r="1019">
      <c r="A1019" s="68" t="inlineStr">
        <is>
          <t>14626</t>
        </is>
      </c>
      <c r="B1019" s="248" t="inlineStr">
        <is>
          <t>TAVERNITI CHOMBA m/L</t>
        </is>
      </c>
      <c r="C1019" s="88" t="n">
        <v>75500</v>
      </c>
      <c r="D1019" s="88" t="n"/>
      <c r="E1019" s="219" t="n"/>
      <c r="F1019" s="219" t="n"/>
      <c r="G1019" s="219" t="n"/>
      <c r="H1019" s="219" t="n"/>
      <c r="I1019" s="219" t="n"/>
      <c r="J1019" s="219" t="n"/>
      <c r="K1019" s="219" t="n"/>
      <c r="L1019" s="183" t="n"/>
      <c r="M1019" s="219" t="n"/>
      <c r="N1019" s="180" t="n"/>
      <c r="P1019" s="117" t="n"/>
      <c r="R1019" s="117" t="n"/>
      <c r="T1019" s="117" t="n"/>
      <c r="U1019" s="117">
        <f>V1019*C1019</f>
        <v/>
      </c>
      <c r="V1019" s="94" t="n">
        <v>1.37999999999999</v>
      </c>
    </row>
    <row r="1020">
      <c r="A1020" s="89" t="inlineStr">
        <is>
          <t>14626</t>
        </is>
      </c>
      <c r="B1020" s="248" t="inlineStr">
        <is>
          <t>TAVERNITI CHOMBA m/L</t>
        </is>
      </c>
      <c r="C1020" s="88" t="n">
        <v>75500</v>
      </c>
      <c r="D1020" s="88" t="n"/>
      <c r="E1020" s="22" t="n"/>
      <c r="F1020" s="22" t="n"/>
      <c r="G1020" s="22" t="n"/>
      <c r="H1020" s="22" t="n"/>
      <c r="I1020" s="22" t="n"/>
      <c r="J1020" s="22" t="n"/>
      <c r="K1020" s="22" t="n"/>
      <c r="L1020" s="22" t="n"/>
      <c r="M1020" s="88" t="n"/>
      <c r="N1020" s="227" t="n"/>
      <c r="P1020" s="117" t="n"/>
      <c r="R1020" s="117" t="n"/>
      <c r="T1020" s="117" t="n"/>
      <c r="U1020" s="117">
        <f>V1020*C1020</f>
        <v/>
      </c>
      <c r="V1020" s="94" t="n">
        <v>1.37999999999999</v>
      </c>
    </row>
    <row r="1021">
      <c r="A1021" s="89" t="inlineStr">
        <is>
          <t>14628</t>
        </is>
      </c>
      <c r="B1021" s="248" t="inlineStr">
        <is>
          <t>TAVERNITI CHOMBA m/L</t>
        </is>
      </c>
      <c r="C1021" s="88" t="n">
        <v>75500</v>
      </c>
      <c r="D1021" s="88" t="n"/>
      <c r="E1021" s="22" t="n"/>
      <c r="F1021" s="22" t="n"/>
      <c r="G1021" s="22" t="n"/>
      <c r="H1021" s="22" t="n"/>
      <c r="I1021" s="22" t="n"/>
      <c r="J1021" s="22" t="n"/>
      <c r="K1021" s="22" t="n"/>
      <c r="L1021" s="22" t="n"/>
      <c r="M1021" s="88" t="n"/>
      <c r="N1021" s="227" t="n"/>
      <c r="P1021" s="117" t="n"/>
      <c r="R1021" s="117" t="n"/>
      <c r="T1021" s="117" t="n"/>
      <c r="U1021" s="117">
        <f>V1021*C1021</f>
        <v/>
      </c>
      <c r="V1021" s="94" t="n">
        <v>1.37999999999999</v>
      </c>
    </row>
    <row r="1022">
      <c r="A1022" s="89" t="inlineStr">
        <is>
          <t>14632</t>
        </is>
      </c>
      <c r="B1022" s="248" t="inlineStr">
        <is>
          <t>TAVERNITI CHOMBA m/L</t>
        </is>
      </c>
      <c r="C1022" s="88" t="n">
        <v>75500</v>
      </c>
      <c r="D1022" s="88" t="n"/>
      <c r="E1022" s="22" t="n"/>
      <c r="F1022" s="22" t="n"/>
      <c r="G1022" s="22" t="n"/>
      <c r="H1022" s="22" t="n"/>
      <c r="I1022" s="22" t="n"/>
      <c r="J1022" s="22" t="n"/>
      <c r="K1022" s="22" t="n"/>
      <c r="L1022" s="22" t="n"/>
      <c r="M1022" s="88" t="n"/>
      <c r="N1022" s="227" t="n"/>
      <c r="P1022" s="117" t="n"/>
      <c r="R1022" s="117" t="n"/>
      <c r="T1022" s="117" t="n"/>
      <c r="U1022" s="117">
        <f>V1022*C1022</f>
        <v/>
      </c>
      <c r="V1022" s="94" t="n">
        <v>1.37999999999999</v>
      </c>
    </row>
    <row r="1023">
      <c r="A1023" s="89" t="inlineStr">
        <is>
          <t>15230XXX</t>
        </is>
      </c>
      <c r="B1023" s="248" t="inlineStr">
        <is>
          <t>TAVERNITI CHOMBA m/L</t>
        </is>
      </c>
      <c r="C1023" s="88" t="n">
        <v>79600</v>
      </c>
      <c r="D1023" s="88" t="n"/>
      <c r="E1023" s="170" t="n"/>
      <c r="F1023" s="170" t="n"/>
      <c r="G1023" s="170" t="n"/>
      <c r="H1023" s="170" t="n"/>
      <c r="I1023" s="170" t="n"/>
      <c r="J1023" s="170" t="n"/>
      <c r="K1023" s="170" t="n"/>
      <c r="L1023" s="170" t="n"/>
      <c r="M1023" s="170" t="n"/>
      <c r="N1023" s="105" t="n"/>
      <c r="O1023" s="30" t="n"/>
      <c r="P1023" s="170" t="n"/>
      <c r="Q1023" s="30" t="n"/>
      <c r="R1023" s="170" t="n"/>
      <c r="S1023" s="30" t="n"/>
      <c r="T1023" s="170" t="n"/>
      <c r="U1023" s="150">
        <f>V1023*C1023</f>
        <v/>
      </c>
      <c r="V1023" s="94" t="n">
        <v>1.37999999999999</v>
      </c>
      <c r="W1023" s="30" t="n"/>
      <c r="X1023" s="30" t="n"/>
      <c r="Y1023" s="30" t="n"/>
      <c r="Z1023" s="30" t="n"/>
      <c r="AA1023" s="30" t="n"/>
      <c r="AB1023" s="30" t="n"/>
      <c r="AC1023" s="30" t="n"/>
      <c r="AD1023" s="30" t="n"/>
      <c r="AE1023" s="30" t="n"/>
      <c r="AF1023" s="30" t="n"/>
      <c r="AG1023" s="30" t="n"/>
      <c r="AH1023" s="30" t="n"/>
      <c r="AI1023" s="30" t="n"/>
      <c r="AJ1023" s="30" t="n"/>
      <c r="AK1023" s="30" t="n"/>
      <c r="AL1023" s="30" t="n"/>
      <c r="AM1023" s="30" t="n"/>
      <c r="AN1023" s="30" t="n"/>
      <c r="AO1023" s="30" t="n"/>
    </row>
    <row r="1024">
      <c r="A1024" s="89" t="inlineStr">
        <is>
          <t>15232XXX</t>
        </is>
      </c>
      <c r="B1024" s="248" t="inlineStr">
        <is>
          <t>TAVERNITI CHOMBA m/L</t>
        </is>
      </c>
      <c r="C1024" s="88" t="n">
        <v>81400</v>
      </c>
      <c r="D1024" s="88" t="n"/>
      <c r="E1024" s="170" t="n"/>
      <c r="F1024" s="170" t="n"/>
      <c r="G1024" s="170" t="n"/>
      <c r="H1024" s="170" t="n"/>
      <c r="I1024" s="170" t="n"/>
      <c r="J1024" s="170" t="n"/>
      <c r="K1024" s="170" t="n"/>
      <c r="L1024" s="170" t="n"/>
      <c r="M1024" s="170" t="n"/>
      <c r="N1024" s="105" t="n"/>
      <c r="O1024" s="30" t="n"/>
      <c r="P1024" s="170" t="n"/>
      <c r="Q1024" s="30" t="n"/>
      <c r="R1024" s="170" t="n"/>
      <c r="S1024" s="30" t="n"/>
      <c r="T1024" s="170" t="n"/>
      <c r="U1024" s="150">
        <f>V1024*C1024</f>
        <v/>
      </c>
      <c r="V1024" s="94" t="n">
        <v>1.37999999999999</v>
      </c>
      <c r="W1024" s="30" t="n"/>
      <c r="X1024" s="30" t="n"/>
      <c r="Y1024" s="30" t="n"/>
      <c r="Z1024" s="30" t="n"/>
      <c r="AA1024" s="30" t="n"/>
      <c r="AB1024" s="30" t="n"/>
      <c r="AC1024" s="30" t="n"/>
      <c r="AD1024" s="30" t="n"/>
      <c r="AE1024" s="30" t="n"/>
      <c r="AF1024" s="30" t="n"/>
      <c r="AG1024" s="30" t="n"/>
      <c r="AH1024" s="30" t="n"/>
      <c r="AI1024" s="30" t="n"/>
      <c r="AJ1024" s="30" t="n"/>
      <c r="AK1024" s="30" t="n"/>
      <c r="AL1024" s="30" t="n"/>
      <c r="AM1024" s="30" t="n"/>
      <c r="AN1024" s="30" t="n"/>
      <c r="AO1024" s="30" t="n"/>
    </row>
    <row r="1025">
      <c r="A1025" s="89" t="inlineStr">
        <is>
          <t>15234XXX</t>
        </is>
      </c>
      <c r="B1025" s="248" t="inlineStr">
        <is>
          <t>TAVERNITI CHOMBA m/L</t>
        </is>
      </c>
      <c r="C1025" s="88" t="n">
        <v>81400</v>
      </c>
      <c r="D1025" s="88" t="n"/>
      <c r="E1025" s="170" t="n"/>
      <c r="F1025" s="170" t="n"/>
      <c r="G1025" s="170" t="n"/>
      <c r="H1025" s="170" t="n"/>
      <c r="I1025" s="170" t="n"/>
      <c r="J1025" s="170" t="n"/>
      <c r="K1025" s="170" t="n"/>
      <c r="L1025" s="170" t="n"/>
      <c r="M1025" s="170" t="n"/>
      <c r="N1025" s="105" t="n"/>
      <c r="O1025" s="30" t="n"/>
      <c r="P1025" s="170" t="n"/>
      <c r="Q1025" s="30" t="n"/>
      <c r="R1025" s="170" t="n"/>
      <c r="S1025" s="30" t="n"/>
      <c r="T1025" s="170" t="n"/>
      <c r="U1025" s="150">
        <f>V1025*C1025</f>
        <v/>
      </c>
      <c r="V1025" s="94" t="n">
        <v>1.37999999999999</v>
      </c>
      <c r="W1025" s="30" t="n"/>
      <c r="X1025" s="30" t="n"/>
      <c r="Y1025" s="30" t="n"/>
      <c r="Z1025" s="30" t="n"/>
      <c r="AA1025" s="30" t="n"/>
      <c r="AB1025" s="30" t="n"/>
      <c r="AC1025" s="30" t="n"/>
      <c r="AD1025" s="30" t="n"/>
      <c r="AE1025" s="30" t="n"/>
      <c r="AF1025" s="30" t="n"/>
      <c r="AG1025" s="30" t="n"/>
      <c r="AH1025" s="30" t="n"/>
      <c r="AI1025" s="30" t="n"/>
      <c r="AJ1025" s="30" t="n"/>
      <c r="AK1025" s="30" t="n"/>
      <c r="AL1025" s="30" t="n"/>
      <c r="AM1025" s="30" t="n"/>
      <c r="AN1025" s="30" t="n"/>
      <c r="AO1025" s="30" t="n"/>
    </row>
    <row r="1026">
      <c r="A1026" s="89" t="inlineStr">
        <is>
          <t>15236XXX</t>
        </is>
      </c>
      <c r="B1026" s="248" t="inlineStr">
        <is>
          <t>TAVERNITI CHOMBA m/L</t>
        </is>
      </c>
      <c r="C1026" s="88" t="n">
        <v>81400</v>
      </c>
      <c r="D1026" s="88" t="n"/>
      <c r="E1026" s="170" t="n"/>
      <c r="F1026" s="170" t="n"/>
      <c r="G1026" s="170" t="n"/>
      <c r="H1026" s="170" t="n"/>
      <c r="I1026" s="170" t="n"/>
      <c r="J1026" s="170" t="n"/>
      <c r="K1026" s="170" t="n"/>
      <c r="L1026" s="170" t="n"/>
      <c r="M1026" s="170" t="n"/>
      <c r="N1026" s="105" t="n"/>
      <c r="O1026" s="30" t="n"/>
      <c r="P1026" s="170" t="n"/>
      <c r="Q1026" s="30" t="n"/>
      <c r="R1026" s="170" t="n"/>
      <c r="S1026" s="30" t="n"/>
      <c r="T1026" s="170" t="n"/>
      <c r="U1026" s="150">
        <f>V1026*C1026</f>
        <v/>
      </c>
      <c r="V1026" s="94" t="n">
        <v>1.37999999999999</v>
      </c>
      <c r="W1026" s="30" t="n"/>
      <c r="X1026" s="30" t="n"/>
      <c r="Y1026" s="30" t="n"/>
      <c r="Z1026" s="30" t="n"/>
      <c r="AA1026" s="30" t="n"/>
      <c r="AB1026" s="30" t="n"/>
      <c r="AC1026" s="30" t="n"/>
      <c r="AD1026" s="30" t="n"/>
      <c r="AE1026" s="30" t="n"/>
      <c r="AF1026" s="30" t="n"/>
      <c r="AG1026" s="30" t="n"/>
      <c r="AH1026" s="30" t="n"/>
      <c r="AI1026" s="30" t="n"/>
      <c r="AJ1026" s="30" t="n"/>
      <c r="AK1026" s="30" t="n"/>
      <c r="AL1026" s="30" t="n"/>
      <c r="AM1026" s="30" t="n"/>
      <c r="AN1026" s="30" t="n"/>
      <c r="AO1026" s="30" t="n"/>
    </row>
    <row r="1027">
      <c r="A1027" s="89" t="inlineStr">
        <is>
          <t>15240XXX</t>
        </is>
      </c>
      <c r="B1027" s="248" t="inlineStr">
        <is>
          <t>TAVERNITI CHOMBA m/L</t>
        </is>
      </c>
      <c r="C1027" s="88" t="n">
        <v>81400</v>
      </c>
      <c r="D1027" s="88" t="n"/>
      <c r="E1027" s="170" t="n"/>
      <c r="F1027" s="170" t="n"/>
      <c r="G1027" s="170" t="n"/>
      <c r="H1027" s="170" t="n"/>
      <c r="I1027" s="170" t="n"/>
      <c r="J1027" s="170" t="n"/>
      <c r="K1027" s="170" t="n"/>
      <c r="L1027" s="170" t="n"/>
      <c r="M1027" s="170" t="n"/>
      <c r="N1027" s="105" t="n"/>
      <c r="O1027" s="30" t="n"/>
      <c r="P1027" s="170" t="n"/>
      <c r="Q1027" s="30" t="n"/>
      <c r="R1027" s="170" t="n"/>
      <c r="S1027" s="30" t="n"/>
      <c r="T1027" s="170" t="n"/>
      <c r="U1027" s="150">
        <f>V1027*C1027</f>
        <v/>
      </c>
      <c r="V1027" s="94" t="n">
        <v>1.37999999999999</v>
      </c>
      <c r="W1027" s="30" t="n"/>
      <c r="X1027" s="30" t="n"/>
      <c r="Y1027" s="30" t="n"/>
      <c r="Z1027" s="30" t="n"/>
      <c r="AA1027" s="30" t="n"/>
      <c r="AB1027" s="30" t="n"/>
      <c r="AC1027" s="30" t="n"/>
      <c r="AD1027" s="30" t="n"/>
      <c r="AE1027" s="30" t="n"/>
      <c r="AF1027" s="30" t="n"/>
      <c r="AG1027" s="30" t="n"/>
      <c r="AH1027" s="30" t="n"/>
      <c r="AI1027" s="30" t="n"/>
      <c r="AJ1027" s="30" t="n"/>
      <c r="AK1027" s="30" t="n"/>
      <c r="AL1027" s="30" t="n"/>
      <c r="AM1027" s="30" t="n"/>
      <c r="AN1027" s="30" t="n"/>
      <c r="AO1027" s="30" t="n"/>
    </row>
    <row r="1028">
      <c r="A1028" s="89" t="inlineStr">
        <is>
          <t>15244XXX</t>
        </is>
      </c>
      <c r="B1028" s="248" t="inlineStr">
        <is>
          <t>TAVERNITI CHOMBA m/L</t>
        </is>
      </c>
      <c r="C1028" s="88" t="n">
        <v>79600</v>
      </c>
      <c r="D1028" s="88" t="n"/>
      <c r="E1028" s="170" t="n"/>
      <c r="F1028" s="170" t="n"/>
      <c r="G1028" s="170" t="n"/>
      <c r="H1028" s="170" t="n"/>
      <c r="I1028" s="170" t="n"/>
      <c r="J1028" s="170" t="n"/>
      <c r="K1028" s="170" t="n"/>
      <c r="L1028" s="170" t="n"/>
      <c r="M1028" s="170" t="n"/>
      <c r="N1028" s="105" t="n"/>
      <c r="O1028" s="30" t="n"/>
      <c r="P1028" s="170" t="n"/>
      <c r="Q1028" s="30" t="n"/>
      <c r="R1028" s="170" t="n"/>
      <c r="S1028" s="30" t="n"/>
      <c r="T1028" s="170" t="n"/>
      <c r="U1028" s="150">
        <f>V1028*C1028</f>
        <v/>
      </c>
      <c r="V1028" s="94" t="n">
        <v>1.37999999999999</v>
      </c>
      <c r="W1028" s="30" t="n"/>
      <c r="X1028" s="30" t="n"/>
      <c r="Y1028" s="30" t="n"/>
      <c r="Z1028" s="30" t="n"/>
      <c r="AA1028" s="30" t="n"/>
      <c r="AB1028" s="30" t="n"/>
      <c r="AC1028" s="30" t="n"/>
      <c r="AD1028" s="30" t="n"/>
      <c r="AE1028" s="30" t="n"/>
      <c r="AF1028" s="30" t="n"/>
      <c r="AG1028" s="30" t="n"/>
      <c r="AH1028" s="30" t="n"/>
      <c r="AI1028" s="30" t="n"/>
      <c r="AJ1028" s="30" t="n"/>
      <c r="AK1028" s="30" t="n"/>
      <c r="AL1028" s="30" t="n"/>
      <c r="AM1028" s="30" t="n"/>
      <c r="AN1028" s="30" t="n"/>
      <c r="AO1028" s="30" t="n"/>
    </row>
    <row r="1029">
      <c r="A1029" s="89" t="inlineStr">
        <is>
          <t>15248XXX</t>
        </is>
      </c>
      <c r="B1029" s="248" t="inlineStr">
        <is>
          <t>TAVERNITI CHOMBA m/L</t>
        </is>
      </c>
      <c r="C1029" s="88" t="n">
        <v>81400</v>
      </c>
      <c r="D1029" s="88" t="n"/>
      <c r="E1029" s="170" t="n"/>
      <c r="F1029" s="170" t="n"/>
      <c r="G1029" s="170" t="n"/>
      <c r="H1029" s="170" t="n"/>
      <c r="I1029" s="170" t="n"/>
      <c r="J1029" s="170" t="n"/>
      <c r="K1029" s="170" t="n"/>
      <c r="L1029" s="170" t="n"/>
      <c r="M1029" s="170" t="n"/>
      <c r="N1029" s="105" t="n"/>
      <c r="O1029" s="30" t="n"/>
      <c r="P1029" s="170" t="n"/>
      <c r="Q1029" s="30" t="n"/>
      <c r="R1029" s="170" t="n"/>
      <c r="S1029" s="30" t="n"/>
      <c r="T1029" s="170" t="n"/>
      <c r="U1029" s="150">
        <f>V1029*C1029</f>
        <v/>
      </c>
      <c r="V1029" s="94" t="n">
        <v>1.37999999999999</v>
      </c>
      <c r="W1029" s="30" t="n"/>
      <c r="X1029" s="30" t="n"/>
      <c r="Y1029" s="30" t="n"/>
      <c r="Z1029" s="30" t="n"/>
      <c r="AA1029" s="30" t="n"/>
      <c r="AB1029" s="30" t="n"/>
      <c r="AC1029" s="30" t="n"/>
      <c r="AD1029" s="30" t="n"/>
      <c r="AE1029" s="30" t="n"/>
      <c r="AF1029" s="30" t="n"/>
      <c r="AG1029" s="30" t="n"/>
      <c r="AH1029" s="30" t="n"/>
      <c r="AI1029" s="30" t="n"/>
      <c r="AJ1029" s="30" t="n"/>
      <c r="AK1029" s="30" t="n"/>
      <c r="AL1029" s="30" t="n"/>
      <c r="AM1029" s="30" t="n"/>
      <c r="AN1029" s="30" t="n"/>
      <c r="AO1029" s="30" t="n"/>
    </row>
    <row r="1030">
      <c r="A1030" s="89" t="inlineStr">
        <is>
          <t>16536XXX</t>
        </is>
      </c>
      <c r="B1030" s="248" t="inlineStr">
        <is>
          <t>TAVERNITI CHOMBA m/L</t>
        </is>
      </c>
      <c r="C1030" s="88" t="n">
        <v>75500</v>
      </c>
      <c r="D1030" s="88" t="n"/>
      <c r="E1030" s="22" t="n"/>
      <c r="F1030" s="22" t="n"/>
      <c r="G1030" s="22" t="n"/>
      <c r="H1030" s="22" t="n"/>
      <c r="I1030" s="22" t="n"/>
      <c r="J1030" s="22" t="n"/>
      <c r="K1030" s="22" t="n"/>
      <c r="L1030" s="22" t="n"/>
      <c r="M1030" s="88" t="n"/>
      <c r="N1030" s="227" t="n"/>
      <c r="P1030" s="117" t="n"/>
      <c r="R1030" s="117" t="n"/>
      <c r="T1030" s="117" t="n"/>
      <c r="U1030" s="117">
        <f>V1030*C1030</f>
        <v/>
      </c>
      <c r="V1030" s="94" t="n">
        <v>1.37999999999999</v>
      </c>
    </row>
    <row r="1031">
      <c r="A1031" s="89" t="inlineStr">
        <is>
          <t>16538XXX</t>
        </is>
      </c>
      <c r="B1031" s="248" t="inlineStr">
        <is>
          <t>TAVERNITI CHOMBA m/L</t>
        </is>
      </c>
      <c r="C1031" s="88" t="n">
        <v>75500</v>
      </c>
      <c r="D1031" s="88" t="n"/>
      <c r="E1031" s="22" t="n"/>
      <c r="F1031" s="22" t="n"/>
      <c r="G1031" s="22" t="n"/>
      <c r="H1031" s="22" t="n"/>
      <c r="I1031" s="22" t="n"/>
      <c r="J1031" s="22" t="n"/>
      <c r="K1031" s="22" t="n"/>
      <c r="L1031" s="22" t="n"/>
      <c r="M1031" s="88" t="n"/>
      <c r="N1031" s="227" t="n"/>
      <c r="P1031" s="117" t="n"/>
      <c r="R1031" s="117" t="n"/>
      <c r="T1031" s="117" t="n"/>
      <c r="U1031" s="117">
        <f>V1031*C1031</f>
        <v/>
      </c>
      <c r="V1031" s="94" t="n">
        <v>1.37999999999999</v>
      </c>
    </row>
    <row r="1032">
      <c r="A1032" s="89" t="inlineStr">
        <is>
          <t>16540XXX</t>
        </is>
      </c>
      <c r="B1032" s="248" t="inlineStr">
        <is>
          <t>TAVERNITI CHOMBA m/L</t>
        </is>
      </c>
      <c r="C1032" s="88" t="n">
        <v>75500</v>
      </c>
      <c r="D1032" s="88" t="n"/>
      <c r="E1032" s="22" t="n"/>
      <c r="F1032" s="22" t="n"/>
      <c r="G1032" s="22" t="n"/>
      <c r="H1032" s="22" t="n"/>
      <c r="I1032" s="22" t="n"/>
      <c r="J1032" s="22" t="n"/>
      <c r="K1032" s="22" t="n"/>
      <c r="L1032" s="22" t="n"/>
      <c r="M1032" s="88" t="n"/>
      <c r="N1032" s="227" t="n"/>
      <c r="P1032" s="117" t="n"/>
      <c r="R1032" s="117" t="n"/>
      <c r="T1032" s="117" t="n"/>
      <c r="U1032" s="117">
        <f>V1032*C1032</f>
        <v/>
      </c>
      <c r="V1032" s="94" t="n">
        <v>1.37999999999999</v>
      </c>
    </row>
    <row r="1033">
      <c r="A1033" s="89" t="inlineStr">
        <is>
          <t>16544XXX</t>
        </is>
      </c>
      <c r="B1033" s="248" t="inlineStr">
        <is>
          <t>TAVERNITI CHOMBA m/L</t>
        </is>
      </c>
      <c r="C1033" s="88" t="n">
        <v>75500</v>
      </c>
      <c r="D1033" s="88" t="n"/>
      <c r="E1033" s="22" t="n"/>
      <c r="F1033" s="22" t="n"/>
      <c r="G1033" s="22" t="n"/>
      <c r="H1033" s="22" t="n"/>
      <c r="I1033" s="22" t="n"/>
      <c r="J1033" s="22" t="n"/>
      <c r="K1033" s="22" t="n"/>
      <c r="L1033" s="22" t="n"/>
      <c r="M1033" s="88" t="n"/>
      <c r="N1033" s="227" t="n"/>
      <c r="P1033" s="117" t="n"/>
      <c r="R1033" s="117" t="n"/>
      <c r="T1033" s="117" t="n"/>
      <c r="U1033" s="117">
        <f>V1033*C1033</f>
        <v/>
      </c>
      <c r="V1033" s="94" t="n">
        <v>1.37999999999999</v>
      </c>
    </row>
    <row r="1034">
      <c r="A1034" s="89" t="inlineStr">
        <is>
          <t>16550XXX</t>
        </is>
      </c>
      <c r="B1034" s="248" t="inlineStr">
        <is>
          <t>TAVERNITI CHOMBA m/L</t>
        </is>
      </c>
      <c r="C1034" s="88" t="n">
        <v>75500</v>
      </c>
      <c r="D1034" s="88" t="n"/>
      <c r="E1034" s="22" t="n"/>
      <c r="F1034" s="22" t="n"/>
      <c r="G1034" s="22" t="n"/>
      <c r="H1034" s="22" t="n"/>
      <c r="I1034" s="22" t="n"/>
      <c r="J1034" s="22" t="n"/>
      <c r="K1034" s="22" t="n"/>
      <c r="L1034" s="22" t="n"/>
      <c r="M1034" s="88" t="n"/>
      <c r="N1034" s="227" t="n"/>
      <c r="P1034" s="117" t="n"/>
      <c r="R1034" s="117" t="n"/>
      <c r="T1034" s="117" t="n"/>
      <c r="U1034" s="117">
        <f>V1034*C1034</f>
        <v/>
      </c>
      <c r="V1034" s="94" t="n">
        <v>1.37999999999999</v>
      </c>
    </row>
    <row r="1035">
      <c r="A1035" s="89" t="inlineStr">
        <is>
          <t>16556XXX</t>
        </is>
      </c>
      <c r="B1035" s="248" t="inlineStr">
        <is>
          <t>TAVERNITI CHOMBA m/L</t>
        </is>
      </c>
      <c r="C1035" s="88" t="n">
        <v>75500</v>
      </c>
      <c r="D1035" s="88" t="n"/>
      <c r="E1035" s="22" t="n"/>
      <c r="F1035" s="22" t="n"/>
      <c r="G1035" s="22" t="n"/>
      <c r="H1035" s="22" t="n"/>
      <c r="I1035" s="22" t="n"/>
      <c r="J1035" s="22" t="n"/>
      <c r="K1035" s="22" t="n"/>
      <c r="L1035" s="22" t="n"/>
      <c r="M1035" s="88" t="n"/>
      <c r="N1035" s="227" t="n"/>
      <c r="P1035" s="117" t="n"/>
      <c r="R1035" s="117" t="n"/>
      <c r="T1035" s="117" t="n"/>
      <c r="U1035" s="117">
        <f>V1035*C1035</f>
        <v/>
      </c>
      <c r="V1035" s="94" t="n">
        <v>1.37999999999999</v>
      </c>
    </row>
    <row r="1036">
      <c r="A1036" s="89" t="inlineStr">
        <is>
          <t>16558XXX</t>
        </is>
      </c>
      <c r="B1036" s="248" t="inlineStr">
        <is>
          <t>TAVERNITI CHOMBA m/L</t>
        </is>
      </c>
      <c r="C1036" s="88" t="n">
        <v>75500</v>
      </c>
      <c r="D1036" s="88" t="n"/>
      <c r="E1036" s="22" t="n"/>
      <c r="F1036" s="22" t="n"/>
      <c r="G1036" s="22" t="n"/>
      <c r="H1036" s="22" t="n"/>
      <c r="I1036" s="22" t="n"/>
      <c r="J1036" s="22" t="n"/>
      <c r="K1036" s="22" t="n"/>
      <c r="L1036" s="22" t="n"/>
      <c r="M1036" s="88" t="n"/>
      <c r="N1036" s="227" t="n"/>
      <c r="P1036" s="117" t="n"/>
      <c r="R1036" s="117" t="n"/>
      <c r="T1036" s="117" t="n"/>
      <c r="U1036" s="117">
        <f>V1036*C1036</f>
        <v/>
      </c>
      <c r="V1036" s="94" t="n">
        <v>1.37999999999999</v>
      </c>
    </row>
    <row r="1037">
      <c r="A1037" s="89" t="inlineStr">
        <is>
          <t>16562XXX</t>
        </is>
      </c>
      <c r="B1037" s="248" t="inlineStr">
        <is>
          <t>TAVERNITI CHOMBA m/L</t>
        </is>
      </c>
      <c r="C1037" s="88" t="n">
        <v>75500</v>
      </c>
      <c r="D1037" s="88" t="n"/>
      <c r="E1037" s="22" t="n"/>
      <c r="F1037" s="22" t="n"/>
      <c r="G1037" s="22" t="n"/>
      <c r="H1037" s="22" t="n"/>
      <c r="I1037" s="22" t="n"/>
      <c r="J1037" s="22" t="n"/>
      <c r="K1037" s="22" t="n"/>
      <c r="L1037" s="22" t="n"/>
      <c r="M1037" s="88" t="n"/>
      <c r="N1037" s="227" t="n"/>
      <c r="P1037" s="117" t="n"/>
      <c r="R1037" s="117" t="n"/>
      <c r="T1037" s="117" t="n"/>
      <c r="U1037" s="117">
        <f>V1037*C1037</f>
        <v/>
      </c>
      <c r="V1037" s="94" t="n">
        <v>1.37999999999999</v>
      </c>
    </row>
    <row r="1038">
      <c r="A1038" s="89" t="inlineStr">
        <is>
          <t>16564XXX</t>
        </is>
      </c>
      <c r="B1038" s="248" t="inlineStr">
        <is>
          <t>TAVERNITI CHOMBA m/L</t>
        </is>
      </c>
      <c r="C1038" s="88" t="n">
        <v>75500</v>
      </c>
      <c r="D1038" s="88" t="n"/>
      <c r="E1038" s="22" t="n"/>
      <c r="F1038" s="22" t="n"/>
      <c r="G1038" s="22" t="n"/>
      <c r="H1038" s="22" t="n"/>
      <c r="I1038" s="22" t="n"/>
      <c r="J1038" s="22" t="n"/>
      <c r="K1038" s="22" t="n"/>
      <c r="L1038" s="22" t="n"/>
      <c r="M1038" s="88" t="n"/>
      <c r="N1038" s="227" t="n"/>
      <c r="P1038" s="117" t="n"/>
      <c r="R1038" s="117" t="n"/>
      <c r="T1038" s="117" t="n"/>
      <c r="U1038" s="117">
        <f>V1038*C1038</f>
        <v/>
      </c>
      <c r="V1038" s="94" t="n">
        <v>1.37999999999999</v>
      </c>
    </row>
    <row r="1039">
      <c r="A1039" s="89" t="inlineStr">
        <is>
          <t>16566XXX</t>
        </is>
      </c>
      <c r="B1039" s="248" t="inlineStr">
        <is>
          <t>TAVERNITI CHOMBA m/L</t>
        </is>
      </c>
      <c r="C1039" s="88" t="n">
        <v>75500</v>
      </c>
      <c r="D1039" s="88" t="n"/>
      <c r="E1039" s="22" t="n"/>
      <c r="F1039" s="22" t="n"/>
      <c r="G1039" s="22" t="n"/>
      <c r="H1039" s="22" t="n"/>
      <c r="I1039" s="22" t="n"/>
      <c r="J1039" s="22" t="n"/>
      <c r="K1039" s="22" t="n"/>
      <c r="L1039" s="22" t="n"/>
      <c r="M1039" s="88" t="n"/>
      <c r="N1039" s="227" t="n"/>
      <c r="P1039" s="117" t="n"/>
      <c r="R1039" s="117" t="n"/>
      <c r="T1039" s="117" t="n"/>
      <c r="U1039" s="117">
        <f>V1039*C1039</f>
        <v/>
      </c>
      <c r="V1039" s="94" t="n">
        <v>1.37999999999999</v>
      </c>
    </row>
    <row r="1040">
      <c r="A1040" s="89" t="inlineStr">
        <is>
          <t>16828XXX</t>
        </is>
      </c>
      <c r="B1040" s="248" t="inlineStr">
        <is>
          <t>TAVERNITI CHOMBA m/L</t>
        </is>
      </c>
      <c r="C1040" s="88" t="n">
        <v>75500</v>
      </c>
      <c r="D1040" s="88" t="n"/>
      <c r="E1040" s="22" t="n"/>
      <c r="F1040" s="22" t="n"/>
      <c r="G1040" s="22" t="n"/>
      <c r="H1040" s="22" t="n"/>
      <c r="I1040" s="22" t="n"/>
      <c r="J1040" s="22" t="n"/>
      <c r="K1040" s="22" t="n"/>
      <c r="L1040" s="22" t="n"/>
      <c r="M1040" s="88" t="n"/>
      <c r="N1040" s="227" t="n"/>
      <c r="P1040" s="117" t="n"/>
      <c r="R1040" s="117" t="n"/>
      <c r="T1040" s="117" t="n"/>
      <c r="U1040" s="117">
        <f>V1040*C1040</f>
        <v/>
      </c>
      <c r="V1040" s="94" t="n">
        <v>1.37999999999999</v>
      </c>
    </row>
    <row r="1041">
      <c r="A1041" s="89" t="inlineStr">
        <is>
          <t>17228XXX</t>
        </is>
      </c>
      <c r="B1041" s="248" t="inlineStr">
        <is>
          <t>TAVERNITI CHOMBA m/L</t>
        </is>
      </c>
      <c r="C1041" s="88" t="n">
        <v>75500</v>
      </c>
      <c r="D1041" s="88" t="n"/>
      <c r="E1041" s="22" t="n"/>
      <c r="F1041" s="22" t="n"/>
      <c r="G1041" s="22" t="n"/>
      <c r="H1041" s="22" t="n"/>
      <c r="I1041" s="22" t="n"/>
      <c r="J1041" s="22" t="n"/>
      <c r="K1041" s="22" t="n"/>
      <c r="L1041" s="22" t="n"/>
      <c r="M1041" s="88" t="n"/>
      <c r="N1041" s="227" t="n"/>
      <c r="P1041" s="117" t="n"/>
      <c r="R1041" s="117" t="n"/>
      <c r="T1041" s="117" t="n"/>
      <c r="U1041" s="117">
        <f>V1041*C1041</f>
        <v/>
      </c>
      <c r="V1041" s="94" t="n">
        <v>1.37999999999999</v>
      </c>
    </row>
    <row r="1042">
      <c r="A1042" s="89" t="inlineStr">
        <is>
          <t>17232XXX</t>
        </is>
      </c>
      <c r="B1042" s="248" t="inlineStr">
        <is>
          <t>TAVERNITI CHOMBA m/L</t>
        </is>
      </c>
      <c r="C1042" s="88" t="n">
        <v>75500</v>
      </c>
      <c r="D1042" s="88" t="n"/>
      <c r="E1042" s="22" t="n"/>
      <c r="F1042" s="22" t="n"/>
      <c r="G1042" s="22" t="n"/>
      <c r="H1042" s="22" t="n"/>
      <c r="I1042" s="22" t="n"/>
      <c r="J1042" s="22" t="n"/>
      <c r="K1042" s="22" t="n"/>
      <c r="L1042" s="22" t="n"/>
      <c r="M1042" s="88" t="n"/>
      <c r="N1042" s="227" t="n"/>
      <c r="P1042" s="117" t="n"/>
      <c r="R1042" s="117" t="n"/>
      <c r="T1042" s="117" t="n"/>
      <c r="U1042" s="117">
        <f>V1042*C1042</f>
        <v/>
      </c>
      <c r="V1042" s="94" t="n">
        <v>1.37999999999999</v>
      </c>
    </row>
    <row r="1043">
      <c r="A1043" s="89" t="inlineStr">
        <is>
          <t>17236XXX</t>
        </is>
      </c>
      <c r="B1043" s="248" t="inlineStr">
        <is>
          <t>TAVERNITI CHOMBA m/L</t>
        </is>
      </c>
      <c r="C1043" s="88" t="n">
        <v>75500</v>
      </c>
      <c r="D1043" s="88" t="n"/>
      <c r="E1043" s="22" t="n"/>
      <c r="F1043" s="22" t="n"/>
      <c r="G1043" s="22" t="n"/>
      <c r="H1043" s="22" t="n"/>
      <c r="I1043" s="22" t="n"/>
      <c r="J1043" s="22" t="n"/>
      <c r="K1043" s="22" t="n"/>
      <c r="L1043" s="22" t="n"/>
      <c r="M1043" s="88" t="n"/>
      <c r="N1043" s="227" t="n"/>
      <c r="P1043" s="117" t="n"/>
      <c r="R1043" s="117" t="n"/>
      <c r="T1043" s="117" t="n"/>
      <c r="U1043" s="117">
        <f>V1043*C1043</f>
        <v/>
      </c>
      <c r="V1043" s="94" t="n">
        <v>1.37999999999999</v>
      </c>
    </row>
    <row r="1044">
      <c r="A1044" s="89" t="inlineStr">
        <is>
          <t>17244XXX</t>
        </is>
      </c>
      <c r="B1044" s="248" t="inlineStr">
        <is>
          <t>TAVERNITI CHOMBA m/L</t>
        </is>
      </c>
      <c r="C1044" s="88" t="n">
        <v>75500</v>
      </c>
      <c r="D1044" s="88" t="n"/>
      <c r="E1044" s="22" t="n"/>
      <c r="F1044" s="22" t="n"/>
      <c r="G1044" s="22" t="n"/>
      <c r="H1044" s="22" t="n"/>
      <c r="I1044" s="22" t="n"/>
      <c r="J1044" s="22" t="n"/>
      <c r="K1044" s="22" t="n"/>
      <c r="L1044" s="22" t="n"/>
      <c r="M1044" s="88" t="n"/>
      <c r="N1044" s="227" t="n"/>
      <c r="P1044" s="117" t="n"/>
      <c r="R1044" s="117" t="n"/>
      <c r="T1044" s="117" t="n"/>
      <c r="U1044" s="117">
        <f>V1044*C1044</f>
        <v/>
      </c>
      <c r="V1044" s="94" t="n">
        <v>1.37999999999999</v>
      </c>
    </row>
    <row r="1045">
      <c r="A1045" s="89" t="inlineStr">
        <is>
          <t>17730XXX</t>
        </is>
      </c>
      <c r="B1045" s="248" t="inlineStr">
        <is>
          <t>TAVERNITI CHOMBA m/L</t>
        </is>
      </c>
      <c r="C1045" s="88" t="n">
        <v>84300</v>
      </c>
      <c r="D1045" s="88" t="n"/>
      <c r="E1045" s="170" t="n"/>
      <c r="F1045" s="170" t="n"/>
      <c r="G1045" s="170" t="n"/>
      <c r="H1045" s="170" t="n"/>
      <c r="I1045" s="170" t="n"/>
      <c r="J1045" s="170" t="n"/>
      <c r="K1045" s="170" t="n"/>
      <c r="L1045" s="170" t="n"/>
      <c r="M1045" s="170" t="n"/>
      <c r="N1045" s="105" t="n"/>
      <c r="O1045" s="30" t="n"/>
      <c r="P1045" s="170" t="n"/>
      <c r="Q1045" s="30" t="n"/>
      <c r="R1045" s="170" t="n"/>
      <c r="S1045" s="30" t="n"/>
      <c r="T1045" s="170" t="n"/>
      <c r="U1045" s="150">
        <f>V1045*C1045</f>
        <v/>
      </c>
      <c r="V1045" s="94" t="n">
        <v>1.37999999999999</v>
      </c>
      <c r="W1045" s="30" t="n"/>
      <c r="X1045" s="30" t="n"/>
      <c r="Y1045" s="30" t="n"/>
      <c r="Z1045" s="30" t="n"/>
      <c r="AA1045" s="30" t="n"/>
      <c r="AB1045" s="30" t="n"/>
      <c r="AC1045" s="30" t="n"/>
      <c r="AD1045" s="30" t="n"/>
      <c r="AE1045" s="30" t="n"/>
      <c r="AF1045" s="30" t="n"/>
      <c r="AG1045" s="30" t="n"/>
      <c r="AH1045" s="30" t="n"/>
      <c r="AI1045" s="30" t="n"/>
      <c r="AJ1045" s="30" t="n"/>
      <c r="AK1045" s="30" t="n"/>
      <c r="AL1045" s="30" t="n"/>
      <c r="AM1045" s="30" t="n"/>
      <c r="AN1045" s="30" t="n"/>
      <c r="AO1045" s="30" t="n"/>
    </row>
    <row r="1046">
      <c r="A1046" s="89" t="inlineStr">
        <is>
          <t>17732XXX</t>
        </is>
      </c>
      <c r="B1046" s="248" t="inlineStr">
        <is>
          <t>TAVERNITI CHOMBA m/L</t>
        </is>
      </c>
      <c r="C1046" s="88" t="n">
        <v>71200</v>
      </c>
      <c r="D1046" s="88" t="n"/>
      <c r="E1046" s="170" t="n"/>
      <c r="F1046" s="170" t="n"/>
      <c r="G1046" s="170" t="n"/>
      <c r="H1046" s="170" t="n"/>
      <c r="I1046" s="170" t="n"/>
      <c r="J1046" s="170" t="n"/>
      <c r="K1046" s="170" t="n"/>
      <c r="L1046" s="170" t="n"/>
      <c r="M1046" s="170" t="n"/>
      <c r="N1046" s="105" t="n"/>
      <c r="O1046" s="30" t="n"/>
      <c r="P1046" s="170" t="n"/>
      <c r="Q1046" s="30" t="n"/>
      <c r="R1046" s="170" t="n"/>
      <c r="S1046" s="30" t="n"/>
      <c r="T1046" s="170" t="n"/>
      <c r="U1046" s="150">
        <f>V1046*C1046</f>
        <v/>
      </c>
      <c r="V1046" s="94" t="n">
        <v>1.37999999999999</v>
      </c>
      <c r="W1046" s="30" t="n"/>
      <c r="X1046" s="30" t="n"/>
      <c r="Y1046" s="30" t="n"/>
      <c r="Z1046" s="30" t="n"/>
      <c r="AA1046" s="30" t="n"/>
      <c r="AB1046" s="30" t="n"/>
      <c r="AC1046" s="30" t="n"/>
      <c r="AD1046" s="30" t="n"/>
      <c r="AE1046" s="30" t="n"/>
      <c r="AF1046" s="30" t="n"/>
      <c r="AG1046" s="30" t="n"/>
      <c r="AH1046" s="30" t="n"/>
      <c r="AI1046" s="30" t="n"/>
      <c r="AJ1046" s="30" t="n"/>
      <c r="AK1046" s="30" t="n"/>
      <c r="AL1046" s="30" t="n"/>
      <c r="AM1046" s="30" t="n"/>
      <c r="AN1046" s="30" t="n"/>
      <c r="AO1046" s="30" t="n"/>
    </row>
    <row r="1047">
      <c r="A1047" s="89" t="inlineStr">
        <is>
          <t>17734XXX</t>
        </is>
      </c>
      <c r="B1047" s="248" t="inlineStr">
        <is>
          <t>TAVERNITI CHOMBA m/L</t>
        </is>
      </c>
      <c r="C1047" s="88" t="n">
        <v>75400</v>
      </c>
      <c r="D1047" s="88" t="n"/>
      <c r="E1047" s="170" t="n"/>
      <c r="F1047" s="170" t="n"/>
      <c r="G1047" s="170" t="n"/>
      <c r="H1047" s="170" t="n"/>
      <c r="I1047" s="170" t="n"/>
      <c r="J1047" s="170" t="n"/>
      <c r="K1047" s="170" t="n"/>
      <c r="L1047" s="170" t="n"/>
      <c r="M1047" s="170" t="n"/>
      <c r="N1047" s="105" t="n"/>
      <c r="O1047" s="30" t="n"/>
      <c r="P1047" s="170" t="n"/>
      <c r="Q1047" s="30" t="n"/>
      <c r="R1047" s="170" t="n"/>
      <c r="S1047" s="30" t="n"/>
      <c r="T1047" s="170" t="n"/>
      <c r="U1047" s="150">
        <f>V1047*C1047</f>
        <v/>
      </c>
      <c r="V1047" s="94" t="n">
        <v>1.37999999999999</v>
      </c>
      <c r="W1047" s="30" t="n"/>
      <c r="X1047" s="30" t="n"/>
      <c r="Y1047" s="30" t="n"/>
      <c r="Z1047" s="30" t="n"/>
      <c r="AA1047" s="30" t="n"/>
      <c r="AB1047" s="30" t="n"/>
      <c r="AC1047" s="30" t="n"/>
      <c r="AD1047" s="30" t="n"/>
      <c r="AE1047" s="30" t="n"/>
      <c r="AF1047" s="30" t="n"/>
      <c r="AG1047" s="30" t="n"/>
      <c r="AH1047" s="30" t="n"/>
      <c r="AI1047" s="30" t="n"/>
      <c r="AJ1047" s="30" t="n"/>
      <c r="AK1047" s="30" t="n"/>
      <c r="AL1047" s="30" t="n"/>
      <c r="AM1047" s="30" t="n"/>
      <c r="AN1047" s="30" t="n"/>
      <c r="AO1047" s="30" t="n"/>
    </row>
    <row r="1048">
      <c r="A1048" s="89" t="inlineStr">
        <is>
          <t>17736XXX</t>
        </is>
      </c>
      <c r="B1048" s="248" t="inlineStr">
        <is>
          <t>TAVERNITI CHOMBA m/L</t>
        </is>
      </c>
      <c r="C1048" s="88" t="n">
        <v>75400</v>
      </c>
      <c r="D1048" s="88" t="n"/>
      <c r="E1048" s="170" t="n"/>
      <c r="F1048" s="170" t="n"/>
      <c r="G1048" s="170" t="n"/>
      <c r="H1048" s="170" t="n"/>
      <c r="I1048" s="170" t="n"/>
      <c r="J1048" s="170" t="n"/>
      <c r="K1048" s="170" t="n"/>
      <c r="L1048" s="170" t="n"/>
      <c r="M1048" s="170" t="n"/>
      <c r="N1048" s="105" t="n"/>
      <c r="O1048" s="30" t="n"/>
      <c r="P1048" s="170" t="n"/>
      <c r="Q1048" s="30" t="n"/>
      <c r="R1048" s="170" t="n"/>
      <c r="S1048" s="30" t="n"/>
      <c r="T1048" s="170" t="n"/>
      <c r="U1048" s="150">
        <f>V1048*C1048</f>
        <v/>
      </c>
      <c r="V1048" s="94" t="n">
        <v>1.37999999999999</v>
      </c>
      <c r="W1048" s="30" t="n"/>
      <c r="X1048" s="30" t="n"/>
      <c r="Y1048" s="30" t="n"/>
      <c r="Z1048" s="30" t="n"/>
      <c r="AA1048" s="30" t="n"/>
      <c r="AB1048" s="30" t="n"/>
      <c r="AC1048" s="30" t="n"/>
      <c r="AD1048" s="30" t="n"/>
      <c r="AE1048" s="30" t="n"/>
      <c r="AF1048" s="30" t="n"/>
      <c r="AG1048" s="30" t="n"/>
      <c r="AH1048" s="30" t="n"/>
      <c r="AI1048" s="30" t="n"/>
      <c r="AJ1048" s="30" t="n"/>
      <c r="AK1048" s="30" t="n"/>
      <c r="AL1048" s="30" t="n"/>
      <c r="AM1048" s="30" t="n"/>
      <c r="AN1048" s="30" t="n"/>
      <c r="AO1048" s="30" t="n"/>
    </row>
    <row r="1049">
      <c r="A1049" s="89" t="inlineStr">
        <is>
          <t>17738XXX</t>
        </is>
      </c>
      <c r="B1049" s="248" t="inlineStr">
        <is>
          <t>TAVERNITI CHOMBA m/L</t>
        </is>
      </c>
      <c r="C1049" s="88" t="n">
        <v>75400</v>
      </c>
      <c r="D1049" s="88" t="n"/>
      <c r="E1049" s="170" t="n"/>
      <c r="F1049" s="170" t="n"/>
      <c r="G1049" s="170" t="n"/>
      <c r="H1049" s="170" t="n"/>
      <c r="I1049" s="170" t="n"/>
      <c r="J1049" s="170" t="n"/>
      <c r="K1049" s="170" t="n"/>
      <c r="L1049" s="170" t="n"/>
      <c r="M1049" s="170" t="n"/>
      <c r="N1049" s="105" t="n"/>
      <c r="O1049" s="30" t="n"/>
      <c r="P1049" s="170" t="n"/>
      <c r="Q1049" s="30" t="n"/>
      <c r="R1049" s="170" t="n"/>
      <c r="S1049" s="30" t="n"/>
      <c r="T1049" s="170" t="n"/>
      <c r="U1049" s="150">
        <f>V1049*C1049</f>
        <v/>
      </c>
      <c r="V1049" s="94" t="n">
        <v>1.37999999999999</v>
      </c>
      <c r="W1049" s="30" t="n"/>
      <c r="X1049" s="30" t="n"/>
      <c r="Y1049" s="30" t="n"/>
      <c r="Z1049" s="30" t="n"/>
      <c r="AA1049" s="30" t="n"/>
      <c r="AB1049" s="30" t="n"/>
      <c r="AC1049" s="30" t="n"/>
      <c r="AD1049" s="30" t="n"/>
      <c r="AE1049" s="30" t="n"/>
      <c r="AF1049" s="30" t="n"/>
      <c r="AG1049" s="30" t="n"/>
      <c r="AH1049" s="30" t="n"/>
      <c r="AI1049" s="30" t="n"/>
      <c r="AJ1049" s="30" t="n"/>
      <c r="AK1049" s="30" t="n"/>
      <c r="AL1049" s="30" t="n"/>
      <c r="AM1049" s="30" t="n"/>
      <c r="AN1049" s="30" t="n"/>
      <c r="AO1049" s="30" t="n"/>
    </row>
    <row r="1050">
      <c r="A1050" s="89" t="inlineStr">
        <is>
          <t>17740XXX</t>
        </is>
      </c>
      <c r="B1050" s="248" t="inlineStr">
        <is>
          <t>TAVERNITI CHOMBA m/L</t>
        </is>
      </c>
      <c r="C1050" s="88" t="n">
        <v>75400</v>
      </c>
      <c r="D1050" s="88" t="n"/>
      <c r="E1050" s="170" t="n"/>
      <c r="F1050" s="170" t="n"/>
      <c r="G1050" s="170" t="n"/>
      <c r="H1050" s="170" t="n"/>
      <c r="I1050" s="170" t="n"/>
      <c r="J1050" s="170" t="n"/>
      <c r="K1050" s="170" t="n"/>
      <c r="L1050" s="170" t="n"/>
      <c r="M1050" s="170" t="n"/>
      <c r="N1050" s="105" t="n"/>
      <c r="O1050" s="30" t="n"/>
      <c r="P1050" s="170" t="n"/>
      <c r="Q1050" s="30" t="n"/>
      <c r="R1050" s="170" t="n"/>
      <c r="S1050" s="30" t="n"/>
      <c r="T1050" s="170" t="n"/>
      <c r="U1050" s="150">
        <f>V1050*C1050</f>
        <v/>
      </c>
      <c r="V1050" s="94" t="n">
        <v>1.37999999999999</v>
      </c>
      <c r="W1050" s="30" t="n"/>
      <c r="X1050" s="30" t="n"/>
      <c r="Y1050" s="30" t="n"/>
      <c r="Z1050" s="30" t="n"/>
      <c r="AA1050" s="30" t="n"/>
      <c r="AB1050" s="30" t="n"/>
      <c r="AC1050" s="30" t="n"/>
      <c r="AD1050" s="30" t="n"/>
      <c r="AE1050" s="30" t="n"/>
      <c r="AF1050" s="30" t="n"/>
      <c r="AG1050" s="30" t="n"/>
      <c r="AH1050" s="30" t="n"/>
      <c r="AI1050" s="30" t="n"/>
      <c r="AJ1050" s="30" t="n"/>
      <c r="AK1050" s="30" t="n"/>
      <c r="AL1050" s="30" t="n"/>
      <c r="AM1050" s="30" t="n"/>
      <c r="AN1050" s="30" t="n"/>
      <c r="AO1050" s="30" t="n"/>
    </row>
    <row r="1051">
      <c r="A1051" s="89" t="inlineStr">
        <is>
          <t>17742XXX</t>
        </is>
      </c>
      <c r="B1051" s="248" t="inlineStr">
        <is>
          <t>TAVERNITI CHOMBA m/L</t>
        </is>
      </c>
      <c r="C1051" s="88" t="n">
        <v>75400</v>
      </c>
      <c r="D1051" s="88" t="n"/>
      <c r="E1051" s="170" t="n"/>
      <c r="F1051" s="170" t="n"/>
      <c r="G1051" s="170" t="n"/>
      <c r="H1051" s="170" t="n"/>
      <c r="I1051" s="170" t="n"/>
      <c r="J1051" s="170" t="n"/>
      <c r="K1051" s="170" t="n"/>
      <c r="L1051" s="170" t="n"/>
      <c r="M1051" s="170" t="n"/>
      <c r="N1051" s="105" t="n"/>
      <c r="O1051" s="30" t="n"/>
      <c r="P1051" s="170" t="n"/>
      <c r="Q1051" s="30" t="n"/>
      <c r="R1051" s="170" t="n"/>
      <c r="S1051" s="30" t="n"/>
      <c r="T1051" s="170" t="n"/>
      <c r="U1051" s="150">
        <f>V1051*C1051</f>
        <v/>
      </c>
      <c r="V1051" s="94" t="n">
        <v>1.37999999999999</v>
      </c>
      <c r="W1051" s="30" t="n"/>
      <c r="X1051" s="30" t="n"/>
      <c r="Y1051" s="30" t="n"/>
      <c r="Z1051" s="30" t="n"/>
      <c r="AA1051" s="30" t="n"/>
      <c r="AB1051" s="30" t="n"/>
      <c r="AC1051" s="30" t="n"/>
      <c r="AD1051" s="30" t="n"/>
      <c r="AE1051" s="30" t="n"/>
      <c r="AF1051" s="30" t="n"/>
      <c r="AG1051" s="30" t="n"/>
      <c r="AH1051" s="30" t="n"/>
      <c r="AI1051" s="30" t="n"/>
      <c r="AJ1051" s="30" t="n"/>
      <c r="AK1051" s="30" t="n"/>
      <c r="AL1051" s="30" t="n"/>
      <c r="AM1051" s="30" t="n"/>
      <c r="AN1051" s="30" t="n"/>
      <c r="AO1051" s="30" t="n"/>
    </row>
    <row r="1052">
      <c r="A1052" s="89" t="inlineStr">
        <is>
          <t>17744XXX</t>
        </is>
      </c>
      <c r="B1052" s="248" t="inlineStr">
        <is>
          <t>TAVERNITI CHOMBA m/L</t>
        </is>
      </c>
      <c r="C1052" s="88" t="n">
        <v>75400</v>
      </c>
      <c r="D1052" s="88" t="n"/>
      <c r="E1052" s="170" t="n"/>
      <c r="F1052" s="170" t="n"/>
      <c r="G1052" s="170" t="n"/>
      <c r="H1052" s="170" t="n"/>
      <c r="I1052" s="170" t="n"/>
      <c r="J1052" s="170" t="n"/>
      <c r="K1052" s="170" t="n"/>
      <c r="L1052" s="170" t="n"/>
      <c r="M1052" s="170" t="n"/>
      <c r="N1052" s="105" t="n"/>
      <c r="O1052" s="30" t="n"/>
      <c r="P1052" s="170" t="n"/>
      <c r="Q1052" s="30" t="n"/>
      <c r="R1052" s="170" t="n"/>
      <c r="S1052" s="30" t="n"/>
      <c r="T1052" s="170" t="n"/>
      <c r="U1052" s="150">
        <f>V1052*C1052</f>
        <v/>
      </c>
      <c r="V1052" s="94" t="n">
        <v>1.37999999999999</v>
      </c>
      <c r="W1052" s="30" t="n"/>
      <c r="X1052" s="30" t="n"/>
      <c r="Y1052" s="30" t="n"/>
      <c r="Z1052" s="30" t="n"/>
      <c r="AA1052" s="30" t="n"/>
      <c r="AB1052" s="30" t="n"/>
      <c r="AC1052" s="30" t="n"/>
      <c r="AD1052" s="30" t="n"/>
      <c r="AE1052" s="30" t="n"/>
      <c r="AF1052" s="30" t="n"/>
      <c r="AG1052" s="30" t="n"/>
      <c r="AH1052" s="30" t="n"/>
      <c r="AI1052" s="30" t="n"/>
      <c r="AJ1052" s="30" t="n"/>
      <c r="AK1052" s="30" t="n"/>
      <c r="AL1052" s="30" t="n"/>
      <c r="AM1052" s="30" t="n"/>
      <c r="AN1052" s="30" t="n"/>
      <c r="AO1052" s="30" t="n"/>
    </row>
    <row r="1053">
      <c r="A1053" s="89" t="inlineStr">
        <is>
          <t>17746XXX</t>
        </is>
      </c>
      <c r="B1053" s="248" t="inlineStr">
        <is>
          <t>TAVERNITI CHOMBA m/L</t>
        </is>
      </c>
      <c r="C1053" s="88" t="n">
        <v>80700</v>
      </c>
      <c r="D1053" s="88" t="n"/>
      <c r="E1053" s="170" t="n"/>
      <c r="F1053" s="170" t="n"/>
      <c r="G1053" s="170" t="n"/>
      <c r="H1053" s="170" t="n"/>
      <c r="I1053" s="170" t="n"/>
      <c r="J1053" s="170" t="n"/>
      <c r="K1053" s="170" t="n"/>
      <c r="L1053" s="170" t="n"/>
      <c r="M1053" s="170" t="n"/>
      <c r="N1053" s="105" t="n"/>
      <c r="O1053" s="30" t="n"/>
      <c r="P1053" s="170" t="n"/>
      <c r="Q1053" s="30" t="n"/>
      <c r="R1053" s="170" t="n"/>
      <c r="S1053" s="30" t="n"/>
      <c r="T1053" s="170" t="n"/>
      <c r="U1053" s="150">
        <f>V1053*C1053</f>
        <v/>
      </c>
      <c r="V1053" s="94" t="n">
        <v>1.37999999999999</v>
      </c>
      <c r="W1053" s="30" t="n"/>
      <c r="X1053" s="30" t="n"/>
      <c r="Y1053" s="30" t="n"/>
      <c r="Z1053" s="30" t="n"/>
      <c r="AA1053" s="30" t="n"/>
      <c r="AB1053" s="30" t="n"/>
      <c r="AC1053" s="30" t="n"/>
      <c r="AD1053" s="30" t="n"/>
      <c r="AE1053" s="30" t="n"/>
      <c r="AF1053" s="30" t="n"/>
      <c r="AG1053" s="30" t="n"/>
      <c r="AH1053" s="30" t="n"/>
      <c r="AI1053" s="30" t="n"/>
      <c r="AJ1053" s="30" t="n"/>
      <c r="AK1053" s="30" t="n"/>
      <c r="AL1053" s="30" t="n"/>
      <c r="AM1053" s="30" t="n"/>
      <c r="AN1053" s="30" t="n"/>
      <c r="AO1053" s="30" t="n"/>
    </row>
    <row r="1054">
      <c r="A1054" s="89" t="inlineStr">
        <is>
          <t>17748XXX</t>
        </is>
      </c>
      <c r="B1054" s="248" t="inlineStr">
        <is>
          <t>TAVERNITI CHOMBA m/L</t>
        </is>
      </c>
      <c r="C1054" s="88" t="n">
        <v>73900</v>
      </c>
      <c r="D1054" s="88" t="n"/>
      <c r="E1054" s="170" t="n"/>
      <c r="F1054" s="170" t="n"/>
      <c r="G1054" s="170" t="n"/>
      <c r="H1054" s="170" t="n"/>
      <c r="I1054" s="170" t="n"/>
      <c r="J1054" s="170" t="n"/>
      <c r="K1054" s="170" t="n"/>
      <c r="L1054" s="170" t="n"/>
      <c r="M1054" s="170" t="n"/>
      <c r="N1054" s="105" t="n"/>
      <c r="O1054" s="30" t="n"/>
      <c r="P1054" s="170" t="n"/>
      <c r="Q1054" s="30" t="n"/>
      <c r="R1054" s="170" t="n"/>
      <c r="S1054" s="30" t="n"/>
      <c r="T1054" s="170" t="n"/>
      <c r="U1054" s="150">
        <f>V1054*C1054</f>
        <v/>
      </c>
      <c r="V1054" s="94" t="n">
        <v>1.37999999999999</v>
      </c>
      <c r="W1054" s="30" t="n"/>
      <c r="X1054" s="30" t="n"/>
      <c r="Y1054" s="30" t="n"/>
      <c r="Z1054" s="30" t="n"/>
      <c r="AA1054" s="30" t="n"/>
      <c r="AB1054" s="30" t="n"/>
      <c r="AC1054" s="30" t="n"/>
      <c r="AD1054" s="30" t="n"/>
      <c r="AE1054" s="30" t="n"/>
      <c r="AF1054" s="30" t="n"/>
      <c r="AG1054" s="30" t="n"/>
      <c r="AH1054" s="30" t="n"/>
      <c r="AI1054" s="30" t="n"/>
      <c r="AJ1054" s="30" t="n"/>
      <c r="AK1054" s="30" t="n"/>
      <c r="AL1054" s="30" t="n"/>
      <c r="AM1054" s="30" t="n"/>
      <c r="AN1054" s="30" t="n"/>
      <c r="AO1054" s="30" t="n"/>
    </row>
    <row r="1055">
      <c r="A1055" s="89" t="inlineStr">
        <is>
          <t>17750XXX</t>
        </is>
      </c>
      <c r="B1055" s="248" t="inlineStr">
        <is>
          <t>TAVERNITI CHOMBA m/L</t>
        </is>
      </c>
      <c r="C1055" s="88" t="n">
        <v>73900</v>
      </c>
      <c r="D1055" s="88" t="n"/>
      <c r="E1055" s="170" t="n"/>
      <c r="F1055" s="170" t="n"/>
      <c r="G1055" s="170" t="n"/>
      <c r="H1055" s="170" t="n"/>
      <c r="I1055" s="170" t="n"/>
      <c r="J1055" s="170" t="n"/>
      <c r="K1055" s="170" t="n"/>
      <c r="L1055" s="170" t="n"/>
      <c r="M1055" s="170" t="n"/>
      <c r="N1055" s="105" t="n"/>
      <c r="O1055" s="30" t="n"/>
      <c r="P1055" s="170" t="n"/>
      <c r="Q1055" s="30" t="n"/>
      <c r="R1055" s="170" t="n"/>
      <c r="S1055" s="30" t="n"/>
      <c r="T1055" s="170" t="n"/>
      <c r="U1055" s="150">
        <f>V1055*C1055</f>
        <v/>
      </c>
      <c r="V1055" s="94" t="n">
        <v>1.37999999999999</v>
      </c>
      <c r="W1055" s="30" t="n"/>
      <c r="X1055" s="30" t="n"/>
      <c r="Y1055" s="30" t="n"/>
      <c r="Z1055" s="30" t="n"/>
      <c r="AA1055" s="30" t="n"/>
      <c r="AB1055" s="30" t="n"/>
      <c r="AC1055" s="30" t="n"/>
      <c r="AD1055" s="30" t="n"/>
      <c r="AE1055" s="30" t="n"/>
      <c r="AF1055" s="30" t="n"/>
      <c r="AG1055" s="30" t="n"/>
      <c r="AH1055" s="30" t="n"/>
      <c r="AI1055" s="30" t="n"/>
      <c r="AJ1055" s="30" t="n"/>
      <c r="AK1055" s="30" t="n"/>
      <c r="AL1055" s="30" t="n"/>
      <c r="AM1055" s="30" t="n"/>
      <c r="AN1055" s="30" t="n"/>
      <c r="AO1055" s="30" t="n"/>
    </row>
    <row r="1056">
      <c r="A1056" s="89" t="inlineStr">
        <is>
          <t>17752XXX</t>
        </is>
      </c>
      <c r="B1056" s="248" t="inlineStr">
        <is>
          <t>TAVERNITI CHOMBA m/L</t>
        </is>
      </c>
      <c r="C1056" s="88" t="n">
        <v>71200</v>
      </c>
      <c r="D1056" s="88" t="n"/>
      <c r="E1056" s="170" t="n"/>
      <c r="F1056" s="170" t="n"/>
      <c r="G1056" s="170" t="n"/>
      <c r="H1056" s="170" t="n"/>
      <c r="I1056" s="170" t="n"/>
      <c r="J1056" s="170" t="n"/>
      <c r="K1056" s="170" t="n"/>
      <c r="L1056" s="170" t="n"/>
      <c r="M1056" s="170" t="n"/>
      <c r="N1056" s="105" t="n"/>
      <c r="O1056" s="30" t="n"/>
      <c r="P1056" s="170" t="n"/>
      <c r="Q1056" s="30" t="n"/>
      <c r="R1056" s="170" t="n"/>
      <c r="S1056" s="30" t="n"/>
      <c r="T1056" s="170" t="n"/>
      <c r="U1056" s="150">
        <f>V1056*C1056</f>
        <v/>
      </c>
      <c r="V1056" s="94" t="n">
        <v>1.37999999999999</v>
      </c>
      <c r="W1056" s="30" t="n"/>
      <c r="X1056" s="30" t="n"/>
      <c r="Y1056" s="30" t="n"/>
      <c r="Z1056" s="30" t="n"/>
      <c r="AA1056" s="30" t="n"/>
      <c r="AB1056" s="30" t="n"/>
      <c r="AC1056" s="30" t="n"/>
      <c r="AD1056" s="30" t="n"/>
      <c r="AE1056" s="30" t="n"/>
      <c r="AF1056" s="30" t="n"/>
      <c r="AG1056" s="30" t="n"/>
      <c r="AH1056" s="30" t="n"/>
      <c r="AI1056" s="30" t="n"/>
      <c r="AJ1056" s="30" t="n"/>
      <c r="AK1056" s="30" t="n"/>
      <c r="AL1056" s="30" t="n"/>
      <c r="AM1056" s="30" t="n"/>
      <c r="AN1056" s="30" t="n"/>
      <c r="AO1056" s="30" t="n"/>
    </row>
    <row r="1057">
      <c r="A1057" s="89" t="inlineStr">
        <is>
          <t>17754XXX</t>
        </is>
      </c>
      <c r="B1057" s="248" t="inlineStr">
        <is>
          <t>TAVERNITI CHOMBA m/L</t>
        </is>
      </c>
      <c r="C1057" s="88" t="n">
        <v>64800</v>
      </c>
      <c r="D1057" s="88" t="n"/>
      <c r="E1057" s="170" t="n"/>
      <c r="F1057" s="170" t="n"/>
      <c r="G1057" s="170" t="n"/>
      <c r="H1057" s="170" t="n"/>
      <c r="I1057" s="170" t="n"/>
      <c r="J1057" s="170" t="n"/>
      <c r="K1057" s="170" t="n"/>
      <c r="L1057" s="170" t="n"/>
      <c r="M1057" s="170" t="n"/>
      <c r="N1057" s="105" t="n"/>
      <c r="O1057" s="30" t="n"/>
      <c r="P1057" s="170" t="n"/>
      <c r="Q1057" s="30" t="n"/>
      <c r="R1057" s="170" t="n"/>
      <c r="S1057" s="30" t="n"/>
      <c r="T1057" s="170" t="n"/>
      <c r="U1057" s="150">
        <f>V1057*C1057</f>
        <v/>
      </c>
      <c r="V1057" s="94" t="n">
        <v>1.37999999999999</v>
      </c>
      <c r="W1057" s="30" t="n"/>
      <c r="X1057" s="30" t="n"/>
      <c r="Y1057" s="30" t="n"/>
      <c r="Z1057" s="30" t="n"/>
      <c r="AA1057" s="30" t="n"/>
      <c r="AB1057" s="30" t="n"/>
      <c r="AC1057" s="30" t="n"/>
      <c r="AD1057" s="30" t="n"/>
      <c r="AE1057" s="30" t="n"/>
      <c r="AF1057" s="30" t="n"/>
      <c r="AG1057" s="30" t="n"/>
      <c r="AH1057" s="30" t="n"/>
      <c r="AI1057" s="30" t="n"/>
      <c r="AJ1057" s="30" t="n"/>
      <c r="AK1057" s="30" t="n"/>
      <c r="AL1057" s="30" t="n"/>
      <c r="AM1057" s="30" t="n"/>
      <c r="AN1057" s="30" t="n"/>
      <c r="AO1057" s="30" t="n"/>
    </row>
    <row r="1058">
      <c r="A1058" s="89" t="inlineStr">
        <is>
          <t>17756XXX</t>
        </is>
      </c>
      <c r="B1058" s="248" t="inlineStr">
        <is>
          <t>TAVERNITI CHOMBA m/L</t>
        </is>
      </c>
      <c r="C1058" s="88" t="n">
        <v>64800</v>
      </c>
      <c r="D1058" s="88" t="n"/>
      <c r="E1058" s="170" t="n"/>
      <c r="F1058" s="170" t="n"/>
      <c r="G1058" s="170" t="n"/>
      <c r="H1058" s="170" t="n"/>
      <c r="I1058" s="170" t="n"/>
      <c r="J1058" s="170" t="n"/>
      <c r="K1058" s="170" t="n"/>
      <c r="L1058" s="170" t="n"/>
      <c r="M1058" s="170" t="n"/>
      <c r="N1058" s="105" t="n"/>
      <c r="O1058" s="30" t="n"/>
      <c r="P1058" s="170" t="n"/>
      <c r="Q1058" s="30" t="n"/>
      <c r="R1058" s="170" t="n"/>
      <c r="S1058" s="30" t="n"/>
      <c r="T1058" s="170" t="n"/>
      <c r="U1058" s="150">
        <f>V1058*C1058</f>
        <v/>
      </c>
      <c r="V1058" s="94" t="n">
        <v>1.37999999999998</v>
      </c>
      <c r="W1058" s="30" t="n"/>
      <c r="X1058" s="30" t="n"/>
      <c r="Y1058" s="30" t="n"/>
      <c r="Z1058" s="30" t="n"/>
      <c r="AA1058" s="30" t="n"/>
      <c r="AB1058" s="30" t="n"/>
      <c r="AC1058" s="30" t="n"/>
      <c r="AD1058" s="30" t="n"/>
      <c r="AE1058" s="30" t="n"/>
      <c r="AF1058" s="30" t="n"/>
      <c r="AG1058" s="30" t="n"/>
      <c r="AH1058" s="30" t="n"/>
      <c r="AI1058" s="30" t="n"/>
      <c r="AJ1058" s="30" t="n"/>
      <c r="AK1058" s="30" t="n"/>
      <c r="AL1058" s="30" t="n"/>
      <c r="AM1058" s="30" t="n"/>
      <c r="AN1058" s="30" t="n"/>
      <c r="AO1058" s="30" t="n"/>
    </row>
    <row r="1059">
      <c r="A1059" s="89" t="inlineStr">
        <is>
          <t>17880XXX</t>
        </is>
      </c>
      <c r="B1059" s="248" t="inlineStr">
        <is>
          <t>TAVERNITI CHOMBA m/L</t>
        </is>
      </c>
      <c r="C1059" s="88" t="n">
        <v>71900</v>
      </c>
      <c r="D1059" s="88" t="n"/>
      <c r="E1059" s="170" t="n"/>
      <c r="F1059" s="170" t="n"/>
      <c r="G1059" s="170" t="n"/>
      <c r="H1059" s="170" t="n"/>
      <c r="I1059" s="170" t="n"/>
      <c r="J1059" s="170" t="n"/>
      <c r="K1059" s="170" t="n"/>
      <c r="L1059" s="170" t="n"/>
      <c r="M1059" s="170" t="n"/>
      <c r="N1059" s="105" t="n"/>
      <c r="O1059" s="30" t="n"/>
      <c r="P1059" s="170" t="n"/>
      <c r="Q1059" s="30" t="n"/>
      <c r="R1059" s="170" t="n"/>
      <c r="S1059" s="30" t="n"/>
      <c r="T1059" s="170" t="n"/>
      <c r="U1059" s="150">
        <f>V1059*C1059</f>
        <v/>
      </c>
      <c r="V1059" s="94" t="n">
        <v>1.37999999999998</v>
      </c>
      <c r="W1059" s="30" t="n"/>
      <c r="X1059" s="30" t="n"/>
      <c r="Y1059" s="30" t="n"/>
      <c r="Z1059" s="30" t="n"/>
      <c r="AA1059" s="30" t="n"/>
      <c r="AB1059" s="30" t="n"/>
      <c r="AC1059" s="30" t="n"/>
      <c r="AD1059" s="30" t="n"/>
      <c r="AE1059" s="30" t="n"/>
      <c r="AF1059" s="30" t="n"/>
      <c r="AG1059" s="30" t="n"/>
      <c r="AH1059" s="30" t="n"/>
      <c r="AI1059" s="30" t="n"/>
      <c r="AJ1059" s="30" t="n"/>
      <c r="AK1059" s="30" t="n"/>
      <c r="AL1059" s="30" t="n"/>
      <c r="AM1059" s="30" t="n"/>
      <c r="AN1059" s="30" t="n"/>
      <c r="AO1059" s="30" t="n"/>
    </row>
    <row r="1060">
      <c r="A1060" s="89" t="inlineStr">
        <is>
          <t>19396XXX</t>
        </is>
      </c>
      <c r="B1060" s="248" t="inlineStr">
        <is>
          <t>TAVERNITI-RAYA</t>
        </is>
      </c>
      <c r="C1060" s="88" t="n">
        <v>79600</v>
      </c>
      <c r="D1060" s="88" t="n"/>
      <c r="E1060" s="22" t="n"/>
      <c r="F1060" s="22" t="n"/>
      <c r="G1060" s="22" t="n"/>
      <c r="H1060" s="22" t="n"/>
      <c r="I1060" s="22" t="n"/>
      <c r="J1060" s="22" t="n"/>
      <c r="K1060" s="22" t="n"/>
      <c r="L1060" s="22" t="n"/>
      <c r="M1060" s="88" t="n"/>
      <c r="N1060" s="227" t="n"/>
      <c r="P1060" s="117" t="n"/>
      <c r="R1060" s="117" t="n"/>
      <c r="T1060" s="117" t="n"/>
      <c r="U1060" s="117">
        <f>V1060*C1060</f>
        <v/>
      </c>
      <c r="V1060" s="94" t="n">
        <v>1.37999999999998</v>
      </c>
    </row>
    <row r="1061">
      <c r="A1061" s="89" t="inlineStr">
        <is>
          <t>19568XXX</t>
        </is>
      </c>
      <c r="B1061" s="248" t="inlineStr">
        <is>
          <t>TAVERNITI CHOMBA m/L</t>
        </is>
      </c>
      <c r="C1061" s="88" t="n">
        <v>82500</v>
      </c>
      <c r="D1061" s="88" t="n"/>
      <c r="E1061" s="22" t="n"/>
      <c r="F1061" s="22" t="n"/>
      <c r="G1061" s="22" t="n"/>
      <c r="H1061" s="22" t="n"/>
      <c r="I1061" s="22" t="n"/>
      <c r="J1061" s="22" t="n"/>
      <c r="K1061" s="22" t="n"/>
      <c r="L1061" s="22" t="n"/>
      <c r="M1061" s="88" t="n"/>
      <c r="N1061" s="227" t="n"/>
      <c r="P1061" s="117" t="n"/>
      <c r="R1061" s="117" t="n"/>
      <c r="T1061" s="117" t="n"/>
      <c r="U1061" s="117">
        <f>V1061*C1061</f>
        <v/>
      </c>
      <c r="V1061" s="94" t="n">
        <v>1.37999999999998</v>
      </c>
    </row>
    <row r="1062">
      <c r="A1062" s="89" t="inlineStr">
        <is>
          <t>19586XXX</t>
        </is>
      </c>
      <c r="B1062" s="248" t="inlineStr">
        <is>
          <t>TAVERNITI CHOMBA m/L</t>
        </is>
      </c>
      <c r="C1062" s="88" t="n">
        <v>82500</v>
      </c>
      <c r="D1062" s="88" t="n"/>
      <c r="E1062" s="22" t="n"/>
      <c r="F1062" s="22" t="n"/>
      <c r="G1062" s="22" t="n"/>
      <c r="H1062" s="22" t="n"/>
      <c r="I1062" s="22" t="n"/>
      <c r="J1062" s="22" t="n"/>
      <c r="K1062" s="22" t="n"/>
      <c r="L1062" s="22" t="n"/>
      <c r="M1062" s="88" t="n"/>
      <c r="N1062" s="227" t="n"/>
      <c r="P1062" s="117" t="n"/>
      <c r="R1062" s="117" t="n"/>
      <c r="T1062" s="117" t="n"/>
      <c r="U1062" s="117">
        <f>V1062*C1062</f>
        <v/>
      </c>
      <c r="V1062" s="94" t="n">
        <v>1.37999999999998</v>
      </c>
    </row>
    <row r="1063">
      <c r="A1063" s="89" t="inlineStr">
        <is>
          <t>19844XXX</t>
        </is>
      </c>
      <c r="B1063" s="248" t="inlineStr">
        <is>
          <t>TAVERNITI CHOMBA m/L</t>
        </is>
      </c>
      <c r="C1063" s="88" t="n">
        <v>87900</v>
      </c>
      <c r="D1063" s="88" t="n"/>
      <c r="E1063" s="170" t="n"/>
      <c r="F1063" s="170" t="n"/>
      <c r="G1063" s="170" t="n"/>
      <c r="H1063" s="170" t="n"/>
      <c r="I1063" s="170" t="n"/>
      <c r="J1063" s="170" t="n"/>
      <c r="K1063" s="170" t="n"/>
      <c r="L1063" s="170" t="n"/>
      <c r="M1063" s="170" t="n"/>
      <c r="N1063" s="105" t="n"/>
      <c r="O1063" s="30" t="n"/>
      <c r="P1063" s="170" t="n"/>
      <c r="Q1063" s="30" t="n"/>
      <c r="R1063" s="170" t="n"/>
      <c r="S1063" s="30" t="n"/>
      <c r="T1063" s="170" t="n"/>
      <c r="U1063" s="150">
        <f>V1063*C1063</f>
        <v/>
      </c>
      <c r="V1063" s="94" t="n">
        <v>1.37999999999998</v>
      </c>
      <c r="W1063" s="30" t="n"/>
      <c r="X1063" s="30" t="n"/>
      <c r="Y1063" s="30" t="n"/>
      <c r="Z1063" s="30" t="n"/>
      <c r="AA1063" s="30" t="n"/>
      <c r="AB1063" s="30" t="n"/>
      <c r="AC1063" s="30" t="n"/>
      <c r="AD1063" s="30" t="n"/>
      <c r="AE1063" s="30" t="n"/>
      <c r="AF1063" s="30" t="n"/>
      <c r="AG1063" s="30" t="n"/>
      <c r="AH1063" s="30" t="n"/>
      <c r="AI1063" s="30" t="n"/>
      <c r="AJ1063" s="30" t="n"/>
      <c r="AK1063" s="30" t="n"/>
      <c r="AL1063" s="30" t="n"/>
      <c r="AM1063" s="30" t="n"/>
      <c r="AN1063" s="30" t="n"/>
      <c r="AO1063" s="30" t="n"/>
    </row>
    <row r="1064">
      <c r="A1064" s="89" t="inlineStr">
        <is>
          <t>20554XXX</t>
        </is>
      </c>
      <c r="B1064" s="248" t="inlineStr">
        <is>
          <t>TAVERNITI CHOMBA m/L</t>
        </is>
      </c>
      <c r="C1064" s="88" t="n">
        <v>84400</v>
      </c>
      <c r="D1064" s="88" t="n"/>
      <c r="E1064" s="170" t="n"/>
      <c r="F1064" s="170" t="n"/>
      <c r="G1064" s="170" t="n"/>
      <c r="H1064" s="170" t="n"/>
      <c r="I1064" s="170" t="n"/>
      <c r="J1064" s="170" t="n"/>
      <c r="K1064" s="170" t="n"/>
      <c r="L1064" s="170" t="n"/>
      <c r="M1064" s="170" t="n"/>
      <c r="N1064" s="105" t="n"/>
      <c r="O1064" s="30" t="n"/>
      <c r="P1064" s="170" t="n"/>
      <c r="Q1064" s="30" t="n"/>
      <c r="R1064" s="170" t="n"/>
      <c r="S1064" s="30" t="n"/>
      <c r="T1064" s="170" t="n"/>
      <c r="U1064" s="150">
        <f>V1064*C1064</f>
        <v/>
      </c>
      <c r="V1064" s="94" t="n">
        <v>1.37999999999998</v>
      </c>
      <c r="W1064" s="30" t="n"/>
      <c r="X1064" s="30" t="n"/>
      <c r="Y1064" s="30" t="n"/>
      <c r="Z1064" s="30" t="n"/>
      <c r="AA1064" s="30" t="n"/>
      <c r="AB1064" s="30" t="n"/>
      <c r="AC1064" s="30" t="n"/>
      <c r="AD1064" s="30" t="n"/>
      <c r="AE1064" s="30" t="n"/>
      <c r="AF1064" s="30" t="n"/>
      <c r="AG1064" s="30" t="n"/>
      <c r="AH1064" s="30" t="n"/>
      <c r="AI1064" s="30" t="n"/>
      <c r="AJ1064" s="30" t="n"/>
      <c r="AK1064" s="30" t="n"/>
      <c r="AL1064" s="30" t="n"/>
      <c r="AM1064" s="30" t="n"/>
      <c r="AN1064" s="30" t="n"/>
      <c r="AO1064" s="30" t="n"/>
    </row>
    <row r="1065">
      <c r="A1065" s="89" t="inlineStr">
        <is>
          <t>20556XXX</t>
        </is>
      </c>
      <c r="B1065" s="248" t="inlineStr">
        <is>
          <t>TAVERNITI CHOMBA m/L</t>
        </is>
      </c>
      <c r="C1065" s="88" t="n">
        <v>84400</v>
      </c>
      <c r="D1065" s="170" t="n"/>
      <c r="E1065" s="170" t="n"/>
      <c r="F1065" s="170" t="n"/>
      <c r="G1065" s="170" t="n"/>
      <c r="H1065" s="170" t="n"/>
      <c r="I1065" s="170" t="n"/>
      <c r="J1065" s="170" t="n"/>
      <c r="K1065" s="170" t="n"/>
      <c r="L1065" s="170" t="n"/>
      <c r="M1065" s="170" t="n"/>
      <c r="N1065" s="105" t="n"/>
      <c r="O1065" s="30" t="n"/>
      <c r="P1065" s="170" t="n"/>
      <c r="Q1065" s="30" t="n"/>
      <c r="R1065" s="170" t="n"/>
      <c r="S1065" s="30" t="n"/>
      <c r="T1065" s="170" t="n"/>
      <c r="U1065" s="150">
        <f>V1065*C1065</f>
        <v/>
      </c>
      <c r="V1065" s="94" t="n">
        <v>1.37999999999998</v>
      </c>
      <c r="W1065" s="30" t="n"/>
      <c r="X1065" s="30" t="n"/>
      <c r="Y1065" s="30" t="n"/>
      <c r="Z1065" s="30" t="n"/>
      <c r="AA1065" s="30" t="n"/>
      <c r="AB1065" s="30" t="n"/>
      <c r="AC1065" s="30" t="n"/>
      <c r="AD1065" s="30" t="n"/>
      <c r="AE1065" s="30" t="n"/>
      <c r="AF1065" s="30" t="n"/>
      <c r="AG1065" s="30" t="n"/>
      <c r="AH1065" s="30" t="n"/>
      <c r="AI1065" s="30" t="n"/>
      <c r="AJ1065" s="30" t="n"/>
      <c r="AK1065" s="30" t="n"/>
      <c r="AL1065" s="30" t="n"/>
      <c r="AM1065" s="30" t="n"/>
      <c r="AN1065" s="30" t="n"/>
      <c r="AO1065" s="30" t="n"/>
    </row>
    <row r="1066">
      <c r="A1066" s="89" t="inlineStr">
        <is>
          <t>20558XXX</t>
        </is>
      </c>
      <c r="B1066" s="248" t="inlineStr">
        <is>
          <t>TAVERNITI CHOMBA m/L</t>
        </is>
      </c>
      <c r="C1066" s="88" t="n">
        <v>84400</v>
      </c>
      <c r="D1066" s="88" t="n"/>
      <c r="E1066" s="170" t="n"/>
      <c r="F1066" s="170" t="n"/>
      <c r="G1066" s="170" t="n"/>
      <c r="H1066" s="170" t="n"/>
      <c r="I1066" s="170" t="n"/>
      <c r="J1066" s="170" t="n"/>
      <c r="K1066" s="170" t="n"/>
      <c r="L1066" s="170" t="n"/>
      <c r="M1066" s="170" t="n"/>
      <c r="N1066" s="105" t="n"/>
      <c r="O1066" s="30" t="n"/>
      <c r="P1066" s="170" t="n"/>
      <c r="Q1066" s="30" t="n"/>
      <c r="R1066" s="170" t="n"/>
      <c r="S1066" s="30" t="n"/>
      <c r="T1066" s="170" t="n"/>
      <c r="U1066" s="150">
        <f>V1066*C1066</f>
        <v/>
      </c>
      <c r="V1066" s="94" t="n">
        <v>1.37999999999998</v>
      </c>
      <c r="W1066" s="30" t="n"/>
      <c r="X1066" s="30" t="n"/>
      <c r="Y1066" s="30" t="n"/>
      <c r="Z1066" s="30" t="n"/>
      <c r="AA1066" s="30" t="n"/>
      <c r="AB1066" s="30" t="n"/>
      <c r="AC1066" s="30" t="n"/>
      <c r="AD1066" s="30" t="n"/>
      <c r="AE1066" s="30" t="n"/>
      <c r="AF1066" s="30" t="n"/>
      <c r="AG1066" s="30" t="n"/>
      <c r="AH1066" s="30" t="n"/>
      <c r="AI1066" s="30" t="n"/>
      <c r="AJ1066" s="30" t="n"/>
      <c r="AK1066" s="30" t="n"/>
      <c r="AL1066" s="30" t="n"/>
      <c r="AM1066" s="30" t="n"/>
      <c r="AN1066" s="30" t="n"/>
      <c r="AO1066" s="30" t="n"/>
    </row>
    <row r="1067">
      <c r="A1067" s="89" t="inlineStr">
        <is>
          <t>20560XXX</t>
        </is>
      </c>
      <c r="B1067" s="248" t="inlineStr">
        <is>
          <t>TAVERNITI CHOMBA m/L</t>
        </is>
      </c>
      <c r="C1067" s="88" t="n">
        <v>84400</v>
      </c>
      <c r="D1067" s="170" t="n"/>
      <c r="E1067" s="170" t="n"/>
      <c r="F1067" s="170" t="n"/>
      <c r="G1067" s="170" t="n"/>
      <c r="H1067" s="170" t="n"/>
      <c r="I1067" s="170" t="n"/>
      <c r="J1067" s="170" t="n"/>
      <c r="K1067" s="170" t="n"/>
      <c r="L1067" s="170" t="n"/>
      <c r="M1067" s="170" t="n"/>
      <c r="N1067" s="105" t="n"/>
      <c r="O1067" s="30" t="n"/>
      <c r="P1067" s="170" t="n"/>
      <c r="Q1067" s="30" t="n"/>
      <c r="R1067" s="170" t="n"/>
      <c r="S1067" s="30" t="n"/>
      <c r="T1067" s="170" t="n"/>
      <c r="U1067" s="150">
        <f>V1067*C1067</f>
        <v/>
      </c>
      <c r="V1067" s="94" t="n">
        <v>1.37999999999998</v>
      </c>
      <c r="W1067" s="30" t="n"/>
      <c r="X1067" s="30" t="n"/>
      <c r="Y1067" s="30" t="n"/>
      <c r="Z1067" s="30" t="n"/>
      <c r="AA1067" s="30" t="n"/>
      <c r="AB1067" s="30" t="n"/>
      <c r="AC1067" s="30" t="n"/>
      <c r="AD1067" s="30" t="n"/>
      <c r="AE1067" s="30" t="n"/>
      <c r="AF1067" s="30" t="n"/>
      <c r="AG1067" s="30" t="n"/>
      <c r="AH1067" s="30" t="n"/>
      <c r="AI1067" s="30" t="n"/>
      <c r="AJ1067" s="30" t="n"/>
      <c r="AK1067" s="30" t="n"/>
      <c r="AL1067" s="30" t="n"/>
      <c r="AM1067" s="30" t="n"/>
      <c r="AN1067" s="30" t="n"/>
      <c r="AO1067" s="30" t="n"/>
    </row>
    <row r="1068">
      <c r="A1068" s="89" t="inlineStr">
        <is>
          <t>20562XXX</t>
        </is>
      </c>
      <c r="B1068" s="248" t="inlineStr">
        <is>
          <t>TAVERNITI CHOMBA m/L</t>
        </is>
      </c>
      <c r="C1068" s="88" t="n">
        <v>84400</v>
      </c>
      <c r="D1068" s="170" t="n"/>
      <c r="E1068" s="170" t="n"/>
      <c r="F1068" s="170" t="n"/>
      <c r="G1068" s="170" t="n"/>
      <c r="H1068" s="170" t="n"/>
      <c r="I1068" s="170" t="n"/>
      <c r="J1068" s="170" t="n"/>
      <c r="K1068" s="170" t="n"/>
      <c r="L1068" s="170" t="n"/>
      <c r="M1068" s="170" t="n"/>
      <c r="N1068" s="208" t="n"/>
      <c r="O1068" s="30" t="n"/>
      <c r="P1068" s="170" t="n"/>
      <c r="Q1068" s="30" t="n"/>
      <c r="R1068" s="170" t="n"/>
      <c r="S1068" s="30" t="n"/>
      <c r="T1068" s="170" t="n"/>
      <c r="U1068" s="150">
        <f>V1068*C1068</f>
        <v/>
      </c>
      <c r="V1068" s="94" t="n">
        <v>1.37999999999998</v>
      </c>
      <c r="W1068" s="30" t="n"/>
      <c r="X1068" s="30" t="n"/>
      <c r="Y1068" s="30" t="n"/>
      <c r="Z1068" s="30" t="n"/>
      <c r="AA1068" s="30" t="n"/>
      <c r="AB1068" s="30" t="n"/>
      <c r="AC1068" s="30" t="n"/>
      <c r="AD1068" s="30" t="n"/>
      <c r="AE1068" s="30" t="n"/>
      <c r="AF1068" s="30" t="n"/>
      <c r="AG1068" s="30" t="n"/>
      <c r="AH1068" s="30" t="n"/>
      <c r="AI1068" s="30" t="n"/>
      <c r="AJ1068" s="30" t="n"/>
      <c r="AK1068" s="30" t="n"/>
      <c r="AL1068" s="30" t="n"/>
      <c r="AM1068" s="30" t="n"/>
      <c r="AN1068" s="30" t="n"/>
      <c r="AO1068" s="30" t="n"/>
    </row>
    <row r="1069">
      <c r="A1069" s="89" t="inlineStr">
        <is>
          <t>20566XXX</t>
        </is>
      </c>
      <c r="B1069" s="248" t="inlineStr">
        <is>
          <t>TAVERNITI CHOMBA m/L</t>
        </is>
      </c>
      <c r="C1069" s="88" t="n">
        <v>94000</v>
      </c>
      <c r="D1069" s="170" t="n"/>
      <c r="E1069" s="170" t="n"/>
      <c r="F1069" s="170" t="n"/>
      <c r="G1069" s="170" t="n"/>
      <c r="H1069" s="170" t="n"/>
      <c r="I1069" s="170" t="n"/>
      <c r="J1069" s="170" t="n"/>
      <c r="K1069" s="170" t="n"/>
      <c r="L1069" s="170" t="n"/>
      <c r="M1069" s="170" t="n"/>
      <c r="N1069" s="105" t="n"/>
      <c r="O1069" s="30" t="n"/>
      <c r="P1069" s="170" t="n"/>
      <c r="Q1069" s="30" t="n"/>
      <c r="R1069" s="170" t="n"/>
      <c r="S1069" s="30" t="n"/>
      <c r="T1069" s="170" t="n"/>
      <c r="U1069" s="150">
        <f>V1069*C1069</f>
        <v/>
      </c>
      <c r="V1069" s="94" t="n">
        <v>1.37999999999998</v>
      </c>
      <c r="W1069" s="30" t="n"/>
      <c r="X1069" s="30" t="n"/>
      <c r="Y1069" s="30" t="n"/>
      <c r="Z1069" s="30" t="n"/>
      <c r="AA1069" s="30" t="n"/>
      <c r="AB1069" s="30" t="n"/>
      <c r="AC1069" s="30" t="n"/>
      <c r="AD1069" s="30" t="n"/>
      <c r="AE1069" s="30" t="n"/>
      <c r="AF1069" s="30" t="n"/>
      <c r="AG1069" s="30" t="n"/>
      <c r="AH1069" s="30" t="n"/>
      <c r="AI1069" s="30" t="n"/>
      <c r="AJ1069" s="30" t="n"/>
      <c r="AK1069" s="30" t="n"/>
      <c r="AL1069" s="30" t="n"/>
      <c r="AM1069" s="30" t="n"/>
      <c r="AN1069" s="30" t="n"/>
      <c r="AO1069" s="30" t="n"/>
    </row>
    <row r="1070">
      <c r="A1070" s="89" t="inlineStr">
        <is>
          <t>20568XXX</t>
        </is>
      </c>
      <c r="B1070" s="248" t="inlineStr">
        <is>
          <t>TAVERNITI CHOMBA m/L</t>
        </is>
      </c>
      <c r="C1070" s="88" t="n">
        <v>84400</v>
      </c>
      <c r="D1070" s="170" t="n"/>
      <c r="E1070" s="170" t="n"/>
      <c r="F1070" s="170" t="n"/>
      <c r="G1070" s="170" t="n"/>
      <c r="H1070" s="170" t="n"/>
      <c r="I1070" s="170" t="n"/>
      <c r="J1070" s="170" t="n"/>
      <c r="K1070" s="170" t="n"/>
      <c r="L1070" s="170" t="n"/>
      <c r="M1070" s="170" t="n"/>
      <c r="N1070" s="105" t="n"/>
      <c r="O1070" s="30" t="n"/>
      <c r="P1070" s="170" t="n"/>
      <c r="Q1070" s="30" t="n"/>
      <c r="R1070" s="170" t="n"/>
      <c r="S1070" s="30" t="n"/>
      <c r="T1070" s="170" t="n"/>
      <c r="U1070" s="150">
        <f>V1070*C1070</f>
        <v/>
      </c>
      <c r="V1070" s="94" t="n">
        <v>1.37999999999998</v>
      </c>
      <c r="W1070" s="30" t="n"/>
      <c r="X1070" s="30" t="n"/>
      <c r="Y1070" s="30" t="n"/>
      <c r="Z1070" s="30" t="n"/>
      <c r="AA1070" s="30" t="n"/>
      <c r="AB1070" s="30" t="n"/>
      <c r="AC1070" s="30" t="n"/>
      <c r="AD1070" s="30" t="n"/>
      <c r="AE1070" s="30" t="n"/>
      <c r="AF1070" s="30" t="n"/>
      <c r="AG1070" s="30" t="n"/>
      <c r="AH1070" s="30" t="n"/>
      <c r="AI1070" s="30" t="n"/>
      <c r="AJ1070" s="30" t="n"/>
      <c r="AK1070" s="30" t="n"/>
      <c r="AL1070" s="30" t="n"/>
      <c r="AM1070" s="30" t="n"/>
      <c r="AN1070" s="30" t="n"/>
      <c r="AO1070" s="30" t="n"/>
    </row>
    <row r="1071">
      <c r="A1071" s="89" t="inlineStr">
        <is>
          <t>20570XXX</t>
        </is>
      </c>
      <c r="B1071" s="248" t="inlineStr">
        <is>
          <t>TAVERNITI CHOMBA m/L</t>
        </is>
      </c>
      <c r="C1071" s="88" t="n">
        <v>84400</v>
      </c>
      <c r="D1071" s="170" t="n"/>
      <c r="E1071" s="170" t="n"/>
      <c r="F1071" s="170" t="n"/>
      <c r="G1071" s="170" t="n"/>
      <c r="H1071" s="170" t="n"/>
      <c r="I1071" s="170" t="n"/>
      <c r="J1071" s="170" t="n"/>
      <c r="K1071" s="170" t="n"/>
      <c r="L1071" s="170" t="n"/>
      <c r="M1071" s="170" t="n"/>
      <c r="N1071" s="105" t="n"/>
      <c r="O1071" s="30" t="n"/>
      <c r="P1071" s="170" t="n"/>
      <c r="Q1071" s="30" t="n"/>
      <c r="R1071" s="170" t="n"/>
      <c r="S1071" s="30" t="n"/>
      <c r="T1071" s="170" t="n"/>
      <c r="U1071" s="150">
        <f>V1071*C1071</f>
        <v/>
      </c>
      <c r="V1071" s="94" t="n">
        <v>1.37999999999998</v>
      </c>
      <c r="W1071" s="30" t="n"/>
      <c r="X1071" s="30" t="n"/>
      <c r="Y1071" s="30" t="n"/>
      <c r="Z1071" s="30" t="n"/>
      <c r="AA1071" s="30" t="n"/>
      <c r="AB1071" s="30" t="n"/>
      <c r="AC1071" s="30" t="n"/>
      <c r="AD1071" s="30" t="n"/>
      <c r="AE1071" s="30" t="n"/>
      <c r="AF1071" s="30" t="n"/>
      <c r="AG1071" s="30" t="n"/>
      <c r="AH1071" s="30" t="n"/>
      <c r="AI1071" s="30" t="n"/>
      <c r="AJ1071" s="30" t="n"/>
      <c r="AK1071" s="30" t="n"/>
      <c r="AL1071" s="30" t="n"/>
      <c r="AM1071" s="30" t="n"/>
      <c r="AN1071" s="30" t="n"/>
      <c r="AO1071" s="30" t="n"/>
    </row>
    <row r="1072">
      <c r="A1072" s="89" t="inlineStr">
        <is>
          <t>20572XXX</t>
        </is>
      </c>
      <c r="B1072" s="248" t="inlineStr">
        <is>
          <t>TAVERNITI CHOMBA m/L</t>
        </is>
      </c>
      <c r="C1072" s="88" t="n">
        <v>84400</v>
      </c>
      <c r="D1072" s="170" t="n"/>
      <c r="E1072" s="170" t="n"/>
      <c r="F1072" s="170" t="n"/>
      <c r="G1072" s="170" t="n"/>
      <c r="H1072" s="170" t="n"/>
      <c r="I1072" s="170" t="n"/>
      <c r="J1072" s="170" t="n"/>
      <c r="K1072" s="170" t="n"/>
      <c r="L1072" s="170" t="n"/>
      <c r="M1072" s="170" t="n"/>
      <c r="N1072" s="105" t="n"/>
      <c r="O1072" s="30" t="n"/>
      <c r="P1072" s="170" t="n"/>
      <c r="Q1072" s="30" t="n"/>
      <c r="R1072" s="170" t="n"/>
      <c r="S1072" s="30" t="n"/>
      <c r="T1072" s="170" t="n"/>
      <c r="U1072" s="150">
        <f>V1072*C1072</f>
        <v/>
      </c>
      <c r="V1072" s="94" t="n">
        <v>1.37999999999998</v>
      </c>
      <c r="W1072" s="30" t="n"/>
      <c r="X1072" s="30" t="n"/>
      <c r="Y1072" s="30" t="n"/>
      <c r="Z1072" s="30" t="n"/>
      <c r="AA1072" s="30" t="n"/>
      <c r="AB1072" s="30" t="n"/>
      <c r="AC1072" s="30" t="n"/>
      <c r="AD1072" s="30" t="n"/>
      <c r="AE1072" s="30" t="n"/>
      <c r="AF1072" s="30" t="n"/>
      <c r="AG1072" s="30" t="n"/>
      <c r="AH1072" s="30" t="n"/>
      <c r="AI1072" s="30" t="n"/>
      <c r="AJ1072" s="30" t="n"/>
      <c r="AK1072" s="30" t="n"/>
      <c r="AL1072" s="30" t="n"/>
      <c r="AM1072" s="30" t="n"/>
      <c r="AN1072" s="30" t="n"/>
      <c r="AO1072" s="30" t="n"/>
    </row>
    <row r="1073">
      <c r="A1073" s="89" t="inlineStr">
        <is>
          <t>20574XXX</t>
        </is>
      </c>
      <c r="B1073" s="248" t="inlineStr">
        <is>
          <t>TAVERNITI CHOMBA m/L</t>
        </is>
      </c>
      <c r="C1073" s="88" t="n">
        <v>84400</v>
      </c>
      <c r="D1073" s="170" t="n"/>
      <c r="E1073" s="170" t="n"/>
      <c r="F1073" s="170" t="n"/>
      <c r="G1073" s="170" t="n"/>
      <c r="H1073" s="170" t="n"/>
      <c r="I1073" s="170" t="n"/>
      <c r="J1073" s="170" t="n"/>
      <c r="K1073" s="170" t="n"/>
      <c r="L1073" s="170" t="n"/>
      <c r="M1073" s="170" t="n"/>
      <c r="N1073" s="105" t="n"/>
      <c r="O1073" s="30" t="n"/>
      <c r="P1073" s="170" t="n"/>
      <c r="Q1073" s="30" t="n"/>
      <c r="R1073" s="170" t="n"/>
      <c r="S1073" s="30" t="n"/>
      <c r="T1073" s="170" t="n"/>
      <c r="U1073" s="150">
        <f>V1073*C1073</f>
        <v/>
      </c>
      <c r="V1073" s="94" t="n">
        <v>1.37999999999998</v>
      </c>
      <c r="W1073" s="30" t="n"/>
      <c r="X1073" s="30" t="n"/>
      <c r="Y1073" s="30" t="n"/>
      <c r="Z1073" s="30" t="n"/>
      <c r="AA1073" s="30" t="n"/>
      <c r="AB1073" s="30" t="n"/>
      <c r="AC1073" s="30" t="n"/>
      <c r="AD1073" s="30" t="n"/>
      <c r="AE1073" s="30" t="n"/>
      <c r="AF1073" s="30" t="n"/>
      <c r="AG1073" s="30" t="n"/>
      <c r="AH1073" s="30" t="n"/>
      <c r="AI1073" s="30" t="n"/>
      <c r="AJ1073" s="30" t="n"/>
      <c r="AK1073" s="30" t="n"/>
      <c r="AL1073" s="30" t="n"/>
      <c r="AM1073" s="30" t="n"/>
      <c r="AN1073" s="30" t="n"/>
      <c r="AO1073" s="30" t="n"/>
    </row>
    <row r="1074">
      <c r="A1074" s="89" t="inlineStr">
        <is>
          <t>20576XXX</t>
        </is>
      </c>
      <c r="B1074" s="248" t="inlineStr">
        <is>
          <t>TAVERNITI CHOMBA m/L</t>
        </is>
      </c>
      <c r="C1074" s="88" t="n">
        <v>84400</v>
      </c>
      <c r="D1074" s="170" t="n"/>
      <c r="E1074" s="170" t="n"/>
      <c r="F1074" s="170" t="n"/>
      <c r="G1074" s="170" t="n"/>
      <c r="H1074" s="170" t="n"/>
      <c r="I1074" s="170" t="n"/>
      <c r="J1074" s="170" t="n"/>
      <c r="K1074" s="170" t="n"/>
      <c r="L1074" s="170" t="n"/>
      <c r="M1074" s="170" t="n"/>
      <c r="N1074" s="105" t="n"/>
      <c r="O1074" s="30" t="n"/>
      <c r="P1074" s="170" t="n"/>
      <c r="Q1074" s="30" t="n"/>
      <c r="R1074" s="170" t="n"/>
      <c r="S1074" s="30" t="n"/>
      <c r="T1074" s="170" t="n"/>
      <c r="U1074" s="150">
        <f>V1074*C1074</f>
        <v/>
      </c>
      <c r="V1074" s="94" t="n">
        <v>1.37999999999998</v>
      </c>
      <c r="W1074" s="30" t="n"/>
      <c r="X1074" s="30" t="n"/>
      <c r="Y1074" s="30" t="n"/>
      <c r="Z1074" s="30" t="n"/>
      <c r="AA1074" s="30" t="n"/>
      <c r="AB1074" s="30" t="n"/>
      <c r="AC1074" s="30" t="n"/>
      <c r="AD1074" s="30" t="n"/>
      <c r="AE1074" s="30" t="n"/>
      <c r="AF1074" s="30" t="n"/>
      <c r="AG1074" s="30" t="n"/>
      <c r="AH1074" s="30" t="n"/>
      <c r="AI1074" s="30" t="n"/>
      <c r="AJ1074" s="30" t="n"/>
      <c r="AK1074" s="30" t="n"/>
      <c r="AL1074" s="30" t="n"/>
      <c r="AM1074" s="30" t="n"/>
      <c r="AN1074" s="30" t="n"/>
      <c r="AO1074" s="30" t="n"/>
    </row>
    <row r="1075">
      <c r="A1075" s="89" t="inlineStr">
        <is>
          <t>20728XXX</t>
        </is>
      </c>
      <c r="B1075" s="248" t="inlineStr">
        <is>
          <t>TAVERNITI CHOMBA m/L</t>
        </is>
      </c>
      <c r="C1075" s="106" t="n">
        <v>60500</v>
      </c>
      <c r="D1075" s="170" t="n"/>
      <c r="E1075" s="170" t="n"/>
      <c r="F1075" s="170" t="n"/>
      <c r="G1075" s="170" t="n"/>
      <c r="H1075" s="170" t="n"/>
      <c r="I1075" s="170" t="n"/>
      <c r="J1075" s="170" t="n"/>
      <c r="K1075" s="170" t="n"/>
      <c r="L1075" s="170" t="n"/>
      <c r="M1075" s="170" t="n"/>
      <c r="N1075" s="208" t="n"/>
      <c r="O1075" s="30" t="n"/>
      <c r="P1075" s="170" t="n"/>
      <c r="Q1075" s="30" t="n"/>
      <c r="R1075" s="170" t="n"/>
      <c r="S1075" s="30" t="n"/>
      <c r="T1075" s="170" t="n"/>
      <c r="U1075" s="150">
        <f>V1075*C1075</f>
        <v/>
      </c>
      <c r="V1075" s="94" t="n">
        <v>1.37999999999998</v>
      </c>
      <c r="W1075" s="30" t="n"/>
      <c r="X1075" s="30" t="n"/>
      <c r="Y1075" s="30" t="n"/>
      <c r="Z1075" s="30" t="n"/>
      <c r="AA1075" s="30" t="n"/>
      <c r="AB1075" s="30" t="n"/>
      <c r="AC1075" s="30" t="n"/>
      <c r="AD1075" s="30" t="n"/>
      <c r="AE1075" s="30" t="n"/>
      <c r="AF1075" s="30" t="n"/>
      <c r="AG1075" s="30" t="n"/>
      <c r="AH1075" s="30" t="n"/>
      <c r="AI1075" s="30" t="n"/>
      <c r="AJ1075" s="30" t="n"/>
      <c r="AK1075" s="30" t="n"/>
      <c r="AL1075" s="30" t="n"/>
      <c r="AM1075" s="30" t="n"/>
      <c r="AN1075" s="30" t="n"/>
      <c r="AO1075" s="30" t="n"/>
    </row>
    <row r="1076">
      <c r="A1076" s="89" t="inlineStr">
        <is>
          <t>20946XXX</t>
        </is>
      </c>
      <c r="B1076" s="107" t="inlineStr">
        <is>
          <t>TAVERNITI CHOMBA m/L</t>
        </is>
      </c>
      <c r="C1076" s="88" t="n">
        <v>84400</v>
      </c>
      <c r="D1076" s="170" t="n"/>
      <c r="E1076" s="170" t="n"/>
      <c r="F1076" s="170" t="n"/>
      <c r="G1076" s="170" t="n"/>
      <c r="H1076" s="170" t="n"/>
      <c r="I1076" s="170" t="n"/>
      <c r="J1076" s="170" t="n"/>
      <c r="K1076" s="170" t="n"/>
      <c r="L1076" s="170" t="n"/>
      <c r="M1076" s="170" t="n"/>
      <c r="N1076" s="208" t="n"/>
      <c r="O1076" s="30" t="n"/>
      <c r="P1076" s="170" t="n"/>
      <c r="Q1076" s="30" t="n"/>
      <c r="R1076" s="170" t="n"/>
      <c r="S1076" s="30" t="n"/>
      <c r="T1076" s="170" t="n"/>
      <c r="U1076" s="150">
        <f>V1076*C1076</f>
        <v/>
      </c>
      <c r="V1076" s="94" t="n">
        <v>1.37999999999998</v>
      </c>
      <c r="W1076" s="30" t="n"/>
      <c r="X1076" s="30" t="n"/>
      <c r="Y1076" s="30" t="n"/>
      <c r="Z1076" s="30" t="n"/>
      <c r="AA1076" s="30" t="n"/>
      <c r="AB1076" s="30" t="n"/>
      <c r="AC1076" s="30" t="n"/>
      <c r="AD1076" s="30" t="n"/>
      <c r="AE1076" s="30" t="n"/>
      <c r="AF1076" s="30" t="n"/>
      <c r="AG1076" s="30" t="n"/>
      <c r="AH1076" s="30" t="n"/>
      <c r="AI1076" s="30" t="n"/>
      <c r="AJ1076" s="30" t="n"/>
      <c r="AK1076" s="30" t="n"/>
      <c r="AL1076" s="30" t="n"/>
      <c r="AM1076" s="30" t="n"/>
      <c r="AN1076" s="30" t="n"/>
      <c r="AO1076" s="30" t="n"/>
    </row>
    <row r="1077">
      <c r="A1077" s="89" t="inlineStr">
        <is>
          <t>20986XXX</t>
        </is>
      </c>
      <c r="B1077" s="248" t="inlineStr">
        <is>
          <t>TAVERNITI CHOMBA m/L</t>
        </is>
      </c>
      <c r="C1077" s="88" t="n">
        <v>84400</v>
      </c>
      <c r="D1077" s="170" t="n"/>
      <c r="E1077" s="170" t="n"/>
      <c r="F1077" s="170" t="n"/>
      <c r="G1077" s="170" t="n"/>
      <c r="H1077" s="170" t="n"/>
      <c r="I1077" s="170" t="n"/>
      <c r="J1077" s="170" t="n"/>
      <c r="K1077" s="170" t="n"/>
      <c r="L1077" s="170" t="n"/>
      <c r="M1077" s="170" t="n"/>
      <c r="N1077" s="208" t="n"/>
      <c r="O1077" s="30" t="n"/>
      <c r="P1077" s="170" t="n"/>
      <c r="Q1077" s="30" t="n"/>
      <c r="R1077" s="170" t="n"/>
      <c r="S1077" s="30" t="n"/>
      <c r="T1077" s="170" t="n"/>
      <c r="U1077" s="150">
        <f>V1077*C1077</f>
        <v/>
      </c>
      <c r="V1077" s="94" t="n">
        <v>1.37999999999998</v>
      </c>
      <c r="W1077" s="30" t="n"/>
      <c r="X1077" s="30" t="n"/>
      <c r="Y1077" s="30" t="n"/>
      <c r="Z1077" s="30" t="n"/>
      <c r="AA1077" s="30" t="n"/>
      <c r="AB1077" s="30" t="n"/>
      <c r="AC1077" s="30" t="n"/>
      <c r="AD1077" s="30" t="n"/>
      <c r="AE1077" s="30" t="n"/>
      <c r="AF1077" s="30" t="n"/>
      <c r="AG1077" s="30" t="n"/>
      <c r="AH1077" s="30" t="n"/>
      <c r="AI1077" s="30" t="n"/>
      <c r="AJ1077" s="30" t="n"/>
      <c r="AK1077" s="30" t="n"/>
      <c r="AL1077" s="30" t="n"/>
      <c r="AM1077" s="30" t="n"/>
      <c r="AN1077" s="30" t="n"/>
      <c r="AO1077" s="30" t="n"/>
    </row>
    <row r="1078">
      <c r="A1078" s="89" t="inlineStr">
        <is>
          <t>20988XXX</t>
        </is>
      </c>
      <c r="B1078" s="248" t="inlineStr">
        <is>
          <t>TAVERNITI CHOMBA m/L</t>
        </is>
      </c>
      <c r="C1078" s="88" t="n">
        <v>84400</v>
      </c>
      <c r="D1078" s="170" t="n"/>
      <c r="E1078" s="170" t="n"/>
      <c r="F1078" s="170" t="n"/>
      <c r="G1078" s="170" t="n"/>
      <c r="H1078" s="170" t="n"/>
      <c r="I1078" s="170" t="n"/>
      <c r="J1078" s="170" t="n"/>
      <c r="K1078" s="170" t="n"/>
      <c r="L1078" s="170" t="n"/>
      <c r="M1078" s="170" t="n"/>
      <c r="N1078" s="208" t="n"/>
      <c r="O1078" s="30" t="n"/>
      <c r="P1078" s="170" t="n"/>
      <c r="Q1078" s="30" t="n"/>
      <c r="R1078" s="170" t="n"/>
      <c r="S1078" s="30" t="n"/>
      <c r="T1078" s="170" t="n"/>
      <c r="U1078" s="150">
        <f>V1078*C1078</f>
        <v/>
      </c>
      <c r="V1078" s="94" t="n">
        <v>1.37999999999998</v>
      </c>
      <c r="W1078" s="30" t="n"/>
      <c r="X1078" s="30" t="n"/>
      <c r="Y1078" s="30" t="n"/>
      <c r="Z1078" s="30" t="n"/>
      <c r="AA1078" s="30" t="n"/>
      <c r="AB1078" s="30" t="n"/>
      <c r="AC1078" s="30" t="n"/>
      <c r="AD1078" s="30" t="n"/>
      <c r="AE1078" s="30" t="n"/>
      <c r="AF1078" s="30" t="n"/>
      <c r="AG1078" s="30" t="n"/>
      <c r="AH1078" s="30" t="n"/>
      <c r="AI1078" s="30" t="n"/>
      <c r="AJ1078" s="30" t="n"/>
      <c r="AK1078" s="30" t="n"/>
      <c r="AL1078" s="30" t="n"/>
      <c r="AM1078" s="30" t="n"/>
      <c r="AN1078" s="30" t="n"/>
      <c r="AO1078" s="30" t="n"/>
    </row>
    <row r="1079">
      <c r="A1079" s="89" t="inlineStr">
        <is>
          <t>20990XXX</t>
        </is>
      </c>
      <c r="B1079" s="248" t="inlineStr">
        <is>
          <t>TAVERNITI CHOMBA m/L</t>
        </is>
      </c>
      <c r="C1079" s="88" t="n">
        <v>81500</v>
      </c>
      <c r="D1079" s="170" t="n"/>
      <c r="E1079" s="170" t="n"/>
      <c r="F1079" s="170" t="n"/>
      <c r="G1079" s="170" t="n"/>
      <c r="H1079" s="170" t="n"/>
      <c r="I1079" s="170" t="n"/>
      <c r="J1079" s="170" t="n"/>
      <c r="K1079" s="170" t="n"/>
      <c r="L1079" s="170" t="n"/>
      <c r="M1079" s="170" t="n"/>
      <c r="N1079" s="105" t="n"/>
      <c r="O1079" s="30" t="n"/>
      <c r="P1079" s="170" t="n"/>
      <c r="Q1079" s="30" t="n"/>
      <c r="R1079" s="170" t="n"/>
      <c r="S1079" s="30" t="n"/>
      <c r="T1079" s="170" t="n"/>
      <c r="U1079" s="150">
        <f>V1079*C1079</f>
        <v/>
      </c>
      <c r="V1079" s="94" t="n">
        <v>1.37999999999998</v>
      </c>
      <c r="W1079" s="30" t="n"/>
      <c r="X1079" s="30" t="n"/>
      <c r="Y1079" s="30" t="n"/>
      <c r="Z1079" s="30" t="n"/>
      <c r="AA1079" s="30" t="n"/>
      <c r="AB1079" s="30" t="n"/>
      <c r="AC1079" s="30" t="n"/>
      <c r="AD1079" s="30" t="n"/>
      <c r="AE1079" s="30" t="n"/>
      <c r="AF1079" s="30" t="n"/>
      <c r="AG1079" s="30" t="n"/>
      <c r="AH1079" s="30" t="n"/>
      <c r="AI1079" s="30" t="n"/>
      <c r="AJ1079" s="30" t="n"/>
      <c r="AK1079" s="30" t="n"/>
      <c r="AL1079" s="30" t="n"/>
      <c r="AM1079" s="30" t="n"/>
      <c r="AN1079" s="30" t="n"/>
      <c r="AO1079" s="30" t="n"/>
    </row>
    <row r="1080">
      <c r="A1080" s="89" t="inlineStr">
        <is>
          <t>20992XXX</t>
        </is>
      </c>
      <c r="B1080" s="248" t="inlineStr">
        <is>
          <t>TAVERNITI CHOMBA m/L</t>
        </is>
      </c>
      <c r="C1080" s="88" t="n">
        <v>82800</v>
      </c>
      <c r="D1080" s="170" t="n"/>
      <c r="E1080" s="170" t="n"/>
      <c r="F1080" s="170" t="n"/>
      <c r="G1080" s="170" t="n"/>
      <c r="H1080" s="170" t="n"/>
      <c r="I1080" s="170" t="n"/>
      <c r="J1080" s="170" t="n"/>
      <c r="K1080" s="170" t="n"/>
      <c r="L1080" s="170" t="n"/>
      <c r="M1080" s="170" t="n"/>
      <c r="N1080" s="208" t="n"/>
      <c r="O1080" s="30" t="n"/>
      <c r="P1080" s="170" t="n"/>
      <c r="Q1080" s="30" t="n"/>
      <c r="R1080" s="170" t="n"/>
      <c r="S1080" s="30" t="n"/>
      <c r="T1080" s="170" t="n"/>
      <c r="U1080" s="150">
        <f>V1080*C1080</f>
        <v/>
      </c>
      <c r="V1080" s="94" t="n">
        <v>1.37999999999998</v>
      </c>
      <c r="W1080" s="30" t="n"/>
      <c r="X1080" s="30" t="n"/>
      <c r="Y1080" s="30" t="n"/>
      <c r="Z1080" s="30" t="n"/>
      <c r="AA1080" s="30" t="n"/>
      <c r="AB1080" s="30" t="n"/>
      <c r="AC1080" s="30" t="n"/>
      <c r="AD1080" s="30" t="n"/>
      <c r="AE1080" s="30" t="n"/>
      <c r="AF1080" s="30" t="n"/>
      <c r="AG1080" s="30" t="n"/>
      <c r="AH1080" s="30" t="n"/>
      <c r="AI1080" s="30" t="n"/>
      <c r="AJ1080" s="30" t="n"/>
      <c r="AK1080" s="30" t="n"/>
      <c r="AL1080" s="30" t="n"/>
      <c r="AM1080" s="30" t="n"/>
      <c r="AN1080" s="30" t="n"/>
      <c r="AO1080" s="30" t="n"/>
    </row>
    <row r="1081">
      <c r="A1081" s="89" t="inlineStr">
        <is>
          <t>21486XXX</t>
        </is>
      </c>
      <c r="B1081" s="248" t="inlineStr">
        <is>
          <t>TAVERNITI CHOMBA m/L</t>
        </is>
      </c>
      <c r="C1081" s="88" t="n">
        <v>88500</v>
      </c>
      <c r="D1081" s="170" t="n"/>
      <c r="E1081" s="170" t="n"/>
      <c r="F1081" s="170" t="n"/>
      <c r="G1081" s="170" t="n"/>
      <c r="H1081" s="170" t="n"/>
      <c r="I1081" s="170" t="n"/>
      <c r="J1081" s="170" t="n"/>
      <c r="K1081" s="170" t="n"/>
      <c r="L1081" s="170" t="n"/>
      <c r="M1081" s="170" t="n"/>
      <c r="N1081" s="208" t="n"/>
      <c r="O1081" s="30" t="n"/>
      <c r="P1081" s="170" t="n"/>
      <c r="Q1081" s="30" t="n"/>
      <c r="R1081" s="170" t="n"/>
      <c r="S1081" s="30" t="n"/>
      <c r="T1081" s="170" t="n"/>
      <c r="U1081" s="150">
        <f>V1081*C1081</f>
        <v/>
      </c>
      <c r="V1081" s="99" t="n">
        <v>1.37999999999998</v>
      </c>
      <c r="W1081" s="30" t="n"/>
      <c r="X1081" s="30" t="n"/>
      <c r="Y1081" s="30" t="n"/>
      <c r="Z1081" s="30" t="n"/>
      <c r="AA1081" s="30" t="n"/>
      <c r="AB1081" s="30" t="n"/>
      <c r="AC1081" s="30" t="n"/>
      <c r="AD1081" s="30" t="n"/>
      <c r="AE1081" s="30" t="n"/>
      <c r="AF1081" s="30" t="n"/>
      <c r="AG1081" s="30" t="n"/>
      <c r="AH1081" s="30" t="n"/>
      <c r="AI1081" s="30" t="n"/>
      <c r="AJ1081" s="30" t="n"/>
      <c r="AK1081" s="30" t="n"/>
      <c r="AL1081" s="30" t="n"/>
      <c r="AM1081" s="30" t="n"/>
      <c r="AN1081" s="30" t="n"/>
      <c r="AO1081" s="30" t="n"/>
    </row>
    <row r="1082">
      <c r="A1082" s="89" t="inlineStr">
        <is>
          <t>21490XXX</t>
        </is>
      </c>
      <c r="B1082" s="248" t="inlineStr">
        <is>
          <t>TAVERNITI CHOMBA m/L</t>
        </is>
      </c>
      <c r="C1082" s="88" t="n">
        <v>85800</v>
      </c>
      <c r="D1082" s="170" t="n"/>
      <c r="E1082" s="170" t="n"/>
      <c r="F1082" s="170" t="n"/>
      <c r="G1082" s="170" t="n"/>
      <c r="H1082" s="170" t="n"/>
      <c r="I1082" s="170" t="n"/>
      <c r="J1082" s="170" t="n"/>
      <c r="K1082" s="170" t="n"/>
      <c r="L1082" s="170" t="n"/>
      <c r="M1082" s="170" t="n"/>
      <c r="N1082" s="208" t="n"/>
      <c r="O1082" s="30" t="n"/>
      <c r="P1082" s="170" t="n"/>
      <c r="Q1082" s="30" t="n"/>
      <c r="R1082" s="170" t="n"/>
      <c r="S1082" s="30" t="n"/>
      <c r="T1082" s="170" t="n"/>
      <c r="U1082" s="150">
        <f>V1082*C1082</f>
        <v/>
      </c>
      <c r="V1082" s="99" t="n">
        <v>1.37999999999998</v>
      </c>
      <c r="W1082" s="30" t="n"/>
      <c r="X1082" s="30" t="n"/>
      <c r="Y1082" s="30" t="n"/>
      <c r="Z1082" s="30" t="n"/>
      <c r="AA1082" s="30" t="n"/>
      <c r="AB1082" s="30" t="n"/>
      <c r="AC1082" s="30" t="n"/>
      <c r="AD1082" s="30" t="n"/>
      <c r="AE1082" s="30" t="n"/>
      <c r="AF1082" s="30" t="n"/>
      <c r="AG1082" s="30" t="n"/>
      <c r="AH1082" s="30" t="n"/>
      <c r="AI1082" s="30" t="n"/>
      <c r="AJ1082" s="30" t="n"/>
      <c r="AK1082" s="30" t="n"/>
      <c r="AL1082" s="30" t="n"/>
      <c r="AM1082" s="30" t="n"/>
      <c r="AN1082" s="30" t="n"/>
      <c r="AO1082" s="30" t="n"/>
    </row>
    <row r="1083">
      <c r="A1083" s="89" t="inlineStr">
        <is>
          <t>23458XXX</t>
        </is>
      </c>
      <c r="B1083" s="248" t="inlineStr">
        <is>
          <t>TAVERNITI CHOMBA m/L</t>
        </is>
      </c>
      <c r="C1083" s="88" t="n">
        <v>88100</v>
      </c>
      <c r="D1083" s="170" t="n"/>
      <c r="E1083" s="170" t="n"/>
      <c r="F1083" s="170" t="n"/>
      <c r="G1083" s="170" t="n"/>
      <c r="H1083" s="170" t="n"/>
      <c r="I1083" s="170" t="n"/>
      <c r="J1083" s="170" t="n"/>
      <c r="K1083" s="170" t="n"/>
      <c r="L1083" s="170" t="n"/>
      <c r="M1083" s="170" t="n"/>
      <c r="N1083" s="208" t="n"/>
      <c r="O1083" s="30" t="n"/>
      <c r="P1083" s="170" t="n"/>
      <c r="Q1083" s="30" t="n"/>
      <c r="R1083" s="170" t="n"/>
      <c r="S1083" s="30" t="n"/>
      <c r="T1083" s="170" t="n"/>
      <c r="U1083" s="150">
        <f>V1083*C1083</f>
        <v/>
      </c>
      <c r="V1083" s="99" t="n">
        <v>1.37999999999998</v>
      </c>
      <c r="W1083" s="30" t="n"/>
      <c r="X1083" s="30" t="n"/>
      <c r="Y1083" s="30" t="n"/>
      <c r="Z1083" s="30" t="n"/>
      <c r="AA1083" s="30" t="n"/>
      <c r="AB1083" s="30" t="n"/>
      <c r="AC1083" s="30" t="n"/>
      <c r="AD1083" s="30" t="n"/>
      <c r="AE1083" s="30" t="n"/>
      <c r="AF1083" s="30" t="n"/>
      <c r="AG1083" s="30" t="n"/>
      <c r="AH1083" s="30" t="n"/>
      <c r="AI1083" s="30" t="n"/>
      <c r="AJ1083" s="30" t="n"/>
      <c r="AK1083" s="30" t="n"/>
      <c r="AL1083" s="30" t="n"/>
      <c r="AM1083" s="30" t="n"/>
      <c r="AN1083" s="30" t="n"/>
      <c r="AO1083" s="30" t="n"/>
    </row>
    <row r="1084">
      <c r="A1084" s="89" t="inlineStr">
        <is>
          <t>23460XXX</t>
        </is>
      </c>
      <c r="B1084" s="248" t="inlineStr">
        <is>
          <t>TAVERNITI CHOMBA m/L</t>
        </is>
      </c>
      <c r="C1084" s="88" t="n">
        <v>101800</v>
      </c>
      <c r="D1084" s="170" t="n"/>
      <c r="E1084" s="170" t="n"/>
      <c r="F1084" s="170" t="n"/>
      <c r="G1084" s="170" t="n"/>
      <c r="H1084" s="170" t="n"/>
      <c r="I1084" s="170" t="n"/>
      <c r="J1084" s="170" t="n"/>
      <c r="K1084" s="170" t="n"/>
      <c r="L1084" s="170" t="n"/>
      <c r="M1084" s="170" t="n"/>
      <c r="N1084" s="208" t="n"/>
      <c r="O1084" s="30" t="n"/>
      <c r="P1084" s="170" t="n"/>
      <c r="Q1084" s="30" t="n"/>
      <c r="R1084" s="170" t="n"/>
      <c r="S1084" s="30" t="n"/>
      <c r="T1084" s="170" t="n"/>
      <c r="U1084" s="150">
        <f>V1084*C1084</f>
        <v/>
      </c>
      <c r="V1084" s="99" t="n">
        <v>1.37999999999998</v>
      </c>
      <c r="W1084" s="30" t="n"/>
      <c r="X1084" s="30" t="n"/>
      <c r="Y1084" s="30" t="n"/>
      <c r="Z1084" s="30" t="n"/>
      <c r="AA1084" s="30" t="n"/>
      <c r="AB1084" s="30" t="n"/>
      <c r="AC1084" s="30" t="n"/>
      <c r="AD1084" s="30" t="n"/>
      <c r="AE1084" s="30" t="n"/>
      <c r="AF1084" s="30" t="n"/>
      <c r="AG1084" s="30" t="n"/>
      <c r="AH1084" s="30" t="n"/>
      <c r="AI1084" s="30" t="n"/>
      <c r="AJ1084" s="30" t="n"/>
      <c r="AK1084" s="30" t="n"/>
      <c r="AL1084" s="30" t="n"/>
      <c r="AM1084" s="30" t="n"/>
      <c r="AN1084" s="30" t="n"/>
      <c r="AO1084" s="30" t="n"/>
    </row>
    <row r="1085">
      <c r="A1085" s="89" t="n"/>
      <c r="B1085" s="248" t="n"/>
      <c r="C1085" s="88" t="n"/>
      <c r="D1085" s="88" t="n"/>
      <c r="E1085" s="88" t="n"/>
      <c r="F1085" s="88" t="n"/>
      <c r="G1085" s="88" t="n"/>
      <c r="H1085" s="88" t="n"/>
      <c r="I1085" s="88" t="n"/>
      <c r="J1085" s="88" t="n"/>
      <c r="K1085" s="88" t="n"/>
      <c r="L1085" s="88" t="n"/>
      <c r="M1085" s="88" t="n"/>
      <c r="N1085" s="88" t="n"/>
      <c r="P1085" s="117" t="n"/>
      <c r="R1085" s="117" t="n"/>
      <c r="T1085" s="117" t="n"/>
    </row>
    <row r="1086">
      <c r="A1086" s="89" t="n"/>
      <c r="B1086" s="248" t="n"/>
      <c r="C1086" s="88" t="n"/>
      <c r="D1086" s="88" t="n"/>
      <c r="E1086" s="88" t="n"/>
      <c r="F1086" s="88" t="n"/>
      <c r="G1086" s="88" t="n"/>
      <c r="H1086" s="88" t="n"/>
      <c r="I1086" s="88" t="n"/>
      <c r="J1086" s="88" t="n"/>
      <c r="K1086" s="88" t="n"/>
      <c r="L1086" s="88" t="n"/>
      <c r="M1086" s="88" t="n"/>
      <c r="N1086" s="88" t="n"/>
      <c r="P1086" s="117" t="n"/>
      <c r="R1086" s="117" t="n"/>
      <c r="T1086" s="117" t="n"/>
    </row>
    <row r="1087">
      <c r="A1087" s="148" t="n"/>
      <c r="B1087" s="46" t="inlineStr">
        <is>
          <t>CHOMBAS M/CORTA</t>
        </is>
      </c>
      <c r="C1087" s="42" t="inlineStr">
        <is>
          <t>1-4</t>
        </is>
      </c>
      <c r="D1087" s="42" t="n">
        <v>5</v>
      </c>
      <c r="E1087" s="42" t="n">
        <v>6</v>
      </c>
      <c r="F1087" s="42" t="n">
        <v>7</v>
      </c>
      <c r="G1087" s="42" t="n">
        <v>8</v>
      </c>
      <c r="H1087" s="42" t="n">
        <v>9</v>
      </c>
      <c r="I1087" s="42" t="n">
        <v>10</v>
      </c>
      <c r="J1087" s="42" t="n">
        <v>12</v>
      </c>
      <c r="K1087" s="42" t="n">
        <v>14</v>
      </c>
      <c r="L1087" s="42" t="n">
        <v>16</v>
      </c>
      <c r="M1087" s="148" t="inlineStr">
        <is>
          <t>04/25</t>
        </is>
      </c>
      <c r="N1087" s="219" t="n"/>
      <c r="P1087" s="117" t="n"/>
      <c r="R1087" s="117" t="n"/>
      <c r="T1087" s="117" t="n"/>
    </row>
    <row r="1088">
      <c r="A1088" s="134" t="n"/>
      <c r="B1088" s="246" t="n"/>
      <c r="C1088" s="49" t="inlineStr">
        <is>
          <t>S-XL</t>
        </is>
      </c>
      <c r="D1088" s="42" t="inlineStr">
        <is>
          <t>XXL</t>
        </is>
      </c>
      <c r="E1088" s="42" t="inlineStr">
        <is>
          <t>3XL</t>
        </is>
      </c>
      <c r="F1088" s="153" t="n"/>
      <c r="G1088" s="153" t="n"/>
      <c r="H1088" s="153" t="n"/>
      <c r="I1088" s="153" t="n"/>
      <c r="J1088" s="153" t="n"/>
      <c r="K1088" s="153" t="n"/>
      <c r="L1088" s="221" t="n"/>
      <c r="M1088" s="221" t="n"/>
      <c r="N1088" s="219" t="n"/>
      <c r="P1088" s="117" t="n"/>
      <c r="R1088" s="117" t="n"/>
      <c r="T1088" s="117" t="n"/>
    </row>
    <row r="1089">
      <c r="A1089" s="134" t="inlineStr">
        <is>
          <t>71011</t>
        </is>
      </c>
      <c r="B1089" s="151" t="inlineStr">
        <is>
          <t>DIOR LISA HILO PERUANO</t>
        </is>
      </c>
      <c r="C1089" s="88" t="n">
        <v>61300</v>
      </c>
      <c r="D1089" s="88">
        <f>ROUND((C1089*1.06)/100,0)*100</f>
        <v/>
      </c>
      <c r="E1089" s="88">
        <f>ROUND((C1089*1.15)/100,0)*100</f>
        <v/>
      </c>
      <c r="F1089" s="88">
        <f>ROUND((C1089*1.23)/100,0)*100</f>
        <v/>
      </c>
      <c r="G1089" s="88">
        <f>ROUND((C1089*1.29)/100,0)*100</f>
        <v/>
      </c>
      <c r="H1089" s="88">
        <f>ROUND((C1089*1.35)/100,0)*100</f>
        <v/>
      </c>
      <c r="I1089" s="88">
        <f>ROUND((C1089*1.39)/100,0)*100</f>
        <v/>
      </c>
      <c r="J1089" s="88">
        <f>ROUND((C1089*1.39)/100,0)*100</f>
        <v/>
      </c>
      <c r="K1089" s="22">
        <f>ROUND((C1089*1.43)/100,0)*100</f>
        <v/>
      </c>
      <c r="L1089" s="22">
        <f>ROUND((C1089*1.43)/100,0)*100</f>
        <v/>
      </c>
      <c r="M1089" s="22" t="n"/>
      <c r="N1089" s="219" t="n"/>
      <c r="O1089" s="117">
        <f>C1089*P1089</f>
        <v/>
      </c>
      <c r="P1089" s="22" t="n">
        <v>1.045</v>
      </c>
      <c r="R1089" s="117" t="n"/>
      <c r="T1089" s="117" t="n"/>
    </row>
    <row r="1090">
      <c r="A1090" s="134" t="inlineStr">
        <is>
          <t>71012</t>
        </is>
      </c>
      <c r="B1090" s="151" t="inlineStr">
        <is>
          <t>PRINGLES CHOMBA RAYADA</t>
        </is>
      </c>
      <c r="C1090" s="88" t="n">
        <v>62600</v>
      </c>
      <c r="D1090" s="88">
        <f>ROUND((C1090*1)/100,0)*100</f>
        <v/>
      </c>
      <c r="E1090" s="88">
        <f>ROUND((C1090*1.05)/100,0)*100</f>
        <v/>
      </c>
      <c r="F1090" s="88">
        <f>ROUND((C1090*1.05)/100,0)*100</f>
        <v/>
      </c>
      <c r="G1090" s="88">
        <f>ROUND((C1090*1.2)/100,0)*100</f>
        <v/>
      </c>
      <c r="H1090" s="88">
        <f>ROUND((C1090*1.35)/100,0)*100</f>
        <v/>
      </c>
      <c r="I1090" s="88">
        <f>ROUND((C1090*1.39)/100,0)*100</f>
        <v/>
      </c>
      <c r="J1090" s="88">
        <f>ROUND((C1090*1.39)/100,0)*100</f>
        <v/>
      </c>
      <c r="K1090" s="22">
        <f>ROUND((C1090*1.43)/100,0)*100</f>
        <v/>
      </c>
      <c r="L1090" s="22">
        <f>ROUND((C1090*1.43)/100,0)*100</f>
        <v/>
      </c>
      <c r="M1090" s="22" t="n"/>
      <c r="N1090" s="219" t="n"/>
      <c r="O1090" s="117">
        <f>C1090*P1090</f>
        <v/>
      </c>
      <c r="P1090" s="22" t="n">
        <v>1.045</v>
      </c>
      <c r="R1090" s="117" t="n"/>
      <c r="T1090" s="117" t="n"/>
    </row>
    <row r="1091">
      <c r="A1091" s="134" t="inlineStr">
        <is>
          <t>932</t>
        </is>
      </c>
      <c r="B1091" s="246" t="inlineStr">
        <is>
          <t>AERO</t>
        </is>
      </c>
      <c r="C1091" s="88" t="n">
        <v>39600</v>
      </c>
      <c r="D1091" s="88">
        <f>ROUND((C1091*1.06)/100,0)*100</f>
        <v/>
      </c>
      <c r="E1091" s="88">
        <f>ROUND((C1091*1.15)/100,0)*100</f>
        <v/>
      </c>
      <c r="F1091" s="88">
        <f>ROUND((C1091*1.23)/100,0)*100</f>
        <v/>
      </c>
      <c r="G1091" s="88">
        <f>ROUND((C1091*1.29)/100,0)*100</f>
        <v/>
      </c>
      <c r="H1091" s="88">
        <f>ROUND((C1091*1.35)/100,0)*100</f>
        <v/>
      </c>
      <c r="I1091" s="88">
        <f>ROUND((C1091*1.39)/100,0)*100</f>
        <v/>
      </c>
      <c r="J1091" s="88">
        <f>ROUND((C1091*1.39)/100,0)*100</f>
        <v/>
      </c>
      <c r="K1091" s="22">
        <f>ROUND((C1091*1.43)/100,0)*100</f>
        <v/>
      </c>
      <c r="L1091" s="22">
        <f>ROUND((C1091*1.43)/100,0)*100</f>
        <v/>
      </c>
      <c r="M1091" s="22" t="n"/>
      <c r="N1091" s="219" t="n"/>
      <c r="O1091" s="117">
        <f>C1091*P1091</f>
        <v/>
      </c>
      <c r="P1091" s="22" t="n">
        <v>1.045</v>
      </c>
      <c r="R1091" s="117" t="n"/>
      <c r="T1091" s="117" t="n"/>
    </row>
    <row r="1092">
      <c r="A1092" s="134" t="inlineStr">
        <is>
          <t>950</t>
        </is>
      </c>
      <c r="B1092" s="246" t="inlineStr">
        <is>
          <t>AERO</t>
        </is>
      </c>
      <c r="C1092" s="88" t="n">
        <v>39600</v>
      </c>
      <c r="D1092" s="88">
        <f>ROUND((C1092*1.06)/100,0)*100</f>
        <v/>
      </c>
      <c r="E1092" s="88">
        <f>ROUND((C1092*1.15)/100,0)*100</f>
        <v/>
      </c>
      <c r="F1092" s="88">
        <f>ROUND((C1092*1.23)/100,0)*100</f>
        <v/>
      </c>
      <c r="G1092" s="88">
        <f>ROUND((C1092*1.29)/100,0)*100</f>
        <v/>
      </c>
      <c r="H1092" s="88">
        <f>ROUND((C1092*1.35)/100,0)*100</f>
        <v/>
      </c>
      <c r="I1092" s="88">
        <f>ROUND((C1092*1.39)/100,0)*100</f>
        <v/>
      </c>
      <c r="J1092" s="88">
        <f>ROUND((C1092*1.39)/100,0)*100</f>
        <v/>
      </c>
      <c r="K1092" s="22">
        <f>ROUND((C1092*1.43)/100,0)*100</f>
        <v/>
      </c>
      <c r="L1092" s="22">
        <f>ROUND((C1092*1.43)/100,0)*100</f>
        <v/>
      </c>
      <c r="M1092" s="22" t="n"/>
      <c r="N1092" s="219" t="n"/>
      <c r="O1092" s="117">
        <f>C1092*P1092</f>
        <v/>
      </c>
      <c r="P1092" s="22" t="n">
        <v>1.045</v>
      </c>
      <c r="R1092" s="117" t="n"/>
      <c r="T1092" s="117" t="n"/>
    </row>
    <row r="1093">
      <c r="A1093" s="134" t="inlineStr">
        <is>
          <t>957</t>
        </is>
      </c>
      <c r="B1093" s="246" t="inlineStr">
        <is>
          <t>AERO</t>
        </is>
      </c>
      <c r="C1093" s="88" t="n">
        <v>39600</v>
      </c>
      <c r="D1093" s="88">
        <f>ROUND((C1093*1.06)/100,0)*100</f>
        <v/>
      </c>
      <c r="E1093" s="88">
        <f>ROUND((C1093*1.15)/100,0)*100</f>
        <v/>
      </c>
      <c r="F1093" s="88">
        <f>ROUND((C1093*1.23)/100,0)*100</f>
        <v/>
      </c>
      <c r="G1093" s="88">
        <f>ROUND((C1093*1.29)/100,0)*100</f>
        <v/>
      </c>
      <c r="H1093" s="88">
        <f>ROUND((C1093*1.35)/100,0)*100</f>
        <v/>
      </c>
      <c r="I1093" s="88">
        <f>ROUND((C1093*1.39)/100,0)*100</f>
        <v/>
      </c>
      <c r="J1093" s="88">
        <f>ROUND((C1093*1.39)/100,0)*100</f>
        <v/>
      </c>
      <c r="K1093" s="22">
        <f>ROUND((C1093*1.43)/100,0)*100</f>
        <v/>
      </c>
      <c r="L1093" s="22">
        <f>ROUND((C1093*1.43)/100,0)*100</f>
        <v/>
      </c>
      <c r="M1093" s="22" t="n"/>
      <c r="N1093" s="219" t="n"/>
      <c r="O1093" s="117">
        <f>C1093*P1093</f>
        <v/>
      </c>
      <c r="P1093" s="22" t="n">
        <v>1.045</v>
      </c>
      <c r="R1093" s="117" t="n"/>
      <c r="T1093" s="117" t="n"/>
    </row>
    <row r="1094">
      <c r="A1094" s="134" t="inlineStr">
        <is>
          <t>2077</t>
        </is>
      </c>
      <c r="B1094" s="246" t="inlineStr">
        <is>
          <t>AERO</t>
        </is>
      </c>
      <c r="C1094" s="88" t="n">
        <v>39600</v>
      </c>
      <c r="D1094" s="88">
        <f>ROUND((C1094*1.06)/100,0)*100</f>
        <v/>
      </c>
      <c r="E1094" s="88">
        <f>ROUND((C1094*1.15)/100,0)*100</f>
        <v/>
      </c>
      <c r="F1094" s="88">
        <f>ROUND((C1094*1.23)/100,0)*100</f>
        <v/>
      </c>
      <c r="G1094" s="88">
        <f>ROUND((C1094*1.29)/100,0)*100</f>
        <v/>
      </c>
      <c r="H1094" s="88">
        <f>ROUND((C1094*1.35)/100,0)*100</f>
        <v/>
      </c>
      <c r="I1094" s="88">
        <f>ROUND((C1094*1.39)/100,0)*100</f>
        <v/>
      </c>
      <c r="J1094" s="88">
        <f>ROUND((C1094*1.39)/100,0)*100</f>
        <v/>
      </c>
      <c r="K1094" s="22">
        <f>ROUND((C1094*1.43)/100,0)*100</f>
        <v/>
      </c>
      <c r="L1094" s="22">
        <f>ROUND((C1094*1.43)/100,0)*100</f>
        <v/>
      </c>
      <c r="M1094" s="22" t="n"/>
      <c r="N1094" s="219" t="n"/>
      <c r="O1094" s="117">
        <f>C1094*P1094</f>
        <v/>
      </c>
      <c r="P1094" s="22" t="n">
        <v>1.045</v>
      </c>
      <c r="R1094" s="117" t="n"/>
      <c r="T1094" s="117" t="n"/>
    </row>
    <row r="1095">
      <c r="A1095" s="134" t="inlineStr">
        <is>
          <t>2081</t>
        </is>
      </c>
      <c r="B1095" s="246" t="inlineStr">
        <is>
          <t>AERO</t>
        </is>
      </c>
      <c r="C1095" s="88" t="n">
        <v>39600</v>
      </c>
      <c r="D1095" s="88">
        <f>ROUND((C1095*1.06)/100,0)*100</f>
        <v/>
      </c>
      <c r="E1095" s="88">
        <f>ROUND((C1095*1.15)/100,0)*100</f>
        <v/>
      </c>
      <c r="F1095" s="88">
        <f>ROUND((C1095*1.23)/100,0)*100</f>
        <v/>
      </c>
      <c r="G1095" s="88">
        <f>ROUND((C1095*1.29)/100,0)*100</f>
        <v/>
      </c>
      <c r="H1095" s="88">
        <f>ROUND((C1095*1.35)/100,0)*100</f>
        <v/>
      </c>
      <c r="I1095" s="88">
        <f>ROUND((C1095*1.39)/100,0)*100</f>
        <v/>
      </c>
      <c r="J1095" s="88">
        <f>ROUND((C1095*1.39)/100,0)*100</f>
        <v/>
      </c>
      <c r="K1095" s="22">
        <f>ROUND((C1095*1.43)/100,0)*100</f>
        <v/>
      </c>
      <c r="L1095" s="22">
        <f>ROUND((C1095*1.43)/100,0)*100</f>
        <v/>
      </c>
      <c r="M1095" s="22" t="n"/>
      <c r="N1095" s="219" t="n"/>
      <c r="O1095" s="117">
        <f>C1095*P1095</f>
        <v/>
      </c>
      <c r="P1095" s="22" t="n">
        <v>1.045</v>
      </c>
      <c r="R1095" s="117" t="n"/>
      <c r="T1095" s="117" t="n"/>
    </row>
    <row r="1096">
      <c r="A1096" s="134" t="inlineStr">
        <is>
          <t>2094</t>
        </is>
      </c>
      <c r="B1096" s="246" t="inlineStr">
        <is>
          <t>AERO</t>
        </is>
      </c>
      <c r="C1096" s="88" t="n">
        <v>39600</v>
      </c>
      <c r="D1096" s="88">
        <f>ROUND((C1096*1.06)/100,0)*100</f>
        <v/>
      </c>
      <c r="E1096" s="88">
        <f>ROUND((C1096*1.15)/100,0)*100</f>
        <v/>
      </c>
      <c r="F1096" s="88">
        <f>ROUND((C1096*1.23)/100,0)*100</f>
        <v/>
      </c>
      <c r="G1096" s="88">
        <f>ROUND((C1096*1.29)/100,0)*100</f>
        <v/>
      </c>
      <c r="H1096" s="88">
        <f>ROUND((C1096*1.35)/100,0)*100</f>
        <v/>
      </c>
      <c r="I1096" s="88">
        <f>ROUND((C1096*1.39)/100,0)*100</f>
        <v/>
      </c>
      <c r="J1096" s="88">
        <f>ROUND((C1096*1.39)/100,0)*100</f>
        <v/>
      </c>
      <c r="K1096" s="22">
        <f>ROUND((C1096*1.43)/100,0)*100</f>
        <v/>
      </c>
      <c r="L1096" s="22">
        <f>ROUND((C1096*1.43)/100,0)*100</f>
        <v/>
      </c>
      <c r="M1096" s="22" t="n"/>
      <c r="N1096" s="219" t="n"/>
      <c r="O1096" s="117">
        <f>C1096*P1096</f>
        <v/>
      </c>
      <c r="P1096" s="22" t="n">
        <v>1.045</v>
      </c>
      <c r="R1096" s="117" t="n"/>
      <c r="T1096" s="117" t="n"/>
    </row>
    <row r="1097">
      <c r="A1097" s="134" t="inlineStr">
        <is>
          <t>2305</t>
        </is>
      </c>
      <c r="B1097" s="246" t="inlineStr">
        <is>
          <t>AERO</t>
        </is>
      </c>
      <c r="C1097" s="88" t="n">
        <v>39600</v>
      </c>
      <c r="D1097" s="88">
        <f>ROUND((C1097*1.06)/100,0)*100</f>
        <v/>
      </c>
      <c r="E1097" s="88">
        <f>ROUND((C1097*1.15)/100,0)*100</f>
        <v/>
      </c>
      <c r="F1097" s="88">
        <f>ROUND((C1097*1.23)/100,0)*100</f>
        <v/>
      </c>
      <c r="G1097" s="88">
        <f>ROUND((C1097*1.29)/100,0)*100</f>
        <v/>
      </c>
      <c r="H1097" s="88">
        <f>ROUND((C1097*1.35)/100,0)*100</f>
        <v/>
      </c>
      <c r="I1097" s="88">
        <f>ROUND((C1097*1.39)/100,0)*100</f>
        <v/>
      </c>
      <c r="J1097" s="88">
        <f>ROUND((C1097*1.39)/100,0)*100</f>
        <v/>
      </c>
      <c r="K1097" s="22">
        <f>ROUND((C1097*1.43)/100,0)*100</f>
        <v/>
      </c>
      <c r="L1097" s="22">
        <f>ROUND((C1097*1.43)/100,0)*100</f>
        <v/>
      </c>
      <c r="M1097" s="22" t="n"/>
      <c r="N1097" s="219" t="n"/>
      <c r="O1097" s="117">
        <f>C1097*P1097</f>
        <v/>
      </c>
      <c r="P1097" s="22" t="n">
        <v>1.045</v>
      </c>
      <c r="R1097" s="117" t="n"/>
      <c r="T1097" s="117" t="n"/>
    </row>
    <row r="1098">
      <c r="A1098" s="134" t="inlineStr">
        <is>
          <t>2316</t>
        </is>
      </c>
      <c r="B1098" s="246" t="inlineStr">
        <is>
          <t>AERO</t>
        </is>
      </c>
      <c r="C1098" s="88" t="n">
        <v>39600</v>
      </c>
      <c r="D1098" s="88">
        <f>ROUND((C1098*1.06)/100,0)*100</f>
        <v/>
      </c>
      <c r="E1098" s="88">
        <f>ROUND((C1098*1.15)/100,0)*100</f>
        <v/>
      </c>
      <c r="F1098" s="88">
        <f>ROUND((C1098*1.23)/100,0)*100</f>
        <v/>
      </c>
      <c r="G1098" s="88">
        <f>ROUND((C1098*1.29)/100,0)*100</f>
        <v/>
      </c>
      <c r="H1098" s="88">
        <f>ROUND((C1098*1.35)/100,0)*100</f>
        <v/>
      </c>
      <c r="I1098" s="88">
        <f>ROUND((C1098*1.39)/100,0)*100</f>
        <v/>
      </c>
      <c r="J1098" s="88">
        <f>ROUND((C1098*1.39)/100,0)*100</f>
        <v/>
      </c>
      <c r="K1098" s="22">
        <f>ROUND((C1098*1.43)/100,0)*100</f>
        <v/>
      </c>
      <c r="L1098" s="22">
        <f>ROUND((C1098*1.43)/100,0)*100</f>
        <v/>
      </c>
      <c r="M1098" s="22" t="n"/>
      <c r="N1098" s="219" t="n"/>
      <c r="O1098" s="117">
        <f>C1098*P1098</f>
        <v/>
      </c>
      <c r="P1098" s="22" t="n">
        <v>1.045</v>
      </c>
      <c r="R1098" s="117" t="n"/>
      <c r="T1098" s="117" t="n"/>
    </row>
    <row r="1099">
      <c r="A1099" s="134" t="inlineStr">
        <is>
          <t>2338</t>
        </is>
      </c>
      <c r="B1099" s="246" t="inlineStr">
        <is>
          <t>AERO</t>
        </is>
      </c>
      <c r="C1099" s="88" t="n">
        <v>39600</v>
      </c>
      <c r="D1099" s="88">
        <f>ROUND((C1099*1.06)/100,0)*100</f>
        <v/>
      </c>
      <c r="E1099" s="88">
        <f>ROUND((C1099*1.15)/100,0)*100</f>
        <v/>
      </c>
      <c r="F1099" s="88">
        <f>ROUND((C1099*1.23)/100,0)*100</f>
        <v/>
      </c>
      <c r="G1099" s="88">
        <f>ROUND((C1099*1.29)/100,0)*100</f>
        <v/>
      </c>
      <c r="H1099" s="88">
        <f>ROUND((C1099*1.35)/100,0)*100</f>
        <v/>
      </c>
      <c r="I1099" s="88">
        <f>ROUND((C1099*1.39)/100,0)*100</f>
        <v/>
      </c>
      <c r="J1099" s="88">
        <f>ROUND((C1099*1.39)/100,0)*100</f>
        <v/>
      </c>
      <c r="K1099" s="22">
        <f>ROUND((C1099*1.43)/100,0)*100</f>
        <v/>
      </c>
      <c r="L1099" s="22">
        <f>ROUND((C1099*1.43)/100,0)*100</f>
        <v/>
      </c>
      <c r="M1099" s="22" t="n"/>
      <c r="N1099" s="219" t="n"/>
      <c r="O1099" s="117">
        <f>C1099*P1099</f>
        <v/>
      </c>
      <c r="P1099" s="22" t="n">
        <v>1.045</v>
      </c>
      <c r="R1099" s="117" t="n"/>
      <c r="T1099" s="117" t="n"/>
    </row>
    <row r="1100">
      <c r="A1100" s="134" t="inlineStr">
        <is>
          <t>2346</t>
        </is>
      </c>
      <c r="B1100" s="246" t="inlineStr">
        <is>
          <t>AERO</t>
        </is>
      </c>
      <c r="C1100" s="88" t="n">
        <v>39600</v>
      </c>
      <c r="D1100" s="88">
        <f>ROUND((C1100*1.06)/100,0)*100</f>
        <v/>
      </c>
      <c r="E1100" s="88">
        <f>ROUND((C1100*1.15)/100,0)*100</f>
        <v/>
      </c>
      <c r="F1100" s="88">
        <f>ROUND((C1100*1.23)/100,0)*100</f>
        <v/>
      </c>
      <c r="G1100" s="88">
        <f>ROUND((C1100*1.29)/100,0)*100</f>
        <v/>
      </c>
      <c r="H1100" s="88">
        <f>ROUND((C1100*1.35)/100,0)*100</f>
        <v/>
      </c>
      <c r="I1100" s="88">
        <f>ROUND((C1100*1.39)/100,0)*100</f>
        <v/>
      </c>
      <c r="J1100" s="88">
        <f>ROUND((C1100*1.39)/100,0)*100</f>
        <v/>
      </c>
      <c r="K1100" s="22">
        <f>ROUND((C1100*1.43)/100,0)*100</f>
        <v/>
      </c>
      <c r="L1100" s="22">
        <f>ROUND((C1100*1.43)/100,0)*100</f>
        <v/>
      </c>
      <c r="M1100" s="22" t="n"/>
      <c r="N1100" s="219" t="n"/>
      <c r="O1100" s="117">
        <f>C1100*P1100</f>
        <v/>
      </c>
      <c r="P1100" s="22" t="n">
        <v>1.045</v>
      </c>
      <c r="R1100" s="117" t="n"/>
      <c r="T1100" s="117" t="n"/>
    </row>
    <row r="1101">
      <c r="A1101" s="134" t="inlineStr">
        <is>
          <t>2355</t>
        </is>
      </c>
      <c r="B1101" s="246" t="inlineStr">
        <is>
          <t>AERO</t>
        </is>
      </c>
      <c r="C1101" s="88" t="n">
        <v>39600</v>
      </c>
      <c r="D1101" s="88">
        <f>ROUND((C1101*1.06)/100,0)*100</f>
        <v/>
      </c>
      <c r="E1101" s="88">
        <f>ROUND((C1101*1.15)/100,0)*100</f>
        <v/>
      </c>
      <c r="F1101" s="88">
        <f>ROUND((C1101*1.23)/100,0)*100</f>
        <v/>
      </c>
      <c r="G1101" s="88">
        <f>ROUND((C1101*1.29)/100,0)*100</f>
        <v/>
      </c>
      <c r="H1101" s="88">
        <f>ROUND((C1101*1.35)/100,0)*100</f>
        <v/>
      </c>
      <c r="I1101" s="88">
        <f>ROUND((C1101*1.39)/100,0)*100</f>
        <v/>
      </c>
      <c r="J1101" s="88">
        <f>ROUND((C1101*1.39)/100,0)*100</f>
        <v/>
      </c>
      <c r="K1101" s="22">
        <f>ROUND((C1101*1.43)/100,0)*100</f>
        <v/>
      </c>
      <c r="L1101" s="22">
        <f>ROUND((C1101*1.43)/100,0)*100</f>
        <v/>
      </c>
      <c r="M1101" s="22" t="n"/>
      <c r="N1101" s="219" t="n"/>
      <c r="O1101" s="117">
        <f>C1101*P1101</f>
        <v/>
      </c>
      <c r="P1101" s="22" t="n">
        <v>1.045</v>
      </c>
      <c r="R1101" s="117" t="n"/>
      <c r="T1101" s="117" t="n"/>
    </row>
    <row r="1102">
      <c r="A1102" s="134" t="inlineStr">
        <is>
          <t>2355</t>
        </is>
      </c>
      <c r="B1102" s="246" t="inlineStr">
        <is>
          <t>AERO</t>
        </is>
      </c>
      <c r="C1102" s="88" t="n">
        <v>39600</v>
      </c>
      <c r="D1102" s="88">
        <f>ROUND((C1102*1.06)/100,0)*100</f>
        <v/>
      </c>
      <c r="E1102" s="88">
        <f>ROUND((C1102*1.15)/100,0)*100</f>
        <v/>
      </c>
      <c r="F1102" s="88">
        <f>ROUND((C1102*1.23)/100,0)*100</f>
        <v/>
      </c>
      <c r="G1102" s="88">
        <f>ROUND((C1102*1.29)/100,0)*100</f>
        <v/>
      </c>
      <c r="H1102" s="88">
        <f>ROUND((C1102*1.35)/100,0)*100</f>
        <v/>
      </c>
      <c r="I1102" s="88">
        <f>ROUND((C1102*1.39)/100,0)*100</f>
        <v/>
      </c>
      <c r="J1102" s="88">
        <f>ROUND((C1102*1.39)/100,0)*100</f>
        <v/>
      </c>
      <c r="K1102" s="22">
        <f>ROUND((C1102*1.43)/100,0)*100</f>
        <v/>
      </c>
      <c r="L1102" s="22">
        <f>ROUND((C1102*1.43)/100,0)*100</f>
        <v/>
      </c>
      <c r="M1102" s="22" t="n"/>
      <c r="N1102" s="219" t="n"/>
      <c r="O1102" s="117">
        <f>C1102*P1102</f>
        <v/>
      </c>
      <c r="P1102" s="22" t="n">
        <v>1.045</v>
      </c>
      <c r="R1102" s="117" t="n"/>
      <c r="T1102" s="117" t="n"/>
    </row>
    <row r="1103">
      <c r="A1103" s="134" t="inlineStr">
        <is>
          <t>2505</t>
        </is>
      </c>
      <c r="B1103" s="246" t="inlineStr">
        <is>
          <t>AERO</t>
        </is>
      </c>
      <c r="C1103" s="88" t="n">
        <v>29700</v>
      </c>
      <c r="D1103" s="88">
        <f>ROUND((C1103*1.06)/100,0)*100</f>
        <v/>
      </c>
      <c r="E1103" s="88">
        <f>ROUND((C1103*1.15)/100,0)*100</f>
        <v/>
      </c>
      <c r="F1103" s="88">
        <f>ROUND((C1103*1.23)/100,0)*100</f>
        <v/>
      </c>
      <c r="G1103" s="88">
        <f>ROUND((C1103*1.29)/100,0)*100</f>
        <v/>
      </c>
      <c r="H1103" s="88">
        <f>ROUND((C1103*1.35)/100,0)*100</f>
        <v/>
      </c>
      <c r="I1103" s="88">
        <f>ROUND((C1103*1.39)/100,0)*100</f>
        <v/>
      </c>
      <c r="J1103" s="88">
        <f>ROUND((C1103*1.39)/100,0)*100</f>
        <v/>
      </c>
      <c r="K1103" s="22">
        <f>ROUND((C1103*1.43)/100,0)*100</f>
        <v/>
      </c>
      <c r="L1103" s="22">
        <f>ROUND((C1103*1.43)/100,0)*100</f>
        <v/>
      </c>
      <c r="M1103" s="22" t="n"/>
      <c r="N1103" s="219" t="n"/>
      <c r="O1103" s="117">
        <f>C1103*P1103</f>
        <v/>
      </c>
      <c r="P1103" s="22" t="n">
        <v>1.045</v>
      </c>
      <c r="R1103" s="117" t="n"/>
      <c r="T1103" s="117" t="n"/>
    </row>
    <row r="1104">
      <c r="A1104" s="134" t="inlineStr">
        <is>
          <t>2512</t>
        </is>
      </c>
      <c r="B1104" s="246" t="inlineStr">
        <is>
          <t>AERO</t>
        </is>
      </c>
      <c r="C1104" s="88" t="n">
        <v>29700</v>
      </c>
      <c r="D1104" s="88">
        <f>ROUND((C1104*1.06)/100,0)*100</f>
        <v/>
      </c>
      <c r="E1104" s="88">
        <f>ROUND((C1104*1.15)/100,0)*100</f>
        <v/>
      </c>
      <c r="F1104" s="88">
        <f>ROUND((C1104*1.23)/100,0)*100</f>
        <v/>
      </c>
      <c r="G1104" s="88">
        <f>ROUND((C1104*1.29)/100,0)*100</f>
        <v/>
      </c>
      <c r="H1104" s="88">
        <f>ROUND((C1104*1.35)/100,0)*100</f>
        <v/>
      </c>
      <c r="I1104" s="88">
        <f>ROUND((C1104*1.39)/100,0)*100</f>
        <v/>
      </c>
      <c r="J1104" s="88">
        <f>ROUND((C1104*1.39)/100,0)*100</f>
        <v/>
      </c>
      <c r="K1104" s="22">
        <f>ROUND((C1104*1.43)/100,0)*100</f>
        <v/>
      </c>
      <c r="L1104" s="22">
        <f>ROUND((C1104*1.43)/100,0)*100</f>
        <v/>
      </c>
      <c r="M1104" s="22" t="n"/>
      <c r="N1104" s="219" t="n"/>
      <c r="O1104" s="117">
        <f>C1104*P1104</f>
        <v/>
      </c>
      <c r="P1104" s="22" t="n">
        <v>1.045</v>
      </c>
      <c r="R1104" s="117" t="n"/>
      <c r="T1104" s="117" t="n"/>
    </row>
    <row r="1105">
      <c r="A1105" s="134" t="inlineStr">
        <is>
          <t>2525</t>
        </is>
      </c>
      <c r="B1105" s="246" t="inlineStr">
        <is>
          <t>AERO</t>
        </is>
      </c>
      <c r="C1105" s="88" t="n">
        <v>29700</v>
      </c>
      <c r="D1105" s="88">
        <f>ROUND((C1105*1.06)/100,0)*100</f>
        <v/>
      </c>
      <c r="E1105" s="88">
        <f>ROUND((C1105*1.15)/100,0)*100</f>
        <v/>
      </c>
      <c r="F1105" s="88">
        <f>ROUND((C1105*1.23)/100,0)*100</f>
        <v/>
      </c>
      <c r="G1105" s="88">
        <f>ROUND((C1105*1.29)/100,0)*100</f>
        <v/>
      </c>
      <c r="H1105" s="88">
        <f>ROUND((C1105*1.35)/100,0)*100</f>
        <v/>
      </c>
      <c r="I1105" s="88">
        <f>ROUND((C1105*1.39)/100,0)*100</f>
        <v/>
      </c>
      <c r="J1105" s="88">
        <f>ROUND((C1105*1.39)/100,0)*100</f>
        <v/>
      </c>
      <c r="K1105" s="22">
        <f>ROUND((C1105*1.43)/100,0)*100</f>
        <v/>
      </c>
      <c r="L1105" s="22">
        <f>ROUND((C1105*1.43)/100,0)*100</f>
        <v/>
      </c>
      <c r="M1105" s="22" t="n"/>
      <c r="N1105" s="219" t="n"/>
      <c r="O1105" s="117">
        <f>C1105*P1105</f>
        <v/>
      </c>
      <c r="P1105" s="22" t="n">
        <v>1.045</v>
      </c>
      <c r="R1105" s="117" t="n"/>
      <c r="T1105" s="117" t="n"/>
    </row>
    <row r="1106">
      <c r="A1106" s="134" t="inlineStr">
        <is>
          <t>2549</t>
        </is>
      </c>
      <c r="B1106" s="246" t="inlineStr">
        <is>
          <t>AERO</t>
        </is>
      </c>
      <c r="C1106" s="88" t="n">
        <v>29700</v>
      </c>
      <c r="D1106" s="88">
        <f>ROUND((C1106*1.06)/100,0)*100</f>
        <v/>
      </c>
      <c r="E1106" s="88">
        <f>ROUND((C1106*1.15)/100,0)*100</f>
        <v/>
      </c>
      <c r="F1106" s="88">
        <f>ROUND((C1106*1.23)/100,0)*100</f>
        <v/>
      </c>
      <c r="G1106" s="88">
        <f>ROUND((C1106*1.29)/100,0)*100</f>
        <v/>
      </c>
      <c r="H1106" s="88">
        <f>ROUND((C1106*1.35)/100,0)*100</f>
        <v/>
      </c>
      <c r="I1106" s="88">
        <f>ROUND((C1106*1.39)/100,0)*100</f>
        <v/>
      </c>
      <c r="J1106" s="88">
        <f>ROUND((C1106*1.39)/100,0)*100</f>
        <v/>
      </c>
      <c r="K1106" s="22">
        <f>ROUND((C1106*1.43)/100,0)*100</f>
        <v/>
      </c>
      <c r="L1106" s="22">
        <f>ROUND((C1106*1.43)/100,0)*100</f>
        <v/>
      </c>
      <c r="M1106" s="22" t="n"/>
      <c r="N1106" s="219" t="n"/>
      <c r="O1106" s="117">
        <f>C1106*P1106</f>
        <v/>
      </c>
      <c r="P1106" s="22" t="n">
        <v>1.045</v>
      </c>
      <c r="R1106" s="117" t="n"/>
      <c r="T1106" s="117" t="n"/>
    </row>
    <row r="1107">
      <c r="A1107" s="134" t="inlineStr">
        <is>
          <t>2549</t>
        </is>
      </c>
      <c r="B1107" s="246" t="inlineStr">
        <is>
          <t>AERO</t>
        </is>
      </c>
      <c r="C1107" s="88" t="n">
        <v>29700</v>
      </c>
      <c r="D1107" s="88">
        <f>ROUND((C1107*1.06)/100,0)*100</f>
        <v/>
      </c>
      <c r="E1107" s="88">
        <f>ROUND((C1107*1.15)/100,0)*100</f>
        <v/>
      </c>
      <c r="F1107" s="88">
        <f>ROUND((C1107*1.23)/100,0)*100</f>
        <v/>
      </c>
      <c r="G1107" s="88">
        <f>ROUND((C1107*1.29)/100,0)*100</f>
        <v/>
      </c>
      <c r="H1107" s="88">
        <f>ROUND((C1107*1.35)/100,0)*100</f>
        <v/>
      </c>
      <c r="I1107" s="88">
        <f>ROUND((C1107*1.39)/100,0)*100</f>
        <v/>
      </c>
      <c r="J1107" s="88">
        <f>ROUND((C1107*1.39)/100,0)*100</f>
        <v/>
      </c>
      <c r="K1107" s="22">
        <f>ROUND((C1107*1.43)/100,0)*100</f>
        <v/>
      </c>
      <c r="L1107" s="22">
        <f>ROUND((C1107*1.43)/100,0)*100</f>
        <v/>
      </c>
      <c r="M1107" s="22" t="n"/>
      <c r="N1107" s="219" t="n"/>
      <c r="O1107" s="117">
        <f>C1107*P1107</f>
        <v/>
      </c>
      <c r="P1107" s="22" t="n">
        <v>1.045</v>
      </c>
      <c r="R1107" s="117" t="n"/>
      <c r="T1107" s="117" t="n"/>
    </row>
    <row r="1108">
      <c r="A1108" s="68" t="inlineStr">
        <is>
          <t>2650</t>
        </is>
      </c>
      <c r="B1108" s="109" t="inlineStr">
        <is>
          <t>CHOMBA  RUGBY COMBINADA Y BORDADA</t>
        </is>
      </c>
      <c r="C1108" s="88" t="n">
        <v>31600</v>
      </c>
      <c r="D1108" s="88">
        <f>ROUND((C1108*1.06)/100,0)*100</f>
        <v/>
      </c>
      <c r="E1108" s="88">
        <f>ROUND((C1108*1.15)/100,0)*100</f>
        <v/>
      </c>
      <c r="F1108" s="88">
        <f>ROUND((C1108*1.23)/100,0)*100</f>
        <v/>
      </c>
      <c r="G1108" s="88">
        <f>ROUND((C1108*1.29)/100,0)*100</f>
        <v/>
      </c>
      <c r="H1108" s="88">
        <f>ROUND((C1108*1.35)/100,0)*100</f>
        <v/>
      </c>
      <c r="I1108" s="88">
        <f>ROUND((C1108*1.39)/100,0)*100</f>
        <v/>
      </c>
      <c r="J1108" s="88">
        <f>ROUND((C1108*1.39)/100,0)*100</f>
        <v/>
      </c>
      <c r="K1108" s="22">
        <f>ROUND((C1108*1.43)/100,0)*100</f>
        <v/>
      </c>
      <c r="L1108" s="22">
        <f>ROUND((C1108*1.43)/100,0)*100</f>
        <v/>
      </c>
      <c r="M1108" s="22" t="n"/>
      <c r="N1108" s="219" t="n"/>
      <c r="O1108" s="117">
        <f>C1108*P1108</f>
        <v/>
      </c>
      <c r="P1108" s="22" t="n">
        <v>1.045</v>
      </c>
      <c r="R1108" s="117" t="n"/>
      <c r="T1108" s="117" t="n"/>
    </row>
    <row r="1109">
      <c r="A1109" s="68" t="inlineStr">
        <is>
          <t>2651</t>
        </is>
      </c>
      <c r="B1109" s="109" t="inlineStr">
        <is>
          <t xml:space="preserve"> JERSEY RAY C/BOLS</t>
        </is>
      </c>
      <c r="C1109" s="88" t="n">
        <v>23600</v>
      </c>
      <c r="D1109" s="88">
        <f>ROUND((C1109*1.06)/100,0)*100</f>
        <v/>
      </c>
      <c r="E1109" s="88">
        <f>ROUND((C1109*1.15)/100,0)*100</f>
        <v/>
      </c>
      <c r="F1109" s="88">
        <f>ROUND((C1109*1.23)/100,0)*100</f>
        <v/>
      </c>
      <c r="G1109" s="88">
        <f>ROUND((C1109*1.29)/100,0)*100</f>
        <v/>
      </c>
      <c r="H1109" s="88">
        <f>ROUND((C1109*1.35)/100,0)*100</f>
        <v/>
      </c>
      <c r="I1109" s="88">
        <f>ROUND((C1109*1.39)/100,0)*100</f>
        <v/>
      </c>
      <c r="J1109" s="88">
        <f>ROUND((C1109*1.39)/100,0)*100</f>
        <v/>
      </c>
      <c r="K1109" s="22">
        <f>ROUND((C1109*1.43)/100,0)*100</f>
        <v/>
      </c>
      <c r="L1109" s="22">
        <f>ROUND((C1109*1.43)/100,0)*100</f>
        <v/>
      </c>
      <c r="M1109" s="88" t="n"/>
      <c r="N1109" s="219" t="n"/>
      <c r="O1109" s="117">
        <f>C1109*P1109</f>
        <v/>
      </c>
      <c r="P1109" s="22" t="n">
        <v>1.045</v>
      </c>
      <c r="R1109" s="117" t="n"/>
      <c r="T1109" s="117" t="n"/>
    </row>
    <row r="1110">
      <c r="A1110" s="68" t="inlineStr">
        <is>
          <t>2653</t>
        </is>
      </c>
      <c r="B1110" s="109" t="inlineStr">
        <is>
          <t>CHOMBA  POLO CUELLO TEJIDO</t>
        </is>
      </c>
      <c r="C1110" s="88" t="n">
        <v>27800</v>
      </c>
      <c r="D1110" s="88">
        <f>ROUND((C1110*1.06)/100,0)*100</f>
        <v/>
      </c>
      <c r="E1110" s="88">
        <f>ROUND((C1110*1.15)/100,0)*100</f>
        <v/>
      </c>
      <c r="F1110" s="88">
        <f>ROUND((C1110*1.23)/100,0)*100</f>
        <v/>
      </c>
      <c r="G1110" s="88">
        <f>ROUND((C1110*1.29)/100,0)*100</f>
        <v/>
      </c>
      <c r="H1110" s="88">
        <f>ROUND((C1110*1.35)/100,0)*100</f>
        <v/>
      </c>
      <c r="I1110" s="88">
        <f>ROUND((C1110*1.39)/100,0)*100</f>
        <v/>
      </c>
      <c r="J1110" s="88">
        <f>ROUND((C1110*1.39)/100,0)*100</f>
        <v/>
      </c>
      <c r="K1110" s="22">
        <f>ROUND((C1110*1.43)/100,0)*100</f>
        <v/>
      </c>
      <c r="L1110" s="22">
        <f>ROUND((C1110*1.43)/100,0)*100</f>
        <v/>
      </c>
      <c r="M1110" s="22" t="n"/>
      <c r="N1110" s="219" t="n"/>
      <c r="O1110" s="117">
        <f>C1110*P1110</f>
        <v/>
      </c>
      <c r="P1110" s="22" t="n">
        <v>1.045</v>
      </c>
      <c r="R1110" s="117" t="n"/>
      <c r="T1110" s="117" t="n"/>
    </row>
    <row r="1111">
      <c r="A1111" s="68" t="inlineStr">
        <is>
          <t>2655</t>
        </is>
      </c>
      <c r="B1111" s="109" t="inlineStr">
        <is>
          <t>CHOMBA JERSEY CLASICA C/BOLSILLO</t>
        </is>
      </c>
      <c r="C1111" s="88" t="n">
        <v>27800</v>
      </c>
      <c r="D1111" s="88">
        <f>ROUND((C1111*1.06)/100,0)*100</f>
        <v/>
      </c>
      <c r="E1111" s="88">
        <f>ROUND((C1111*1.15)/100,0)*100</f>
        <v/>
      </c>
      <c r="F1111" s="88">
        <f>ROUND((C1111*1.23)/100,0)*100</f>
        <v/>
      </c>
      <c r="G1111" s="88">
        <f>ROUND((C1111*1.29)/100,0)*100</f>
        <v/>
      </c>
      <c r="H1111" s="88">
        <f>ROUND((C1111*1.35)/100,0)*100</f>
        <v/>
      </c>
      <c r="I1111" s="88">
        <f>ROUND((C1111*1.39)/100,0)*100</f>
        <v/>
      </c>
      <c r="J1111" s="88">
        <f>ROUND((C1111*1.39)/100,0)*100</f>
        <v/>
      </c>
      <c r="K1111" s="22">
        <f>ROUND((C1111*1.43)/100,0)*100</f>
        <v/>
      </c>
      <c r="L1111" s="22">
        <f>ROUND((C1111*1.43)/100,0)*100</f>
        <v/>
      </c>
      <c r="M1111" s="88" t="n"/>
      <c r="N1111" s="219" t="n"/>
      <c r="O1111" s="117">
        <f>C1111*P1111</f>
        <v/>
      </c>
      <c r="P1111" s="22" t="n">
        <v>1.045</v>
      </c>
      <c r="R1111" s="117" t="n"/>
      <c r="T1111" s="117" t="n"/>
    </row>
    <row r="1112">
      <c r="A1112" s="68" t="inlineStr">
        <is>
          <t>2656</t>
        </is>
      </c>
      <c r="B1112" s="109" t="inlineStr">
        <is>
          <t>CHOMBA  PIQUE CON BOLSILLO</t>
        </is>
      </c>
      <c r="C1112" s="88" t="n">
        <v>26500</v>
      </c>
      <c r="D1112" s="88">
        <f>ROUND((C1112*1.06)/100,0)*100</f>
        <v/>
      </c>
      <c r="E1112" s="88">
        <f>ROUND((C1112*1.15)/100,0)*100</f>
        <v/>
      </c>
      <c r="F1112" s="88">
        <f>ROUND((C1112*1.23)/100,0)*100</f>
        <v/>
      </c>
      <c r="G1112" s="88">
        <f>ROUND((C1112*1.29)/100,0)*100</f>
        <v/>
      </c>
      <c r="H1112" s="88">
        <f>ROUND((C1112*1.35)/100,0)*100</f>
        <v/>
      </c>
      <c r="I1112" s="88">
        <f>ROUND((C1112*1.39)/100,0)*100</f>
        <v/>
      </c>
      <c r="J1112" s="88">
        <f>ROUND((C1112*1.39)/100,0)*100</f>
        <v/>
      </c>
      <c r="K1112" s="22">
        <f>ROUND((C1112*1.43)/100,0)*100</f>
        <v/>
      </c>
      <c r="L1112" s="22">
        <f>ROUND((C1112*1.43)/100,0)*100</f>
        <v/>
      </c>
      <c r="M1112" s="88" t="n"/>
      <c r="N1112" s="219" t="n"/>
      <c r="O1112" s="117">
        <f>C1112*P1112</f>
        <v/>
      </c>
      <c r="P1112" s="22" t="n">
        <v>1.045</v>
      </c>
      <c r="R1112" s="117" t="n"/>
      <c r="T1112" s="117" t="n"/>
    </row>
    <row r="1113">
      <c r="A1113" s="68" t="inlineStr">
        <is>
          <t>2657</t>
        </is>
      </c>
      <c r="B1113" s="109" t="inlineStr">
        <is>
          <t>AERO</t>
        </is>
      </c>
      <c r="C1113" s="88" t="n">
        <v>29500</v>
      </c>
      <c r="D1113" s="88">
        <f>ROUND((C1113*1.06)/100,0)*100</f>
        <v/>
      </c>
      <c r="E1113" s="88">
        <f>ROUND((C1113*1.15)/100,0)*100</f>
        <v/>
      </c>
      <c r="F1113" s="88">
        <f>ROUND((C1113*1.23)/100,0)*100</f>
        <v/>
      </c>
      <c r="G1113" s="88">
        <f>ROUND((C1113*1.29)/100,0)*100</f>
        <v/>
      </c>
      <c r="H1113" s="88">
        <f>ROUND((C1113*1.35)/100,0)*100</f>
        <v/>
      </c>
      <c r="I1113" s="88">
        <f>ROUND((C1113*1.39)/100,0)*100</f>
        <v/>
      </c>
      <c r="J1113" s="88">
        <f>ROUND((C1113*1.39)/100,0)*100</f>
        <v/>
      </c>
      <c r="K1113" s="22">
        <f>ROUND((C1113*1.43)/100,0)*100</f>
        <v/>
      </c>
      <c r="L1113" s="22">
        <f>ROUND((C1113*1.43)/100,0)*100</f>
        <v/>
      </c>
      <c r="M1113" s="88" t="n"/>
      <c r="N1113" s="219" t="n"/>
      <c r="O1113" s="117">
        <f>C1113*P1113</f>
        <v/>
      </c>
      <c r="P1113" s="22" t="n">
        <v>1.045</v>
      </c>
      <c r="R1113" s="117" t="n"/>
      <c r="T1113" s="117" t="n"/>
    </row>
    <row r="1114">
      <c r="A1114" s="68" t="inlineStr">
        <is>
          <t>2658</t>
        </is>
      </c>
      <c r="B1114" s="109" t="inlineStr">
        <is>
          <t>CHOMBA JERSEY C/GUARDA Y VIVO</t>
        </is>
      </c>
      <c r="C1114" s="88" t="n">
        <v>24700</v>
      </c>
      <c r="D1114" s="88">
        <f>ROUND((C1114*1.06)/100,0)*100</f>
        <v/>
      </c>
      <c r="E1114" s="88">
        <f>ROUND((C1114*1.15)/100,0)*100</f>
        <v/>
      </c>
      <c r="F1114" s="88">
        <f>ROUND((C1114*1.23)/100,0)*100</f>
        <v/>
      </c>
      <c r="G1114" s="88">
        <f>ROUND((C1114*1.29)/100,0)*100</f>
        <v/>
      </c>
      <c r="H1114" s="88">
        <f>ROUND((C1114*1.35)/100,0)*100</f>
        <v/>
      </c>
      <c r="I1114" s="88">
        <f>ROUND((C1114*1.39)/100,0)*100</f>
        <v/>
      </c>
      <c r="J1114" s="88">
        <f>ROUND((C1114*1.39)/100,0)*100</f>
        <v/>
      </c>
      <c r="K1114" s="22">
        <f>ROUND((C1114*1.43)/100,0)*100</f>
        <v/>
      </c>
      <c r="L1114" s="22">
        <f>ROUND((C1114*1.43)/100,0)*100</f>
        <v/>
      </c>
      <c r="M1114" s="88" t="n"/>
      <c r="N1114" s="219" t="n"/>
      <c r="O1114" s="117">
        <f>C1114*P1114</f>
        <v/>
      </c>
      <c r="P1114" s="22" t="n">
        <v>1.045</v>
      </c>
      <c r="R1114" s="117" t="n"/>
      <c r="T1114" s="117" t="n"/>
    </row>
    <row r="1115">
      <c r="A1115" s="68" t="inlineStr">
        <is>
          <t>2659</t>
        </is>
      </c>
      <c r="B1115" s="109" t="inlineStr">
        <is>
          <t>CHOMBA RUGBY BORDADO 2014</t>
        </is>
      </c>
      <c r="C1115" s="88" t="n">
        <v>29500</v>
      </c>
      <c r="D1115" s="88">
        <f>ROUND((C1115*1.06)/100,0)*100</f>
        <v/>
      </c>
      <c r="E1115" s="88">
        <f>ROUND((C1115*1.15)/100,0)*100</f>
        <v/>
      </c>
      <c r="F1115" s="88">
        <f>ROUND((C1115*1.23)/100,0)*100</f>
        <v/>
      </c>
      <c r="G1115" s="88">
        <f>ROUND((C1115*1.29)/100,0)*100</f>
        <v/>
      </c>
      <c r="H1115" s="88">
        <f>ROUND((C1115*1.35)/100,0)*100</f>
        <v/>
      </c>
      <c r="I1115" s="88">
        <f>ROUND((C1115*1.39)/100,0)*100</f>
        <v/>
      </c>
      <c r="J1115" s="88">
        <f>ROUND((C1115*1.39)/100,0)*100</f>
        <v/>
      </c>
      <c r="K1115" s="22">
        <f>ROUND((C1115*1.43)/100,0)*100</f>
        <v/>
      </c>
      <c r="L1115" s="22">
        <f>ROUND((C1115*1.43)/100,0)*100</f>
        <v/>
      </c>
      <c r="M1115" s="88" t="n"/>
      <c r="N1115" s="219" t="n"/>
      <c r="O1115" s="117">
        <f>C1115*P1115</f>
        <v/>
      </c>
      <c r="P1115" s="22" t="n">
        <v>1.045</v>
      </c>
      <c r="R1115" s="117" t="n"/>
      <c r="T1115" s="117" t="n"/>
    </row>
    <row r="1116">
      <c r="A1116" s="68" t="inlineStr">
        <is>
          <t>2851</t>
        </is>
      </c>
      <c r="B1116" s="109" t="inlineStr">
        <is>
          <t>AERO CHOMBA</t>
        </is>
      </c>
      <c r="C1116" s="88" t="n">
        <v>24700</v>
      </c>
      <c r="D1116" s="88">
        <f>ROUND((C1116*1.06)/100,0)*100</f>
        <v/>
      </c>
      <c r="E1116" s="88">
        <f>ROUND((C1116*1.15)/100,0)*100</f>
        <v/>
      </c>
      <c r="F1116" s="88">
        <f>ROUND((C1116*1.23)/100,0)*100</f>
        <v/>
      </c>
      <c r="G1116" s="88">
        <f>ROUND((C1116*1.29)/100,0)*100</f>
        <v/>
      </c>
      <c r="H1116" s="88">
        <f>ROUND((C1116*1.35)/100,0)*100</f>
        <v/>
      </c>
      <c r="I1116" s="88">
        <f>ROUND((C1116*1.39)/100,0)*100</f>
        <v/>
      </c>
      <c r="J1116" s="88">
        <f>ROUND((C1116*1.39)/100,0)*100</f>
        <v/>
      </c>
      <c r="K1116" s="22">
        <f>ROUND((C1116*1.43)/100,0)*100</f>
        <v/>
      </c>
      <c r="L1116" s="22">
        <f>ROUND((C1116*1.43)/100,0)*100</f>
        <v/>
      </c>
      <c r="M1116" s="88" t="n"/>
      <c r="N1116" s="219" t="n"/>
      <c r="O1116" s="117">
        <f>C1116*P1116</f>
        <v/>
      </c>
      <c r="P1116" s="22" t="n">
        <v>1.045</v>
      </c>
      <c r="R1116" s="117" t="n"/>
      <c r="T1116" s="117" t="n"/>
    </row>
    <row r="1117">
      <c r="A1117" s="68" t="inlineStr">
        <is>
          <t>2853</t>
        </is>
      </c>
      <c r="B1117" s="109" t="inlineStr">
        <is>
          <t>AERO JERSEY PANNOT C/BOLS</t>
        </is>
      </c>
      <c r="C1117" s="88" t="n">
        <v>24700</v>
      </c>
      <c r="D1117" s="88">
        <f>ROUND((C1117*1.06)/100,0)*100</f>
        <v/>
      </c>
      <c r="E1117" s="88">
        <f>ROUND((C1117*1.15)/100,0)*100</f>
        <v/>
      </c>
      <c r="F1117" s="88">
        <f>ROUND((C1117*1.23)/100,0)*100</f>
        <v/>
      </c>
      <c r="G1117" s="88">
        <f>ROUND((C1117*1.29)/100,0)*100</f>
        <v/>
      </c>
      <c r="H1117" s="88">
        <f>ROUND((C1117*1.35)/100,0)*100</f>
        <v/>
      </c>
      <c r="I1117" s="88">
        <f>ROUND((C1117*1.39)/100,0)*100</f>
        <v/>
      </c>
      <c r="J1117" s="88">
        <f>ROUND((C1117*1.39)/100,0)*100</f>
        <v/>
      </c>
      <c r="K1117" s="22">
        <f>ROUND((C1117*1.43)/100,0)*100</f>
        <v/>
      </c>
      <c r="L1117" s="22">
        <f>ROUND((C1117*1.43)/100,0)*100</f>
        <v/>
      </c>
      <c r="M1117" s="88" t="n"/>
      <c r="N1117" s="219" t="n"/>
      <c r="O1117" s="117">
        <f>C1117*P1117</f>
        <v/>
      </c>
      <c r="P1117" s="22" t="n">
        <v>1.045</v>
      </c>
      <c r="R1117" s="117" t="n"/>
      <c r="T1117" s="117" t="n"/>
    </row>
    <row r="1118">
      <c r="A1118" s="68" t="inlineStr">
        <is>
          <t>2856</t>
        </is>
      </c>
      <c r="B1118" s="110" t="inlineStr">
        <is>
          <t>AERO</t>
        </is>
      </c>
      <c r="C1118" s="88" t="n">
        <v>29500</v>
      </c>
      <c r="D1118" s="88">
        <f>ROUND((C1118*1.06)/100,0)*100</f>
        <v/>
      </c>
      <c r="E1118" s="88">
        <f>ROUND((C1118*1.15)/100,0)*100</f>
        <v/>
      </c>
      <c r="F1118" s="88">
        <f>ROUND((C1118*1.23)/100,0)*100</f>
        <v/>
      </c>
      <c r="G1118" s="88">
        <f>ROUND((C1118*1.29)/100,0)*100</f>
        <v/>
      </c>
      <c r="H1118" s="88">
        <f>ROUND((C1118*1.35)/100,0)*100</f>
        <v/>
      </c>
      <c r="I1118" s="88">
        <f>ROUND((C1118*1.39)/100,0)*100</f>
        <v/>
      </c>
      <c r="J1118" s="88">
        <f>ROUND((C1118*1.39)/100,0)*100</f>
        <v/>
      </c>
      <c r="K1118" s="22">
        <f>ROUND((C1118*1.43)/100,0)*100</f>
        <v/>
      </c>
      <c r="L1118" s="22">
        <f>ROUND((C1118*1.43)/100,0)*100</f>
        <v/>
      </c>
      <c r="M1118" s="88" t="n"/>
      <c r="N1118" s="219" t="n"/>
      <c r="O1118" s="117">
        <f>C1118*P1118</f>
        <v/>
      </c>
      <c r="P1118" s="22" t="n">
        <v>1.045</v>
      </c>
      <c r="R1118" s="117" t="n"/>
      <c r="T1118" s="117" t="n"/>
    </row>
    <row r="1119">
      <c r="A1119" s="68" t="inlineStr">
        <is>
          <t>2859</t>
        </is>
      </c>
      <c r="B1119" s="110" t="inlineStr">
        <is>
          <t>AERO  LISTADA C/BOLS</t>
        </is>
      </c>
      <c r="C1119" s="88" t="n">
        <v>24700</v>
      </c>
      <c r="D1119" s="88">
        <f>ROUND((C1119*1.06)/100,0)*100</f>
        <v/>
      </c>
      <c r="E1119" s="88">
        <f>ROUND((C1119*1.15)/100,0)*100</f>
        <v/>
      </c>
      <c r="F1119" s="88">
        <f>ROUND((C1119*1.23)/100,0)*100</f>
        <v/>
      </c>
      <c r="G1119" s="88">
        <f>ROUND((C1119*1.29)/100,0)*100</f>
        <v/>
      </c>
      <c r="H1119" s="88">
        <f>ROUND((C1119*1.35)/100,0)*100</f>
        <v/>
      </c>
      <c r="I1119" s="88">
        <f>ROUND((C1119*1.39)/100,0)*100</f>
        <v/>
      </c>
      <c r="J1119" s="88">
        <f>ROUND((C1119*1.39)/100,0)*100</f>
        <v/>
      </c>
      <c r="K1119" s="22">
        <f>ROUND((C1119*1.43)/100,0)*100</f>
        <v/>
      </c>
      <c r="L1119" s="22">
        <f>ROUND((C1119*1.43)/100,0)*100</f>
        <v/>
      </c>
      <c r="M1119" s="88" t="n"/>
      <c r="N1119" s="219" t="n"/>
      <c r="O1119" s="117">
        <f>C1119*P1119</f>
        <v/>
      </c>
      <c r="P1119" s="22" t="n">
        <v>1.045</v>
      </c>
      <c r="R1119" s="117" t="n"/>
      <c r="T1119" s="117" t="n"/>
    </row>
    <row r="1120">
      <c r="A1120" s="68" t="inlineStr">
        <is>
          <t>2860</t>
        </is>
      </c>
      <c r="B1120" s="110" t="inlineStr">
        <is>
          <t>AERO CHOMBA</t>
        </is>
      </c>
      <c r="C1120" s="88" t="n">
        <v>24700</v>
      </c>
      <c r="D1120" s="88">
        <f>ROUND((C1120*1.06)/100,0)*100</f>
        <v/>
      </c>
      <c r="E1120" s="88">
        <f>ROUND((C1120*1.15)/100,0)*100</f>
        <v/>
      </c>
      <c r="F1120" s="88">
        <f>ROUND((C1120*1.23)/100,0)*100</f>
        <v/>
      </c>
      <c r="G1120" s="88">
        <f>ROUND((C1120*1.29)/100,0)*100</f>
        <v/>
      </c>
      <c r="H1120" s="88">
        <f>ROUND((C1120*1.35)/100,0)*100</f>
        <v/>
      </c>
      <c r="I1120" s="88">
        <f>ROUND((C1120*1.39)/100,0)*100</f>
        <v/>
      </c>
      <c r="J1120" s="88">
        <f>ROUND((C1120*1.39)/100,0)*100</f>
        <v/>
      </c>
      <c r="K1120" s="22">
        <f>ROUND((C1120*1.43)/100,0)*100</f>
        <v/>
      </c>
      <c r="L1120" s="22">
        <f>ROUND((C1120*1.43)/100,0)*100</f>
        <v/>
      </c>
      <c r="M1120" s="88" t="n"/>
      <c r="N1120" s="219" t="n"/>
      <c r="O1120" s="117">
        <f>C1120*P1120</f>
        <v/>
      </c>
      <c r="P1120" s="22" t="n">
        <v>1.045</v>
      </c>
      <c r="R1120" s="117" t="n"/>
      <c r="T1120" s="117" t="n"/>
    </row>
    <row r="1121">
      <c r="A1121" s="68" t="inlineStr">
        <is>
          <t>2862</t>
        </is>
      </c>
      <c r="B1121" s="110" t="inlineStr">
        <is>
          <t>AERO</t>
        </is>
      </c>
      <c r="C1121" s="88" t="n">
        <v>29500</v>
      </c>
      <c r="D1121" s="88">
        <f>ROUND((C1121*1.06)/100,0)*100</f>
        <v/>
      </c>
      <c r="E1121" s="88">
        <f>ROUND((C1121*1.15)/100,0)*100</f>
        <v/>
      </c>
      <c r="F1121" s="88">
        <f>ROUND((C1121*1.23)/100,0)*100</f>
        <v/>
      </c>
      <c r="G1121" s="88">
        <f>ROUND((C1121*1.29)/100,0)*100</f>
        <v/>
      </c>
      <c r="H1121" s="88">
        <f>ROUND((C1121*1.35)/100,0)*100</f>
        <v/>
      </c>
      <c r="I1121" s="88">
        <f>ROUND((C1121*1.39)/100,0)*100</f>
        <v/>
      </c>
      <c r="J1121" s="88">
        <f>ROUND((C1121*1.39)/100,0)*100</f>
        <v/>
      </c>
      <c r="K1121" s="22">
        <f>ROUND((C1121*1.43)/100,0)*100</f>
        <v/>
      </c>
      <c r="L1121" s="22">
        <f>ROUND((C1121*1.43)/100,0)*100</f>
        <v/>
      </c>
      <c r="M1121" s="88" t="n"/>
      <c r="N1121" s="219" t="n"/>
      <c r="O1121" s="117">
        <f>C1121*P1121</f>
        <v/>
      </c>
      <c r="P1121" s="22" t="n">
        <v>1.045</v>
      </c>
      <c r="R1121" s="117" t="n"/>
      <c r="T1121" s="117" t="n"/>
    </row>
    <row r="1122">
      <c r="A1122" s="68" t="inlineStr">
        <is>
          <t>2863</t>
        </is>
      </c>
      <c r="B1122" s="110" t="inlineStr">
        <is>
          <t>AERO</t>
        </is>
      </c>
      <c r="C1122" s="88" t="n">
        <v>29500</v>
      </c>
      <c r="D1122" s="88">
        <f>ROUND((C1122*1.06)/100,0)*100</f>
        <v/>
      </c>
      <c r="E1122" s="88">
        <f>ROUND((C1122*1.15)/100,0)*100</f>
        <v/>
      </c>
      <c r="F1122" s="88">
        <f>ROUND((C1122*1.23)/100,0)*100</f>
        <v/>
      </c>
      <c r="G1122" s="88">
        <f>ROUND((C1122*1.29)/100,0)*100</f>
        <v/>
      </c>
      <c r="H1122" s="88">
        <f>ROUND((C1122*1.35)/100,0)*100</f>
        <v/>
      </c>
      <c r="I1122" s="88">
        <f>ROUND((C1122*1.39)/100,0)*100</f>
        <v/>
      </c>
      <c r="J1122" s="88">
        <f>ROUND((C1122*1.39)/100,0)*100</f>
        <v/>
      </c>
      <c r="K1122" s="22">
        <f>ROUND((C1122*1.43)/100,0)*100</f>
        <v/>
      </c>
      <c r="L1122" s="22">
        <f>ROUND((C1122*1.43)/100,0)*100</f>
        <v/>
      </c>
      <c r="M1122" s="88" t="n"/>
      <c r="N1122" s="219" t="n"/>
      <c r="O1122" s="117">
        <f>C1122*P1122</f>
        <v/>
      </c>
      <c r="P1122" s="22" t="n">
        <v>1.045</v>
      </c>
      <c r="R1122" s="117" t="n"/>
      <c r="T1122" s="117" t="n"/>
    </row>
    <row r="1123">
      <c r="A1123" s="68" t="inlineStr">
        <is>
          <t>2866</t>
        </is>
      </c>
      <c r="B1123" s="110" t="inlineStr">
        <is>
          <t>AERO</t>
        </is>
      </c>
      <c r="C1123" s="88" t="n">
        <v>27800</v>
      </c>
      <c r="D1123" s="88">
        <f>ROUND((C1123*1.06)/100,0)*100</f>
        <v/>
      </c>
      <c r="E1123" s="88">
        <f>ROUND((C1123*1.15)/100,0)*100</f>
        <v/>
      </c>
      <c r="F1123" s="88">
        <f>ROUND((C1123*1.23)/100,0)*100</f>
        <v/>
      </c>
      <c r="G1123" s="88">
        <f>ROUND((C1123*1.29)/100,0)*100</f>
        <v/>
      </c>
      <c r="H1123" s="88">
        <f>ROUND((C1123*1.35)/100,0)*100</f>
        <v/>
      </c>
      <c r="I1123" s="88">
        <f>ROUND((C1123*1.39)/100,0)*100</f>
        <v/>
      </c>
      <c r="J1123" s="88">
        <f>ROUND((C1123*1.39)/100,0)*100</f>
        <v/>
      </c>
      <c r="K1123" s="22">
        <f>ROUND((C1123*1.43)/100,0)*100</f>
        <v/>
      </c>
      <c r="L1123" s="22">
        <f>ROUND((C1123*1.43)/100,0)*100</f>
        <v/>
      </c>
      <c r="M1123" s="22" t="n"/>
      <c r="N1123" s="219" t="n"/>
      <c r="O1123" s="117">
        <f>C1123*P1123</f>
        <v/>
      </c>
      <c r="P1123" s="22" t="n">
        <v>1.045</v>
      </c>
      <c r="R1123" s="117" t="n"/>
      <c r="T1123" s="117" t="n"/>
    </row>
    <row r="1124">
      <c r="A1124" s="68" t="inlineStr">
        <is>
          <t>2869</t>
        </is>
      </c>
      <c r="B1124" s="110" t="inlineStr">
        <is>
          <t>AERO</t>
        </is>
      </c>
      <c r="C1124" s="88" t="n">
        <v>26300</v>
      </c>
      <c r="D1124" s="88">
        <f>ROUND((C1124*1.06)/100,0)*100</f>
        <v/>
      </c>
      <c r="E1124" s="88">
        <f>ROUND((C1124*1.15)/100,0)*100</f>
        <v/>
      </c>
      <c r="F1124" s="88">
        <f>ROUND((C1124*1.23)/100,0)*100</f>
        <v/>
      </c>
      <c r="G1124" s="88">
        <f>ROUND((C1124*1.29)/100,0)*100</f>
        <v/>
      </c>
      <c r="H1124" s="88">
        <f>ROUND((C1124*1.35)/100,0)*100</f>
        <v/>
      </c>
      <c r="I1124" s="88">
        <f>ROUND((C1124*1.39)/100,0)*100</f>
        <v/>
      </c>
      <c r="J1124" s="88">
        <f>ROUND((C1124*1.39)/100,0)*100</f>
        <v/>
      </c>
      <c r="K1124" s="22">
        <f>ROUND((C1124*1.43)/100,0)*100</f>
        <v/>
      </c>
      <c r="L1124" s="22">
        <f>ROUND((C1124*1.43)/100,0)*100</f>
        <v/>
      </c>
      <c r="M1124" s="22" t="n"/>
      <c r="N1124" s="219" t="n"/>
      <c r="O1124" s="117">
        <f>C1124*P1124</f>
        <v/>
      </c>
      <c r="P1124" s="22" t="n">
        <v>1.045</v>
      </c>
      <c r="R1124" s="117" t="n"/>
      <c r="T1124" s="117" t="n"/>
    </row>
    <row r="1125">
      <c r="A1125" s="68" t="inlineStr">
        <is>
          <t>6100</t>
        </is>
      </c>
      <c r="B1125" s="110" t="inlineStr">
        <is>
          <t>AERO</t>
        </is>
      </c>
      <c r="C1125" s="88" t="n">
        <v>26300</v>
      </c>
      <c r="D1125" s="88">
        <f>ROUND((C1125*1.06)/100,0)*100</f>
        <v/>
      </c>
      <c r="E1125" s="88">
        <f>ROUND((C1125*1.15)/100,0)*100</f>
        <v/>
      </c>
      <c r="F1125" s="88">
        <f>ROUND((C1125*1.23)/100,0)*100</f>
        <v/>
      </c>
      <c r="G1125" s="88">
        <f>ROUND((C1125*1.29)/100,0)*100</f>
        <v/>
      </c>
      <c r="H1125" s="88">
        <f>ROUND((C1125*1.35)/100,0)*100</f>
        <v/>
      </c>
      <c r="I1125" s="88">
        <f>ROUND((C1125*1.39)/100,0)*100</f>
        <v/>
      </c>
      <c r="J1125" s="88">
        <f>ROUND((C1125*1.39)/100,0)*100</f>
        <v/>
      </c>
      <c r="K1125" s="22">
        <f>ROUND((C1125*1.43)/100,0)*100</f>
        <v/>
      </c>
      <c r="L1125" s="22">
        <f>ROUND((C1125*1.43)/100,0)*100</f>
        <v/>
      </c>
      <c r="M1125" s="22" t="n"/>
      <c r="N1125" s="219" t="n"/>
      <c r="O1125" s="117">
        <f>C1125*P1125</f>
        <v/>
      </c>
      <c r="P1125" s="22" t="n">
        <v>1.045</v>
      </c>
      <c r="R1125" s="117" t="n"/>
      <c r="T1125" s="117" t="n"/>
    </row>
    <row r="1126">
      <c r="A1126" s="68" t="inlineStr">
        <is>
          <t>5109-5120-5122-5128-5129-5124-5130-5133-5137-5148-6625-6628-6631-</t>
        </is>
      </c>
      <c r="B1126" s="110" t="inlineStr">
        <is>
          <t>CH JERSEY IMPORTADA lo</t>
        </is>
      </c>
      <c r="C1126" s="88" t="n">
        <v>50700</v>
      </c>
      <c r="D1126" s="88">
        <f>ROUND((C1126*1.06)/100,0)*100</f>
        <v/>
      </c>
      <c r="E1126" s="88">
        <f>ROUND((C1126*1.15)/100,0)*100</f>
        <v/>
      </c>
      <c r="F1126" s="88">
        <f>ROUND((C1126*1.23)/100,0)*100</f>
        <v/>
      </c>
      <c r="G1126" s="88">
        <f>ROUND((C1126*1.29)/100,0)*100</f>
        <v/>
      </c>
      <c r="H1126" s="88">
        <f>ROUND((C1126*1.35)/100,0)*100</f>
        <v/>
      </c>
      <c r="I1126" s="88">
        <f>ROUND((C1126*1.39)/100,0)*100</f>
        <v/>
      </c>
      <c r="J1126" s="88">
        <f>ROUND((C1126*1.39)/100,0)*100</f>
        <v/>
      </c>
      <c r="K1126" s="22">
        <f>ROUND((C1126*1.43)/100,0)*100</f>
        <v/>
      </c>
      <c r="L1126" s="22">
        <f>ROUND((C1126*1.43)/100,0)*100</f>
        <v/>
      </c>
      <c r="M1126" s="22" t="n"/>
      <c r="N1126" s="219" t="n"/>
      <c r="O1126" s="117">
        <f>C1126*P1126</f>
        <v/>
      </c>
      <c r="P1126" s="22" t="n">
        <v>1.045</v>
      </c>
      <c r="R1126" s="117" t="n"/>
      <c r="T1126" s="117" t="n"/>
    </row>
    <row r="1127">
      <c r="A1127" s="68" t="inlineStr">
        <is>
          <t>5122</t>
        </is>
      </c>
      <c r="B1127" s="110" t="inlineStr">
        <is>
          <t>AERO</t>
        </is>
      </c>
      <c r="C1127" s="88" t="n">
        <v>50700</v>
      </c>
      <c r="D1127" s="88">
        <f>ROUND((C1127*1.06)/100,0)*100</f>
        <v/>
      </c>
      <c r="E1127" s="88">
        <f>ROUND((C1127*1.15)/100,0)*100</f>
        <v/>
      </c>
      <c r="F1127" s="88">
        <f>ROUND((C1127*1.23)/100,0)*100</f>
        <v/>
      </c>
      <c r="G1127" s="88">
        <f>ROUND((C1127*1.29)/100,0)*100</f>
        <v/>
      </c>
      <c r="H1127" s="88">
        <f>ROUND((C1127*1.35)/100,0)*100</f>
        <v/>
      </c>
      <c r="I1127" s="88">
        <f>ROUND((C1127*1.39)/100,0)*100</f>
        <v/>
      </c>
      <c r="J1127" s="88">
        <f>ROUND((C1127*1.39)/100,0)*100</f>
        <v/>
      </c>
      <c r="K1127" s="22">
        <f>ROUND((C1127*1.43)/100,0)*100</f>
        <v/>
      </c>
      <c r="L1127" s="22">
        <f>ROUND((C1127*1.43)/100,0)*100</f>
        <v/>
      </c>
      <c r="M1127" s="22" t="n"/>
      <c r="N1127" s="219" t="n"/>
      <c r="O1127" s="117">
        <f>C1127*P1127</f>
        <v/>
      </c>
      <c r="P1127" s="22" t="n">
        <v>1.045</v>
      </c>
      <c r="R1127" s="117" t="n"/>
      <c r="T1127" s="117" t="n"/>
    </row>
    <row r="1128">
      <c r="A1128" s="68" t="inlineStr">
        <is>
          <t>5129</t>
        </is>
      </c>
      <c r="B1128" s="110" t="inlineStr">
        <is>
          <t>AERO</t>
        </is>
      </c>
      <c r="C1128" s="88" t="n">
        <v>50700</v>
      </c>
      <c r="D1128" s="88">
        <f>ROUND((C1128*1.06)/100,0)*100</f>
        <v/>
      </c>
      <c r="E1128" s="88">
        <f>ROUND((C1128*1.15)/100,0)*100</f>
        <v/>
      </c>
      <c r="F1128" s="88">
        <f>ROUND((C1128*1.23)/100,0)*100</f>
        <v/>
      </c>
      <c r="G1128" s="88">
        <f>ROUND((C1128*1.29)/100,0)*100</f>
        <v/>
      </c>
      <c r="H1128" s="88">
        <f>ROUND((C1128*1.35)/100,0)*100</f>
        <v/>
      </c>
      <c r="I1128" s="88">
        <f>ROUND((C1128*1.39)/100,0)*100</f>
        <v/>
      </c>
      <c r="J1128" s="88">
        <f>ROUND((C1128*1.39)/100,0)*100</f>
        <v/>
      </c>
      <c r="K1128" s="22">
        <f>ROUND((C1128*1.43)/100,0)*100</f>
        <v/>
      </c>
      <c r="L1128" s="22">
        <f>ROUND((C1128*1.43)/100,0)*100</f>
        <v/>
      </c>
      <c r="M1128" s="22" t="n"/>
      <c r="N1128" s="219" t="n"/>
      <c r="O1128" s="117">
        <f>C1128*P1128</f>
        <v/>
      </c>
      <c r="P1128" s="22" t="n">
        <v>1.045</v>
      </c>
      <c r="R1128" s="117" t="n"/>
      <c r="T1128" s="117" t="n"/>
    </row>
    <row r="1129">
      <c r="A1129" s="68" t="inlineStr">
        <is>
          <t>6107</t>
        </is>
      </c>
      <c r="B1129" s="110" t="inlineStr">
        <is>
          <t>AERO</t>
        </is>
      </c>
      <c r="C1129" s="88" t="n">
        <v>29500</v>
      </c>
      <c r="D1129" s="88">
        <f>ROUND((C1129*1.06)/100,0)*100</f>
        <v/>
      </c>
      <c r="E1129" s="88">
        <f>ROUND((C1129*1.15)/100,0)*100</f>
        <v/>
      </c>
      <c r="F1129" s="88">
        <f>ROUND((C1129*1.23)/100,0)*100</f>
        <v/>
      </c>
      <c r="G1129" s="88">
        <f>ROUND((C1129*1.29)/100,0)*100</f>
        <v/>
      </c>
      <c r="H1129" s="88">
        <f>ROUND((C1129*1.35)/100,0)*100</f>
        <v/>
      </c>
      <c r="I1129" s="88">
        <f>ROUND((C1129*1.39)/100,0)*100</f>
        <v/>
      </c>
      <c r="J1129" s="88">
        <f>ROUND((C1129*1.39)/100,0)*100</f>
        <v/>
      </c>
      <c r="K1129" s="22">
        <f>ROUND((C1129*1.43)/100,0)*100</f>
        <v/>
      </c>
      <c r="L1129" s="22">
        <f>ROUND((C1129*1.43)/100,0)*100</f>
        <v/>
      </c>
      <c r="M1129" s="88" t="n"/>
      <c r="N1129" s="219" t="n"/>
      <c r="O1129" s="117">
        <f>C1129*P1129</f>
        <v/>
      </c>
      <c r="P1129" s="22" t="n">
        <v>1.045</v>
      </c>
      <c r="R1129" s="117" t="n"/>
      <c r="T1129" s="117" t="n"/>
    </row>
    <row r="1130">
      <c r="A1130" s="68" t="inlineStr">
        <is>
          <t>62528</t>
        </is>
      </c>
      <c r="B1130" s="110" t="inlineStr">
        <is>
          <t xml:space="preserve">AERO </t>
        </is>
      </c>
      <c r="C1130" s="88" t="n">
        <v>29500</v>
      </c>
      <c r="D1130" s="88">
        <f>ROUND((C1130*1.06)/100,0)*100</f>
        <v/>
      </c>
      <c r="E1130" s="88">
        <f>ROUND((C1130*1.15)/100,0)*100</f>
        <v/>
      </c>
      <c r="F1130" s="88">
        <f>ROUND((C1130*1.23)/100,0)*100</f>
        <v/>
      </c>
      <c r="G1130" s="88">
        <f>ROUND((C1130*1.29)/100,0)*100</f>
        <v/>
      </c>
      <c r="H1130" s="88">
        <f>ROUND((C1130*1.35)/100,0)*100</f>
        <v/>
      </c>
      <c r="I1130" s="88">
        <f>ROUND((C1130*1.39)/100,0)*100</f>
        <v/>
      </c>
      <c r="J1130" s="88">
        <f>ROUND((C1130*1.39)/100,0)*100</f>
        <v/>
      </c>
      <c r="K1130" s="22">
        <f>ROUND((C1130*1.43)/100,0)*100</f>
        <v/>
      </c>
      <c r="L1130" s="22">
        <f>ROUND((C1130*1.43)/100,0)*100</f>
        <v/>
      </c>
      <c r="M1130" s="88" t="n"/>
      <c r="N1130" s="219" t="n"/>
      <c r="O1130" s="117">
        <f>C1130*P1130</f>
        <v/>
      </c>
      <c r="P1130" s="22" t="n">
        <v>1.045</v>
      </c>
      <c r="R1130" s="117" t="n"/>
      <c r="T1130" s="117" t="n"/>
    </row>
    <row r="1131">
      <c r="A1131" s="68" t="inlineStr">
        <is>
          <t>6200</t>
        </is>
      </c>
      <c r="B1131" s="110" t="inlineStr">
        <is>
          <t>CHOMBA IMPORTADA S/xxxl</t>
        </is>
      </c>
      <c r="C1131" s="88" t="n">
        <v>28900</v>
      </c>
      <c r="D1131" s="88">
        <f>ROUND((C1131*1.06)/100,0)*100</f>
        <v/>
      </c>
      <c r="E1131" s="88">
        <f>ROUND((C1131*1.15)/100,0)*100</f>
        <v/>
      </c>
      <c r="F1131" s="88">
        <f>ROUND((C1131*1.23)/100,0)*100</f>
        <v/>
      </c>
      <c r="G1131" s="88">
        <f>ROUND((C1131*1.29)/100,0)*100</f>
        <v/>
      </c>
      <c r="H1131" s="88">
        <f>ROUND((C1131*1.35)/100,0)*100</f>
        <v/>
      </c>
      <c r="I1131" s="88">
        <f>ROUND((C1131*1.39)/100,0)*100</f>
        <v/>
      </c>
      <c r="J1131" s="88">
        <f>ROUND((C1131*1.39)/100,0)*100</f>
        <v/>
      </c>
      <c r="K1131" s="22">
        <f>ROUND((C1131*1.43)/100,0)*100</f>
        <v/>
      </c>
      <c r="L1131" s="22">
        <f>ROUND((C1131*1.43)/100,0)*100</f>
        <v/>
      </c>
      <c r="M1131" s="88" t="n"/>
      <c r="N1131" s="219" t="n"/>
      <c r="O1131" s="117">
        <f>C1131*P1131</f>
        <v/>
      </c>
      <c r="P1131" s="22" t="n">
        <v>1.045</v>
      </c>
      <c r="R1131" s="117" t="n"/>
      <c r="T1131" s="117" t="n"/>
    </row>
    <row r="1132">
      <c r="A1132" s="68" t="inlineStr">
        <is>
          <t>6202</t>
        </is>
      </c>
      <c r="B1132" s="110" t="inlineStr">
        <is>
          <t>CHOMBA IMPORT 3XL-6XL</t>
        </is>
      </c>
      <c r="C1132" s="88" t="n">
        <v>33700</v>
      </c>
      <c r="D1132" s="88">
        <f>ROUND((C1132*1.06)/100,0)*100</f>
        <v/>
      </c>
      <c r="E1132" s="88">
        <f>ROUND((C1132*1.15)/100,0)*100</f>
        <v/>
      </c>
      <c r="F1132" s="88">
        <f>ROUND((C1132*1.23)/100,0)*100</f>
        <v/>
      </c>
      <c r="G1132" s="88">
        <f>ROUND((C1132*1.29)/100,0)*100</f>
        <v/>
      </c>
      <c r="H1132" s="88">
        <f>ROUND((C1132*1.35)/100,0)*100</f>
        <v/>
      </c>
      <c r="I1132" s="88">
        <f>ROUND((C1132*1.39)/100,0)*100</f>
        <v/>
      </c>
      <c r="J1132" s="88">
        <f>ROUND((C1132*1.39)/100,0)*100</f>
        <v/>
      </c>
      <c r="K1132" s="22">
        <f>ROUND((C1132*1.43)/100,0)*100</f>
        <v/>
      </c>
      <c r="L1132" s="22">
        <f>ROUND((C1132*1.43)/100,0)*100</f>
        <v/>
      </c>
      <c r="M1132" s="88" t="n"/>
      <c r="N1132" s="219" t="n"/>
      <c r="O1132" s="117">
        <f>C1132*P1132</f>
        <v/>
      </c>
      <c r="P1132" s="22" t="n">
        <v>1.045</v>
      </c>
      <c r="R1132" s="117" t="n"/>
      <c r="T1132" s="117" t="n"/>
    </row>
    <row r="1133">
      <c r="A1133" s="68" t="inlineStr">
        <is>
          <t>6268</t>
        </is>
      </c>
      <c r="B1133" s="109" t="inlineStr">
        <is>
          <t>AERO</t>
        </is>
      </c>
      <c r="C1133" s="88" t="n">
        <v>33700</v>
      </c>
      <c r="D1133" s="88">
        <f>ROUND((C1133*1.06)/100,0)*100</f>
        <v/>
      </c>
      <c r="E1133" s="88">
        <f>ROUND((C1133*1.15)/100,0)*100</f>
        <v/>
      </c>
      <c r="F1133" s="88">
        <f>ROUND((C1133*1.23)/100,0)*100</f>
        <v/>
      </c>
      <c r="G1133" s="88">
        <f>ROUND((C1133*1.29)/100,0)*100</f>
        <v/>
      </c>
      <c r="H1133" s="88">
        <f>ROUND((C1133*1.35)/100,0)*100</f>
        <v/>
      </c>
      <c r="I1133" s="88">
        <f>ROUND((C1133*1.39)/100,0)*100</f>
        <v/>
      </c>
      <c r="J1133" s="88">
        <f>ROUND((C1133*1.39)/100,0)*100</f>
        <v/>
      </c>
      <c r="K1133" s="22">
        <f>ROUND((C1133*1.43)/100,0)*100</f>
        <v/>
      </c>
      <c r="L1133" s="22">
        <f>ROUND((C1133*1.43)/100,0)*100</f>
        <v/>
      </c>
      <c r="M1133" s="88" t="n"/>
      <c r="N1133" s="219" t="n"/>
      <c r="O1133" s="117">
        <f>C1133*P1133</f>
        <v/>
      </c>
      <c r="P1133" s="22" t="n">
        <v>1.045</v>
      </c>
      <c r="R1133" s="117" t="n"/>
      <c r="T1133" s="117" t="n"/>
    </row>
    <row r="1134">
      <c r="A1134" s="68" t="inlineStr">
        <is>
          <t>6576</t>
        </is>
      </c>
      <c r="B1134" s="110" t="inlineStr">
        <is>
          <t>CH MANGA CORTA</t>
        </is>
      </c>
      <c r="C1134" s="88" t="n">
        <v>36600</v>
      </c>
      <c r="D1134" s="88">
        <f>ROUND((C1134*1.06)/100,0)*100</f>
        <v/>
      </c>
      <c r="E1134" s="88">
        <f>ROUND((C1134*1.15)/100,0)*100</f>
        <v/>
      </c>
      <c r="F1134" s="88">
        <f>ROUND((C1134*1.23)/100,0)*100</f>
        <v/>
      </c>
      <c r="G1134" s="88">
        <f>ROUND((C1134*1.29)/100,0)*100</f>
        <v/>
      </c>
      <c r="H1134" s="88">
        <f>ROUND((C1134*1.35)/100,0)*100</f>
        <v/>
      </c>
      <c r="I1134" s="88">
        <f>ROUND((C1134*1.39)/100,0)*100</f>
        <v/>
      </c>
      <c r="J1134" s="88">
        <f>ROUND((C1134*1.39)/100,0)*100</f>
        <v/>
      </c>
      <c r="K1134" s="22">
        <f>ROUND((C1134*1.43)/100,0)*100</f>
        <v/>
      </c>
      <c r="L1134" s="22">
        <f>ROUND((C1134*1.43)/100,0)*100</f>
        <v/>
      </c>
      <c r="M1134" s="88" t="n"/>
      <c r="N1134" s="219" t="n"/>
      <c r="O1134" s="117">
        <f>C1134*P1134</f>
        <v/>
      </c>
      <c r="P1134" s="22" t="n">
        <v>1.045</v>
      </c>
      <c r="R1134" s="117" t="n"/>
      <c r="T1134" s="117" t="n"/>
    </row>
    <row r="1135">
      <c r="A1135" s="68" t="inlineStr">
        <is>
          <t>6616</t>
        </is>
      </c>
      <c r="B1135" s="110" t="inlineStr">
        <is>
          <t>AERO CHOMBA</t>
        </is>
      </c>
      <c r="C1135" s="88" t="n">
        <v>35000</v>
      </c>
      <c r="D1135" s="88">
        <f>ROUND((C1135*1.06)/100,0)*100</f>
        <v/>
      </c>
      <c r="E1135" s="88">
        <f>ROUND((C1135*1.15)/100,0)*100</f>
        <v/>
      </c>
      <c r="F1135" s="88">
        <f>ROUND((C1135*1.23)/100,0)*100</f>
        <v/>
      </c>
      <c r="G1135" s="88">
        <f>ROUND((C1135*1.29)/100,0)*100</f>
        <v/>
      </c>
      <c r="H1135" s="88">
        <f>ROUND((C1135*1.35)/100,0)*100</f>
        <v/>
      </c>
      <c r="I1135" s="88">
        <f>ROUND((C1135*1.39)/100,0)*100</f>
        <v/>
      </c>
      <c r="J1135" s="88">
        <f>ROUND((C1135*1.39)/100,0)*100</f>
        <v/>
      </c>
      <c r="K1135" s="22">
        <f>ROUND((C1135*1.43)/100,0)*100</f>
        <v/>
      </c>
      <c r="L1135" s="22">
        <f>ROUND((C1135*1.43)/100,0)*100</f>
        <v/>
      </c>
      <c r="M1135" s="88" t="n"/>
      <c r="N1135" s="219" t="n"/>
      <c r="O1135" s="117">
        <f>C1135*P1135</f>
        <v/>
      </c>
      <c r="P1135" s="22" t="n">
        <v>1.045</v>
      </c>
      <c r="R1135" s="117" t="n"/>
      <c r="T1135" s="117" t="n"/>
    </row>
    <row r="1136">
      <c r="A1136" s="68" t="inlineStr">
        <is>
          <t>NEO7303</t>
        </is>
      </c>
      <c r="B1136" s="110" t="inlineStr">
        <is>
          <t>AERO CHOMBA</t>
        </is>
      </c>
      <c r="C1136" s="88" t="n">
        <v>51100</v>
      </c>
      <c r="D1136" s="88">
        <f>ROUND((C1136*1.06)/100,0)*100</f>
        <v/>
      </c>
      <c r="E1136" s="88">
        <f>ROUND((C1136*1.15)/100,0)*100</f>
        <v/>
      </c>
      <c r="F1136" s="88">
        <f>ROUND((C1136*1.23)/100,0)*100</f>
        <v/>
      </c>
      <c r="G1136" s="88">
        <f>ROUND((C1136*1.29)/100,0)*100</f>
        <v/>
      </c>
      <c r="H1136" s="88">
        <f>ROUND((C1136*1.35)/100,0)*100</f>
        <v/>
      </c>
      <c r="I1136" s="88">
        <f>ROUND((C1136*1.39)/100,0)*100</f>
        <v/>
      </c>
      <c r="J1136" s="88">
        <f>ROUND((C1136*1.39)/100,0)*100</f>
        <v/>
      </c>
      <c r="K1136" s="22">
        <f>ROUND((C1136*1.43)/100,0)*100</f>
        <v/>
      </c>
      <c r="L1136" s="22">
        <f>ROUND((C1136*1.43)/100,0)*100</f>
        <v/>
      </c>
      <c r="M1136" s="88" t="n"/>
      <c r="N1136" s="219" t="n"/>
      <c r="O1136" s="117">
        <f>C1136*P1136</f>
        <v/>
      </c>
      <c r="P1136" s="22" t="n">
        <v>1.045</v>
      </c>
      <c r="R1136" s="117" t="n"/>
      <c r="T1136" s="117" t="n"/>
    </row>
    <row r="1137">
      <c r="A1137" s="68" t="inlineStr">
        <is>
          <t>3312</t>
        </is>
      </c>
      <c r="B1137" s="109" t="inlineStr">
        <is>
          <t>CHOMBA JERSEY RAYADA C/BOLSILLO M/C</t>
        </is>
      </c>
      <c r="C1137" s="88" t="n">
        <v>24700</v>
      </c>
      <c r="D1137" s="88">
        <f>ROUND((C1137*1.06)/100,0)*100</f>
        <v/>
      </c>
      <c r="E1137" s="88">
        <f>ROUND((C1137*1.15)/100,0)*100</f>
        <v/>
      </c>
      <c r="F1137" s="88">
        <f>ROUND((C1137*1.23)/100,0)*100</f>
        <v/>
      </c>
      <c r="G1137" s="88">
        <f>ROUND((C1137*1.29)/100,0)*100</f>
        <v/>
      </c>
      <c r="H1137" s="88">
        <f>ROUND((C1137*1.35)/100,0)*100</f>
        <v/>
      </c>
      <c r="I1137" s="88">
        <f>ROUND((C1137*1.39)/100,0)*100</f>
        <v/>
      </c>
      <c r="J1137" s="88">
        <f>ROUND((C1137*1.39)/100,0)*100</f>
        <v/>
      </c>
      <c r="K1137" s="22">
        <f>ROUND((C1137*1.43)/100,0)*100</f>
        <v/>
      </c>
      <c r="L1137" s="22">
        <f>ROUND((C1137*1.43)/100,0)*100</f>
        <v/>
      </c>
      <c r="M1137" s="88" t="n"/>
      <c r="N1137" s="219" t="n"/>
      <c r="O1137" s="117">
        <f>C1137*P1137</f>
        <v/>
      </c>
      <c r="P1137" s="22" t="n">
        <v>1.045</v>
      </c>
      <c r="R1137" s="117" t="n"/>
      <c r="T1137" s="117" t="n"/>
    </row>
    <row r="1138">
      <c r="A1138" s="68" t="inlineStr">
        <is>
          <t>3412/3512</t>
        </is>
      </c>
      <c r="B1138" s="109" t="inlineStr">
        <is>
          <t>CHOMBA JERSEY RAYADA C/BOLSILLO M/C</t>
        </is>
      </c>
      <c r="C1138" s="88" t="n">
        <v>24700</v>
      </c>
      <c r="D1138" s="88">
        <f>ROUND((C1138*1.06)/100,0)*100</f>
        <v/>
      </c>
      <c r="E1138" s="88">
        <f>ROUND((C1138*1.15)/100,0)*100</f>
        <v/>
      </c>
      <c r="F1138" s="88">
        <f>ROUND((C1138*1.23)/100,0)*100</f>
        <v/>
      </c>
      <c r="G1138" s="88">
        <f>ROUND((C1138*1.29)/100,0)*100</f>
        <v/>
      </c>
      <c r="H1138" s="88">
        <f>ROUND((C1138*1.35)/100,0)*100</f>
        <v/>
      </c>
      <c r="I1138" s="88">
        <f>ROUND((C1138*1.39)/100,0)*100</f>
        <v/>
      </c>
      <c r="J1138" s="88">
        <f>ROUND((C1138*1.39)/100,0)*100</f>
        <v/>
      </c>
      <c r="K1138" s="22">
        <f>ROUND((C1138*1.43)/100,0)*100</f>
        <v/>
      </c>
      <c r="L1138" s="22">
        <f>ROUND((C1138*1.43)/100,0)*100</f>
        <v/>
      </c>
      <c r="M1138" s="88" t="n"/>
      <c r="N1138" s="219" t="n"/>
      <c r="O1138" s="117">
        <f>C1138*P1138</f>
        <v/>
      </c>
      <c r="P1138" s="22" t="n">
        <v>1.045</v>
      </c>
      <c r="R1138" s="117" t="n"/>
      <c r="T1138" s="117" t="n"/>
    </row>
    <row r="1139">
      <c r="A1139" s="134" t="inlineStr">
        <is>
          <t>31-01708</t>
        </is>
      </c>
      <c r="B1139" s="110" t="inlineStr">
        <is>
          <t>FUS   CHOMBA</t>
        </is>
      </c>
      <c r="C1139" s="88" t="n">
        <v>52700</v>
      </c>
      <c r="D1139" s="88" t="n"/>
      <c r="E1139" s="22" t="n"/>
      <c r="F1139" s="22" t="n"/>
      <c r="G1139" s="22" t="n"/>
      <c r="H1139" s="22" t="n"/>
      <c r="I1139" s="22" t="n"/>
      <c r="J1139" s="22" t="n"/>
      <c r="K1139" s="22" t="n"/>
      <c r="L1139" s="22" t="n"/>
      <c r="M1139" s="22" t="n"/>
      <c r="N1139" s="219" t="n"/>
      <c r="O1139" s="117">
        <f>C1139*P1139</f>
        <v/>
      </c>
      <c r="P1139" s="22" t="n">
        <v>1.045</v>
      </c>
      <c r="R1139" s="117" t="n"/>
      <c r="T1139" s="117" t="n"/>
    </row>
    <row r="1140">
      <c r="A1140" s="134" t="inlineStr">
        <is>
          <t>31-34108</t>
        </is>
      </c>
      <c r="B1140" s="110" t="inlineStr">
        <is>
          <t>FUS   CHOMBA</t>
        </is>
      </c>
      <c r="C1140" s="88" t="n">
        <v>52700</v>
      </c>
      <c r="D1140" s="88" t="n"/>
      <c r="E1140" s="22" t="n"/>
      <c r="F1140" s="22" t="n"/>
      <c r="G1140" s="22" t="n"/>
      <c r="H1140" s="22" t="n"/>
      <c r="I1140" s="22" t="n"/>
      <c r="J1140" s="22" t="n"/>
      <c r="K1140" s="22" t="n"/>
      <c r="L1140" s="22" t="n"/>
      <c r="M1140" s="22" t="n"/>
      <c r="N1140" s="219" t="n"/>
      <c r="O1140" s="117">
        <f>C1140*P1140</f>
        <v/>
      </c>
      <c r="P1140" s="22" t="n">
        <v>1.045</v>
      </c>
      <c r="R1140" s="117" t="n"/>
      <c r="T1140" s="117" t="n"/>
    </row>
    <row r="1141">
      <c r="A1141" s="134" t="inlineStr">
        <is>
          <t>31-388</t>
        </is>
      </c>
      <c r="B1141" s="110" t="inlineStr">
        <is>
          <t>FUS   CHOMBA</t>
        </is>
      </c>
      <c r="C1141" s="88" t="n">
        <v>52700</v>
      </c>
      <c r="D1141" s="88" t="n"/>
      <c r="E1141" s="22" t="n"/>
      <c r="F1141" s="22" t="n"/>
      <c r="G1141" s="22" t="n"/>
      <c r="H1141" s="22" t="n"/>
      <c r="I1141" s="22" t="n"/>
      <c r="J1141" s="22" t="n"/>
      <c r="K1141" s="22" t="n"/>
      <c r="L1141" s="22" t="n"/>
      <c r="M1141" s="22" t="n"/>
      <c r="N1141" s="219" t="n"/>
      <c r="O1141" s="117">
        <f>C1141*P1141</f>
        <v/>
      </c>
      <c r="P1141" s="22" t="n">
        <v>1.045</v>
      </c>
      <c r="R1141" s="117" t="n"/>
      <c r="T1141" s="117" t="n"/>
    </row>
    <row r="1142">
      <c r="A1142" s="134" t="inlineStr">
        <is>
          <t>31-34308</t>
        </is>
      </c>
      <c r="B1142" s="110" t="inlineStr">
        <is>
          <t>FUS   CHOMBA</t>
        </is>
      </c>
      <c r="C1142" s="88" t="n">
        <v>52700</v>
      </c>
      <c r="D1142" s="88" t="n"/>
      <c r="E1142" s="22" t="n"/>
      <c r="F1142" s="22" t="n"/>
      <c r="G1142" s="22" t="n"/>
      <c r="H1142" s="22" t="n"/>
      <c r="I1142" s="22" t="n"/>
      <c r="J1142" s="22" t="n"/>
      <c r="K1142" s="22" t="n"/>
      <c r="L1142" s="22" t="n"/>
      <c r="M1142" s="22" t="n"/>
      <c r="N1142" s="219" t="n"/>
      <c r="O1142" s="117">
        <f>C1142*P1142</f>
        <v/>
      </c>
      <c r="P1142" s="22" t="n">
        <v>1.045</v>
      </c>
      <c r="R1142" s="117" t="n"/>
      <c r="T1142" s="117" t="n"/>
    </row>
    <row r="1143">
      <c r="A1143" s="134" t="inlineStr">
        <is>
          <t>31-34608</t>
        </is>
      </c>
      <c r="B1143" s="110" t="inlineStr">
        <is>
          <t>FUS   CHOMBA</t>
        </is>
      </c>
      <c r="C1143" s="88" t="n">
        <v>52700</v>
      </c>
      <c r="D1143" s="88" t="n"/>
      <c r="E1143" s="22" t="n"/>
      <c r="F1143" s="22" t="n"/>
      <c r="G1143" s="22" t="n"/>
      <c r="H1143" s="22" t="n"/>
      <c r="I1143" s="22" t="n"/>
      <c r="J1143" s="22" t="n"/>
      <c r="K1143" s="22" t="n"/>
      <c r="L1143" s="22" t="n"/>
      <c r="M1143" s="22" t="n"/>
      <c r="N1143" s="219" t="n"/>
      <c r="O1143" s="117">
        <f>C1143*P1143</f>
        <v/>
      </c>
      <c r="P1143" s="22" t="n">
        <v>1.045</v>
      </c>
      <c r="R1143" s="117" t="n"/>
      <c r="T1143" s="117" t="n"/>
    </row>
    <row r="1144">
      <c r="A1144" s="134" t="inlineStr">
        <is>
          <t>31-38708</t>
        </is>
      </c>
      <c r="B1144" s="110" t="inlineStr">
        <is>
          <t>FUS   CHOMBA</t>
        </is>
      </c>
      <c r="C1144" s="88" t="n">
        <v>52700</v>
      </c>
      <c r="D1144" s="88" t="n"/>
      <c r="E1144" s="22" t="n"/>
      <c r="F1144" s="22" t="n"/>
      <c r="G1144" s="22" t="n"/>
      <c r="H1144" s="22" t="n"/>
      <c r="I1144" s="22" t="n"/>
      <c r="J1144" s="22" t="n"/>
      <c r="K1144" s="22" t="n"/>
      <c r="L1144" s="22" t="n"/>
      <c r="M1144" s="22" t="n"/>
      <c r="N1144" s="219" t="n"/>
      <c r="O1144" s="117">
        <f>C1144*P1144</f>
        <v/>
      </c>
      <c r="P1144" s="22" t="n">
        <v>1.045</v>
      </c>
      <c r="R1144" s="117" t="n"/>
      <c r="T1144" s="117" t="n"/>
    </row>
    <row r="1145">
      <c r="A1145" s="134" t="inlineStr">
        <is>
          <t>31-41508</t>
        </is>
      </c>
      <c r="B1145" s="110" t="inlineStr">
        <is>
          <t>FUS   CHOMBA</t>
        </is>
      </c>
      <c r="C1145" s="88" t="n">
        <v>52700</v>
      </c>
      <c r="D1145" s="88" t="n"/>
      <c r="E1145" s="22" t="n"/>
      <c r="F1145" s="22" t="n"/>
      <c r="G1145" s="22" t="n"/>
      <c r="H1145" s="22" t="n"/>
      <c r="I1145" s="22" t="n"/>
      <c r="J1145" s="22" t="n"/>
      <c r="K1145" s="22" t="n"/>
      <c r="L1145" s="22" t="n"/>
      <c r="M1145" s="22" t="n"/>
      <c r="N1145" s="219" t="n"/>
      <c r="O1145" s="117">
        <f>C1145*P1145</f>
        <v/>
      </c>
      <c r="P1145" s="22" t="n">
        <v>1.045</v>
      </c>
      <c r="R1145" s="117" t="n"/>
      <c r="T1145" s="117" t="n"/>
    </row>
    <row r="1146">
      <c r="A1146" s="89" t="inlineStr">
        <is>
          <t>48707901</t>
        </is>
      </c>
      <c r="B1146" s="248" t="inlineStr">
        <is>
          <t>WRANGLER DEREK POLO</t>
        </is>
      </c>
      <c r="C1146" s="88" t="n">
        <v>56200</v>
      </c>
      <c r="D1146" s="88" t="n"/>
      <c r="E1146" s="22" t="n"/>
      <c r="F1146" s="22" t="n"/>
      <c r="G1146" s="22" t="n"/>
      <c r="H1146" s="22" t="n"/>
      <c r="I1146" s="22" t="n"/>
      <c r="J1146" s="22" t="n"/>
      <c r="K1146" s="22" t="n"/>
      <c r="L1146" s="22" t="n"/>
      <c r="M1146" s="22" t="n"/>
      <c r="N1146" s="88" t="n"/>
      <c r="O1146" s="117">
        <f>C1146*P1146</f>
        <v/>
      </c>
      <c r="P1146" s="22" t="n">
        <v>1.045</v>
      </c>
      <c r="R1146" s="117" t="n"/>
      <c r="T1146" s="117" t="n"/>
    </row>
    <row r="1147">
      <c r="A1147" s="134" t="inlineStr">
        <is>
          <t>48703701</t>
        </is>
      </c>
      <c r="B1147" s="248" t="inlineStr">
        <is>
          <t>WRANGLER WILLIAM POLO</t>
        </is>
      </c>
      <c r="C1147" s="88" t="n">
        <v>56200</v>
      </c>
      <c r="D1147" s="88" t="n"/>
      <c r="E1147" s="22" t="n"/>
      <c r="F1147" s="22" t="n"/>
      <c r="G1147" s="22" t="n"/>
      <c r="H1147" s="22" t="n"/>
      <c r="I1147" s="22" t="n"/>
      <c r="J1147" s="22" t="n"/>
      <c r="K1147" s="22" t="n"/>
      <c r="L1147" s="22" t="n"/>
      <c r="M1147" s="22" t="n"/>
      <c r="N1147" s="219" t="n"/>
      <c r="O1147" s="117">
        <f>C1147*P1147</f>
        <v/>
      </c>
      <c r="P1147" s="22" t="n">
        <v>1.045</v>
      </c>
      <c r="R1147" s="117" t="n"/>
      <c r="T1147" s="117" t="n"/>
    </row>
    <row r="1148">
      <c r="A1148" s="134" t="inlineStr">
        <is>
          <t>48705901</t>
        </is>
      </c>
      <c r="B1148" s="248" t="inlineStr">
        <is>
          <t>WRANGLER WILLIAM POLO</t>
        </is>
      </c>
      <c r="C1148" s="88" t="n">
        <v>62000</v>
      </c>
      <c r="D1148" s="88" t="n"/>
      <c r="E1148" s="22" t="n"/>
      <c r="F1148" s="22" t="n"/>
      <c r="G1148" s="22" t="n"/>
      <c r="H1148" s="22" t="n"/>
      <c r="I1148" s="22" t="n"/>
      <c r="J1148" s="22" t="n"/>
      <c r="K1148" s="22" t="n"/>
      <c r="L1148" s="22" t="n"/>
      <c r="M1148" s="22" t="n"/>
      <c r="N1148" s="219" t="n"/>
      <c r="O1148" s="117">
        <f>C1148*P1148</f>
        <v/>
      </c>
      <c r="P1148" s="22" t="n">
        <v>1.045</v>
      </c>
      <c r="R1148" s="117" t="n"/>
      <c r="T1148" s="117" t="n"/>
    </row>
    <row r="1149">
      <c r="A1149" s="134" t="inlineStr">
        <is>
          <t>14062</t>
        </is>
      </c>
      <c r="B1149" s="246" t="inlineStr">
        <is>
          <t>TAVERNITI   CHOMBA M/C</t>
        </is>
      </c>
      <c r="C1149" s="219" t="n">
        <v>48400</v>
      </c>
      <c r="D1149" s="219" t="n"/>
      <c r="E1149" s="219" t="n"/>
      <c r="F1149" s="219" t="n"/>
      <c r="G1149" s="219" t="n"/>
      <c r="H1149" s="219" t="n"/>
      <c r="I1149" s="219" t="n"/>
      <c r="J1149" s="219" t="n"/>
      <c r="K1149" s="219" t="n"/>
      <c r="L1149" s="183" t="n"/>
      <c r="M1149" s="219" t="n"/>
      <c r="N1149" s="219" t="n"/>
      <c r="O1149" s="117">
        <f>C1149*P1149</f>
        <v/>
      </c>
      <c r="P1149" s="22" t="n">
        <v>1.045</v>
      </c>
      <c r="R1149" s="117" t="n"/>
      <c r="T1149" s="117" t="n"/>
    </row>
    <row r="1150">
      <c r="A1150" s="134" t="inlineStr">
        <is>
          <t>14068</t>
        </is>
      </c>
      <c r="B1150" s="246" t="inlineStr">
        <is>
          <t>TAVERNITI   CHOMBA M/C</t>
        </is>
      </c>
      <c r="C1150" s="219" t="n">
        <v>45300</v>
      </c>
      <c r="D1150" s="219" t="n"/>
      <c r="E1150" s="219" t="n"/>
      <c r="F1150" s="219" t="n"/>
      <c r="G1150" s="219" t="n"/>
      <c r="H1150" s="219" t="n"/>
      <c r="I1150" s="219" t="n"/>
      <c r="J1150" s="219" t="n"/>
      <c r="K1150" s="219" t="n"/>
      <c r="L1150" s="183" t="n"/>
      <c r="M1150" s="219" t="n"/>
      <c r="N1150" s="219" t="n"/>
      <c r="O1150" s="117">
        <f>C1150*P1150</f>
        <v/>
      </c>
      <c r="P1150" s="22" t="n">
        <v>1.045</v>
      </c>
      <c r="R1150" s="117" t="n"/>
      <c r="T1150" s="117" t="n"/>
    </row>
    <row r="1151">
      <c r="A1151" s="134" t="inlineStr">
        <is>
          <t>14070</t>
        </is>
      </c>
      <c r="B1151" s="246" t="inlineStr">
        <is>
          <t>TAVERNITI   CHOMBA M/C</t>
        </is>
      </c>
      <c r="C1151" s="219" t="n">
        <v>45300</v>
      </c>
      <c r="D1151" s="219" t="n"/>
      <c r="E1151" s="219" t="n"/>
      <c r="F1151" s="219" t="n"/>
      <c r="G1151" s="219" t="n"/>
      <c r="H1151" s="219" t="n"/>
      <c r="I1151" s="219" t="n"/>
      <c r="J1151" s="219" t="n"/>
      <c r="K1151" s="219" t="n"/>
      <c r="L1151" s="183" t="n"/>
      <c r="M1151" s="219" t="n"/>
      <c r="N1151" s="219" t="n"/>
      <c r="O1151" s="117">
        <f>C1151*P1151</f>
        <v/>
      </c>
      <c r="P1151" s="22" t="n">
        <v>1.045</v>
      </c>
      <c r="R1151" s="117" t="n"/>
      <c r="T1151" s="117" t="n"/>
    </row>
    <row r="1152">
      <c r="A1152" s="134" t="inlineStr">
        <is>
          <t>14072</t>
        </is>
      </c>
      <c r="B1152" s="246" t="inlineStr">
        <is>
          <t>TAVERNITI   CHOMBA M/C</t>
        </is>
      </c>
      <c r="C1152" s="219" t="n">
        <v>46500</v>
      </c>
      <c r="D1152" s="219" t="n"/>
      <c r="E1152" s="219" t="n"/>
      <c r="F1152" s="219" t="n"/>
      <c r="G1152" s="219" t="n"/>
      <c r="H1152" s="219" t="n"/>
      <c r="I1152" s="219" t="n"/>
      <c r="J1152" s="219" t="n"/>
      <c r="K1152" s="219" t="n"/>
      <c r="L1152" s="183" t="n"/>
      <c r="M1152" s="219" t="n"/>
      <c r="N1152" s="219" t="n"/>
      <c r="O1152" s="117">
        <f>C1152*P1152</f>
        <v/>
      </c>
      <c r="P1152" s="22" t="n">
        <v>1.045</v>
      </c>
      <c r="R1152" s="117" t="n"/>
      <c r="T1152" s="117" t="n"/>
    </row>
    <row r="1153">
      <c r="A1153" s="134" t="inlineStr">
        <is>
          <t>14074</t>
        </is>
      </c>
      <c r="B1153" s="246" t="inlineStr">
        <is>
          <t>TAVERNITI   CHOMBA M/C</t>
        </is>
      </c>
      <c r="C1153" s="219" t="n">
        <v>61800</v>
      </c>
      <c r="D1153" s="219" t="n"/>
      <c r="E1153" s="219" t="n"/>
      <c r="F1153" s="219" t="n"/>
      <c r="G1153" s="219" t="n"/>
      <c r="H1153" s="219" t="n"/>
      <c r="I1153" s="219" t="n"/>
      <c r="J1153" s="219" t="n"/>
      <c r="K1153" s="219" t="n"/>
      <c r="L1153" s="183" t="n"/>
      <c r="M1153" s="219" t="n"/>
      <c r="N1153" s="219" t="n"/>
      <c r="O1153" s="117">
        <f>C1153*P1153</f>
        <v/>
      </c>
      <c r="P1153" s="22" t="n">
        <v>1.045</v>
      </c>
      <c r="R1153" s="117" t="n"/>
      <c r="T1153" s="117" t="n"/>
    </row>
    <row r="1154">
      <c r="A1154" s="134" t="inlineStr">
        <is>
          <t>14076</t>
        </is>
      </c>
      <c r="B1154" s="246" t="inlineStr">
        <is>
          <t>TAVERNITI   CHOMBA M/C</t>
        </is>
      </c>
      <c r="C1154" s="219" t="n">
        <v>65700</v>
      </c>
      <c r="D1154" s="219" t="n"/>
      <c r="E1154" s="219" t="n"/>
      <c r="F1154" s="219" t="n"/>
      <c r="G1154" s="219" t="n"/>
      <c r="H1154" s="219" t="n"/>
      <c r="I1154" s="219" t="n"/>
      <c r="J1154" s="219" t="n"/>
      <c r="K1154" s="219" t="n"/>
      <c r="L1154" s="183" t="n"/>
      <c r="M1154" s="219" t="n"/>
      <c r="N1154" s="219" t="n"/>
      <c r="O1154" s="117">
        <f>C1154*P1154</f>
        <v/>
      </c>
      <c r="P1154" s="22" t="n">
        <v>1.045</v>
      </c>
      <c r="R1154" s="117" t="n"/>
      <c r="T1154" s="117" t="n"/>
    </row>
    <row r="1155">
      <c r="A1155" s="134" t="inlineStr">
        <is>
          <t>14078</t>
        </is>
      </c>
      <c r="B1155" s="246" t="inlineStr">
        <is>
          <t>TAVERNITI   CHOMBA M/C</t>
        </is>
      </c>
      <c r="C1155" s="219" t="n">
        <v>65700</v>
      </c>
      <c r="D1155" s="219" t="n"/>
      <c r="E1155" s="219" t="n"/>
      <c r="F1155" s="219" t="n"/>
      <c r="G1155" s="219" t="n"/>
      <c r="H1155" s="219" t="n"/>
      <c r="I1155" s="219" t="n"/>
      <c r="J1155" s="219" t="n"/>
      <c r="K1155" s="219" t="n"/>
      <c r="L1155" s="183" t="n"/>
      <c r="M1155" s="219" t="n"/>
      <c r="N1155" s="219" t="n"/>
      <c r="O1155" s="117">
        <f>C1155*P1155</f>
        <v/>
      </c>
      <c r="P1155" s="22" t="n">
        <v>1.045</v>
      </c>
      <c r="R1155" s="117" t="n"/>
      <c r="T1155" s="117" t="n"/>
    </row>
    <row r="1156">
      <c r="A1156" s="134" t="inlineStr">
        <is>
          <t>14080</t>
        </is>
      </c>
      <c r="B1156" s="246" t="inlineStr">
        <is>
          <t>TAVERNITI   CHOMBA M/C</t>
        </is>
      </c>
      <c r="C1156" s="219" t="n">
        <v>65700</v>
      </c>
      <c r="D1156" s="219" t="n"/>
      <c r="E1156" s="219" t="n"/>
      <c r="F1156" s="219" t="n"/>
      <c r="G1156" s="219" t="n"/>
      <c r="H1156" s="219" t="n"/>
      <c r="I1156" s="219" t="n"/>
      <c r="J1156" s="219" t="n"/>
      <c r="K1156" s="219" t="n"/>
      <c r="L1156" s="183" t="n"/>
      <c r="M1156" s="219" t="n"/>
      <c r="N1156" s="219" t="n"/>
      <c r="O1156" s="117">
        <f>C1156*P1156</f>
        <v/>
      </c>
      <c r="P1156" s="22" t="n">
        <v>1.045</v>
      </c>
      <c r="R1156" s="117" t="n"/>
      <c r="T1156" s="117" t="n"/>
    </row>
    <row r="1157">
      <c r="A1157" s="134" t="inlineStr">
        <is>
          <t>14082</t>
        </is>
      </c>
      <c r="B1157" s="246" t="inlineStr">
        <is>
          <t>TAVERNITI   CHOMBA M/C</t>
        </is>
      </c>
      <c r="C1157" s="219" t="n">
        <v>65700</v>
      </c>
      <c r="D1157" s="219" t="n"/>
      <c r="E1157" s="219" t="n"/>
      <c r="F1157" s="219" t="n"/>
      <c r="G1157" s="219" t="n"/>
      <c r="H1157" s="219" t="n"/>
      <c r="I1157" s="219" t="n"/>
      <c r="J1157" s="219" t="n"/>
      <c r="K1157" s="219" t="n"/>
      <c r="L1157" s="183" t="n"/>
      <c r="M1157" s="219" t="n"/>
      <c r="N1157" s="219" t="n"/>
      <c r="O1157" s="117">
        <f>C1157*P1157</f>
        <v/>
      </c>
      <c r="P1157" s="22" t="n">
        <v>1.045</v>
      </c>
      <c r="R1157" s="117" t="n"/>
      <c r="T1157" s="117" t="n"/>
    </row>
    <row r="1158">
      <c r="A1158" s="134" t="inlineStr">
        <is>
          <t>14084</t>
        </is>
      </c>
      <c r="B1158" s="246" t="inlineStr">
        <is>
          <t>TAVERNITI   CHOMBA M/C</t>
        </is>
      </c>
      <c r="C1158" s="219" t="n">
        <v>65700</v>
      </c>
      <c r="D1158" s="219" t="n"/>
      <c r="E1158" s="219" t="n"/>
      <c r="F1158" s="219" t="n"/>
      <c r="G1158" s="219" t="n"/>
      <c r="H1158" s="219" t="n"/>
      <c r="I1158" s="219" t="n"/>
      <c r="J1158" s="219" t="n"/>
      <c r="K1158" s="219" t="n"/>
      <c r="L1158" s="183" t="n"/>
      <c r="M1158" s="219" t="n"/>
      <c r="N1158" s="219" t="n"/>
      <c r="O1158" s="117">
        <f>C1158*P1158</f>
        <v/>
      </c>
      <c r="P1158" s="22" t="n">
        <v>1.045</v>
      </c>
      <c r="R1158" s="117" t="n"/>
      <c r="T1158" s="117" t="n"/>
    </row>
    <row r="1159">
      <c r="A1159" s="134" t="inlineStr">
        <is>
          <t>14086</t>
        </is>
      </c>
      <c r="B1159" s="246" t="inlineStr">
        <is>
          <t>TAVERNITI   CHOMBA M/C</t>
        </is>
      </c>
      <c r="C1159" s="219" t="n">
        <v>65700</v>
      </c>
      <c r="D1159" s="219" t="n"/>
      <c r="E1159" s="219" t="n"/>
      <c r="F1159" s="219" t="n"/>
      <c r="G1159" s="219" t="n"/>
      <c r="H1159" s="219" t="n"/>
      <c r="I1159" s="219" t="n"/>
      <c r="J1159" s="219" t="n"/>
      <c r="K1159" s="219" t="n"/>
      <c r="L1159" s="183" t="n"/>
      <c r="M1159" s="219" t="n"/>
      <c r="N1159" s="219" t="n"/>
      <c r="O1159" s="117">
        <f>C1159*P1159</f>
        <v/>
      </c>
      <c r="P1159" s="22" t="n">
        <v>1.045</v>
      </c>
      <c r="R1159" s="117" t="n"/>
      <c r="T1159" s="117" t="n"/>
    </row>
    <row r="1160">
      <c r="A1160" s="134" t="inlineStr">
        <is>
          <t>14088</t>
        </is>
      </c>
      <c r="B1160" s="246" t="inlineStr">
        <is>
          <t>TAVERNITI   CHOMBA M/C</t>
        </is>
      </c>
      <c r="C1160" s="219" t="n">
        <v>65700</v>
      </c>
      <c r="D1160" s="219" t="n"/>
      <c r="E1160" s="219" t="n"/>
      <c r="F1160" s="219" t="n"/>
      <c r="G1160" s="219" t="n"/>
      <c r="H1160" s="219" t="n"/>
      <c r="I1160" s="219" t="n"/>
      <c r="J1160" s="219" t="n"/>
      <c r="K1160" s="219" t="n"/>
      <c r="L1160" s="183" t="n"/>
      <c r="M1160" s="219" t="n"/>
      <c r="N1160" s="219" t="n"/>
      <c r="O1160" s="117">
        <f>C1160*P1160</f>
        <v/>
      </c>
      <c r="P1160" s="22" t="n">
        <v>1.045</v>
      </c>
      <c r="R1160" s="117" t="n"/>
      <c r="T1160" s="117" t="n"/>
    </row>
    <row r="1161">
      <c r="A1161" s="134" t="inlineStr">
        <is>
          <t>14090</t>
        </is>
      </c>
      <c r="B1161" s="246" t="inlineStr">
        <is>
          <t>TAVERNITI   CHOMBA M/C</t>
        </is>
      </c>
      <c r="C1161" s="219" t="n">
        <v>65700</v>
      </c>
      <c r="D1161" s="219" t="n"/>
      <c r="E1161" s="219" t="n"/>
      <c r="F1161" s="219" t="n"/>
      <c r="G1161" s="219" t="n"/>
      <c r="H1161" s="219" t="n"/>
      <c r="I1161" s="219" t="n"/>
      <c r="J1161" s="219" t="n"/>
      <c r="K1161" s="219" t="n"/>
      <c r="L1161" s="183" t="n"/>
      <c r="M1161" s="219" t="n"/>
      <c r="N1161" s="219" t="n"/>
      <c r="O1161" s="117">
        <f>C1161*P1161</f>
        <v/>
      </c>
      <c r="P1161" s="22" t="n">
        <v>1.045</v>
      </c>
      <c r="R1161" s="117" t="n"/>
      <c r="T1161" s="117" t="n"/>
    </row>
    <row r="1162">
      <c r="A1162" s="134" t="inlineStr">
        <is>
          <t>14092</t>
        </is>
      </c>
      <c r="B1162" s="246" t="inlineStr">
        <is>
          <t>TAVERNITI   CHOMBA M/C</t>
        </is>
      </c>
      <c r="C1162" s="219" t="n">
        <v>61200</v>
      </c>
      <c r="D1162" s="219" t="n"/>
      <c r="E1162" s="219" t="n"/>
      <c r="F1162" s="219" t="n"/>
      <c r="G1162" s="219" t="n"/>
      <c r="H1162" s="219" t="n"/>
      <c r="I1162" s="219" t="n"/>
      <c r="J1162" s="219" t="n"/>
      <c r="K1162" s="219" t="n"/>
      <c r="L1162" s="183" t="n"/>
      <c r="M1162" s="219" t="n"/>
      <c r="N1162" s="219" t="n"/>
      <c r="O1162" s="117">
        <f>C1162*P1162</f>
        <v/>
      </c>
      <c r="P1162" s="22" t="n">
        <v>1.045</v>
      </c>
      <c r="R1162" s="117" t="n"/>
      <c r="T1162" s="117" t="n"/>
    </row>
    <row r="1163">
      <c r="A1163" s="134" t="inlineStr">
        <is>
          <t>14094</t>
        </is>
      </c>
      <c r="B1163" s="246" t="inlineStr">
        <is>
          <t>TAVERNITI   CHOMBA M/C</t>
        </is>
      </c>
      <c r="C1163" s="219" t="n">
        <v>68900</v>
      </c>
      <c r="D1163" s="219" t="n"/>
      <c r="E1163" s="219" t="n"/>
      <c r="F1163" s="219" t="n"/>
      <c r="G1163" s="219" t="n"/>
      <c r="H1163" s="219" t="n"/>
      <c r="I1163" s="219" t="n"/>
      <c r="J1163" s="219" t="n"/>
      <c r="K1163" s="219" t="n"/>
      <c r="L1163" s="183" t="n"/>
      <c r="M1163" s="219" t="n"/>
      <c r="N1163" s="219" t="n"/>
      <c r="O1163" s="117">
        <f>C1163*P1163</f>
        <v/>
      </c>
      <c r="P1163" s="22" t="n">
        <v>1.045</v>
      </c>
      <c r="R1163" s="117" t="n"/>
      <c r="T1163" s="117" t="n"/>
    </row>
    <row r="1164">
      <c r="A1164" s="134" t="inlineStr">
        <is>
          <t>14096</t>
        </is>
      </c>
      <c r="B1164" s="246" t="inlineStr">
        <is>
          <t>TAVERNITI   CHOMBA M/C</t>
        </is>
      </c>
      <c r="C1164" s="219" t="n">
        <v>61200</v>
      </c>
      <c r="D1164" s="219" t="n"/>
      <c r="E1164" s="219" t="n"/>
      <c r="F1164" s="219" t="n"/>
      <c r="G1164" s="219" t="n"/>
      <c r="H1164" s="219" t="n"/>
      <c r="I1164" s="219" t="n"/>
      <c r="J1164" s="219" t="n"/>
      <c r="K1164" s="219" t="n"/>
      <c r="L1164" s="183" t="n"/>
      <c r="M1164" s="219" t="n"/>
      <c r="N1164" s="219" t="n"/>
      <c r="O1164" s="117">
        <f>C1164*P1164</f>
        <v/>
      </c>
      <c r="P1164" s="22" t="n">
        <v>1.045</v>
      </c>
      <c r="R1164" s="117" t="n"/>
      <c r="T1164" s="117" t="n"/>
    </row>
    <row r="1165">
      <c r="A1165" s="134" t="inlineStr">
        <is>
          <t>14098</t>
        </is>
      </c>
      <c r="B1165" s="246" t="inlineStr">
        <is>
          <t>TAVERNITI   CHOMBA M/C</t>
        </is>
      </c>
      <c r="C1165" s="219" t="n">
        <v>61200</v>
      </c>
      <c r="D1165" s="219" t="n"/>
      <c r="E1165" s="219" t="n"/>
      <c r="F1165" s="219" t="n"/>
      <c r="G1165" s="219" t="n"/>
      <c r="H1165" s="219" t="n"/>
      <c r="I1165" s="219" t="n"/>
      <c r="J1165" s="219" t="n"/>
      <c r="K1165" s="219" t="n"/>
      <c r="L1165" s="183" t="n"/>
      <c r="M1165" s="219" t="n"/>
      <c r="N1165" s="219" t="n"/>
      <c r="O1165" s="117">
        <f>C1165*P1165</f>
        <v/>
      </c>
      <c r="P1165" s="22" t="n">
        <v>1.045</v>
      </c>
      <c r="R1165" s="117" t="n"/>
      <c r="T1165" s="117" t="n"/>
    </row>
    <row r="1166">
      <c r="A1166" s="134" t="inlineStr">
        <is>
          <t>14100</t>
        </is>
      </c>
      <c r="B1166" s="246" t="inlineStr">
        <is>
          <t>TAVERNITI   CHOMBA M/C</t>
        </is>
      </c>
      <c r="C1166" s="219" t="n">
        <v>58000</v>
      </c>
      <c r="D1166" s="219" t="n"/>
      <c r="E1166" s="219" t="n"/>
      <c r="F1166" s="219" t="n"/>
      <c r="G1166" s="219" t="n"/>
      <c r="H1166" s="219" t="n"/>
      <c r="I1166" s="219" t="n"/>
      <c r="J1166" s="219" t="n"/>
      <c r="K1166" s="219" t="n"/>
      <c r="L1166" s="183" t="n"/>
      <c r="M1166" s="219" t="n"/>
      <c r="N1166" s="219" t="n"/>
      <c r="O1166" s="117">
        <f>C1166*P1166</f>
        <v/>
      </c>
      <c r="P1166" s="22" t="n">
        <v>1.045</v>
      </c>
      <c r="R1166" s="117" t="n"/>
      <c r="T1166" s="117" t="n"/>
    </row>
    <row r="1167">
      <c r="A1167" s="134" t="inlineStr">
        <is>
          <t>14102</t>
        </is>
      </c>
      <c r="B1167" s="246" t="inlineStr">
        <is>
          <t>TAVERNITI   CHOMBA M/C</t>
        </is>
      </c>
      <c r="C1167" s="219" t="n">
        <v>58000</v>
      </c>
      <c r="D1167" s="219" t="n"/>
      <c r="E1167" s="219" t="n"/>
      <c r="F1167" s="219" t="n"/>
      <c r="G1167" s="219" t="n"/>
      <c r="H1167" s="219" t="n"/>
      <c r="I1167" s="219" t="n"/>
      <c r="J1167" s="219" t="n"/>
      <c r="K1167" s="219" t="n"/>
      <c r="L1167" s="183" t="n"/>
      <c r="M1167" s="219" t="n"/>
      <c r="N1167" s="219" t="n"/>
      <c r="O1167" s="117">
        <f>C1167*P1167</f>
        <v/>
      </c>
      <c r="P1167" s="22" t="n">
        <v>1.045</v>
      </c>
      <c r="R1167" s="117" t="n"/>
      <c r="T1167" s="117" t="n"/>
    </row>
    <row r="1168">
      <c r="A1168" s="134" t="inlineStr">
        <is>
          <t>14104</t>
        </is>
      </c>
      <c r="B1168" s="246" t="inlineStr">
        <is>
          <t>TAVERNITI   CHOMBA M/C</t>
        </is>
      </c>
      <c r="C1168" s="219" t="n">
        <v>58000</v>
      </c>
      <c r="D1168" s="219" t="n"/>
      <c r="E1168" s="219" t="n"/>
      <c r="F1168" s="219" t="n"/>
      <c r="G1168" s="219" t="n"/>
      <c r="H1168" s="219" t="n"/>
      <c r="I1168" s="219" t="n"/>
      <c r="J1168" s="219" t="n"/>
      <c r="K1168" s="219" t="n"/>
      <c r="L1168" s="183" t="n"/>
      <c r="M1168" s="219" t="n"/>
      <c r="N1168" s="219" t="n"/>
      <c r="O1168" s="117">
        <f>C1168*P1168</f>
        <v/>
      </c>
      <c r="P1168" s="22" t="n">
        <v>1.045</v>
      </c>
      <c r="R1168" s="117" t="n"/>
      <c r="T1168" s="117" t="n"/>
    </row>
    <row r="1169">
      <c r="A1169" s="134" t="inlineStr">
        <is>
          <t>14108</t>
        </is>
      </c>
      <c r="B1169" s="246" t="inlineStr">
        <is>
          <t>TAVERNITI   CHOMBA M/C</t>
        </is>
      </c>
      <c r="C1169" s="219" t="n">
        <v>58000</v>
      </c>
      <c r="D1169" s="219" t="n"/>
      <c r="E1169" s="219" t="n"/>
      <c r="F1169" s="219" t="n"/>
      <c r="G1169" s="219" t="n"/>
      <c r="H1169" s="219" t="n"/>
      <c r="I1169" s="219" t="n"/>
      <c r="J1169" s="219" t="n"/>
      <c r="K1169" s="219" t="n"/>
      <c r="L1169" s="183" t="n"/>
      <c r="M1169" s="219" t="n"/>
      <c r="N1169" s="219" t="n"/>
      <c r="O1169" s="117">
        <f>C1169*P1169</f>
        <v/>
      </c>
      <c r="P1169" s="22" t="n">
        <v>1.045</v>
      </c>
      <c r="R1169" s="117" t="n"/>
      <c r="T1169" s="117" t="n"/>
    </row>
    <row r="1170">
      <c r="A1170" s="134" t="inlineStr">
        <is>
          <t>14110</t>
        </is>
      </c>
      <c r="B1170" s="246" t="inlineStr">
        <is>
          <t>TAVERNITI   CHOMBA M/C</t>
        </is>
      </c>
      <c r="C1170" s="219" t="n">
        <v>58000</v>
      </c>
      <c r="D1170" s="219" t="n"/>
      <c r="E1170" s="219" t="n"/>
      <c r="F1170" s="219" t="n"/>
      <c r="G1170" s="219" t="n"/>
      <c r="H1170" s="219" t="n"/>
      <c r="I1170" s="219" t="n"/>
      <c r="J1170" s="219" t="n"/>
      <c r="K1170" s="219" t="n"/>
      <c r="L1170" s="183" t="n"/>
      <c r="M1170" s="219" t="n"/>
      <c r="N1170" s="219" t="n"/>
      <c r="O1170" s="117">
        <f>C1170*P1170</f>
        <v/>
      </c>
      <c r="P1170" s="22" t="n">
        <v>1.045</v>
      </c>
      <c r="R1170" s="117" t="n"/>
      <c r="T1170" s="117" t="n"/>
    </row>
    <row r="1171">
      <c r="A1171" s="134" t="inlineStr">
        <is>
          <t>14112</t>
        </is>
      </c>
      <c r="B1171" s="246" t="inlineStr">
        <is>
          <t>TAVERNITI   CHOMBA M/C</t>
        </is>
      </c>
      <c r="C1171" s="219" t="n">
        <v>74700</v>
      </c>
      <c r="D1171" s="219" t="n"/>
      <c r="E1171" s="219" t="n"/>
      <c r="F1171" s="219" t="n"/>
      <c r="G1171" s="219" t="n"/>
      <c r="H1171" s="219" t="n"/>
      <c r="I1171" s="219" t="n"/>
      <c r="J1171" s="219" t="n"/>
      <c r="K1171" s="219" t="n"/>
      <c r="L1171" s="183" t="n"/>
      <c r="M1171" s="219" t="n"/>
      <c r="N1171" s="219" t="n"/>
      <c r="O1171" s="117">
        <f>C1171*P1171</f>
        <v/>
      </c>
      <c r="P1171" s="22" t="n">
        <v>1.045</v>
      </c>
      <c r="R1171" s="117" t="n"/>
      <c r="T1171" s="117" t="n"/>
    </row>
    <row r="1172">
      <c r="A1172" s="134" t="inlineStr">
        <is>
          <t>14114</t>
        </is>
      </c>
      <c r="B1172" s="246" t="inlineStr">
        <is>
          <t>TAVERNITI   CHOMBA M/C</t>
        </is>
      </c>
      <c r="C1172" s="219" t="n">
        <v>74700</v>
      </c>
      <c r="D1172" s="219" t="n"/>
      <c r="E1172" s="219" t="n"/>
      <c r="F1172" s="219" t="n"/>
      <c r="G1172" s="219" t="n"/>
      <c r="H1172" s="219" t="n"/>
      <c r="I1172" s="219" t="n"/>
      <c r="J1172" s="219" t="n"/>
      <c r="K1172" s="219" t="n"/>
      <c r="L1172" s="183" t="n"/>
      <c r="M1172" s="219" t="n"/>
      <c r="N1172" s="219" t="n"/>
      <c r="O1172" s="117">
        <f>C1172*P1172</f>
        <v/>
      </c>
      <c r="P1172" s="22" t="n">
        <v>1.045</v>
      </c>
      <c r="R1172" s="117" t="n"/>
      <c r="T1172" s="117" t="n"/>
    </row>
    <row r="1173">
      <c r="A1173" s="134" t="inlineStr">
        <is>
          <t>14224</t>
        </is>
      </c>
      <c r="B1173" s="246" t="inlineStr">
        <is>
          <t>TAVERNITI   CHOMBA M/C</t>
        </is>
      </c>
      <c r="C1173" s="219" t="n">
        <v>74700</v>
      </c>
      <c r="D1173" s="219" t="n"/>
      <c r="E1173" s="219" t="n"/>
      <c r="F1173" s="219" t="n"/>
      <c r="G1173" s="219" t="n"/>
      <c r="H1173" s="219" t="n"/>
      <c r="I1173" s="219" t="n"/>
      <c r="J1173" s="219" t="n"/>
      <c r="K1173" s="219" t="n"/>
      <c r="L1173" s="183" t="n"/>
      <c r="M1173" s="219" t="n"/>
      <c r="N1173" s="219" t="n"/>
      <c r="O1173" s="117">
        <f>C1173*P1173</f>
        <v/>
      </c>
      <c r="P1173" s="22" t="n">
        <v>1.045</v>
      </c>
      <c r="R1173" s="117" t="n"/>
      <c r="T1173" s="117" t="n"/>
    </row>
    <row r="1174">
      <c r="A1174" s="134" t="inlineStr">
        <is>
          <t>14226</t>
        </is>
      </c>
      <c r="B1174" s="246" t="inlineStr">
        <is>
          <t>TAVERNITI   CHOMBA M/C</t>
        </is>
      </c>
      <c r="C1174" s="219" t="n">
        <v>74700</v>
      </c>
      <c r="D1174" s="219" t="n"/>
      <c r="E1174" s="219" t="n"/>
      <c r="F1174" s="219" t="n"/>
      <c r="G1174" s="219" t="n"/>
      <c r="H1174" s="219" t="n"/>
      <c r="I1174" s="219" t="n"/>
      <c r="J1174" s="219" t="n"/>
      <c r="K1174" s="219" t="n"/>
      <c r="L1174" s="183" t="n"/>
      <c r="M1174" s="219" t="n"/>
      <c r="N1174" s="219" t="n"/>
      <c r="O1174" s="117">
        <f>C1174*P1174</f>
        <v/>
      </c>
      <c r="P1174" s="22" t="n">
        <v>1.045</v>
      </c>
      <c r="R1174" s="117" t="n"/>
      <c r="T1174" s="117" t="n"/>
    </row>
    <row r="1175">
      <c r="A1175" s="134" t="inlineStr">
        <is>
          <t>14428</t>
        </is>
      </c>
      <c r="B1175" s="246" t="inlineStr">
        <is>
          <t>TAVERNITI   CHOMBA M/C</t>
        </is>
      </c>
      <c r="C1175" s="219" t="n">
        <v>74700</v>
      </c>
      <c r="D1175" s="219" t="n"/>
      <c r="E1175" s="219" t="n"/>
      <c r="F1175" s="219" t="n"/>
      <c r="G1175" s="219" t="n"/>
      <c r="H1175" s="219" t="n"/>
      <c r="I1175" s="219" t="n"/>
      <c r="J1175" s="219" t="n"/>
      <c r="K1175" s="219" t="n"/>
      <c r="L1175" s="183" t="n"/>
      <c r="M1175" s="219" t="n"/>
      <c r="N1175" s="219" t="n"/>
      <c r="O1175" s="117">
        <f>C1175*P1175</f>
        <v/>
      </c>
      <c r="P1175" s="22" t="n">
        <v>1.045</v>
      </c>
      <c r="R1175" s="117" t="n"/>
      <c r="T1175" s="117" t="n"/>
    </row>
    <row r="1176">
      <c r="A1176" s="134" t="inlineStr">
        <is>
          <t>14230</t>
        </is>
      </c>
      <c r="B1176" s="246" t="inlineStr">
        <is>
          <t>TAVERNITI   CHOMBA M/C</t>
        </is>
      </c>
      <c r="C1176" s="219" t="n">
        <v>74700</v>
      </c>
      <c r="D1176" s="219" t="n"/>
      <c r="E1176" s="219" t="n"/>
      <c r="F1176" s="219" t="n"/>
      <c r="G1176" s="219" t="n"/>
      <c r="H1176" s="219" t="n"/>
      <c r="I1176" s="219" t="n"/>
      <c r="J1176" s="219" t="n"/>
      <c r="K1176" s="219" t="n"/>
      <c r="L1176" s="183" t="n"/>
      <c r="M1176" s="219" t="n"/>
      <c r="N1176" s="219" t="n"/>
      <c r="O1176" s="117">
        <f>C1176*P1176</f>
        <v/>
      </c>
      <c r="P1176" s="22" t="n">
        <v>1.045</v>
      </c>
      <c r="R1176" s="117" t="n"/>
      <c r="T1176" s="117" t="n"/>
    </row>
    <row r="1177">
      <c r="A1177" s="134" t="inlineStr">
        <is>
          <t>14232</t>
        </is>
      </c>
      <c r="B1177" s="246" t="inlineStr">
        <is>
          <t>TAVERNITI   CHOMBA M/C</t>
        </is>
      </c>
      <c r="C1177" s="219" t="n">
        <v>54700</v>
      </c>
      <c r="D1177" s="219" t="n"/>
      <c r="E1177" s="219" t="n"/>
      <c r="F1177" s="219" t="n"/>
      <c r="G1177" s="219" t="n"/>
      <c r="H1177" s="219" t="n"/>
      <c r="I1177" s="219" t="n"/>
      <c r="J1177" s="219" t="n"/>
      <c r="K1177" s="219" t="n"/>
      <c r="L1177" s="183" t="n"/>
      <c r="M1177" s="219" t="n"/>
      <c r="N1177" s="219" t="n"/>
      <c r="O1177" s="117">
        <f>C1177*P1177</f>
        <v/>
      </c>
      <c r="P1177" s="22" t="n">
        <v>1.045</v>
      </c>
      <c r="R1177" s="117" t="n"/>
      <c r="T1177" s="117" t="n"/>
    </row>
    <row r="1178">
      <c r="A1178" s="134" t="inlineStr">
        <is>
          <t>14234</t>
        </is>
      </c>
      <c r="B1178" s="246" t="inlineStr">
        <is>
          <t>TAVERNITI   CHOMBA M/C</t>
        </is>
      </c>
      <c r="C1178" s="219" t="n">
        <v>52800</v>
      </c>
      <c r="D1178" s="219" t="n"/>
      <c r="E1178" s="219" t="n"/>
      <c r="F1178" s="219" t="n"/>
      <c r="G1178" s="219" t="n"/>
      <c r="H1178" s="219" t="n"/>
      <c r="I1178" s="219" t="n"/>
      <c r="J1178" s="219" t="n"/>
      <c r="K1178" s="219" t="n"/>
      <c r="L1178" s="183" t="n"/>
      <c r="M1178" s="219" t="n"/>
      <c r="N1178" s="219" t="n"/>
      <c r="O1178" s="117">
        <f>C1178*P1178</f>
        <v/>
      </c>
      <c r="P1178" s="22" t="n">
        <v>1.045</v>
      </c>
      <c r="R1178" s="117" t="n"/>
      <c r="T1178" s="117" t="n"/>
    </row>
    <row r="1179">
      <c r="A1179" s="134" t="inlineStr">
        <is>
          <t>14236</t>
        </is>
      </c>
      <c r="B1179" s="246" t="inlineStr">
        <is>
          <t>TAVERNITI   CHOMBA M/C</t>
        </is>
      </c>
      <c r="C1179" s="219" t="n">
        <v>58000</v>
      </c>
      <c r="D1179" s="219" t="n"/>
      <c r="E1179" s="219" t="n"/>
      <c r="F1179" s="219" t="n"/>
      <c r="G1179" s="219" t="n"/>
      <c r="H1179" s="219" t="n"/>
      <c r="I1179" s="219" t="n"/>
      <c r="J1179" s="219" t="n"/>
      <c r="K1179" s="219" t="n"/>
      <c r="L1179" s="183" t="n"/>
      <c r="M1179" s="219" t="n"/>
      <c r="N1179" s="219" t="n"/>
      <c r="O1179" s="117">
        <f>C1179*P1179</f>
        <v/>
      </c>
      <c r="P1179" s="22" t="n">
        <v>1.045</v>
      </c>
      <c r="R1179" s="117" t="n"/>
      <c r="T1179" s="117" t="n"/>
    </row>
    <row r="1180">
      <c r="A1180" s="134" t="inlineStr">
        <is>
          <t>14238</t>
        </is>
      </c>
      <c r="B1180" s="246" t="inlineStr">
        <is>
          <t>TAVERNITI   CHOMBA M/C</t>
        </is>
      </c>
      <c r="C1180" s="219" t="n">
        <v>76300</v>
      </c>
      <c r="D1180" s="219" t="n"/>
      <c r="E1180" s="219" t="n"/>
      <c r="F1180" s="219" t="n"/>
      <c r="G1180" s="219" t="n"/>
      <c r="H1180" s="219" t="n"/>
      <c r="I1180" s="219" t="n"/>
      <c r="J1180" s="219" t="n"/>
      <c r="K1180" s="219" t="n"/>
      <c r="L1180" s="183" t="n"/>
      <c r="M1180" s="219" t="n"/>
      <c r="N1180" s="219" t="n"/>
      <c r="O1180" s="117">
        <f>C1180*P1180</f>
        <v/>
      </c>
      <c r="P1180" s="22" t="n">
        <v>1.045</v>
      </c>
      <c r="R1180" s="117" t="n"/>
      <c r="T1180" s="117" t="n"/>
    </row>
    <row r="1181">
      <c r="A1181" s="134" t="inlineStr">
        <is>
          <t>14242</t>
        </is>
      </c>
      <c r="B1181" s="246" t="inlineStr">
        <is>
          <t>TAVERNITI   CHOMBA M/C</t>
        </is>
      </c>
      <c r="C1181" s="219" t="n">
        <v>59700</v>
      </c>
      <c r="D1181" s="219" t="n"/>
      <c r="E1181" s="219" t="n"/>
      <c r="F1181" s="219" t="n"/>
      <c r="G1181" s="219" t="n"/>
      <c r="H1181" s="219" t="n"/>
      <c r="I1181" s="219" t="n"/>
      <c r="J1181" s="219" t="n"/>
      <c r="K1181" s="219" t="n"/>
      <c r="L1181" s="183" t="n"/>
      <c r="M1181" s="219" t="n"/>
      <c r="N1181" s="219" t="n"/>
      <c r="O1181" s="117">
        <f>C1181*P1181</f>
        <v/>
      </c>
      <c r="P1181" s="22" t="n">
        <v>1.045</v>
      </c>
      <c r="R1181" s="117" t="n"/>
      <c r="T1181" s="117" t="n"/>
    </row>
    <row r="1182">
      <c r="A1182" s="134" t="inlineStr">
        <is>
          <t>14244</t>
        </is>
      </c>
      <c r="B1182" s="246" t="inlineStr">
        <is>
          <t>TAVERNITI   CHOMBA M/C</t>
        </is>
      </c>
      <c r="C1182" s="219" t="n">
        <v>58000</v>
      </c>
      <c r="D1182" s="219" t="n"/>
      <c r="E1182" s="219" t="n"/>
      <c r="F1182" s="219" t="n"/>
      <c r="G1182" s="219" t="n"/>
      <c r="H1182" s="219" t="n"/>
      <c r="I1182" s="219" t="n"/>
      <c r="J1182" s="219" t="n"/>
      <c r="K1182" s="219" t="n"/>
      <c r="L1182" s="183" t="n"/>
      <c r="M1182" s="219" t="n"/>
      <c r="N1182" s="219" t="n"/>
      <c r="O1182" s="117">
        <f>C1182*P1182</f>
        <v/>
      </c>
      <c r="P1182" s="22" t="n">
        <v>1.045</v>
      </c>
      <c r="R1182" s="117" t="n"/>
      <c r="T1182" s="117" t="n"/>
    </row>
    <row r="1183" ht="12.75" customHeight="1" s="253">
      <c r="A1183" s="134" t="inlineStr">
        <is>
          <t>14248</t>
        </is>
      </c>
      <c r="B1183" s="246" t="inlineStr">
        <is>
          <t>TAVERNITI   CHOMBA M/C</t>
        </is>
      </c>
      <c r="C1183" s="219" t="n">
        <v>76300</v>
      </c>
      <c r="D1183" s="219" t="n"/>
      <c r="E1183" s="219" t="n"/>
      <c r="F1183" s="219" t="n"/>
      <c r="G1183" s="219" t="n"/>
      <c r="H1183" s="219" t="n"/>
      <c r="I1183" s="219" t="n"/>
      <c r="J1183" s="219" t="n"/>
      <c r="K1183" s="219" t="n"/>
      <c r="L1183" s="183" t="n"/>
      <c r="M1183" s="219" t="n"/>
      <c r="N1183" s="219" t="n"/>
      <c r="O1183" s="117">
        <f>C1183*P1183</f>
        <v/>
      </c>
      <c r="P1183" s="22" t="n">
        <v>1.045</v>
      </c>
      <c r="R1183" s="117" t="n"/>
      <c r="T1183" s="117" t="n"/>
    </row>
    <row r="1184">
      <c r="A1184" s="134" t="inlineStr">
        <is>
          <t>14250</t>
        </is>
      </c>
      <c r="B1184" s="246" t="inlineStr">
        <is>
          <t>TAVERNITI   CHOMBA M/C</t>
        </is>
      </c>
      <c r="C1184" s="219" t="n">
        <v>76300</v>
      </c>
      <c r="D1184" s="219" t="n"/>
      <c r="E1184" s="219" t="n"/>
      <c r="F1184" s="219" t="n"/>
      <c r="G1184" s="219" t="n"/>
      <c r="H1184" s="219" t="n"/>
      <c r="I1184" s="219" t="n"/>
      <c r="J1184" s="219" t="n"/>
      <c r="K1184" s="219" t="n"/>
      <c r="L1184" s="183" t="n"/>
      <c r="M1184" s="219" t="n"/>
      <c r="N1184" s="219" t="n"/>
      <c r="O1184" s="117">
        <f>C1184*P1184</f>
        <v/>
      </c>
      <c r="P1184" s="22" t="n">
        <v>1.045</v>
      </c>
      <c r="R1184" s="117" t="n"/>
      <c r="T1184" s="117" t="n"/>
    </row>
    <row r="1185">
      <c r="A1185" s="134" t="inlineStr">
        <is>
          <t>14252</t>
        </is>
      </c>
      <c r="B1185" s="246" t="inlineStr">
        <is>
          <t>TAVERNITI   CHOMBA M/C</t>
        </is>
      </c>
      <c r="C1185" s="219" t="n">
        <v>76300</v>
      </c>
      <c r="D1185" s="219" t="n"/>
      <c r="E1185" s="219" t="n"/>
      <c r="F1185" s="219" t="n"/>
      <c r="G1185" s="219" t="n"/>
      <c r="H1185" s="219" t="n"/>
      <c r="I1185" s="219" t="n"/>
      <c r="J1185" s="219" t="n"/>
      <c r="K1185" s="219" t="n"/>
      <c r="L1185" s="183" t="n"/>
      <c r="M1185" s="219" t="n"/>
      <c r="N1185" s="219" t="n"/>
      <c r="O1185" s="117">
        <f>C1185*P1185</f>
        <v/>
      </c>
      <c r="P1185" s="22" t="n">
        <v>1.045</v>
      </c>
      <c r="R1185" s="117" t="n"/>
      <c r="T1185" s="117" t="n"/>
    </row>
    <row r="1186">
      <c r="A1186" s="134" t="inlineStr">
        <is>
          <t>14254</t>
        </is>
      </c>
      <c r="B1186" s="246" t="inlineStr">
        <is>
          <t>TAVERNITI   CHOMBA M/C</t>
        </is>
      </c>
      <c r="C1186" s="219" t="n">
        <v>76300</v>
      </c>
      <c r="D1186" s="219" t="n"/>
      <c r="E1186" s="219" t="n"/>
      <c r="F1186" s="219" t="n"/>
      <c r="G1186" s="219" t="n"/>
      <c r="H1186" s="219" t="n"/>
      <c r="I1186" s="219" t="n"/>
      <c r="J1186" s="219" t="n"/>
      <c r="K1186" s="219" t="n"/>
      <c r="L1186" s="183" t="n"/>
      <c r="M1186" s="219" t="n"/>
      <c r="N1186" s="219" t="n"/>
      <c r="O1186" s="117">
        <f>C1186*P1186</f>
        <v/>
      </c>
      <c r="P1186" s="22" t="n">
        <v>1.045</v>
      </c>
      <c r="R1186" s="117" t="n"/>
      <c r="T1186" s="117" t="n"/>
    </row>
    <row r="1187">
      <c r="A1187" s="134" t="inlineStr">
        <is>
          <t>14256</t>
        </is>
      </c>
      <c r="B1187" s="246" t="inlineStr">
        <is>
          <t>TAVERNITI   CHOMBA M/C</t>
        </is>
      </c>
      <c r="C1187" s="219" t="n">
        <v>76300</v>
      </c>
      <c r="D1187" s="219" t="n"/>
      <c r="E1187" s="219" t="n"/>
      <c r="F1187" s="219" t="n"/>
      <c r="G1187" s="219" t="n"/>
      <c r="H1187" s="219" t="n"/>
      <c r="I1187" s="219" t="n"/>
      <c r="J1187" s="219" t="n"/>
      <c r="K1187" s="219" t="n"/>
      <c r="L1187" s="183" t="n"/>
      <c r="M1187" s="219" t="n"/>
      <c r="N1187" s="219" t="n"/>
      <c r="O1187" s="117">
        <f>C1187*P1187</f>
        <v/>
      </c>
      <c r="P1187" s="22" t="n">
        <v>1.045</v>
      </c>
      <c r="R1187" s="117" t="n"/>
      <c r="T1187" s="117" t="n"/>
    </row>
    <row r="1188">
      <c r="A1188" s="134" t="inlineStr">
        <is>
          <t>14260</t>
        </is>
      </c>
      <c r="B1188" s="246" t="inlineStr">
        <is>
          <t>TAVERNITI   CHOMBA M/C</t>
        </is>
      </c>
      <c r="C1188" s="219" t="n">
        <v>76300</v>
      </c>
      <c r="D1188" s="219" t="n"/>
      <c r="E1188" s="219" t="n"/>
      <c r="F1188" s="219" t="n"/>
      <c r="G1188" s="219" t="n"/>
      <c r="H1188" s="219" t="n"/>
      <c r="I1188" s="219" t="n"/>
      <c r="J1188" s="219" t="n"/>
      <c r="K1188" s="219" t="n"/>
      <c r="L1188" s="183" t="n"/>
      <c r="M1188" s="219" t="n"/>
      <c r="N1188" s="219" t="n"/>
      <c r="O1188" s="117">
        <f>C1188*P1188</f>
        <v/>
      </c>
      <c r="P1188" s="22" t="n">
        <v>1.045</v>
      </c>
      <c r="R1188" s="117" t="n"/>
      <c r="T1188" s="117" t="n"/>
    </row>
    <row r="1189">
      <c r="A1189" s="134" t="inlineStr">
        <is>
          <t>14262</t>
        </is>
      </c>
      <c r="B1189" s="246" t="inlineStr">
        <is>
          <t>TAVERNITI   CHOMBA M/C</t>
        </is>
      </c>
      <c r="C1189" s="219" t="n">
        <v>76300</v>
      </c>
      <c r="D1189" s="219" t="n"/>
      <c r="E1189" s="219" t="n"/>
      <c r="F1189" s="219" t="n"/>
      <c r="G1189" s="219" t="n"/>
      <c r="H1189" s="219" t="n"/>
      <c r="I1189" s="219" t="n"/>
      <c r="J1189" s="219" t="n"/>
      <c r="K1189" s="219" t="n"/>
      <c r="L1189" s="183" t="n"/>
      <c r="M1189" s="219" t="n"/>
      <c r="N1189" s="219" t="n"/>
      <c r="O1189" s="117">
        <f>C1189*P1189</f>
        <v/>
      </c>
      <c r="P1189" s="22" t="n">
        <v>1.045</v>
      </c>
      <c r="R1189" s="117" t="n"/>
      <c r="T1189" s="117" t="n"/>
    </row>
    <row r="1190">
      <c r="A1190" s="134" t="inlineStr">
        <is>
          <t>14264</t>
        </is>
      </c>
      <c r="B1190" s="246" t="inlineStr">
        <is>
          <t>TAVERNITI   CHOMBA M/C</t>
        </is>
      </c>
      <c r="C1190" s="219" t="n">
        <v>76300</v>
      </c>
      <c r="D1190" s="219" t="n"/>
      <c r="E1190" s="219" t="n"/>
      <c r="F1190" s="219" t="n"/>
      <c r="G1190" s="219" t="n"/>
      <c r="H1190" s="219" t="n"/>
      <c r="I1190" s="219" t="n"/>
      <c r="J1190" s="219" t="n"/>
      <c r="K1190" s="219" t="n"/>
      <c r="L1190" s="183" t="n"/>
      <c r="M1190" s="219" t="n"/>
      <c r="N1190" s="219" t="n"/>
      <c r="O1190" s="117">
        <f>C1190*P1190</f>
        <v/>
      </c>
      <c r="P1190" s="22" t="n">
        <v>1.045</v>
      </c>
      <c r="R1190" s="117" t="n"/>
      <c r="T1190" s="117" t="n"/>
    </row>
    <row r="1191">
      <c r="A1191" s="134" t="inlineStr">
        <is>
          <t>14266</t>
        </is>
      </c>
      <c r="B1191" s="246" t="inlineStr">
        <is>
          <t>TAVERNITI   CHOMBA M/C</t>
        </is>
      </c>
      <c r="C1191" s="219" t="n">
        <v>76300</v>
      </c>
      <c r="D1191" s="219" t="n"/>
      <c r="E1191" s="219" t="n"/>
      <c r="F1191" s="219" t="n"/>
      <c r="G1191" s="219" t="n"/>
      <c r="H1191" s="219" t="n"/>
      <c r="I1191" s="219" t="n"/>
      <c r="J1191" s="219" t="n"/>
      <c r="K1191" s="219" t="n"/>
      <c r="L1191" s="183" t="n"/>
      <c r="M1191" s="219" t="n"/>
      <c r="N1191" s="219" t="n"/>
      <c r="O1191" s="117">
        <f>C1191*P1191</f>
        <v/>
      </c>
      <c r="P1191" s="22" t="n">
        <v>1.045</v>
      </c>
      <c r="R1191" s="117" t="n"/>
      <c r="T1191" s="117" t="n"/>
    </row>
    <row r="1192" ht="13.5" customHeight="1" s="253">
      <c r="A1192" s="134" t="inlineStr">
        <is>
          <t>14270</t>
        </is>
      </c>
      <c r="B1192" s="246" t="inlineStr">
        <is>
          <t>TAVERNITI   CHOMBA M/C</t>
        </is>
      </c>
      <c r="C1192" s="219" t="n">
        <v>76300</v>
      </c>
      <c r="D1192" s="219" t="n"/>
      <c r="E1192" s="219" t="n"/>
      <c r="F1192" s="219" t="n"/>
      <c r="G1192" s="219" t="n"/>
      <c r="H1192" s="219" t="n"/>
      <c r="I1192" s="219" t="n"/>
      <c r="J1192" s="219" t="n"/>
      <c r="K1192" s="219" t="n"/>
      <c r="L1192" s="183" t="n"/>
      <c r="M1192" s="219" t="n"/>
      <c r="N1192" s="219" t="n"/>
      <c r="O1192" s="117">
        <f>C1192*P1192</f>
        <v/>
      </c>
      <c r="P1192" s="22" t="n">
        <v>1.045</v>
      </c>
      <c r="R1192" s="117" t="n"/>
      <c r="T1192" s="117" t="n"/>
    </row>
    <row r="1193">
      <c r="A1193" s="134" t="inlineStr">
        <is>
          <t>14278</t>
        </is>
      </c>
      <c r="B1193" s="246" t="inlineStr">
        <is>
          <t>TAVERNITI   CHOMBA M/C</t>
        </is>
      </c>
      <c r="C1193" s="219" t="n">
        <v>76300</v>
      </c>
      <c r="D1193" s="219" t="n"/>
      <c r="E1193" s="219" t="n"/>
      <c r="F1193" s="219" t="n"/>
      <c r="G1193" s="219" t="n"/>
      <c r="H1193" s="219" t="n"/>
      <c r="I1193" s="219" t="n"/>
      <c r="J1193" s="219" t="n"/>
      <c r="K1193" s="219" t="n"/>
      <c r="L1193" s="183" t="n"/>
      <c r="M1193" s="219" t="n"/>
      <c r="N1193" s="219" t="n"/>
      <c r="O1193" s="117">
        <f>C1193*P1193</f>
        <v/>
      </c>
      <c r="P1193" s="22" t="n">
        <v>1.045</v>
      </c>
      <c r="R1193" s="117" t="n"/>
      <c r="T1193" s="117" t="n"/>
    </row>
    <row r="1194" ht="12.75" customHeight="1" s="253">
      <c r="A1194" s="134" t="inlineStr">
        <is>
          <t>14410</t>
        </is>
      </c>
      <c r="B1194" s="246" t="inlineStr">
        <is>
          <t>TAVERNITI   CHOMBA M/C</t>
        </is>
      </c>
      <c r="C1194" s="219" t="n">
        <v>76300</v>
      </c>
      <c r="D1194" s="219" t="n"/>
      <c r="E1194" s="219" t="n"/>
      <c r="F1194" s="219" t="n"/>
      <c r="G1194" s="219" t="n"/>
      <c r="H1194" s="219" t="n"/>
      <c r="I1194" s="219" t="n"/>
      <c r="J1194" s="219" t="n"/>
      <c r="K1194" s="219" t="n"/>
      <c r="L1194" s="183" t="n"/>
      <c r="M1194" s="219" t="n"/>
      <c r="N1194" s="219" t="n"/>
      <c r="O1194" s="117">
        <f>C1194*P1194</f>
        <v/>
      </c>
      <c r="P1194" s="22" t="n">
        <v>1.045</v>
      </c>
      <c r="R1194" s="117" t="n"/>
      <c r="T1194" s="117" t="n"/>
    </row>
    <row r="1195" ht="12.75" customHeight="1" s="253">
      <c r="A1195" s="134" t="inlineStr">
        <is>
          <t>14412</t>
        </is>
      </c>
      <c r="B1195" s="246" t="inlineStr">
        <is>
          <t>TAVERNITI   CHOMBA M/C</t>
        </is>
      </c>
      <c r="C1195" s="219" t="n">
        <v>76300</v>
      </c>
      <c r="D1195" s="219" t="n"/>
      <c r="E1195" s="219" t="n"/>
      <c r="F1195" s="219" t="n"/>
      <c r="G1195" s="219" t="n"/>
      <c r="H1195" s="219" t="n"/>
      <c r="I1195" s="219" t="n"/>
      <c r="J1195" s="219" t="n"/>
      <c r="K1195" s="219" t="n"/>
      <c r="L1195" s="183" t="n"/>
      <c r="M1195" s="219" t="n"/>
      <c r="N1195" s="219" t="n"/>
      <c r="O1195" s="117">
        <f>C1195*P1195</f>
        <v/>
      </c>
      <c r="P1195" s="22" t="n">
        <v>1.045</v>
      </c>
      <c r="R1195" s="117" t="n"/>
      <c r="T1195" s="117" t="n"/>
    </row>
    <row r="1196" ht="12.75" customHeight="1" s="253">
      <c r="A1196" s="134" t="inlineStr">
        <is>
          <t>14414</t>
        </is>
      </c>
      <c r="B1196" s="246" t="inlineStr">
        <is>
          <t>TAVERNITI   CHOMBA M/C</t>
        </is>
      </c>
      <c r="C1196" s="219" t="n">
        <v>76300</v>
      </c>
      <c r="D1196" s="219" t="n"/>
      <c r="E1196" s="219" t="n"/>
      <c r="F1196" s="219" t="n"/>
      <c r="G1196" s="219" t="n"/>
      <c r="H1196" s="219" t="n"/>
      <c r="I1196" s="219" t="n"/>
      <c r="J1196" s="219" t="n"/>
      <c r="K1196" s="219" t="n"/>
      <c r="L1196" s="183" t="n"/>
      <c r="M1196" s="219" t="n"/>
      <c r="N1196" s="219" t="n"/>
      <c r="O1196" s="117">
        <f>C1196*P1196</f>
        <v/>
      </c>
      <c r="P1196" s="22" t="n">
        <v>1.045</v>
      </c>
      <c r="R1196" s="117" t="n"/>
      <c r="T1196" s="117" t="n"/>
    </row>
    <row r="1197">
      <c r="A1197" s="134" t="inlineStr">
        <is>
          <t>14416</t>
        </is>
      </c>
      <c r="B1197" s="246" t="inlineStr">
        <is>
          <t>TAVERNITI   CHOMBA M/C</t>
        </is>
      </c>
      <c r="C1197" s="219" t="n">
        <v>76300</v>
      </c>
      <c r="D1197" s="219" t="n"/>
      <c r="E1197" s="219" t="n"/>
      <c r="F1197" s="219" t="n"/>
      <c r="G1197" s="219" t="n"/>
      <c r="H1197" s="219" t="n"/>
      <c r="I1197" s="219" t="n"/>
      <c r="J1197" s="219" t="n"/>
      <c r="K1197" s="219" t="n"/>
      <c r="L1197" s="183" t="n"/>
      <c r="M1197" s="219" t="n"/>
      <c r="N1197" s="219" t="n"/>
      <c r="O1197" s="117">
        <f>C1197*P1197</f>
        <v/>
      </c>
      <c r="P1197" s="22" t="n">
        <v>1.045</v>
      </c>
      <c r="R1197" s="117" t="n"/>
      <c r="T1197" s="117" t="n"/>
    </row>
    <row r="1198">
      <c r="A1198" s="134" t="inlineStr">
        <is>
          <t>14418</t>
        </is>
      </c>
      <c r="B1198" s="246" t="inlineStr">
        <is>
          <t>TAVERNITI   CHOMBA M/C</t>
        </is>
      </c>
      <c r="C1198" s="219" t="n">
        <v>76300</v>
      </c>
      <c r="D1198" s="219" t="n"/>
      <c r="E1198" s="219" t="n"/>
      <c r="F1198" s="219" t="n"/>
      <c r="G1198" s="219" t="n"/>
      <c r="H1198" s="219" t="n"/>
      <c r="I1198" s="219" t="n"/>
      <c r="J1198" s="219" t="n"/>
      <c r="K1198" s="219" t="n"/>
      <c r="L1198" s="183" t="n"/>
      <c r="M1198" s="219" t="n"/>
      <c r="N1198" s="219" t="n"/>
      <c r="O1198" s="117">
        <f>C1198*P1198</f>
        <v/>
      </c>
      <c r="P1198" s="22" t="n">
        <v>1.045</v>
      </c>
      <c r="R1198" s="117" t="n"/>
      <c r="T1198" s="117" t="n"/>
    </row>
    <row r="1199">
      <c r="A1199" s="68" t="inlineStr">
        <is>
          <t>14424</t>
        </is>
      </c>
      <c r="B1199" s="246" t="inlineStr">
        <is>
          <t>TAVERNITI   CHOMBA M/C</t>
        </is>
      </c>
      <c r="C1199" s="183" t="n">
        <v>70900</v>
      </c>
      <c r="D1199" s="183" t="n"/>
      <c r="E1199" s="219" t="n"/>
      <c r="F1199" s="219" t="n"/>
      <c r="G1199" s="219" t="n"/>
      <c r="H1199" s="219" t="n"/>
      <c r="I1199" s="219" t="n"/>
      <c r="J1199" s="219" t="n"/>
      <c r="K1199" s="219" t="n"/>
      <c r="L1199" s="183" t="n"/>
      <c r="M1199" s="219" t="n"/>
      <c r="N1199" s="219" t="n"/>
      <c r="O1199" s="117">
        <f>C1199*P1199</f>
        <v/>
      </c>
      <c r="P1199" s="22" t="n">
        <v>1.045</v>
      </c>
      <c r="R1199" s="117" t="n"/>
      <c r="T1199" s="117" t="n"/>
    </row>
    <row r="1200">
      <c r="A1200" s="68" t="inlineStr">
        <is>
          <t>14426</t>
        </is>
      </c>
      <c r="B1200" s="246" t="inlineStr">
        <is>
          <t>TAVERNITI   CHOMBA M/C</t>
        </is>
      </c>
      <c r="C1200" s="183" t="n">
        <v>70900</v>
      </c>
      <c r="D1200" s="183" t="n"/>
      <c r="E1200" s="219" t="n"/>
      <c r="F1200" s="219" t="n"/>
      <c r="G1200" s="219" t="n"/>
      <c r="H1200" s="219" t="n"/>
      <c r="I1200" s="219" t="n"/>
      <c r="J1200" s="219" t="n"/>
      <c r="K1200" s="219" t="n"/>
      <c r="L1200" s="183" t="n"/>
      <c r="M1200" s="219" t="n"/>
      <c r="N1200" s="219" t="n"/>
      <c r="O1200" s="117">
        <f>C1200*P1200</f>
        <v/>
      </c>
      <c r="P1200" s="22" t="n">
        <v>1.045</v>
      </c>
      <c r="R1200" s="117" t="n"/>
      <c r="T1200" s="117" t="n"/>
    </row>
    <row r="1201">
      <c r="A1201" s="68" t="inlineStr">
        <is>
          <t>14428</t>
        </is>
      </c>
      <c r="B1201" s="246" t="inlineStr">
        <is>
          <t>TAVERNITI   CHOMBA M/C</t>
        </is>
      </c>
      <c r="C1201" s="183" t="n">
        <v>70900</v>
      </c>
      <c r="D1201" s="183" t="n"/>
      <c r="E1201" s="219" t="n"/>
      <c r="F1201" s="219" t="n"/>
      <c r="G1201" s="219" t="n"/>
      <c r="H1201" s="219" t="n"/>
      <c r="I1201" s="219" t="n"/>
      <c r="J1201" s="219" t="n"/>
      <c r="K1201" s="219" t="n"/>
      <c r="L1201" s="183" t="n"/>
      <c r="M1201" s="219" t="n"/>
      <c r="N1201" s="219" t="n"/>
      <c r="O1201" s="117">
        <f>C1201*P1201</f>
        <v/>
      </c>
      <c r="P1201" s="22" t="n">
        <v>1.045</v>
      </c>
      <c r="R1201" s="117" t="n"/>
      <c r="T1201" s="117" t="n"/>
    </row>
    <row r="1202">
      <c r="A1202" s="68" t="inlineStr">
        <is>
          <t>14430</t>
        </is>
      </c>
      <c r="B1202" s="246" t="inlineStr">
        <is>
          <t>TAVERNITI   CHOMBA M/C</t>
        </is>
      </c>
      <c r="C1202" s="183" t="n">
        <v>70900</v>
      </c>
      <c r="D1202" s="183" t="n"/>
      <c r="E1202" s="219" t="n"/>
      <c r="F1202" s="219" t="n"/>
      <c r="G1202" s="219" t="n"/>
      <c r="H1202" s="219" t="n"/>
      <c r="I1202" s="219" t="n"/>
      <c r="J1202" s="219" t="n"/>
      <c r="K1202" s="219" t="n"/>
      <c r="L1202" s="183" t="n"/>
      <c r="M1202" s="219" t="n"/>
      <c r="N1202" s="219" t="n"/>
      <c r="O1202" s="117">
        <f>C1202*P1202</f>
        <v/>
      </c>
      <c r="P1202" s="22" t="n">
        <v>1.045</v>
      </c>
      <c r="R1202" s="117" t="n"/>
      <c r="T1202" s="117" t="n"/>
    </row>
    <row r="1203">
      <c r="A1203" s="68" t="inlineStr">
        <is>
          <t>14434</t>
        </is>
      </c>
      <c r="B1203" s="246" t="inlineStr">
        <is>
          <t>TAVERNITI   CHOMBA M/C</t>
        </is>
      </c>
      <c r="C1203" s="183" t="n">
        <v>70900</v>
      </c>
      <c r="D1203" s="183" t="n"/>
      <c r="E1203" s="219" t="n"/>
      <c r="F1203" s="219" t="n"/>
      <c r="G1203" s="219" t="n"/>
      <c r="H1203" s="219" t="n"/>
      <c r="I1203" s="219" t="n"/>
      <c r="J1203" s="219" t="n"/>
      <c r="K1203" s="219" t="n"/>
      <c r="L1203" s="183" t="n"/>
      <c r="M1203" s="219" t="n"/>
      <c r="N1203" s="219" t="n"/>
      <c r="O1203" s="117">
        <f>C1203*P1203</f>
        <v/>
      </c>
      <c r="P1203" s="22" t="n">
        <v>1.045</v>
      </c>
      <c r="R1203" s="117" t="n"/>
      <c r="T1203" s="117" t="n"/>
    </row>
    <row r="1204">
      <c r="A1204" s="68" t="inlineStr">
        <is>
          <t>14438</t>
        </is>
      </c>
      <c r="B1204" s="246" t="inlineStr">
        <is>
          <t>TAVERNITI   CHOMBA M/C</t>
        </is>
      </c>
      <c r="C1204" s="183" t="n">
        <v>70900</v>
      </c>
      <c r="D1204" s="183" t="n"/>
      <c r="E1204" s="219" t="n"/>
      <c r="F1204" s="219" t="n"/>
      <c r="G1204" s="219" t="n"/>
      <c r="H1204" s="219" t="n"/>
      <c r="I1204" s="219" t="n"/>
      <c r="J1204" s="219" t="n"/>
      <c r="K1204" s="219" t="n"/>
      <c r="L1204" s="183" t="n"/>
      <c r="M1204" s="219" t="n"/>
      <c r="N1204" s="219" t="n"/>
      <c r="O1204" s="117">
        <f>C1204*P1204</f>
        <v/>
      </c>
      <c r="P1204" s="22" t="n">
        <v>1.045</v>
      </c>
      <c r="R1204" s="117" t="n"/>
      <c r="T1204" s="117" t="n"/>
    </row>
    <row r="1205">
      <c r="A1205" s="68" t="inlineStr">
        <is>
          <t>14442</t>
        </is>
      </c>
      <c r="B1205" s="246" t="inlineStr">
        <is>
          <t>TAVERNITI   CHOMBA M/C</t>
        </is>
      </c>
      <c r="C1205" s="183" t="n">
        <v>70900</v>
      </c>
      <c r="D1205" s="183" t="n"/>
      <c r="E1205" s="219" t="n"/>
      <c r="F1205" s="219" t="n"/>
      <c r="G1205" s="219" t="n"/>
      <c r="H1205" s="219" t="n"/>
      <c r="I1205" s="219" t="n"/>
      <c r="J1205" s="219" t="n"/>
      <c r="K1205" s="219" t="n"/>
      <c r="L1205" s="183" t="n"/>
      <c r="M1205" s="219" t="n"/>
      <c r="N1205" s="219" t="n"/>
      <c r="O1205" s="117">
        <f>C1205*P1205</f>
        <v/>
      </c>
      <c r="P1205" s="22" t="n">
        <v>1.045</v>
      </c>
      <c r="R1205" s="117" t="n"/>
      <c r="T1205" s="117" t="n"/>
    </row>
    <row r="1206">
      <c r="A1206" s="68" t="inlineStr">
        <is>
          <t>14444</t>
        </is>
      </c>
      <c r="B1206" s="246" t="inlineStr">
        <is>
          <t>TAVERNITI   CHOMBA M/C</t>
        </is>
      </c>
      <c r="C1206" s="183" t="n">
        <v>70900</v>
      </c>
      <c r="D1206" s="183" t="n"/>
      <c r="E1206" s="219" t="n"/>
      <c r="F1206" s="219" t="n"/>
      <c r="G1206" s="219" t="n"/>
      <c r="H1206" s="219" t="n"/>
      <c r="I1206" s="219" t="n"/>
      <c r="J1206" s="219" t="n"/>
      <c r="K1206" s="219" t="n"/>
      <c r="L1206" s="183" t="n"/>
      <c r="M1206" s="219" t="n"/>
      <c r="N1206" s="219" t="n"/>
      <c r="O1206" s="117">
        <f>C1206*P1206</f>
        <v/>
      </c>
      <c r="P1206" s="22" t="n">
        <v>1.045</v>
      </c>
      <c r="R1206" s="117" t="n"/>
      <c r="T1206" s="117" t="n"/>
    </row>
    <row r="1207">
      <c r="A1207" s="134" t="inlineStr">
        <is>
          <t>14664</t>
        </is>
      </c>
      <c r="B1207" s="246" t="inlineStr">
        <is>
          <t>TAVERNITI   CHOMBA M/C</t>
        </is>
      </c>
      <c r="C1207" s="219" t="n">
        <v>70900</v>
      </c>
      <c r="D1207" s="219" t="n"/>
      <c r="E1207" s="219" t="n"/>
      <c r="F1207" s="219" t="n"/>
      <c r="G1207" s="219" t="n"/>
      <c r="H1207" s="219" t="n"/>
      <c r="I1207" s="219" t="n"/>
      <c r="J1207" s="219" t="n"/>
      <c r="K1207" s="219" t="n"/>
      <c r="L1207" s="183" t="n"/>
      <c r="M1207" s="219" t="n"/>
      <c r="N1207" s="219" t="n"/>
      <c r="O1207" s="117">
        <f>C1207*P1207</f>
        <v/>
      </c>
      <c r="P1207" s="22" t="n">
        <v>1.045</v>
      </c>
      <c r="R1207" s="117" t="n"/>
      <c r="T1207" s="117" t="n"/>
    </row>
    <row r="1208">
      <c r="A1208" s="134" t="inlineStr">
        <is>
          <t>14730</t>
        </is>
      </c>
      <c r="B1208" s="246" t="inlineStr">
        <is>
          <t>TAVERNITI   CHOMBA M/C</t>
        </is>
      </c>
      <c r="C1208" s="219" t="n">
        <v>70900</v>
      </c>
      <c r="D1208" s="219" t="n"/>
      <c r="E1208" s="219" t="n"/>
      <c r="F1208" s="219" t="n"/>
      <c r="G1208" s="219" t="n"/>
      <c r="H1208" s="219" t="n"/>
      <c r="I1208" s="219" t="n"/>
      <c r="J1208" s="219" t="n"/>
      <c r="K1208" s="219" t="n"/>
      <c r="L1208" s="183" t="n"/>
      <c r="M1208" s="219" t="n"/>
      <c r="N1208" s="219" t="n"/>
      <c r="O1208" s="117">
        <f>C1208*P1208</f>
        <v/>
      </c>
      <c r="P1208" s="22" t="n">
        <v>1.045</v>
      </c>
      <c r="R1208" s="117" t="n"/>
      <c r="T1208" s="117" t="n"/>
    </row>
    <row r="1209">
      <c r="A1209" s="134" t="inlineStr">
        <is>
          <t>14740</t>
        </is>
      </c>
      <c r="B1209" s="246" t="inlineStr">
        <is>
          <t>TAVERNITI   CHOMBA M/C</t>
        </is>
      </c>
      <c r="C1209" s="219" t="n">
        <v>70900</v>
      </c>
      <c r="D1209" s="219" t="n"/>
      <c r="E1209" s="219" t="n"/>
      <c r="F1209" s="219" t="n"/>
      <c r="G1209" s="219" t="n"/>
      <c r="H1209" s="219" t="n"/>
      <c r="I1209" s="219" t="n"/>
      <c r="J1209" s="219" t="n"/>
      <c r="K1209" s="219" t="n"/>
      <c r="L1209" s="183" t="n"/>
      <c r="M1209" s="219" t="n"/>
      <c r="N1209" s="219" t="n"/>
      <c r="O1209" s="117">
        <f>C1209*P1209</f>
        <v/>
      </c>
      <c r="P1209" s="22" t="n">
        <v>1.045</v>
      </c>
      <c r="R1209" s="117" t="n"/>
      <c r="T1209" s="117" t="n"/>
    </row>
    <row r="1210">
      <c r="A1210" s="134" t="inlineStr">
        <is>
          <t>14776</t>
        </is>
      </c>
      <c r="B1210" s="246" t="inlineStr">
        <is>
          <t>TAVERNITI   CHOMBA M/C</t>
        </is>
      </c>
      <c r="C1210" s="219" t="n">
        <v>70900</v>
      </c>
      <c r="D1210" s="219" t="n"/>
      <c r="E1210" s="219" t="n"/>
      <c r="F1210" s="219" t="n"/>
      <c r="G1210" s="219" t="n"/>
      <c r="H1210" s="219" t="n"/>
      <c r="I1210" s="219" t="n"/>
      <c r="J1210" s="219" t="n"/>
      <c r="K1210" s="219" t="n"/>
      <c r="L1210" s="183" t="n"/>
      <c r="M1210" s="219" t="n"/>
      <c r="N1210" s="219" t="n"/>
      <c r="O1210" s="117">
        <f>C1210*P1210</f>
        <v/>
      </c>
      <c r="P1210" s="22" t="n">
        <v>1.045</v>
      </c>
      <c r="R1210" s="117" t="n"/>
      <c r="T1210" s="117" t="n"/>
    </row>
    <row r="1211">
      <c r="A1211" s="134" t="inlineStr">
        <is>
          <t>14802XXX</t>
        </is>
      </c>
      <c r="B1211" s="246" t="inlineStr">
        <is>
          <t>TAVERNITI   CHOMBA M/C</t>
        </is>
      </c>
      <c r="C1211" s="219" t="n">
        <v>75900</v>
      </c>
      <c r="D1211" s="219" t="n"/>
      <c r="E1211" s="219" t="n"/>
      <c r="F1211" s="219" t="n"/>
      <c r="G1211" s="219" t="n"/>
      <c r="H1211" s="219" t="n"/>
      <c r="I1211" s="219" t="n"/>
      <c r="J1211" s="219" t="n"/>
      <c r="K1211" s="219" t="n"/>
      <c r="L1211" s="183" t="n"/>
      <c r="M1211" s="219" t="n"/>
      <c r="N1211" s="219" t="n"/>
      <c r="O1211" s="117">
        <f>C1211*P1211</f>
        <v/>
      </c>
      <c r="P1211" s="22" t="n">
        <v>1.045</v>
      </c>
      <c r="R1211" s="117" t="n"/>
      <c r="T1211" s="117" t="n"/>
    </row>
    <row r="1212">
      <c r="A1212" s="134" t="inlineStr">
        <is>
          <t>3196XXX</t>
        </is>
      </c>
      <c r="B1212" s="246" t="inlineStr">
        <is>
          <t>TAVERNITI   CHOMBA M/C</t>
        </is>
      </c>
      <c r="C1212" s="88" t="n">
        <v>58300</v>
      </c>
      <c r="D1212" s="88" t="n"/>
      <c r="E1212" s="219" t="n"/>
      <c r="F1212" s="219" t="n"/>
      <c r="G1212" s="219" t="n"/>
      <c r="H1212" s="219" t="n"/>
      <c r="I1212" s="219" t="n"/>
      <c r="J1212" s="219" t="n"/>
      <c r="K1212" s="219" t="n"/>
      <c r="L1212" s="183" t="n"/>
      <c r="M1212" s="219" t="n"/>
      <c r="N1212" s="219" t="n"/>
      <c r="O1212" s="117">
        <f>C1212*P1212</f>
        <v/>
      </c>
      <c r="P1212" s="22" t="n">
        <v>1.045</v>
      </c>
      <c r="R1212" s="117" t="n"/>
      <c r="T1212" s="117" t="n"/>
    </row>
    <row r="1213">
      <c r="A1213" s="134" t="inlineStr">
        <is>
          <t>3248XXX</t>
        </is>
      </c>
      <c r="B1213" s="246" t="inlineStr">
        <is>
          <t>TAVERNITI   CHOMBA M/C</t>
        </is>
      </c>
      <c r="C1213" s="88" t="n">
        <v>58300</v>
      </c>
      <c r="D1213" s="88" t="n"/>
      <c r="E1213" s="219" t="n"/>
      <c r="F1213" s="219" t="n"/>
      <c r="G1213" s="219" t="n"/>
      <c r="H1213" s="219" t="n"/>
      <c r="I1213" s="219" t="n"/>
      <c r="J1213" s="219" t="n"/>
      <c r="K1213" s="219" t="n"/>
      <c r="L1213" s="183" t="n"/>
      <c r="M1213" s="219" t="n"/>
      <c r="N1213" s="219" t="n"/>
      <c r="O1213" s="117">
        <f>C1213*P1213</f>
        <v/>
      </c>
      <c r="P1213" s="22" t="n">
        <v>1.045</v>
      </c>
      <c r="R1213" s="117" t="n"/>
      <c r="T1213" s="117" t="n"/>
    </row>
    <row r="1214">
      <c r="A1214" s="134" t="inlineStr">
        <is>
          <t>4446XXX</t>
        </is>
      </c>
      <c r="B1214" s="246" t="inlineStr">
        <is>
          <t>TAVERNITI   CHOMBA M/C</t>
        </is>
      </c>
      <c r="C1214" s="88" t="n">
        <v>58300</v>
      </c>
      <c r="D1214" s="88" t="n"/>
      <c r="E1214" s="219" t="n"/>
      <c r="F1214" s="219" t="n"/>
      <c r="G1214" s="219" t="n"/>
      <c r="H1214" s="219" t="n"/>
      <c r="I1214" s="219" t="n"/>
      <c r="J1214" s="219" t="n"/>
      <c r="K1214" s="219" t="n"/>
      <c r="L1214" s="183" t="n"/>
      <c r="M1214" s="219" t="n"/>
      <c r="N1214" s="219" t="n"/>
      <c r="O1214" s="117">
        <f>C1214*P1214</f>
        <v/>
      </c>
      <c r="P1214" s="22" t="n">
        <v>1.045</v>
      </c>
      <c r="R1214" s="117" t="n"/>
      <c r="T1214" s="117" t="n"/>
    </row>
    <row r="1215">
      <c r="A1215" s="134" t="inlineStr">
        <is>
          <t>4450XXX</t>
        </is>
      </c>
      <c r="B1215" s="246" t="inlineStr">
        <is>
          <t>TAVERNITI   CHOMBA M/C</t>
        </is>
      </c>
      <c r="C1215" s="88" t="n">
        <v>58300</v>
      </c>
      <c r="D1215" s="88" t="n"/>
      <c r="E1215" s="219" t="n"/>
      <c r="F1215" s="219" t="n"/>
      <c r="G1215" s="219" t="n"/>
      <c r="H1215" s="219" t="n"/>
      <c r="I1215" s="219" t="n"/>
      <c r="J1215" s="219" t="n"/>
      <c r="K1215" s="219" t="n"/>
      <c r="L1215" s="183" t="n"/>
      <c r="M1215" s="219" t="n"/>
      <c r="N1215" s="219" t="n"/>
      <c r="O1215" s="117">
        <f>C1215*P1215</f>
        <v/>
      </c>
      <c r="P1215" s="22" t="n">
        <v>1.045</v>
      </c>
      <c r="R1215" s="117" t="n"/>
      <c r="T1215" s="117" t="n"/>
    </row>
    <row r="1216">
      <c r="A1216" s="134" t="inlineStr">
        <is>
          <t>4464XXX</t>
        </is>
      </c>
      <c r="B1216" s="246" t="inlineStr">
        <is>
          <t>TAVERNITI   CHOMBA M/C</t>
        </is>
      </c>
      <c r="C1216" s="88" t="n">
        <v>58300</v>
      </c>
      <c r="D1216" s="88" t="n"/>
      <c r="E1216" s="219" t="n"/>
      <c r="F1216" s="219" t="n"/>
      <c r="G1216" s="219" t="n"/>
      <c r="H1216" s="219" t="n"/>
      <c r="I1216" s="219" t="n"/>
      <c r="J1216" s="219" t="n"/>
      <c r="K1216" s="219" t="n"/>
      <c r="L1216" s="183" t="n"/>
      <c r="M1216" s="219" t="n"/>
      <c r="N1216" s="219" t="n"/>
      <c r="O1216" s="117">
        <f>C1216*P1216</f>
        <v/>
      </c>
      <c r="P1216" s="22" t="n">
        <v>1.045</v>
      </c>
      <c r="R1216" s="117" t="n"/>
      <c r="T1216" s="117" t="n"/>
    </row>
    <row r="1217">
      <c r="A1217" s="134" t="inlineStr">
        <is>
          <t>4468XXX</t>
        </is>
      </c>
      <c r="B1217" s="246" t="inlineStr">
        <is>
          <t>TAVERNITI   CHOMBA M/C</t>
        </is>
      </c>
      <c r="C1217" s="88" t="n">
        <v>58300</v>
      </c>
      <c r="D1217" s="88" t="n"/>
      <c r="E1217" s="219" t="n"/>
      <c r="F1217" s="219" t="n"/>
      <c r="G1217" s="219" t="n"/>
      <c r="H1217" s="219" t="n"/>
      <c r="I1217" s="219" t="n"/>
      <c r="J1217" s="219" t="n"/>
      <c r="K1217" s="219" t="n"/>
      <c r="L1217" s="183" t="n"/>
      <c r="M1217" s="219" t="n"/>
      <c r="N1217" s="219" t="n"/>
      <c r="O1217" s="117">
        <f>C1217*P1217</f>
        <v/>
      </c>
      <c r="P1217" s="22" t="n">
        <v>1.045</v>
      </c>
      <c r="R1217" s="117" t="n"/>
      <c r="T1217" s="117" t="n"/>
    </row>
    <row r="1218">
      <c r="A1218" s="134" t="inlineStr">
        <is>
          <t>4472XXX</t>
        </is>
      </c>
      <c r="B1218" s="246" t="inlineStr">
        <is>
          <t>TAVERNITI   CHOMBA M/C</t>
        </is>
      </c>
      <c r="C1218" s="88" t="n">
        <v>58300</v>
      </c>
      <c r="D1218" s="88" t="n"/>
      <c r="E1218" s="219" t="n"/>
      <c r="F1218" s="219" t="n"/>
      <c r="G1218" s="219" t="n"/>
      <c r="H1218" s="219" t="n"/>
      <c r="I1218" s="219" t="n"/>
      <c r="J1218" s="219" t="n"/>
      <c r="K1218" s="219" t="n"/>
      <c r="L1218" s="183" t="n"/>
      <c r="M1218" s="219" t="n"/>
      <c r="N1218" s="219" t="n"/>
      <c r="O1218" s="117">
        <f>C1218*P1218</f>
        <v/>
      </c>
      <c r="P1218" s="22" t="n">
        <v>1.045</v>
      </c>
      <c r="R1218" s="117" t="n"/>
      <c r="T1218" s="117" t="n"/>
    </row>
    <row r="1219">
      <c r="A1219" s="134" t="inlineStr">
        <is>
          <t>4474XXX</t>
        </is>
      </c>
      <c r="B1219" s="246" t="inlineStr">
        <is>
          <t>TAVERNITI   CHOMBA M/C</t>
        </is>
      </c>
      <c r="C1219" s="88" t="n">
        <v>58300</v>
      </c>
      <c r="D1219" s="88" t="n"/>
      <c r="E1219" s="219" t="n"/>
      <c r="F1219" s="219" t="n"/>
      <c r="G1219" s="219" t="n"/>
      <c r="H1219" s="219" t="n"/>
      <c r="I1219" s="219" t="n"/>
      <c r="J1219" s="219" t="n"/>
      <c r="K1219" s="219" t="n"/>
      <c r="L1219" s="183" t="n"/>
      <c r="M1219" s="219" t="n"/>
      <c r="N1219" s="219" t="n"/>
      <c r="O1219" s="117">
        <f>C1219*P1219</f>
        <v/>
      </c>
      <c r="P1219" s="22" t="n">
        <v>1.045</v>
      </c>
      <c r="R1219" s="117" t="n"/>
      <c r="T1219" s="117" t="n"/>
    </row>
    <row r="1220">
      <c r="A1220" s="134" t="inlineStr">
        <is>
          <t>4476XXX</t>
        </is>
      </c>
      <c r="B1220" s="246" t="inlineStr">
        <is>
          <t>TAVERNITI   CHOMBA M/C</t>
        </is>
      </c>
      <c r="C1220" s="88" t="n">
        <v>58300</v>
      </c>
      <c r="D1220" s="88" t="n"/>
      <c r="E1220" s="219" t="n"/>
      <c r="F1220" s="219" t="n"/>
      <c r="G1220" s="219" t="n"/>
      <c r="H1220" s="219" t="n"/>
      <c r="I1220" s="219" t="n"/>
      <c r="J1220" s="219" t="n"/>
      <c r="K1220" s="219" t="n"/>
      <c r="L1220" s="183" t="n"/>
      <c r="M1220" s="219" t="n"/>
      <c r="N1220" s="219" t="n"/>
      <c r="O1220" s="117">
        <f>C1220*P1220</f>
        <v/>
      </c>
      <c r="P1220" s="22" t="n">
        <v>1.045</v>
      </c>
      <c r="R1220" s="117" t="n"/>
      <c r="T1220" s="117" t="n"/>
    </row>
    <row r="1221">
      <c r="A1221" s="134" t="inlineStr">
        <is>
          <t>04478XXX</t>
        </is>
      </c>
      <c r="B1221" s="246" t="inlineStr">
        <is>
          <t>TAVERNITI   CHOMBA M/C</t>
        </is>
      </c>
      <c r="C1221" s="88" t="n">
        <v>54900</v>
      </c>
      <c r="D1221" s="88" t="n"/>
      <c r="E1221" s="219" t="n"/>
      <c r="F1221" s="219" t="n"/>
      <c r="G1221" s="219" t="n"/>
      <c r="H1221" s="219" t="n"/>
      <c r="I1221" s="219" t="n"/>
      <c r="J1221" s="219" t="n"/>
      <c r="K1221" s="219" t="n"/>
      <c r="L1221" s="183" t="n"/>
      <c r="M1221" s="219" t="n"/>
      <c r="N1221" s="219" t="n"/>
      <c r="O1221" s="117">
        <f>C1221*P1221</f>
        <v/>
      </c>
      <c r="P1221" s="22" t="n">
        <v>1.045</v>
      </c>
      <c r="R1221" s="117" t="n"/>
      <c r="T1221" s="117" t="n"/>
    </row>
    <row r="1222">
      <c r="A1222" s="134" t="inlineStr">
        <is>
          <t>4736XXX</t>
        </is>
      </c>
      <c r="B1222" s="246" t="inlineStr">
        <is>
          <t>TAVERNITI   CHOMBA M/C</t>
        </is>
      </c>
      <c r="C1222" s="88" t="n">
        <v>58400</v>
      </c>
      <c r="D1222" s="88" t="n"/>
      <c r="E1222" s="219" t="n"/>
      <c r="F1222" s="219" t="n"/>
      <c r="G1222" s="219" t="n"/>
      <c r="H1222" s="219" t="n"/>
      <c r="I1222" s="219" t="n"/>
      <c r="J1222" s="219" t="n"/>
      <c r="K1222" s="219" t="n"/>
      <c r="L1222" s="183" t="n"/>
      <c r="M1222" s="219" t="n"/>
      <c r="N1222" s="219" t="n"/>
      <c r="O1222" s="117">
        <f>C1222*P1222</f>
        <v/>
      </c>
      <c r="P1222" s="22" t="n">
        <v>1.045</v>
      </c>
      <c r="R1222" s="117" t="n"/>
      <c r="T1222" s="117" t="n"/>
    </row>
    <row r="1223">
      <c r="A1223" s="134" t="inlineStr">
        <is>
          <t>4740XXX</t>
        </is>
      </c>
      <c r="B1223" s="246" t="inlineStr">
        <is>
          <t>TAVERNITI   CHOMBA M/C</t>
        </is>
      </c>
      <c r="C1223" s="88" t="n">
        <v>58300</v>
      </c>
      <c r="D1223" s="88" t="n"/>
      <c r="E1223" s="219" t="n"/>
      <c r="F1223" s="219" t="n"/>
      <c r="G1223" s="219" t="n"/>
      <c r="H1223" s="219" t="n"/>
      <c r="I1223" s="219" t="n"/>
      <c r="J1223" s="219" t="n"/>
      <c r="K1223" s="219" t="n"/>
      <c r="L1223" s="183" t="n"/>
      <c r="M1223" s="219" t="n"/>
      <c r="N1223" s="219" t="n"/>
      <c r="O1223" s="117">
        <f>C1223*P1223</f>
        <v/>
      </c>
      <c r="P1223" s="22" t="n">
        <v>1.045</v>
      </c>
      <c r="R1223" s="117" t="n"/>
      <c r="T1223" s="117" t="n"/>
    </row>
    <row r="1224">
      <c r="A1224" s="134" t="inlineStr">
        <is>
          <t>4742XXX</t>
        </is>
      </c>
      <c r="B1224" s="246" t="inlineStr">
        <is>
          <t>TAVERNITI   CHOMBA M/C</t>
        </is>
      </c>
      <c r="C1224" s="88" t="n">
        <v>58300</v>
      </c>
      <c r="D1224" s="88" t="n"/>
      <c r="E1224" s="219" t="n"/>
      <c r="F1224" s="219" t="n"/>
      <c r="G1224" s="219" t="n"/>
      <c r="H1224" s="219" t="n"/>
      <c r="I1224" s="219" t="n"/>
      <c r="J1224" s="219" t="n"/>
      <c r="K1224" s="219" t="n"/>
      <c r="L1224" s="183" t="n"/>
      <c r="M1224" s="219" t="n"/>
      <c r="N1224" s="219" t="n"/>
      <c r="O1224" s="117">
        <f>C1224*P1224</f>
        <v/>
      </c>
      <c r="P1224" s="22" t="n">
        <v>1.045</v>
      </c>
      <c r="R1224" s="117" t="n"/>
      <c r="T1224" s="117" t="n"/>
    </row>
    <row r="1225">
      <c r="A1225" s="134" t="inlineStr">
        <is>
          <t>4744XXX</t>
        </is>
      </c>
      <c r="B1225" s="246" t="inlineStr">
        <is>
          <t>TAVERNITI   CHOMBA M/C</t>
        </is>
      </c>
      <c r="C1225" s="88" t="n">
        <v>58300</v>
      </c>
      <c r="D1225" s="88" t="n"/>
      <c r="E1225" s="219" t="n"/>
      <c r="F1225" s="219" t="n"/>
      <c r="G1225" s="219" t="n"/>
      <c r="H1225" s="219" t="n"/>
      <c r="I1225" s="219" t="n"/>
      <c r="J1225" s="219" t="n"/>
      <c r="K1225" s="219" t="n"/>
      <c r="L1225" s="183" t="n"/>
      <c r="M1225" s="219" t="n"/>
      <c r="N1225" s="219" t="n"/>
      <c r="O1225" s="117">
        <f>C1225*P1225</f>
        <v/>
      </c>
      <c r="P1225" s="22" t="n">
        <v>1.045</v>
      </c>
      <c r="R1225" s="117" t="n"/>
      <c r="T1225" s="117" t="n"/>
    </row>
    <row r="1226">
      <c r="A1226" s="134" t="inlineStr">
        <is>
          <t>4746XXX</t>
        </is>
      </c>
      <c r="B1226" s="246" t="inlineStr">
        <is>
          <t>TAVERNITI   CHOMBA M/C</t>
        </is>
      </c>
      <c r="C1226" s="88" t="n">
        <v>58300</v>
      </c>
      <c r="D1226" s="88" t="n"/>
      <c r="E1226" s="219" t="n"/>
      <c r="F1226" s="219" t="n"/>
      <c r="G1226" s="219" t="n"/>
      <c r="H1226" s="219" t="n"/>
      <c r="I1226" s="219" t="n"/>
      <c r="J1226" s="219" t="n"/>
      <c r="K1226" s="219" t="n"/>
      <c r="L1226" s="183" t="n"/>
      <c r="M1226" s="219" t="n"/>
      <c r="N1226" s="219" t="n"/>
      <c r="O1226" s="117">
        <f>C1226*P1226</f>
        <v/>
      </c>
      <c r="P1226" s="22" t="n">
        <v>1.045</v>
      </c>
      <c r="R1226" s="117" t="n"/>
      <c r="T1226" s="117" t="n"/>
    </row>
    <row r="1227">
      <c r="A1227" s="134" t="inlineStr">
        <is>
          <t>4748XXX</t>
        </is>
      </c>
      <c r="B1227" s="246" t="inlineStr">
        <is>
          <t>TAVERNITI   CHOMBA M/C</t>
        </is>
      </c>
      <c r="C1227" s="88" t="n">
        <v>58300</v>
      </c>
      <c r="D1227" s="88" t="n"/>
      <c r="E1227" s="219" t="n"/>
      <c r="F1227" s="219" t="n"/>
      <c r="G1227" s="219" t="n"/>
      <c r="H1227" s="219" t="n"/>
      <c r="I1227" s="219" t="n"/>
      <c r="J1227" s="219" t="n"/>
      <c r="K1227" s="219" t="n"/>
      <c r="L1227" s="183" t="n"/>
      <c r="M1227" s="219" t="n"/>
      <c r="N1227" s="219" t="n"/>
      <c r="O1227" s="117">
        <f>C1227*P1227</f>
        <v/>
      </c>
      <c r="P1227" s="22" t="n">
        <v>1.045</v>
      </c>
      <c r="R1227" s="117" t="n"/>
      <c r="T1227" s="117" t="n"/>
    </row>
    <row r="1228">
      <c r="A1228" s="134" t="inlineStr">
        <is>
          <t>4750XXX</t>
        </is>
      </c>
      <c r="B1228" s="246" t="inlineStr">
        <is>
          <t>TAVERNITI   CHOMBA M/C</t>
        </is>
      </c>
      <c r="C1228" s="88" t="n">
        <v>58300</v>
      </c>
      <c r="D1228" s="88" t="n"/>
      <c r="E1228" s="219" t="n"/>
      <c r="F1228" s="219" t="n"/>
      <c r="G1228" s="219" t="n"/>
      <c r="H1228" s="219" t="n"/>
      <c r="I1228" s="219" t="n"/>
      <c r="J1228" s="219" t="n"/>
      <c r="K1228" s="219" t="n"/>
      <c r="L1228" s="183" t="n"/>
      <c r="M1228" s="219" t="n"/>
      <c r="N1228" s="219" t="n"/>
      <c r="O1228" s="117">
        <f>C1228*P1228</f>
        <v/>
      </c>
      <c r="P1228" s="22" t="n">
        <v>1.045</v>
      </c>
      <c r="R1228" s="117" t="n"/>
      <c r="T1228" s="117" t="n"/>
    </row>
    <row r="1229">
      <c r="A1229" s="134" t="inlineStr">
        <is>
          <t>4756XXX</t>
        </is>
      </c>
      <c r="B1229" s="246" t="inlineStr">
        <is>
          <t>TAVERNITI   CHOMBA M/C</t>
        </is>
      </c>
      <c r="C1229" s="88" t="n">
        <v>58300</v>
      </c>
      <c r="D1229" s="88" t="n"/>
      <c r="E1229" s="219" t="n"/>
      <c r="F1229" s="219" t="n"/>
      <c r="G1229" s="219" t="n"/>
      <c r="H1229" s="219" t="n"/>
      <c r="I1229" s="219" t="n"/>
      <c r="J1229" s="219" t="n"/>
      <c r="K1229" s="219" t="n"/>
      <c r="L1229" s="183" t="n"/>
      <c r="M1229" s="219" t="n"/>
      <c r="N1229" s="219" t="n"/>
      <c r="O1229" s="117">
        <f>C1229*P1229</f>
        <v/>
      </c>
      <c r="P1229" s="22" t="n">
        <v>1.045</v>
      </c>
      <c r="R1229" s="117" t="n"/>
      <c r="T1229" s="117" t="n"/>
    </row>
    <row r="1230">
      <c r="A1230" s="134" t="inlineStr">
        <is>
          <t>4770XXX</t>
        </is>
      </c>
      <c r="B1230" s="246" t="inlineStr">
        <is>
          <t>TAVERNITI   CHOMBA M/C</t>
        </is>
      </c>
      <c r="C1230" s="219" t="n">
        <v>61300</v>
      </c>
      <c r="D1230" s="219" t="n"/>
      <c r="E1230" s="219" t="n"/>
      <c r="F1230" s="219" t="n"/>
      <c r="G1230" s="219" t="n"/>
      <c r="H1230" s="219" t="n"/>
      <c r="I1230" s="219" t="n"/>
      <c r="J1230" s="219" t="n"/>
      <c r="K1230" s="219" t="n"/>
      <c r="L1230" s="183" t="n"/>
      <c r="M1230" s="219" t="n"/>
      <c r="N1230" s="219" t="n"/>
      <c r="O1230" s="117">
        <f>C1230*P1230</f>
        <v/>
      </c>
      <c r="P1230" s="22" t="n">
        <v>1.045</v>
      </c>
      <c r="R1230" s="117" t="n"/>
      <c r="T1230" s="117" t="n"/>
    </row>
    <row r="1231">
      <c r="A1231" s="134" t="inlineStr">
        <is>
          <t>5252XXX</t>
        </is>
      </c>
      <c r="B1231" s="246" t="inlineStr">
        <is>
          <t>TAVERNITI   CHOMBA M/C</t>
        </is>
      </c>
      <c r="C1231" s="219" t="n">
        <v>67800</v>
      </c>
      <c r="D1231" s="219" t="n"/>
      <c r="E1231" s="219" t="n"/>
      <c r="F1231" s="219" t="n"/>
      <c r="G1231" s="219" t="n"/>
      <c r="H1231" s="219" t="n"/>
      <c r="I1231" s="219" t="n"/>
      <c r="J1231" s="219" t="n"/>
      <c r="K1231" s="219" t="n"/>
      <c r="L1231" s="183" t="n"/>
      <c r="M1231" s="219" t="n"/>
      <c r="N1231" s="219" t="n"/>
      <c r="O1231" s="117">
        <f>C1231*P1231</f>
        <v/>
      </c>
      <c r="P1231" s="22" t="n">
        <v>1.045</v>
      </c>
      <c r="R1231" s="117" t="n"/>
      <c r="T1231" s="117" t="n"/>
    </row>
    <row r="1232">
      <c r="A1232" s="134" t="inlineStr">
        <is>
          <t>5256XXX</t>
        </is>
      </c>
      <c r="B1232" s="246" t="inlineStr">
        <is>
          <t>TAVERNITI   CHOMBA M/C</t>
        </is>
      </c>
      <c r="C1232" s="219" t="n">
        <v>61300</v>
      </c>
      <c r="D1232" s="219" t="n"/>
      <c r="E1232" s="219" t="n"/>
      <c r="F1232" s="219" t="n"/>
      <c r="G1232" s="219" t="n"/>
      <c r="H1232" s="219" t="n"/>
      <c r="I1232" s="219" t="n"/>
      <c r="J1232" s="219" t="n"/>
      <c r="K1232" s="219" t="n"/>
      <c r="L1232" s="183" t="n"/>
      <c r="M1232" s="219" t="n"/>
      <c r="N1232" s="219" t="n"/>
      <c r="O1232" s="117">
        <f>C1232*P1232</f>
        <v/>
      </c>
      <c r="P1232" s="22" t="n">
        <v>1.045</v>
      </c>
      <c r="R1232" s="117" t="n"/>
      <c r="T1232" s="117" t="n"/>
    </row>
    <row r="1233">
      <c r="A1233" s="89" t="inlineStr">
        <is>
          <t>05792XXX</t>
        </is>
      </c>
      <c r="B1233" s="135" t="inlineStr">
        <is>
          <t>TAVERNITI   CHOMBA M/C</t>
        </is>
      </c>
      <c r="C1233" s="88" t="n">
        <v>75400</v>
      </c>
      <c r="D1233" s="88" t="n"/>
      <c r="E1233" s="170" t="n"/>
      <c r="F1233" s="170" t="n"/>
      <c r="G1233" s="170" t="n"/>
      <c r="H1233" s="170" t="n"/>
      <c r="I1233" s="170" t="n"/>
      <c r="J1233" s="170" t="n"/>
      <c r="K1233" s="170" t="n"/>
      <c r="L1233" s="170" t="n"/>
      <c r="M1233" s="30" t="n"/>
      <c r="N1233" s="170" t="n"/>
      <c r="O1233" s="150">
        <f>C1233*P1233</f>
        <v/>
      </c>
      <c r="P1233" s="22" t="n">
        <v>1.045</v>
      </c>
      <c r="Q1233" s="30" t="n"/>
      <c r="R1233" s="170" t="n"/>
      <c r="S1233" s="30" t="n"/>
      <c r="T1233" s="170" t="n"/>
      <c r="U1233" s="30" t="n"/>
      <c r="V1233" s="30" t="n"/>
      <c r="W1233" s="30" t="n"/>
      <c r="X1233" s="30" t="n"/>
      <c r="Y1233" s="30" t="n"/>
      <c r="Z1233" s="30" t="n"/>
      <c r="AA1233" s="30" t="n"/>
      <c r="AB1233" s="30" t="n"/>
      <c r="AC1233" s="30" t="n"/>
      <c r="AD1233" s="30" t="n"/>
      <c r="AE1233" s="30" t="n"/>
      <c r="AF1233" s="30" t="n"/>
      <c r="AG1233" s="30" t="n"/>
      <c r="AH1233" s="30" t="n"/>
      <c r="AI1233" s="30" t="n"/>
      <c r="AJ1233" s="30" t="n"/>
      <c r="AK1233" s="30" t="n"/>
      <c r="AL1233" s="30" t="n"/>
      <c r="AM1233" s="30" t="n"/>
      <c r="AN1233" s="30" t="n"/>
      <c r="AO1233" s="30" t="n"/>
    </row>
    <row r="1234">
      <c r="A1234" s="89" t="inlineStr">
        <is>
          <t>05862XXX</t>
        </is>
      </c>
      <c r="B1234" s="135" t="inlineStr">
        <is>
          <t>TAVERNITI   CHOMBA M/C</t>
        </is>
      </c>
      <c r="C1234" s="88" t="n">
        <v>73700</v>
      </c>
      <c r="D1234" s="88" t="n"/>
      <c r="E1234" s="170" t="n"/>
      <c r="F1234" s="170" t="n"/>
      <c r="G1234" s="170" t="n"/>
      <c r="H1234" s="170" t="n"/>
      <c r="I1234" s="170" t="n"/>
      <c r="J1234" s="170" t="n"/>
      <c r="K1234" s="170" t="n"/>
      <c r="L1234" s="170" t="n"/>
      <c r="M1234" s="30" t="n"/>
      <c r="N1234" s="170" t="n"/>
      <c r="O1234" s="150">
        <f>C1234*P1234</f>
        <v/>
      </c>
      <c r="P1234" s="22" t="n">
        <v>1.045</v>
      </c>
      <c r="Q1234" s="30" t="n"/>
      <c r="R1234" s="170" t="n"/>
      <c r="S1234" s="30" t="n"/>
      <c r="T1234" s="170" t="n"/>
      <c r="U1234" s="30" t="n"/>
      <c r="V1234" s="30" t="n"/>
      <c r="W1234" s="30" t="n"/>
      <c r="X1234" s="30" t="n"/>
      <c r="Y1234" s="30" t="n"/>
      <c r="Z1234" s="30" t="n"/>
      <c r="AA1234" s="30" t="n"/>
      <c r="AB1234" s="30" t="n"/>
      <c r="AC1234" s="30" t="n"/>
      <c r="AD1234" s="30" t="n"/>
      <c r="AE1234" s="30" t="n"/>
      <c r="AF1234" s="30" t="n"/>
      <c r="AG1234" s="30" t="n"/>
      <c r="AH1234" s="30" t="n"/>
      <c r="AI1234" s="30" t="n"/>
      <c r="AJ1234" s="30" t="n"/>
      <c r="AK1234" s="30" t="n"/>
      <c r="AL1234" s="30" t="n"/>
      <c r="AM1234" s="30" t="n"/>
      <c r="AN1234" s="30" t="n"/>
      <c r="AO1234" s="30" t="n"/>
    </row>
    <row r="1235">
      <c r="A1235" s="89" t="inlineStr">
        <is>
          <t>05888XXX</t>
        </is>
      </c>
      <c r="B1235" s="135" t="inlineStr">
        <is>
          <t>TAVERNITI   CHOMBA M/C</t>
        </is>
      </c>
      <c r="C1235" s="88" t="n">
        <v>75400</v>
      </c>
      <c r="D1235" s="88" t="n"/>
      <c r="E1235" s="170" t="n"/>
      <c r="F1235" s="170" t="n"/>
      <c r="G1235" s="170" t="n"/>
      <c r="H1235" s="170" t="n"/>
      <c r="I1235" s="170" t="n"/>
      <c r="J1235" s="170" t="n"/>
      <c r="K1235" s="170" t="n"/>
      <c r="L1235" s="170" t="n"/>
      <c r="M1235" s="30" t="n"/>
      <c r="N1235" s="170" t="n"/>
      <c r="O1235" s="150">
        <f>C1235*P1235</f>
        <v/>
      </c>
      <c r="P1235" s="22" t="n">
        <v>1.045</v>
      </c>
      <c r="Q1235" s="30" t="n"/>
      <c r="R1235" s="170" t="n"/>
      <c r="S1235" s="30" t="n"/>
      <c r="T1235" s="170" t="n"/>
      <c r="U1235" s="30" t="n"/>
      <c r="V1235" s="30" t="n"/>
      <c r="W1235" s="30" t="n"/>
      <c r="X1235" s="30" t="n"/>
      <c r="Y1235" s="30" t="n"/>
      <c r="Z1235" s="30" t="n"/>
      <c r="AA1235" s="30" t="n"/>
      <c r="AB1235" s="30" t="n"/>
      <c r="AC1235" s="30" t="n"/>
      <c r="AD1235" s="30" t="n"/>
      <c r="AE1235" s="30" t="n"/>
      <c r="AF1235" s="30" t="n"/>
      <c r="AG1235" s="30" t="n"/>
      <c r="AH1235" s="30" t="n"/>
      <c r="AI1235" s="30" t="n"/>
      <c r="AJ1235" s="30" t="n"/>
      <c r="AK1235" s="30" t="n"/>
      <c r="AL1235" s="30" t="n"/>
      <c r="AM1235" s="30" t="n"/>
      <c r="AN1235" s="30" t="n"/>
      <c r="AO1235" s="30" t="n"/>
    </row>
    <row r="1236">
      <c r="A1236" s="89" t="inlineStr">
        <is>
          <t>05952XXX</t>
        </is>
      </c>
      <c r="B1236" s="135" t="inlineStr">
        <is>
          <t>TAVERNITI   CHOMBA M/C</t>
        </is>
      </c>
      <c r="C1236" s="88" t="n">
        <v>73700</v>
      </c>
      <c r="D1236" s="88" t="n"/>
      <c r="E1236" s="170" t="n"/>
      <c r="F1236" s="170" t="n"/>
      <c r="G1236" s="170" t="n"/>
      <c r="H1236" s="170" t="n"/>
      <c r="I1236" s="170" t="n"/>
      <c r="J1236" s="170" t="n"/>
      <c r="K1236" s="170" t="n"/>
      <c r="L1236" s="170" t="n"/>
      <c r="M1236" s="30" t="n"/>
      <c r="N1236" s="170" t="n"/>
      <c r="O1236" s="150">
        <f>C1236*P1236</f>
        <v/>
      </c>
      <c r="P1236" s="22" t="n">
        <v>1.045</v>
      </c>
      <c r="Q1236" s="30" t="n"/>
      <c r="R1236" s="170" t="n"/>
      <c r="S1236" s="30" t="n"/>
      <c r="T1236" s="170" t="n"/>
      <c r="U1236" s="30" t="n"/>
      <c r="V1236" s="30" t="n"/>
      <c r="W1236" s="30" t="n"/>
      <c r="X1236" s="30" t="n"/>
      <c r="Y1236" s="30" t="n"/>
      <c r="Z1236" s="30" t="n"/>
      <c r="AA1236" s="30" t="n"/>
      <c r="AB1236" s="30" t="n"/>
      <c r="AC1236" s="30" t="n"/>
      <c r="AD1236" s="30" t="n"/>
      <c r="AE1236" s="30" t="n"/>
      <c r="AF1236" s="30" t="n"/>
      <c r="AG1236" s="30" t="n"/>
      <c r="AH1236" s="30" t="n"/>
      <c r="AI1236" s="30" t="n"/>
      <c r="AJ1236" s="30" t="n"/>
      <c r="AK1236" s="30" t="n"/>
      <c r="AL1236" s="30" t="n"/>
      <c r="AM1236" s="30" t="n"/>
      <c r="AN1236" s="30" t="n"/>
      <c r="AO1236" s="30" t="n"/>
    </row>
    <row r="1237">
      <c r="A1237" s="89" t="inlineStr">
        <is>
          <t>05958XXX</t>
        </is>
      </c>
      <c r="B1237" s="135" t="inlineStr">
        <is>
          <t>TAVERNITI   CHOMBA M/C</t>
        </is>
      </c>
      <c r="C1237" s="88" t="n">
        <v>73700</v>
      </c>
      <c r="D1237" s="88" t="n"/>
      <c r="E1237" s="170" t="n"/>
      <c r="F1237" s="170" t="n"/>
      <c r="G1237" s="170" t="n"/>
      <c r="H1237" s="170" t="n"/>
      <c r="I1237" s="170" t="n"/>
      <c r="J1237" s="170" t="n"/>
      <c r="K1237" s="170" t="n"/>
      <c r="L1237" s="170" t="n"/>
      <c r="M1237" s="30" t="n"/>
      <c r="N1237" s="170" t="n"/>
      <c r="O1237" s="150">
        <f>C1237*P1237</f>
        <v/>
      </c>
      <c r="P1237" s="22" t="n">
        <v>1.045</v>
      </c>
      <c r="Q1237" s="30" t="n"/>
      <c r="R1237" s="170" t="n"/>
      <c r="S1237" s="30" t="n"/>
      <c r="T1237" s="170" t="n"/>
      <c r="U1237" s="30" t="n"/>
      <c r="V1237" s="30" t="n"/>
      <c r="W1237" s="30" t="n"/>
      <c r="X1237" s="30" t="n"/>
      <c r="Y1237" s="30" t="n"/>
      <c r="Z1237" s="30" t="n"/>
      <c r="AA1237" s="30" t="n"/>
      <c r="AB1237" s="30" t="n"/>
      <c r="AC1237" s="30" t="n"/>
      <c r="AD1237" s="30" t="n"/>
      <c r="AE1237" s="30" t="n"/>
      <c r="AF1237" s="30" t="n"/>
      <c r="AG1237" s="30" t="n"/>
      <c r="AH1237" s="30" t="n"/>
      <c r="AI1237" s="30" t="n"/>
      <c r="AJ1237" s="30" t="n"/>
      <c r="AK1237" s="30" t="n"/>
      <c r="AL1237" s="30" t="n"/>
      <c r="AM1237" s="30" t="n"/>
      <c r="AN1237" s="30" t="n"/>
      <c r="AO1237" s="30" t="n"/>
    </row>
    <row r="1238">
      <c r="A1238" s="89" t="inlineStr">
        <is>
          <t>05964XXX</t>
        </is>
      </c>
      <c r="B1238" s="135" t="inlineStr">
        <is>
          <t>TAVERNITI   CHOMBA M/C</t>
        </is>
      </c>
      <c r="C1238" s="88" t="n">
        <v>73700</v>
      </c>
      <c r="D1238" s="88" t="n"/>
      <c r="E1238" s="170" t="n"/>
      <c r="F1238" s="170" t="n"/>
      <c r="G1238" s="170" t="n"/>
      <c r="H1238" s="170" t="n"/>
      <c r="I1238" s="170" t="n"/>
      <c r="J1238" s="170" t="n"/>
      <c r="K1238" s="170" t="n"/>
      <c r="L1238" s="170" t="n"/>
      <c r="M1238" s="30" t="n"/>
      <c r="N1238" s="170" t="n"/>
      <c r="O1238" s="150">
        <f>C1238*P1238</f>
        <v/>
      </c>
      <c r="P1238" s="22" t="n">
        <v>1.045</v>
      </c>
      <c r="Q1238" s="30" t="n"/>
      <c r="R1238" s="170" t="n"/>
      <c r="S1238" s="30" t="n"/>
      <c r="T1238" s="170" t="n"/>
      <c r="U1238" s="30" t="n"/>
      <c r="V1238" s="30" t="n"/>
      <c r="W1238" s="30" t="n"/>
      <c r="X1238" s="30" t="n"/>
      <c r="Y1238" s="30" t="n"/>
      <c r="Z1238" s="30" t="n"/>
      <c r="AA1238" s="30" t="n"/>
      <c r="AB1238" s="30" t="n"/>
      <c r="AC1238" s="30" t="n"/>
      <c r="AD1238" s="30" t="n"/>
      <c r="AE1238" s="30" t="n"/>
      <c r="AF1238" s="30" t="n"/>
      <c r="AG1238" s="30" t="n"/>
      <c r="AH1238" s="30" t="n"/>
      <c r="AI1238" s="30" t="n"/>
      <c r="AJ1238" s="30" t="n"/>
      <c r="AK1238" s="30" t="n"/>
      <c r="AL1238" s="30" t="n"/>
      <c r="AM1238" s="30" t="n"/>
      <c r="AN1238" s="30" t="n"/>
      <c r="AO1238" s="30" t="n"/>
    </row>
    <row r="1239">
      <c r="A1239" s="89" t="inlineStr">
        <is>
          <t>05968XXX</t>
        </is>
      </c>
      <c r="B1239" s="135" t="inlineStr">
        <is>
          <t>TAVERNITI   CHOMBA M/C</t>
        </is>
      </c>
      <c r="C1239" s="88" t="n">
        <v>73700</v>
      </c>
      <c r="D1239" s="88" t="n"/>
      <c r="E1239" s="170" t="n"/>
      <c r="F1239" s="170" t="n"/>
      <c r="G1239" s="170" t="n"/>
      <c r="H1239" s="170" t="n"/>
      <c r="I1239" s="170" t="n"/>
      <c r="J1239" s="170" t="n"/>
      <c r="K1239" s="170" t="n"/>
      <c r="L1239" s="170" t="n"/>
      <c r="M1239" s="30" t="n"/>
      <c r="N1239" s="170" t="n"/>
      <c r="O1239" s="150">
        <f>C1239*P1239</f>
        <v/>
      </c>
      <c r="P1239" s="22" t="n">
        <v>1.045</v>
      </c>
      <c r="Q1239" s="30" t="n"/>
      <c r="R1239" s="170" t="n"/>
      <c r="S1239" s="30" t="n"/>
      <c r="T1239" s="170" t="n"/>
      <c r="U1239" s="30" t="n"/>
      <c r="V1239" s="30" t="n"/>
      <c r="W1239" s="30" t="n"/>
      <c r="X1239" s="30" t="n"/>
      <c r="Y1239" s="30" t="n"/>
      <c r="Z1239" s="30" t="n"/>
      <c r="AA1239" s="30" t="n"/>
      <c r="AB1239" s="30" t="n"/>
      <c r="AC1239" s="30" t="n"/>
      <c r="AD1239" s="30" t="n"/>
      <c r="AE1239" s="30" t="n"/>
      <c r="AF1239" s="30" t="n"/>
      <c r="AG1239" s="30" t="n"/>
      <c r="AH1239" s="30" t="n"/>
      <c r="AI1239" s="30" t="n"/>
      <c r="AJ1239" s="30" t="n"/>
      <c r="AK1239" s="30" t="n"/>
      <c r="AL1239" s="30" t="n"/>
      <c r="AM1239" s="30" t="n"/>
      <c r="AN1239" s="30" t="n"/>
      <c r="AO1239" s="30" t="n"/>
    </row>
    <row r="1240">
      <c r="A1240" s="89" t="inlineStr">
        <is>
          <t>05972XXX</t>
        </is>
      </c>
      <c r="B1240" s="135" t="inlineStr">
        <is>
          <t>TAVERNITI   CHOMBA M/C</t>
        </is>
      </c>
      <c r="C1240" s="88" t="n">
        <v>66800</v>
      </c>
      <c r="D1240" s="88" t="n"/>
      <c r="E1240" s="170" t="n"/>
      <c r="F1240" s="170" t="n"/>
      <c r="G1240" s="170" t="n"/>
      <c r="H1240" s="170" t="n"/>
      <c r="I1240" s="170" t="n"/>
      <c r="J1240" s="170" t="n"/>
      <c r="K1240" s="170" t="n"/>
      <c r="L1240" s="170" t="n"/>
      <c r="M1240" s="30" t="n"/>
      <c r="N1240" s="170" t="n"/>
      <c r="O1240" s="150">
        <f>C1240*P1240</f>
        <v/>
      </c>
      <c r="P1240" s="22" t="n">
        <v>1.045</v>
      </c>
      <c r="Q1240" s="30" t="n"/>
      <c r="R1240" s="170" t="n"/>
      <c r="S1240" s="30" t="n"/>
      <c r="T1240" s="170" t="n"/>
      <c r="U1240" s="30" t="n"/>
      <c r="V1240" s="30" t="n"/>
      <c r="W1240" s="30" t="n"/>
      <c r="X1240" s="30" t="n"/>
      <c r="Y1240" s="30" t="n"/>
      <c r="Z1240" s="30" t="n"/>
      <c r="AA1240" s="30" t="n"/>
      <c r="AB1240" s="30" t="n"/>
      <c r="AC1240" s="30" t="n"/>
      <c r="AD1240" s="30" t="n"/>
      <c r="AE1240" s="30" t="n"/>
      <c r="AF1240" s="30" t="n"/>
      <c r="AG1240" s="30" t="n"/>
      <c r="AH1240" s="30" t="n"/>
      <c r="AI1240" s="30" t="n"/>
      <c r="AJ1240" s="30" t="n"/>
      <c r="AK1240" s="30" t="n"/>
      <c r="AL1240" s="30" t="n"/>
      <c r="AM1240" s="30" t="n"/>
      <c r="AN1240" s="30" t="n"/>
      <c r="AO1240" s="30" t="n"/>
    </row>
    <row r="1241">
      <c r="A1241" s="89" t="inlineStr">
        <is>
          <t>05974XXX</t>
        </is>
      </c>
      <c r="B1241" s="135" t="inlineStr">
        <is>
          <t>TAVERNITI   CHOMBA M/C</t>
        </is>
      </c>
      <c r="C1241" s="88" t="n">
        <v>75400</v>
      </c>
      <c r="D1241" s="88" t="n"/>
      <c r="E1241" s="170" t="n"/>
      <c r="F1241" s="170" t="n"/>
      <c r="G1241" s="170" t="n"/>
      <c r="H1241" s="170" t="n"/>
      <c r="I1241" s="170" t="n"/>
      <c r="J1241" s="170" t="n"/>
      <c r="K1241" s="170" t="n"/>
      <c r="L1241" s="170" t="n"/>
      <c r="M1241" s="30" t="n"/>
      <c r="N1241" s="170" t="n"/>
      <c r="O1241" s="150">
        <f>C1241*P1241</f>
        <v/>
      </c>
      <c r="P1241" s="22" t="n">
        <v>1.045</v>
      </c>
      <c r="Q1241" s="30" t="n"/>
      <c r="R1241" s="170" t="n"/>
      <c r="S1241" s="30" t="n"/>
      <c r="T1241" s="170" t="n"/>
      <c r="U1241" s="30" t="n"/>
      <c r="V1241" s="30" t="n"/>
      <c r="W1241" s="30" t="n"/>
      <c r="X1241" s="30" t="n"/>
      <c r="Y1241" s="30" t="n"/>
      <c r="Z1241" s="30" t="n"/>
      <c r="AA1241" s="30" t="n"/>
      <c r="AB1241" s="30" t="n"/>
      <c r="AC1241" s="30" t="n"/>
      <c r="AD1241" s="30" t="n"/>
      <c r="AE1241" s="30" t="n"/>
      <c r="AF1241" s="30" t="n"/>
      <c r="AG1241" s="30" t="n"/>
      <c r="AH1241" s="30" t="n"/>
      <c r="AI1241" s="30" t="n"/>
      <c r="AJ1241" s="30" t="n"/>
      <c r="AK1241" s="30" t="n"/>
      <c r="AL1241" s="30" t="n"/>
      <c r="AM1241" s="30" t="n"/>
      <c r="AN1241" s="30" t="n"/>
      <c r="AO1241" s="30" t="n"/>
    </row>
    <row r="1242">
      <c r="A1242" s="89" t="inlineStr">
        <is>
          <t>05978XXX</t>
        </is>
      </c>
      <c r="B1242" s="135" t="inlineStr">
        <is>
          <t>TAVERNITI   CHOMBA M/C</t>
        </is>
      </c>
      <c r="C1242" s="88" t="n">
        <v>73700</v>
      </c>
      <c r="D1242" s="88" t="n"/>
      <c r="E1242" s="170" t="n"/>
      <c r="F1242" s="170" t="n"/>
      <c r="G1242" s="170" t="n"/>
      <c r="H1242" s="170" t="n"/>
      <c r="I1242" s="170" t="n"/>
      <c r="J1242" s="170" t="n"/>
      <c r="K1242" s="170" t="n"/>
      <c r="L1242" s="170" t="n"/>
      <c r="M1242" s="30" t="n"/>
      <c r="N1242" s="170" t="n"/>
      <c r="O1242" s="150">
        <f>C1242*P1242</f>
        <v/>
      </c>
      <c r="P1242" s="22" t="n">
        <v>1.045</v>
      </c>
      <c r="Q1242" s="30" t="n"/>
      <c r="R1242" s="170" t="n"/>
      <c r="S1242" s="30" t="n"/>
      <c r="T1242" s="170" t="n"/>
      <c r="U1242" s="30" t="n"/>
      <c r="V1242" s="30" t="n"/>
      <c r="W1242" s="30" t="n"/>
      <c r="X1242" s="30" t="n"/>
      <c r="Y1242" s="30" t="n"/>
      <c r="Z1242" s="30" t="n"/>
      <c r="AA1242" s="30" t="n"/>
      <c r="AB1242" s="30" t="n"/>
      <c r="AC1242" s="30" t="n"/>
      <c r="AD1242" s="30" t="n"/>
      <c r="AE1242" s="30" t="n"/>
      <c r="AF1242" s="30" t="n"/>
      <c r="AG1242" s="30" t="n"/>
      <c r="AH1242" s="30" t="n"/>
      <c r="AI1242" s="30" t="n"/>
      <c r="AJ1242" s="30" t="n"/>
      <c r="AK1242" s="30" t="n"/>
      <c r="AL1242" s="30" t="n"/>
      <c r="AM1242" s="30" t="n"/>
      <c r="AN1242" s="30" t="n"/>
      <c r="AO1242" s="30" t="n"/>
    </row>
    <row r="1243">
      <c r="A1243" s="89" t="inlineStr">
        <is>
          <t>05980XXX</t>
        </is>
      </c>
      <c r="B1243" s="135" t="inlineStr">
        <is>
          <t>TAVERNITI   CHOMBA M/C</t>
        </is>
      </c>
      <c r="C1243" s="88" t="n">
        <v>73700</v>
      </c>
      <c r="D1243" s="88" t="n"/>
      <c r="E1243" s="170" t="n"/>
      <c r="F1243" s="170" t="n"/>
      <c r="G1243" s="170" t="n"/>
      <c r="H1243" s="170" t="n"/>
      <c r="I1243" s="170" t="n"/>
      <c r="J1243" s="170" t="n"/>
      <c r="K1243" s="170" t="n"/>
      <c r="L1243" s="170" t="n"/>
      <c r="M1243" s="30" t="n"/>
      <c r="N1243" s="170" t="n"/>
      <c r="O1243" s="150">
        <f>C1243*P1243</f>
        <v/>
      </c>
      <c r="P1243" s="22" t="n">
        <v>1.045</v>
      </c>
      <c r="Q1243" s="30" t="n"/>
      <c r="R1243" s="170" t="n"/>
      <c r="S1243" s="30" t="n"/>
      <c r="T1243" s="170" t="n"/>
      <c r="U1243" s="30" t="n"/>
      <c r="V1243" s="30" t="n"/>
      <c r="W1243" s="30" t="n"/>
      <c r="X1243" s="30" t="n"/>
      <c r="Y1243" s="30" t="n"/>
      <c r="Z1243" s="30" t="n"/>
      <c r="AA1243" s="30" t="n"/>
      <c r="AB1243" s="30" t="n"/>
      <c r="AC1243" s="30" t="n"/>
      <c r="AD1243" s="30" t="n"/>
      <c r="AE1243" s="30" t="n"/>
      <c r="AF1243" s="30" t="n"/>
      <c r="AG1243" s="30" t="n"/>
      <c r="AH1243" s="30" t="n"/>
      <c r="AI1243" s="30" t="n"/>
      <c r="AJ1243" s="30" t="n"/>
      <c r="AK1243" s="30" t="n"/>
      <c r="AL1243" s="30" t="n"/>
      <c r="AM1243" s="30" t="n"/>
      <c r="AN1243" s="30" t="n"/>
      <c r="AO1243" s="30" t="n"/>
    </row>
    <row r="1244">
      <c r="A1244" s="89" t="inlineStr">
        <is>
          <t>05982XXX</t>
        </is>
      </c>
      <c r="B1244" s="135" t="inlineStr">
        <is>
          <t>TAVERNITI   CHOMBA M/C</t>
        </is>
      </c>
      <c r="C1244" s="88" t="n">
        <v>73700</v>
      </c>
      <c r="D1244" s="88" t="n"/>
      <c r="E1244" s="170" t="n"/>
      <c r="F1244" s="170" t="n"/>
      <c r="G1244" s="170" t="n"/>
      <c r="H1244" s="170" t="n"/>
      <c r="I1244" s="170" t="n"/>
      <c r="J1244" s="170" t="n"/>
      <c r="K1244" s="170" t="n"/>
      <c r="L1244" s="170" t="n"/>
      <c r="M1244" s="30" t="n"/>
      <c r="N1244" s="170" t="n"/>
      <c r="O1244" s="150">
        <f>C1244*P1244</f>
        <v/>
      </c>
      <c r="P1244" s="22" t="n">
        <v>1.045</v>
      </c>
      <c r="Q1244" s="30" t="n"/>
      <c r="R1244" s="170" t="n"/>
      <c r="S1244" s="30" t="n"/>
      <c r="T1244" s="170" t="n"/>
      <c r="U1244" s="30" t="n"/>
      <c r="V1244" s="30" t="n"/>
      <c r="W1244" s="30" t="n"/>
      <c r="X1244" s="30" t="n"/>
      <c r="Y1244" s="30" t="n"/>
      <c r="Z1244" s="30" t="n"/>
      <c r="AA1244" s="30" t="n"/>
      <c r="AB1244" s="30" t="n"/>
      <c r="AC1244" s="30" t="n"/>
      <c r="AD1244" s="30" t="n"/>
      <c r="AE1244" s="30" t="n"/>
      <c r="AF1244" s="30" t="n"/>
      <c r="AG1244" s="30" t="n"/>
      <c r="AH1244" s="30" t="n"/>
      <c r="AI1244" s="30" t="n"/>
      <c r="AJ1244" s="30" t="n"/>
      <c r="AK1244" s="30" t="n"/>
      <c r="AL1244" s="30" t="n"/>
      <c r="AM1244" s="30" t="n"/>
      <c r="AN1244" s="30" t="n"/>
      <c r="AO1244" s="30" t="n"/>
    </row>
    <row r="1245">
      <c r="A1245" s="89" t="inlineStr">
        <is>
          <t>05988XXX</t>
        </is>
      </c>
      <c r="B1245" s="135" t="inlineStr">
        <is>
          <t>TAVERNITI   CHOMBA M/C</t>
        </is>
      </c>
      <c r="C1245" s="88" t="n">
        <v>73700</v>
      </c>
      <c r="D1245" s="88" t="n"/>
      <c r="E1245" s="170" t="n"/>
      <c r="F1245" s="170" t="n"/>
      <c r="G1245" s="170" t="n"/>
      <c r="H1245" s="170" t="n"/>
      <c r="I1245" s="170" t="n"/>
      <c r="J1245" s="170" t="n"/>
      <c r="K1245" s="170" t="n"/>
      <c r="L1245" s="170" t="n"/>
      <c r="M1245" s="30" t="n"/>
      <c r="N1245" s="170" t="n"/>
      <c r="O1245" s="150">
        <f>C1245*P1245</f>
        <v/>
      </c>
      <c r="P1245" s="22" t="n">
        <v>1.045</v>
      </c>
      <c r="Q1245" s="30" t="n"/>
      <c r="R1245" s="170" t="n"/>
      <c r="S1245" s="30" t="n"/>
      <c r="T1245" s="170" t="n"/>
      <c r="U1245" s="30" t="n"/>
      <c r="V1245" s="30" t="n"/>
      <c r="W1245" s="30" t="n"/>
      <c r="X1245" s="30" t="n"/>
      <c r="Y1245" s="30" t="n"/>
      <c r="Z1245" s="30" t="n"/>
      <c r="AA1245" s="30" t="n"/>
      <c r="AB1245" s="30" t="n"/>
      <c r="AC1245" s="30" t="n"/>
      <c r="AD1245" s="30" t="n"/>
      <c r="AE1245" s="30" t="n"/>
      <c r="AF1245" s="30" t="n"/>
      <c r="AG1245" s="30" t="n"/>
      <c r="AH1245" s="30" t="n"/>
      <c r="AI1245" s="30" t="n"/>
      <c r="AJ1245" s="30" t="n"/>
      <c r="AK1245" s="30" t="n"/>
      <c r="AL1245" s="30" t="n"/>
      <c r="AM1245" s="30" t="n"/>
      <c r="AN1245" s="30" t="n"/>
      <c r="AO1245" s="30" t="n"/>
    </row>
    <row r="1246">
      <c r="A1246" s="89" t="inlineStr">
        <is>
          <t>05996XXX</t>
        </is>
      </c>
      <c r="B1246" s="246" t="inlineStr">
        <is>
          <t>TAVERNITI   CHOMBA M/C</t>
        </is>
      </c>
      <c r="C1246" s="88" t="n">
        <v>73700</v>
      </c>
      <c r="D1246" s="88" t="n"/>
      <c r="E1246" s="111" t="n"/>
      <c r="F1246" s="170" t="n"/>
      <c r="G1246" s="170" t="n"/>
      <c r="H1246" s="170" t="n"/>
      <c r="I1246" s="170" t="n"/>
      <c r="J1246" s="170" t="n"/>
      <c r="K1246" s="170" t="n"/>
      <c r="L1246" s="170" t="n"/>
      <c r="M1246" s="30" t="n"/>
      <c r="N1246" s="170" t="n"/>
      <c r="O1246" s="150">
        <f>C1246*P1246</f>
        <v/>
      </c>
      <c r="P1246" s="22" t="n">
        <v>1.045</v>
      </c>
      <c r="Q1246" s="30" t="n"/>
      <c r="R1246" s="170" t="n"/>
      <c r="S1246" s="30" t="n"/>
      <c r="T1246" s="170" t="n"/>
      <c r="U1246" s="30" t="n"/>
      <c r="V1246" s="30" t="n"/>
      <c r="W1246" s="30" t="n"/>
      <c r="X1246" s="30" t="n"/>
      <c r="Y1246" s="30" t="n"/>
      <c r="Z1246" s="30" t="n"/>
      <c r="AA1246" s="30" t="n"/>
      <c r="AB1246" s="30" t="n"/>
      <c r="AC1246" s="30" t="n"/>
      <c r="AD1246" s="30" t="n"/>
      <c r="AE1246" s="30" t="n"/>
      <c r="AF1246" s="30" t="n"/>
      <c r="AG1246" s="30" t="n"/>
      <c r="AH1246" s="30" t="n"/>
      <c r="AI1246" s="30" t="n"/>
      <c r="AJ1246" s="30" t="n"/>
      <c r="AK1246" s="30" t="n"/>
      <c r="AL1246" s="30" t="n"/>
      <c r="AM1246" s="30" t="n"/>
      <c r="AN1246" s="30" t="n"/>
      <c r="AO1246" s="30" t="n"/>
    </row>
    <row r="1247">
      <c r="A1247" s="89" t="inlineStr">
        <is>
          <t>05998XXX</t>
        </is>
      </c>
      <c r="B1247" s="246" t="inlineStr">
        <is>
          <t>TAVERNITI   CHOMBA M/C</t>
        </is>
      </c>
      <c r="C1247" s="88" t="n">
        <v>73700</v>
      </c>
      <c r="D1247" s="88" t="n"/>
      <c r="E1247" s="111" t="n"/>
      <c r="F1247" s="170" t="n"/>
      <c r="G1247" s="170" t="n"/>
      <c r="H1247" s="170" t="n"/>
      <c r="I1247" s="170" t="n"/>
      <c r="J1247" s="170" t="n"/>
      <c r="K1247" s="170" t="n"/>
      <c r="L1247" s="170" t="n"/>
      <c r="M1247" s="30" t="n"/>
      <c r="N1247" s="170" t="n"/>
      <c r="O1247" s="150">
        <f>C1247*P1247</f>
        <v/>
      </c>
      <c r="P1247" s="22" t="n">
        <v>1.045</v>
      </c>
      <c r="Q1247" s="30" t="n"/>
      <c r="R1247" s="170" t="n"/>
      <c r="S1247" s="30" t="n"/>
      <c r="T1247" s="170" t="n"/>
      <c r="U1247" s="30" t="n"/>
      <c r="V1247" s="30" t="n"/>
      <c r="W1247" s="30" t="n"/>
      <c r="X1247" s="30" t="n"/>
      <c r="Y1247" s="30" t="n"/>
      <c r="Z1247" s="30" t="n"/>
      <c r="AA1247" s="30" t="n"/>
      <c r="AB1247" s="30" t="n"/>
      <c r="AC1247" s="30" t="n"/>
      <c r="AD1247" s="30" t="n"/>
      <c r="AE1247" s="30" t="n"/>
      <c r="AF1247" s="30" t="n"/>
      <c r="AG1247" s="30" t="n"/>
      <c r="AH1247" s="30" t="n"/>
      <c r="AI1247" s="30" t="n"/>
      <c r="AJ1247" s="30" t="n"/>
      <c r="AK1247" s="30" t="n"/>
      <c r="AL1247" s="30" t="n"/>
      <c r="AM1247" s="30" t="n"/>
      <c r="AN1247" s="30" t="n"/>
      <c r="AO1247" s="30" t="n"/>
    </row>
    <row r="1248">
      <c r="A1248" s="89" t="inlineStr">
        <is>
          <t>06008XXX</t>
        </is>
      </c>
      <c r="B1248" s="135" t="inlineStr">
        <is>
          <t>TAVERNITI   CHOMBA M/C</t>
        </is>
      </c>
      <c r="C1248" s="88" t="n">
        <v>73700</v>
      </c>
      <c r="D1248" s="88" t="n"/>
      <c r="E1248" s="88" t="n"/>
      <c r="F1248" s="88" t="n"/>
      <c r="G1248" s="88" t="n"/>
      <c r="H1248" s="88" t="n"/>
      <c r="I1248" s="88" t="n"/>
      <c r="J1248" s="88" t="n"/>
      <c r="K1248" s="88" t="n"/>
      <c r="L1248" s="170" t="n"/>
      <c r="M1248" s="88" t="n"/>
      <c r="N1248" s="170" t="n"/>
      <c r="O1248" s="150">
        <f>C1248*P1248</f>
        <v/>
      </c>
      <c r="P1248" s="22" t="n">
        <v>1.045</v>
      </c>
      <c r="Q1248" s="30" t="n"/>
      <c r="R1248" s="170" t="n"/>
      <c r="S1248" s="30" t="n"/>
      <c r="T1248" s="170" t="n"/>
      <c r="U1248" s="30" t="n"/>
      <c r="V1248" s="30" t="n"/>
      <c r="W1248" s="30" t="n"/>
      <c r="X1248" s="30" t="n"/>
      <c r="Y1248" s="30" t="n"/>
      <c r="Z1248" s="30" t="n"/>
      <c r="AA1248" s="30" t="n"/>
      <c r="AB1248" s="30" t="n"/>
      <c r="AC1248" s="30" t="n"/>
      <c r="AD1248" s="30" t="n"/>
      <c r="AE1248" s="30" t="n"/>
      <c r="AF1248" s="30" t="n"/>
      <c r="AG1248" s="30" t="n"/>
      <c r="AH1248" s="30" t="n"/>
      <c r="AI1248" s="30" t="n"/>
      <c r="AJ1248" s="30" t="n"/>
      <c r="AK1248" s="30" t="n"/>
      <c r="AL1248" s="30" t="n"/>
      <c r="AM1248" s="30" t="n"/>
      <c r="AN1248" s="30" t="n"/>
      <c r="AO1248" s="30" t="n"/>
    </row>
    <row r="1249">
      <c r="A1249" s="89" t="inlineStr">
        <is>
          <t>06010XXX</t>
        </is>
      </c>
      <c r="B1249" s="135" t="inlineStr">
        <is>
          <t>TAVERNITI   CHOMBA M/C</t>
        </is>
      </c>
      <c r="C1249" s="88" t="n">
        <v>73700</v>
      </c>
      <c r="D1249" s="88" t="n"/>
      <c r="E1249" s="88" t="n"/>
      <c r="F1249" s="88" t="n"/>
      <c r="G1249" s="88" t="n"/>
      <c r="H1249" s="88" t="n"/>
      <c r="I1249" s="88" t="n"/>
      <c r="J1249" s="88" t="n"/>
      <c r="K1249" s="88" t="n"/>
      <c r="L1249" s="170" t="n"/>
      <c r="M1249" s="88" t="n"/>
      <c r="N1249" s="170" t="n"/>
      <c r="O1249" s="150">
        <f>C1249*P1249</f>
        <v/>
      </c>
      <c r="P1249" s="22" t="n">
        <v>1.045</v>
      </c>
      <c r="Q1249" s="30" t="n"/>
      <c r="R1249" s="170" t="n"/>
      <c r="S1249" s="30" t="n"/>
      <c r="T1249" s="170" t="n"/>
      <c r="U1249" s="30" t="n"/>
      <c r="V1249" s="30" t="n"/>
      <c r="W1249" s="30" t="n"/>
      <c r="X1249" s="30" t="n"/>
      <c r="Y1249" s="30" t="n"/>
      <c r="Z1249" s="30" t="n"/>
      <c r="AA1249" s="30" t="n"/>
      <c r="AB1249" s="30" t="n"/>
      <c r="AC1249" s="30" t="n"/>
      <c r="AD1249" s="30" t="n"/>
      <c r="AE1249" s="30" t="n"/>
      <c r="AF1249" s="30" t="n"/>
      <c r="AG1249" s="30" t="n"/>
      <c r="AH1249" s="30" t="n"/>
      <c r="AI1249" s="30" t="n"/>
      <c r="AJ1249" s="30" t="n"/>
      <c r="AK1249" s="30" t="n"/>
      <c r="AL1249" s="30" t="n"/>
      <c r="AM1249" s="30" t="n"/>
      <c r="AN1249" s="30" t="n"/>
      <c r="AO1249" s="30" t="n"/>
    </row>
    <row r="1250">
      <c r="A1250" s="89" t="inlineStr">
        <is>
          <t>06012XXX</t>
        </is>
      </c>
      <c r="B1250" s="135" t="inlineStr">
        <is>
          <t>TAVERNITI   CHOMBA M/C</t>
        </is>
      </c>
      <c r="C1250" s="88" t="n">
        <v>76000</v>
      </c>
      <c r="D1250" s="88" t="n"/>
      <c r="E1250" s="88" t="n"/>
      <c r="F1250" s="88" t="n"/>
      <c r="G1250" s="88" t="n"/>
      <c r="H1250" s="88" t="n"/>
      <c r="I1250" s="88" t="n"/>
      <c r="J1250" s="88" t="n"/>
      <c r="K1250" s="88" t="n"/>
      <c r="L1250" s="170" t="n"/>
      <c r="M1250" s="88" t="n"/>
      <c r="N1250" s="170" t="n"/>
      <c r="O1250" s="150">
        <f>C1250*P1250</f>
        <v/>
      </c>
      <c r="P1250" s="22" t="n">
        <v>1.045</v>
      </c>
      <c r="Q1250" s="30" t="n"/>
      <c r="R1250" s="170" t="n"/>
      <c r="S1250" s="30" t="n"/>
      <c r="T1250" s="170" t="n"/>
      <c r="U1250" s="30" t="n"/>
      <c r="V1250" s="30" t="n"/>
      <c r="W1250" s="30" t="n"/>
      <c r="X1250" s="30" t="n"/>
      <c r="Y1250" s="30" t="n"/>
      <c r="Z1250" s="30" t="n"/>
      <c r="AA1250" s="30" t="n"/>
      <c r="AB1250" s="30" t="n"/>
      <c r="AC1250" s="30" t="n"/>
      <c r="AD1250" s="30" t="n"/>
      <c r="AE1250" s="30" t="n"/>
      <c r="AF1250" s="30" t="n"/>
      <c r="AG1250" s="30" t="n"/>
      <c r="AH1250" s="30" t="n"/>
      <c r="AI1250" s="30" t="n"/>
      <c r="AJ1250" s="30" t="n"/>
      <c r="AK1250" s="30" t="n"/>
      <c r="AL1250" s="30" t="n"/>
      <c r="AM1250" s="30" t="n"/>
      <c r="AN1250" s="30" t="n"/>
      <c r="AO1250" s="30" t="n"/>
    </row>
    <row r="1251">
      <c r="A1251" s="89" t="inlineStr">
        <is>
          <t>06030XXX</t>
        </is>
      </c>
      <c r="B1251" s="135" t="inlineStr">
        <is>
          <t>TAVERNITI   CHOMBA M/C</t>
        </is>
      </c>
      <c r="C1251" s="88" t="n">
        <v>73700</v>
      </c>
      <c r="D1251" s="88" t="n"/>
      <c r="E1251" s="88" t="n"/>
      <c r="F1251" s="88" t="n"/>
      <c r="G1251" s="88" t="n"/>
      <c r="H1251" s="88" t="n"/>
      <c r="I1251" s="88" t="n"/>
      <c r="J1251" s="88" t="n"/>
      <c r="K1251" s="88" t="n"/>
      <c r="L1251" s="170" t="n"/>
      <c r="M1251" s="88" t="n"/>
      <c r="N1251" s="170" t="n"/>
      <c r="O1251" s="150">
        <f>C1251*P1251</f>
        <v/>
      </c>
      <c r="P1251" s="22" t="n">
        <v>1.045</v>
      </c>
      <c r="Q1251" s="30" t="n"/>
      <c r="R1251" s="170" t="n"/>
      <c r="S1251" s="30" t="n"/>
      <c r="T1251" s="170" t="n"/>
      <c r="U1251" s="30" t="n"/>
      <c r="V1251" s="30" t="n"/>
      <c r="W1251" s="30" t="n"/>
      <c r="X1251" s="30" t="n"/>
      <c r="Y1251" s="30" t="n"/>
      <c r="Z1251" s="30" t="n"/>
      <c r="AA1251" s="30" t="n"/>
      <c r="AB1251" s="30" t="n"/>
      <c r="AC1251" s="30" t="n"/>
      <c r="AD1251" s="30" t="n"/>
      <c r="AE1251" s="30" t="n"/>
      <c r="AF1251" s="30" t="n"/>
      <c r="AG1251" s="30" t="n"/>
      <c r="AH1251" s="30" t="n"/>
      <c r="AI1251" s="30" t="n"/>
      <c r="AJ1251" s="30" t="n"/>
      <c r="AK1251" s="30" t="n"/>
      <c r="AL1251" s="30" t="n"/>
      <c r="AM1251" s="30" t="n"/>
      <c r="AN1251" s="30" t="n"/>
      <c r="AO1251" s="30" t="n"/>
    </row>
    <row r="1252">
      <c r="A1252" s="134" t="inlineStr">
        <is>
          <t>6194XXX</t>
        </is>
      </c>
      <c r="B1252" s="246" t="inlineStr">
        <is>
          <t>TAVERNITI   CHOMBA M/C</t>
        </is>
      </c>
      <c r="C1252" s="88" t="n">
        <v>73700</v>
      </c>
      <c r="D1252" s="88" t="n"/>
      <c r="E1252" s="219" t="n"/>
      <c r="F1252" s="219" t="n"/>
      <c r="G1252" s="219" t="n"/>
      <c r="H1252" s="219" t="n"/>
      <c r="I1252" s="219" t="n"/>
      <c r="J1252" s="219" t="n"/>
      <c r="K1252" s="219" t="n"/>
      <c r="L1252" s="183" t="n"/>
      <c r="M1252" s="219" t="n"/>
      <c r="N1252" s="219" t="n"/>
      <c r="O1252" s="117">
        <f>C1252*P1252</f>
        <v/>
      </c>
      <c r="P1252" s="22" t="n">
        <v>1.045</v>
      </c>
      <c r="R1252" s="117" t="n"/>
      <c r="T1252" s="117" t="n"/>
    </row>
    <row r="1253">
      <c r="A1253" s="134" t="inlineStr">
        <is>
          <t>6198XXX</t>
        </is>
      </c>
      <c r="B1253" s="246" t="inlineStr">
        <is>
          <t>TAVERNITI   CHOMBA M/C</t>
        </is>
      </c>
      <c r="C1253" s="88" t="n">
        <v>64400</v>
      </c>
      <c r="D1253" s="88" t="n"/>
      <c r="E1253" s="219" t="n"/>
      <c r="F1253" s="219" t="n"/>
      <c r="G1253" s="219" t="n"/>
      <c r="H1253" s="219" t="n"/>
      <c r="I1253" s="219" t="n"/>
      <c r="J1253" s="219" t="n"/>
      <c r="K1253" s="219" t="n"/>
      <c r="L1253" s="183" t="n"/>
      <c r="M1253" s="219" t="n"/>
      <c r="N1253" s="219" t="n"/>
      <c r="O1253" s="117">
        <f>C1253*P1253</f>
        <v/>
      </c>
      <c r="P1253" s="22" t="n">
        <v>1.045</v>
      </c>
      <c r="R1253" s="117" t="n"/>
      <c r="T1253" s="117" t="n"/>
    </row>
    <row r="1254">
      <c r="A1254" s="134" t="inlineStr">
        <is>
          <t>6200XXX</t>
        </is>
      </c>
      <c r="B1254" s="246" t="inlineStr">
        <is>
          <t>TAVERNITI   CHOMBA M/C</t>
        </is>
      </c>
      <c r="C1254" s="88" t="n">
        <v>64400</v>
      </c>
      <c r="D1254" s="88" t="n"/>
      <c r="E1254" s="219" t="n"/>
      <c r="F1254" s="219" t="n"/>
      <c r="G1254" s="219" t="n"/>
      <c r="H1254" s="219" t="n"/>
      <c r="I1254" s="219" t="n"/>
      <c r="J1254" s="219" t="n"/>
      <c r="K1254" s="219" t="n"/>
      <c r="L1254" s="183" t="n"/>
      <c r="M1254" s="219" t="n"/>
      <c r="N1254" s="219" t="n"/>
      <c r="O1254" s="117">
        <f>C1254*P1254</f>
        <v/>
      </c>
      <c r="P1254" s="22" t="n">
        <v>1.045</v>
      </c>
      <c r="R1254" s="117" t="n"/>
      <c r="T1254" s="117" t="n"/>
    </row>
    <row r="1255">
      <c r="A1255" s="134" t="inlineStr">
        <is>
          <t>6386XXX</t>
        </is>
      </c>
      <c r="B1255" s="246" t="inlineStr">
        <is>
          <t>TAVERNITI   CHOMBA M/C</t>
        </is>
      </c>
      <c r="C1255" s="88" t="n">
        <v>67600</v>
      </c>
      <c r="D1255" s="88" t="n"/>
      <c r="E1255" s="219" t="n"/>
      <c r="F1255" s="219" t="n"/>
      <c r="G1255" s="219" t="n"/>
      <c r="H1255" s="219" t="n"/>
      <c r="I1255" s="219" t="n"/>
      <c r="J1255" s="219" t="n"/>
      <c r="K1255" s="219" t="n"/>
      <c r="L1255" s="183" t="n"/>
      <c r="M1255" s="219" t="n"/>
      <c r="N1255" s="219" t="n"/>
      <c r="O1255" s="117">
        <f>C1255*P1255</f>
        <v/>
      </c>
      <c r="P1255" s="22" t="n">
        <v>1.045</v>
      </c>
      <c r="R1255" s="117" t="n"/>
      <c r="T1255" s="117" t="n"/>
    </row>
    <row r="1256">
      <c r="A1256" s="134" t="inlineStr">
        <is>
          <t>6390XXX</t>
        </is>
      </c>
      <c r="B1256" s="246" t="inlineStr">
        <is>
          <t>TAVERNITI   CHOMBA M/C</t>
        </is>
      </c>
      <c r="C1256" s="88" t="n">
        <v>65700</v>
      </c>
      <c r="D1256" s="88" t="n"/>
      <c r="E1256" s="219" t="n"/>
      <c r="F1256" s="219" t="n"/>
      <c r="G1256" s="219" t="n"/>
      <c r="H1256" s="219" t="n"/>
      <c r="I1256" s="219" t="n"/>
      <c r="J1256" s="219" t="n"/>
      <c r="K1256" s="219" t="n"/>
      <c r="L1256" s="183" t="n"/>
      <c r="M1256" s="219" t="n"/>
      <c r="N1256" s="219" t="n"/>
      <c r="O1256" s="117">
        <f>C1256*P1256</f>
        <v/>
      </c>
      <c r="P1256" s="22" t="n">
        <v>1.045</v>
      </c>
      <c r="R1256" s="117" t="n"/>
      <c r="T1256" s="117" t="n"/>
    </row>
    <row r="1257">
      <c r="A1257" s="134" t="inlineStr">
        <is>
          <t>6402XXX</t>
        </is>
      </c>
      <c r="B1257" s="246" t="inlineStr">
        <is>
          <t>TAVERNITI   CHOMBA M/C</t>
        </is>
      </c>
      <c r="C1257" s="219" t="n">
        <v>67800</v>
      </c>
      <c r="D1257" s="219" t="n"/>
      <c r="E1257" s="219" t="n"/>
      <c r="F1257" s="219" t="n"/>
      <c r="G1257" s="219" t="n"/>
      <c r="H1257" s="219" t="n"/>
      <c r="I1257" s="219" t="n"/>
      <c r="J1257" s="219" t="n"/>
      <c r="K1257" s="219" t="n"/>
      <c r="L1257" s="183" t="n"/>
      <c r="M1257" s="219" t="n"/>
      <c r="N1257" s="219" t="n"/>
      <c r="O1257" s="117">
        <f>C1257*P1257</f>
        <v/>
      </c>
      <c r="P1257" s="22" t="n">
        <v>1.045</v>
      </c>
      <c r="R1257" s="117" t="n"/>
      <c r="T1257" s="117" t="n"/>
    </row>
    <row r="1258">
      <c r="A1258" s="134" t="inlineStr">
        <is>
          <t>6412XXX</t>
        </is>
      </c>
      <c r="B1258" s="246" t="inlineStr">
        <is>
          <t>TAVERNITI   CHOMBA M/C</t>
        </is>
      </c>
      <c r="C1258" s="88" t="n">
        <v>65700</v>
      </c>
      <c r="D1258" s="88" t="n"/>
      <c r="E1258" s="219" t="n"/>
      <c r="F1258" s="219" t="n"/>
      <c r="G1258" s="219" t="n"/>
      <c r="H1258" s="219" t="n"/>
      <c r="I1258" s="219" t="n"/>
      <c r="J1258" s="219" t="n"/>
      <c r="K1258" s="219" t="n"/>
      <c r="L1258" s="183" t="n"/>
      <c r="M1258" s="219" t="n"/>
      <c r="N1258" s="219" t="n"/>
      <c r="O1258" s="117">
        <f>C1258*P1258</f>
        <v/>
      </c>
      <c r="P1258" s="22" t="n">
        <v>1.045</v>
      </c>
      <c r="R1258" s="117" t="n"/>
      <c r="T1258" s="117" t="n"/>
    </row>
    <row r="1259">
      <c r="A1259" s="134" t="inlineStr">
        <is>
          <t>6420XXX</t>
        </is>
      </c>
      <c r="B1259" s="246" t="inlineStr">
        <is>
          <t>TAVERNITI   CHOMBA M/C</t>
        </is>
      </c>
      <c r="C1259" s="88" t="n">
        <v>65700</v>
      </c>
      <c r="D1259" s="88" t="n"/>
      <c r="E1259" s="219" t="n"/>
      <c r="F1259" s="219" t="n"/>
      <c r="G1259" s="219" t="n"/>
      <c r="H1259" s="219" t="n"/>
      <c r="I1259" s="219" t="n"/>
      <c r="J1259" s="219" t="n"/>
      <c r="K1259" s="219" t="n"/>
      <c r="L1259" s="183" t="n"/>
      <c r="M1259" s="219" t="n"/>
      <c r="N1259" s="219" t="n"/>
      <c r="O1259" s="117">
        <f>C1259*P1259</f>
        <v/>
      </c>
      <c r="P1259" s="22" t="n">
        <v>1.045</v>
      </c>
      <c r="R1259" s="117" t="n"/>
      <c r="T1259" s="117" t="n"/>
    </row>
    <row r="1260">
      <c r="A1260" s="134" t="inlineStr">
        <is>
          <t>6430XXX</t>
        </is>
      </c>
      <c r="B1260" s="246" t="inlineStr">
        <is>
          <t>TAVERNITI   CHOMBA M/C</t>
        </is>
      </c>
      <c r="C1260" s="88" t="n">
        <v>65400</v>
      </c>
      <c r="D1260" s="88" t="n"/>
      <c r="E1260" s="219" t="n"/>
      <c r="F1260" s="219" t="n"/>
      <c r="G1260" s="219" t="n"/>
      <c r="H1260" s="219" t="n"/>
      <c r="I1260" s="219" t="n"/>
      <c r="J1260" s="219" t="n"/>
      <c r="K1260" s="219" t="n"/>
      <c r="L1260" s="183" t="n"/>
      <c r="M1260" s="219" t="n"/>
      <c r="N1260" s="219" t="n"/>
      <c r="O1260" s="117">
        <f>C1260*P1260</f>
        <v/>
      </c>
      <c r="P1260" s="22" t="n">
        <v>1.045</v>
      </c>
      <c r="R1260" s="117" t="n"/>
      <c r="T1260" s="117" t="n"/>
    </row>
    <row r="1261">
      <c r="A1261" s="134" t="inlineStr">
        <is>
          <t>6432XXX</t>
        </is>
      </c>
      <c r="B1261" s="246" t="inlineStr">
        <is>
          <t>TAVERNITI   CHOMBA M/C</t>
        </is>
      </c>
      <c r="C1261" s="219" t="n">
        <v>67800</v>
      </c>
      <c r="D1261" s="219" t="n"/>
      <c r="E1261" s="219" t="n"/>
      <c r="F1261" s="219" t="n"/>
      <c r="G1261" s="219" t="n"/>
      <c r="H1261" s="219" t="n"/>
      <c r="I1261" s="219" t="n"/>
      <c r="J1261" s="219" t="n"/>
      <c r="K1261" s="219" t="n"/>
      <c r="L1261" s="183" t="n"/>
      <c r="M1261" s="219" t="n"/>
      <c r="N1261" s="219" t="n"/>
      <c r="O1261" s="117">
        <f>C1261*P1261</f>
        <v/>
      </c>
      <c r="P1261" s="22" t="n">
        <v>1.045</v>
      </c>
      <c r="R1261" s="117" t="n"/>
      <c r="T1261" s="117" t="n"/>
    </row>
    <row r="1262">
      <c r="A1262" s="134" t="inlineStr">
        <is>
          <t>6434XXX</t>
        </is>
      </c>
      <c r="B1262" s="246" t="inlineStr">
        <is>
          <t>TAVERNITI   CHOMBA M/C</t>
        </is>
      </c>
      <c r="C1262" s="88" t="n">
        <v>66300</v>
      </c>
      <c r="D1262" s="88" t="n"/>
      <c r="E1262" s="219" t="n"/>
      <c r="F1262" s="219" t="n"/>
      <c r="G1262" s="219" t="n"/>
      <c r="H1262" s="219" t="n"/>
      <c r="I1262" s="219" t="n"/>
      <c r="J1262" s="219" t="n"/>
      <c r="K1262" s="219" t="n"/>
      <c r="L1262" s="183" t="n"/>
      <c r="M1262" s="219" t="n"/>
      <c r="N1262" s="219" t="n"/>
      <c r="O1262" s="117">
        <f>C1262*P1262</f>
        <v/>
      </c>
      <c r="P1262" s="22" t="n">
        <v>1.045</v>
      </c>
      <c r="R1262" s="117" t="n"/>
      <c r="T1262" s="117" t="n"/>
    </row>
    <row r="1263">
      <c r="A1263" s="134" t="inlineStr">
        <is>
          <t>6436XXX</t>
        </is>
      </c>
      <c r="B1263" s="246" t="inlineStr">
        <is>
          <t>TAVERNITI   CHOMBA M/C</t>
        </is>
      </c>
      <c r="C1263" s="88" t="n">
        <v>61600</v>
      </c>
      <c r="D1263" s="88" t="n"/>
      <c r="E1263" s="219" t="n"/>
      <c r="F1263" s="219" t="n"/>
      <c r="G1263" s="219" t="n"/>
      <c r="H1263" s="219" t="n"/>
      <c r="I1263" s="219" t="n"/>
      <c r="J1263" s="219" t="n"/>
      <c r="K1263" s="219" t="n"/>
      <c r="L1263" s="183" t="n"/>
      <c r="M1263" s="219" t="n"/>
      <c r="N1263" s="219" t="n"/>
      <c r="O1263" s="117">
        <f>C1263*P1263</f>
        <v/>
      </c>
      <c r="P1263" s="22" t="n">
        <v>1.045</v>
      </c>
      <c r="R1263" s="117" t="n"/>
      <c r="T1263" s="117" t="n"/>
    </row>
    <row r="1264">
      <c r="A1264" s="134" t="inlineStr">
        <is>
          <t>6438XXX</t>
        </is>
      </c>
      <c r="B1264" s="246" t="inlineStr">
        <is>
          <t>TAVERNITI   CHOMBA M/C</t>
        </is>
      </c>
      <c r="C1264" s="88" t="n">
        <v>72800</v>
      </c>
      <c r="D1264" s="219" t="n"/>
      <c r="E1264" s="219" t="n"/>
      <c r="F1264" s="219" t="n"/>
      <c r="G1264" s="219" t="n"/>
      <c r="H1264" s="219" t="n"/>
      <c r="I1264" s="219" t="n"/>
      <c r="J1264" s="219" t="n"/>
      <c r="K1264" s="219" t="n"/>
      <c r="L1264" s="183" t="n"/>
      <c r="M1264" s="219" t="n"/>
      <c r="N1264" s="219" t="n"/>
      <c r="O1264" s="117">
        <f>C1264*P1264</f>
        <v/>
      </c>
      <c r="P1264" s="22" t="n">
        <v>1.045</v>
      </c>
      <c r="R1264" s="117" t="n"/>
      <c r="T1264" s="117" t="n"/>
    </row>
    <row r="1265">
      <c r="A1265" s="134" t="inlineStr">
        <is>
          <t>6442XXX</t>
        </is>
      </c>
      <c r="B1265" s="246" t="inlineStr">
        <is>
          <t>TAVERNITI   CHOMBA M/C</t>
        </is>
      </c>
      <c r="C1265" s="88" t="n">
        <v>72800</v>
      </c>
      <c r="D1265" s="219" t="n"/>
      <c r="E1265" s="219" t="n"/>
      <c r="F1265" s="219" t="n"/>
      <c r="G1265" s="219" t="n"/>
      <c r="H1265" s="219" t="n"/>
      <c r="I1265" s="219" t="n"/>
      <c r="J1265" s="219" t="n"/>
      <c r="K1265" s="219" t="n"/>
      <c r="L1265" s="183" t="n"/>
      <c r="M1265" s="219" t="n"/>
      <c r="N1265" s="219" t="n"/>
      <c r="O1265" s="117">
        <f>C1265*P1265</f>
        <v/>
      </c>
      <c r="P1265" s="22" t="n">
        <v>1.045</v>
      </c>
      <c r="R1265" s="117" t="n"/>
      <c r="T1265" s="117" t="n"/>
    </row>
    <row r="1266">
      <c r="A1266" s="134" t="inlineStr">
        <is>
          <t>6456XXX</t>
        </is>
      </c>
      <c r="B1266" s="246" t="inlineStr">
        <is>
          <t>TAVERNITI   CHOMBA M/C</t>
        </is>
      </c>
      <c r="C1266" s="88" t="n">
        <v>72800</v>
      </c>
      <c r="D1266" s="219" t="n"/>
      <c r="E1266" s="219" t="n"/>
      <c r="F1266" s="219" t="n"/>
      <c r="G1266" s="219" t="n"/>
      <c r="H1266" s="219" t="n"/>
      <c r="I1266" s="219" t="n"/>
      <c r="J1266" s="219" t="n"/>
      <c r="K1266" s="219" t="n"/>
      <c r="L1266" s="183" t="n"/>
      <c r="M1266" s="219" t="n"/>
      <c r="N1266" s="219" t="n"/>
      <c r="O1266" s="117">
        <f>C1266*P1266</f>
        <v/>
      </c>
      <c r="P1266" s="22" t="n">
        <v>1.045</v>
      </c>
      <c r="R1266" s="117" t="n"/>
      <c r="T1266" s="117" t="n"/>
    </row>
    <row r="1267">
      <c r="A1267" s="134" t="inlineStr">
        <is>
          <t>6458XXX</t>
        </is>
      </c>
      <c r="B1267" s="246" t="inlineStr">
        <is>
          <t>TAVERNITI   CHOMBA M/C</t>
        </is>
      </c>
      <c r="C1267" s="88" t="n">
        <v>72800</v>
      </c>
      <c r="D1267" s="219" t="n"/>
      <c r="E1267" s="219" t="n"/>
      <c r="F1267" s="219" t="n"/>
      <c r="G1267" s="219" t="n"/>
      <c r="H1267" s="219" t="n"/>
      <c r="I1267" s="219" t="n"/>
      <c r="J1267" s="219" t="n"/>
      <c r="K1267" s="219" t="n"/>
      <c r="L1267" s="183" t="n"/>
      <c r="M1267" s="219" t="n"/>
      <c r="N1267" s="219" t="n"/>
      <c r="O1267" s="117">
        <f>C1267*P1267</f>
        <v/>
      </c>
      <c r="P1267" s="22" t="n">
        <v>1.045</v>
      </c>
      <c r="R1267" s="117" t="n"/>
      <c r="T1267" s="117" t="n"/>
    </row>
    <row r="1268">
      <c r="A1268" s="134" t="inlineStr">
        <is>
          <t>6462XXX</t>
        </is>
      </c>
      <c r="B1268" s="246" t="inlineStr">
        <is>
          <t>TAVERNITI   CHOMBA M/C</t>
        </is>
      </c>
      <c r="C1268" s="88" t="n">
        <v>72800</v>
      </c>
      <c r="D1268" s="219" t="n"/>
      <c r="E1268" s="219" t="n"/>
      <c r="F1268" s="219" t="n"/>
      <c r="G1268" s="219" t="n"/>
      <c r="H1268" s="219" t="n"/>
      <c r="I1268" s="219" t="n"/>
      <c r="J1268" s="219" t="n"/>
      <c r="K1268" s="219" t="n"/>
      <c r="L1268" s="183" t="n"/>
      <c r="M1268" s="219" t="n"/>
      <c r="N1268" s="219" t="n"/>
      <c r="O1268" s="117">
        <f>C1268*P1268</f>
        <v/>
      </c>
      <c r="P1268" s="22" t="n">
        <v>1.045</v>
      </c>
      <c r="R1268" s="117" t="n"/>
      <c r="T1268" s="117" t="n"/>
    </row>
    <row r="1269">
      <c r="A1269" s="134" t="inlineStr">
        <is>
          <t>6466XXX</t>
        </is>
      </c>
      <c r="B1269" s="246" t="inlineStr">
        <is>
          <t>TAVERNITI   CHOMBA M/C</t>
        </is>
      </c>
      <c r="C1269" s="219" t="n">
        <v>71700</v>
      </c>
      <c r="D1269" s="219" t="n"/>
      <c r="E1269" s="219" t="n"/>
      <c r="F1269" s="219" t="n"/>
      <c r="G1269" s="219" t="n"/>
      <c r="H1269" s="219" t="n"/>
      <c r="I1269" s="219" t="n"/>
      <c r="J1269" s="219" t="n"/>
      <c r="K1269" s="219" t="n"/>
      <c r="L1269" s="183" t="n"/>
      <c r="M1269" s="219" t="n"/>
      <c r="N1269" s="219" t="n"/>
      <c r="O1269" s="117">
        <f>C1269*P1269</f>
        <v/>
      </c>
      <c r="P1269" s="22" t="n">
        <v>1.045</v>
      </c>
      <c r="R1269" s="117" t="n"/>
      <c r="T1269" s="117" t="n"/>
    </row>
    <row r="1270">
      <c r="A1270" s="134" t="inlineStr">
        <is>
          <t>6468XXX</t>
        </is>
      </c>
      <c r="B1270" s="246" t="inlineStr">
        <is>
          <t>TAVERNITI   CHOMBA M/C</t>
        </is>
      </c>
      <c r="C1270" s="219" t="n">
        <v>76300</v>
      </c>
      <c r="D1270" s="219" t="n"/>
      <c r="E1270" s="219" t="n"/>
      <c r="F1270" s="219" t="n"/>
      <c r="G1270" s="219" t="n"/>
      <c r="H1270" s="219" t="n"/>
      <c r="I1270" s="219" t="n"/>
      <c r="J1270" s="219" t="n"/>
      <c r="K1270" s="219" t="n"/>
      <c r="L1270" s="183" t="n"/>
      <c r="M1270" s="219" t="n"/>
      <c r="N1270" s="219" t="n"/>
      <c r="O1270" s="117">
        <f>C1270*P1270</f>
        <v/>
      </c>
      <c r="P1270" s="22" t="n">
        <v>1.045</v>
      </c>
      <c r="R1270" s="117" t="n"/>
      <c r="T1270" s="117" t="n"/>
    </row>
    <row r="1271">
      <c r="A1271" s="134" t="inlineStr">
        <is>
          <t>6470XXX</t>
        </is>
      </c>
      <c r="B1271" s="246" t="inlineStr">
        <is>
          <t>TAVERNITI   CHOMBA M/C</t>
        </is>
      </c>
      <c r="C1271" s="219" t="n">
        <v>64700</v>
      </c>
      <c r="D1271" s="219" t="n"/>
      <c r="E1271" s="219" t="n"/>
      <c r="F1271" s="219" t="n"/>
      <c r="G1271" s="219" t="n"/>
      <c r="H1271" s="219" t="n"/>
      <c r="I1271" s="219" t="n"/>
      <c r="J1271" s="219" t="n"/>
      <c r="K1271" s="219" t="n"/>
      <c r="L1271" s="183" t="n"/>
      <c r="M1271" s="219" t="n"/>
      <c r="N1271" s="219" t="n"/>
      <c r="O1271" s="117">
        <f>C1271*P1271</f>
        <v/>
      </c>
      <c r="P1271" s="22" t="n">
        <v>1.045</v>
      </c>
      <c r="R1271" s="117" t="n"/>
      <c r="T1271" s="117" t="n"/>
    </row>
    <row r="1272">
      <c r="A1272" s="134" t="inlineStr">
        <is>
          <t>8538601</t>
        </is>
      </c>
      <c r="B1272" s="246" t="inlineStr">
        <is>
          <t>TAVERNITI   CHOMBA M/C</t>
        </is>
      </c>
      <c r="C1272" s="219" t="n">
        <v>70000</v>
      </c>
      <c r="D1272" s="219" t="n"/>
      <c r="E1272" s="219" t="n"/>
      <c r="F1272" s="219" t="n"/>
      <c r="G1272" s="219" t="n"/>
      <c r="H1272" s="219" t="n"/>
      <c r="I1272" s="219" t="n"/>
      <c r="J1272" s="219" t="n"/>
      <c r="K1272" s="219" t="n"/>
      <c r="L1272" s="183" t="n"/>
      <c r="M1272" s="219" t="n"/>
      <c r="N1272" s="219" t="n"/>
      <c r="O1272" s="117">
        <f>C1272*P1272</f>
        <v/>
      </c>
      <c r="P1272" s="22" t="n">
        <v>1.045</v>
      </c>
      <c r="R1272" s="117" t="n"/>
      <c r="T1272" s="117" t="n"/>
    </row>
    <row r="1273">
      <c r="A1273" s="134" t="inlineStr">
        <is>
          <t>8550640</t>
        </is>
      </c>
      <c r="B1273" s="246" t="inlineStr">
        <is>
          <t>TAVERNITI   CHOMBA M/C</t>
        </is>
      </c>
      <c r="C1273" s="219" t="n">
        <v>70000</v>
      </c>
      <c r="D1273" s="219" t="n"/>
      <c r="E1273" s="219" t="n"/>
      <c r="F1273" s="219" t="n"/>
      <c r="G1273" s="219" t="n"/>
      <c r="H1273" s="219" t="n"/>
      <c r="I1273" s="219" t="n"/>
      <c r="J1273" s="219" t="n"/>
      <c r="K1273" s="219" t="n"/>
      <c r="L1273" s="183" t="n"/>
      <c r="M1273" s="219" t="n"/>
      <c r="N1273" s="219" t="n"/>
      <c r="O1273" s="117">
        <f>C1273*P1273</f>
        <v/>
      </c>
      <c r="P1273" s="22" t="n">
        <v>1.045</v>
      </c>
      <c r="R1273" s="117" t="n"/>
      <c r="T1273" s="117" t="n"/>
    </row>
    <row r="1274">
      <c r="A1274" s="134" t="inlineStr">
        <is>
          <t>8702663</t>
        </is>
      </c>
      <c r="B1274" s="246" t="inlineStr">
        <is>
          <t>TAVERNITI   CHOMBA M/C</t>
        </is>
      </c>
      <c r="C1274" s="219" t="n">
        <v>70000</v>
      </c>
      <c r="D1274" s="219" t="n"/>
      <c r="E1274" s="219" t="n"/>
      <c r="F1274" s="219" t="n"/>
      <c r="G1274" s="219" t="n"/>
      <c r="H1274" s="219" t="n"/>
      <c r="I1274" s="219" t="n"/>
      <c r="J1274" s="219" t="n"/>
      <c r="K1274" s="219" t="n"/>
      <c r="L1274" s="183" t="n"/>
      <c r="M1274" s="219" t="n"/>
      <c r="N1274" s="219" t="n"/>
      <c r="O1274" s="117">
        <f>C1274*P1274</f>
        <v/>
      </c>
      <c r="P1274" s="22" t="n">
        <v>1.045</v>
      </c>
      <c r="R1274" s="117" t="n"/>
      <c r="T1274" s="117" t="n"/>
    </row>
    <row r="1275">
      <c r="A1275" s="134" t="inlineStr">
        <is>
          <t>8713XXX</t>
        </is>
      </c>
      <c r="B1275" s="246" t="inlineStr">
        <is>
          <t>TAVERNITI   CHOMBA M/C</t>
        </is>
      </c>
      <c r="C1275" s="219" t="n">
        <v>70000</v>
      </c>
      <c r="D1275" s="219" t="n"/>
      <c r="E1275" s="219" t="n"/>
      <c r="F1275" s="219" t="n"/>
      <c r="G1275" s="219" t="n"/>
      <c r="H1275" s="219" t="n"/>
      <c r="I1275" s="219" t="n"/>
      <c r="J1275" s="219" t="n"/>
      <c r="K1275" s="219" t="n"/>
      <c r="L1275" s="183" t="n"/>
      <c r="M1275" s="219" t="n"/>
      <c r="N1275" s="219" t="n"/>
      <c r="O1275" s="117">
        <f>C1275*P1275</f>
        <v/>
      </c>
      <c r="P1275" s="22" t="n">
        <v>1.045</v>
      </c>
      <c r="R1275" s="117" t="n"/>
      <c r="T1275" s="117" t="n"/>
    </row>
    <row r="1276">
      <c r="A1276" s="134" t="inlineStr">
        <is>
          <t>8714626</t>
        </is>
      </c>
      <c r="B1276" s="246" t="inlineStr">
        <is>
          <t>TAVERNITI   CHOMBA M/C</t>
        </is>
      </c>
      <c r="C1276" s="219" t="n">
        <v>70000</v>
      </c>
      <c r="D1276" s="219" t="n"/>
      <c r="E1276" s="219" t="n"/>
      <c r="F1276" s="219" t="n"/>
      <c r="G1276" s="219" t="n"/>
      <c r="H1276" s="219" t="n"/>
      <c r="I1276" s="219" t="n"/>
      <c r="J1276" s="219" t="n"/>
      <c r="K1276" s="219" t="n"/>
      <c r="L1276" s="183" t="n"/>
      <c r="M1276" s="219" t="n"/>
      <c r="N1276" s="219" t="n"/>
      <c r="O1276" s="117">
        <f>C1276*P1276</f>
        <v/>
      </c>
      <c r="P1276" s="22" t="n">
        <v>1.045</v>
      </c>
      <c r="R1276" s="117" t="n"/>
      <c r="T1276" s="117" t="n"/>
    </row>
    <row r="1277">
      <c r="A1277" s="134" t="inlineStr">
        <is>
          <t>8714637</t>
        </is>
      </c>
      <c r="B1277" s="246" t="inlineStr">
        <is>
          <t>TAVERNITI   CHOMBA M/C</t>
        </is>
      </c>
      <c r="C1277" s="219" t="n">
        <v>70000</v>
      </c>
      <c r="D1277" s="219" t="n"/>
      <c r="E1277" s="219" t="n"/>
      <c r="F1277" s="219" t="n"/>
      <c r="G1277" s="219" t="n"/>
      <c r="H1277" s="219" t="n"/>
      <c r="I1277" s="219" t="n"/>
      <c r="J1277" s="219" t="n"/>
      <c r="K1277" s="219" t="n"/>
      <c r="L1277" s="183" t="n"/>
      <c r="M1277" s="219" t="n"/>
      <c r="N1277" s="219" t="n"/>
      <c r="O1277" s="117">
        <f>C1277*P1277</f>
        <v/>
      </c>
      <c r="P1277" s="22" t="n">
        <v>1.045</v>
      </c>
      <c r="R1277" s="117" t="n"/>
      <c r="T1277" s="117" t="n"/>
    </row>
    <row r="1278">
      <c r="A1278" s="134" t="inlineStr">
        <is>
          <t>8714974</t>
        </is>
      </c>
      <c r="B1278" s="246" t="inlineStr">
        <is>
          <t>TAVERNITI   CHOMBA M/C</t>
        </is>
      </c>
      <c r="C1278" s="219" t="n">
        <v>70000</v>
      </c>
      <c r="D1278" s="219" t="n"/>
      <c r="E1278" s="219" t="n"/>
      <c r="F1278" s="219" t="n"/>
      <c r="G1278" s="219" t="n"/>
      <c r="H1278" s="219" t="n"/>
      <c r="I1278" s="219" t="n"/>
      <c r="J1278" s="219" t="n"/>
      <c r="K1278" s="219" t="n"/>
      <c r="L1278" s="183" t="n"/>
      <c r="M1278" s="219" t="n"/>
      <c r="N1278" s="219" t="n"/>
      <c r="O1278" s="117">
        <f>C1278*P1278</f>
        <v/>
      </c>
      <c r="P1278" s="22" t="n">
        <v>1.045</v>
      </c>
      <c r="R1278" s="117" t="n"/>
      <c r="T1278" s="117" t="n"/>
    </row>
    <row r="1279">
      <c r="A1279" s="134" t="inlineStr">
        <is>
          <t>8748XXX</t>
        </is>
      </c>
      <c r="B1279" s="246" t="inlineStr">
        <is>
          <t>TAVERNITI   CHOMBA M/C</t>
        </is>
      </c>
      <c r="C1279" s="219" t="n">
        <v>70000</v>
      </c>
      <c r="D1279" s="219" t="n"/>
      <c r="E1279" s="219" t="n"/>
      <c r="F1279" s="219" t="n"/>
      <c r="G1279" s="219" t="n"/>
      <c r="H1279" s="219" t="n"/>
      <c r="I1279" s="219" t="n"/>
      <c r="J1279" s="219" t="n"/>
      <c r="K1279" s="219" t="n"/>
      <c r="L1279" s="183" t="n"/>
      <c r="M1279" s="219" t="n"/>
      <c r="N1279" s="219" t="n"/>
      <c r="O1279" s="117">
        <f>C1279*P1279</f>
        <v/>
      </c>
      <c r="P1279" s="22" t="n">
        <v>1.045</v>
      </c>
      <c r="R1279" s="117" t="n"/>
      <c r="T1279" s="117" t="n"/>
    </row>
    <row r="1280">
      <c r="A1280" s="134" t="inlineStr">
        <is>
          <t>8750XXX</t>
        </is>
      </c>
      <c r="B1280" s="246" t="inlineStr">
        <is>
          <t>TAVERNITI   CHOMBA M/C</t>
        </is>
      </c>
      <c r="C1280" s="219" t="n">
        <v>70000</v>
      </c>
      <c r="D1280" s="88" t="n"/>
      <c r="E1280" s="219" t="n"/>
      <c r="F1280" s="219" t="n"/>
      <c r="G1280" s="219" t="n"/>
      <c r="H1280" s="219" t="n"/>
      <c r="I1280" s="219" t="n"/>
      <c r="J1280" s="219" t="n"/>
      <c r="K1280" s="219" t="n"/>
      <c r="L1280" s="183" t="n"/>
      <c r="M1280" s="219" t="n"/>
      <c r="N1280" s="219" t="n"/>
      <c r="O1280" s="117">
        <f>C1280*P1280</f>
        <v/>
      </c>
      <c r="P1280" s="22" t="n">
        <v>1.045</v>
      </c>
      <c r="R1280" s="117" t="n"/>
      <c r="T1280" s="117" t="n"/>
    </row>
    <row r="1281">
      <c r="A1281" s="134" t="inlineStr">
        <is>
          <t>8758621</t>
        </is>
      </c>
      <c r="B1281" s="246" t="inlineStr">
        <is>
          <t>TAVERNITI   CHOMBA M/C</t>
        </is>
      </c>
      <c r="C1281" s="88" t="n">
        <v>54100</v>
      </c>
      <c r="D1281" s="88" t="n"/>
      <c r="E1281" s="219" t="n"/>
      <c r="F1281" s="219" t="n"/>
      <c r="G1281" s="219" t="n"/>
      <c r="H1281" s="219" t="n"/>
      <c r="I1281" s="219" t="n"/>
      <c r="J1281" s="219" t="n"/>
      <c r="K1281" s="219" t="n"/>
      <c r="L1281" s="183" t="n"/>
      <c r="M1281" s="219" t="n"/>
      <c r="N1281" s="219" t="n"/>
      <c r="O1281" s="117">
        <f>C1281*P1281</f>
        <v/>
      </c>
      <c r="P1281" s="22" t="n">
        <v>1.045</v>
      </c>
      <c r="R1281" s="117" t="n"/>
      <c r="T1281" s="117" t="n"/>
    </row>
    <row r="1282">
      <c r="A1282" s="134" t="inlineStr">
        <is>
          <t>8758644</t>
        </is>
      </c>
      <c r="B1282" s="246" t="inlineStr">
        <is>
          <t>TAVERNITI   CHOMBA M/C</t>
        </is>
      </c>
      <c r="C1282" s="88" t="n">
        <v>54100</v>
      </c>
      <c r="D1282" s="88" t="n"/>
      <c r="E1282" s="219" t="n"/>
      <c r="F1282" s="219" t="n"/>
      <c r="G1282" s="219" t="n"/>
      <c r="H1282" s="219" t="n"/>
      <c r="I1282" s="219" t="n"/>
      <c r="J1282" s="219" t="n"/>
      <c r="K1282" s="219" t="n"/>
      <c r="L1282" s="183" t="n"/>
      <c r="M1282" s="219" t="n"/>
      <c r="N1282" s="219" t="n"/>
      <c r="O1282" s="117">
        <f>C1282*P1282</f>
        <v/>
      </c>
      <c r="P1282" s="22" t="n">
        <v>1.045</v>
      </c>
      <c r="R1282" s="117" t="n"/>
      <c r="T1282" s="117" t="n"/>
    </row>
    <row r="1283">
      <c r="A1283" s="134" t="inlineStr">
        <is>
          <t>8954640</t>
        </is>
      </c>
      <c r="B1283" s="246" t="inlineStr">
        <is>
          <t>TAVERNITI   CHOMBA M/C</t>
        </is>
      </c>
      <c r="C1283" s="88" t="n">
        <v>63100</v>
      </c>
      <c r="D1283" s="88" t="n"/>
      <c r="E1283" s="219" t="n"/>
      <c r="F1283" s="219" t="n"/>
      <c r="G1283" s="219" t="n"/>
      <c r="H1283" s="219" t="n"/>
      <c r="I1283" s="219" t="n"/>
      <c r="J1283" s="219" t="n"/>
      <c r="K1283" s="219" t="n"/>
      <c r="L1283" s="183" t="n"/>
      <c r="M1283" s="219" t="n"/>
      <c r="N1283" s="219" t="n"/>
      <c r="O1283" s="117">
        <f>C1283*P1283</f>
        <v/>
      </c>
      <c r="P1283" s="22" t="n">
        <v>1.045</v>
      </c>
      <c r="R1283" s="117" t="n"/>
      <c r="T1283" s="117" t="n"/>
    </row>
    <row r="1284">
      <c r="A1284" s="134" t="inlineStr">
        <is>
          <t>09648XXX</t>
        </is>
      </c>
      <c r="B1284" s="246" t="inlineStr">
        <is>
          <t>TAVERNITI   CHOMBA M/C</t>
        </is>
      </c>
      <c r="C1284" s="88" t="n">
        <v>59500</v>
      </c>
      <c r="D1284" s="88" t="n"/>
      <c r="E1284" s="219" t="n"/>
      <c r="F1284" s="219" t="n"/>
      <c r="G1284" s="180" t="n"/>
      <c r="H1284" s="219" t="n"/>
      <c r="I1284" s="219" t="n"/>
      <c r="J1284" s="219" t="n"/>
      <c r="K1284" s="219" t="n"/>
      <c r="L1284" s="183" t="n"/>
      <c r="M1284" s="219" t="n"/>
      <c r="N1284" s="219" t="n"/>
      <c r="O1284" s="117">
        <f>C1284*P1284</f>
        <v/>
      </c>
      <c r="P1284" s="22" t="n">
        <v>1.045</v>
      </c>
      <c r="R1284" s="117" t="n"/>
      <c r="T1284" s="117" t="n"/>
    </row>
    <row r="1285">
      <c r="A1285" s="134" t="inlineStr">
        <is>
          <t>9650XXX</t>
        </is>
      </c>
      <c r="B1285" s="246" t="inlineStr">
        <is>
          <t>TAVERNITI   CHOMBA M/C</t>
        </is>
      </c>
      <c r="C1285" s="88" t="n">
        <v>61500</v>
      </c>
      <c r="D1285" s="88" t="n"/>
      <c r="E1285" s="219" t="n"/>
      <c r="F1285" s="219" t="n"/>
      <c r="G1285" s="180" t="n"/>
      <c r="H1285" s="219" t="n"/>
      <c r="I1285" s="219" t="n"/>
      <c r="J1285" s="219" t="n"/>
      <c r="K1285" s="219" t="n"/>
      <c r="L1285" s="183" t="n"/>
      <c r="M1285" s="219" t="n"/>
      <c r="N1285" s="219" t="n"/>
      <c r="O1285" s="117">
        <f>C1285*P1285</f>
        <v/>
      </c>
      <c r="P1285" s="22" t="n">
        <v>1.045</v>
      </c>
      <c r="R1285" s="117" t="n"/>
      <c r="T1285" s="117" t="n"/>
    </row>
    <row r="1286">
      <c r="A1286" s="134" t="inlineStr">
        <is>
          <t>9652XXX</t>
        </is>
      </c>
      <c r="B1286" s="246" t="inlineStr">
        <is>
          <t>TAVERNITI   CHOMBA M/C</t>
        </is>
      </c>
      <c r="C1286" s="88" t="n">
        <v>61500</v>
      </c>
      <c r="D1286" s="88" t="n"/>
      <c r="E1286" s="219" t="n"/>
      <c r="F1286" s="219" t="n"/>
      <c r="G1286" s="219" t="n"/>
      <c r="H1286" s="219" t="n"/>
      <c r="I1286" s="219" t="n"/>
      <c r="J1286" s="219" t="n"/>
      <c r="K1286" s="219" t="n"/>
      <c r="L1286" s="183" t="n"/>
      <c r="M1286" s="219" t="n"/>
      <c r="N1286" s="219" t="n"/>
      <c r="O1286" s="117">
        <f>C1286*P1286</f>
        <v/>
      </c>
      <c r="P1286" s="22" t="n">
        <v>1.045</v>
      </c>
      <c r="R1286" s="117" t="n"/>
      <c r="T1286" s="117" t="n"/>
    </row>
    <row r="1287">
      <c r="A1287" s="134" t="inlineStr">
        <is>
          <t>9672607</t>
        </is>
      </c>
      <c r="B1287" s="246" t="inlineStr">
        <is>
          <t>TAVERNITI   CHOMBA M/C</t>
        </is>
      </c>
      <c r="C1287" s="88" t="n">
        <v>61500</v>
      </c>
      <c r="D1287" s="88" t="n"/>
      <c r="E1287" s="219" t="n"/>
      <c r="F1287" s="219" t="n"/>
      <c r="G1287" s="219" t="n"/>
      <c r="H1287" s="219" t="n"/>
      <c r="I1287" s="219" t="n"/>
      <c r="J1287" s="219" t="n"/>
      <c r="K1287" s="219" t="n"/>
      <c r="L1287" s="183" t="n"/>
      <c r="M1287" s="219" t="n"/>
      <c r="N1287" s="219" t="n"/>
      <c r="O1287" s="117">
        <f>C1287*P1287</f>
        <v/>
      </c>
      <c r="P1287" s="22" t="n">
        <v>1.045</v>
      </c>
      <c r="R1287" s="117" t="n"/>
      <c r="T1287" s="117" t="n"/>
    </row>
    <row r="1288">
      <c r="A1288" s="89" t="inlineStr">
        <is>
          <t>14800XXX</t>
        </is>
      </c>
      <c r="B1288" s="135" t="inlineStr">
        <is>
          <t>TAVERNITI   CHOMBA M/C</t>
        </is>
      </c>
      <c r="C1288" s="88" t="n">
        <v>55000</v>
      </c>
      <c r="D1288" s="170" t="n"/>
      <c r="E1288" s="170" t="n"/>
      <c r="F1288" s="170" t="n"/>
      <c r="G1288" s="170" t="n"/>
      <c r="H1288" s="170" t="n"/>
      <c r="I1288" s="170" t="n"/>
      <c r="J1288" s="170" t="n"/>
      <c r="K1288" s="170" t="n"/>
      <c r="L1288" s="170" t="n"/>
      <c r="M1288" s="170" t="n"/>
      <c r="N1288" s="170" t="n"/>
      <c r="O1288" s="150">
        <f>C1288*P1288</f>
        <v/>
      </c>
      <c r="P1288" s="22" t="n">
        <v>1.045</v>
      </c>
      <c r="Q1288" s="30" t="n"/>
      <c r="R1288" s="170" t="n"/>
      <c r="S1288" s="30" t="n"/>
      <c r="T1288" s="170" t="n"/>
      <c r="U1288" s="30" t="n"/>
      <c r="V1288" s="30" t="n"/>
      <c r="W1288" s="30" t="n"/>
      <c r="X1288" s="30" t="n"/>
      <c r="Y1288" s="30" t="n"/>
      <c r="Z1288" s="30" t="n"/>
      <c r="AA1288" s="30" t="n"/>
      <c r="AB1288" s="30" t="n"/>
      <c r="AC1288" s="30" t="n"/>
      <c r="AD1288" s="30" t="n"/>
      <c r="AE1288" s="30" t="n"/>
      <c r="AF1288" s="30" t="n"/>
      <c r="AG1288" s="30" t="n"/>
      <c r="AH1288" s="30" t="n"/>
      <c r="AI1288" s="30" t="n"/>
      <c r="AJ1288" s="30" t="n"/>
      <c r="AK1288" s="30" t="n"/>
      <c r="AL1288" s="30" t="n"/>
      <c r="AM1288" s="30" t="n"/>
      <c r="AN1288" s="30" t="n"/>
      <c r="AO1288" s="30" t="n"/>
    </row>
    <row r="1289">
      <c r="A1289" s="89" t="inlineStr">
        <is>
          <t>15056XXX</t>
        </is>
      </c>
      <c r="B1289" s="135" t="inlineStr">
        <is>
          <t>TAVERNITI   CHOMBA M/C</t>
        </is>
      </c>
      <c r="C1289" s="88" t="n">
        <v>62800</v>
      </c>
      <c r="D1289" s="88" t="n"/>
      <c r="E1289" s="170" t="n"/>
      <c r="F1289" s="170" t="n"/>
      <c r="G1289" s="170" t="n"/>
      <c r="H1289" s="170" t="n"/>
      <c r="I1289" s="170" t="n"/>
      <c r="J1289" s="170" t="n"/>
      <c r="K1289" s="170" t="n"/>
      <c r="L1289" s="170" t="n"/>
      <c r="M1289" s="170" t="n"/>
      <c r="N1289" s="170" t="n"/>
      <c r="O1289" s="150">
        <f>C1289*P1289</f>
        <v/>
      </c>
      <c r="P1289" s="22" t="n">
        <v>1.045</v>
      </c>
      <c r="Q1289" s="30" t="n"/>
      <c r="R1289" s="170" t="n"/>
      <c r="S1289" s="30" t="n"/>
      <c r="T1289" s="170" t="n"/>
      <c r="U1289" s="30" t="n"/>
      <c r="V1289" s="30" t="n"/>
      <c r="W1289" s="30" t="n"/>
      <c r="X1289" s="30" t="n"/>
      <c r="Y1289" s="30" t="n"/>
      <c r="Z1289" s="30" t="n"/>
      <c r="AA1289" s="30" t="n"/>
      <c r="AB1289" s="30" t="n"/>
      <c r="AC1289" s="30" t="n"/>
      <c r="AD1289" s="30" t="n"/>
      <c r="AE1289" s="30" t="n"/>
      <c r="AF1289" s="30" t="n"/>
      <c r="AG1289" s="30" t="n"/>
      <c r="AH1289" s="30" t="n"/>
      <c r="AI1289" s="30" t="n"/>
      <c r="AJ1289" s="30" t="n"/>
      <c r="AK1289" s="30" t="n"/>
      <c r="AL1289" s="30" t="n"/>
      <c r="AM1289" s="30" t="n"/>
      <c r="AN1289" s="30" t="n"/>
      <c r="AO1289" s="30" t="n"/>
    </row>
    <row r="1290">
      <c r="A1290" s="89" t="inlineStr">
        <is>
          <t>15056XXX</t>
        </is>
      </c>
      <c r="B1290" s="135" t="inlineStr">
        <is>
          <t>TAVERNITI   CHOMBA M/C</t>
        </is>
      </c>
      <c r="C1290" s="88" t="n">
        <v>62800</v>
      </c>
      <c r="D1290" s="88" t="n"/>
      <c r="E1290" s="170" t="n"/>
      <c r="F1290" s="170" t="n"/>
      <c r="G1290" s="170" t="n"/>
      <c r="H1290" s="170" t="n"/>
      <c r="I1290" s="170" t="n"/>
      <c r="J1290" s="170" t="n"/>
      <c r="K1290" s="170" t="n"/>
      <c r="L1290" s="170" t="n"/>
      <c r="M1290" s="170" t="n"/>
      <c r="N1290" s="170" t="n"/>
      <c r="O1290" s="150">
        <f>C1290*P1290</f>
        <v/>
      </c>
      <c r="P1290" s="22" t="n">
        <v>1.045</v>
      </c>
      <c r="Q1290" s="30" t="n"/>
      <c r="R1290" s="170" t="n"/>
      <c r="S1290" s="30" t="n"/>
      <c r="T1290" s="170" t="n"/>
      <c r="U1290" s="30" t="n"/>
      <c r="V1290" s="30" t="n"/>
      <c r="W1290" s="30" t="n"/>
      <c r="X1290" s="30" t="n"/>
      <c r="Y1290" s="30" t="n"/>
      <c r="Z1290" s="30" t="n"/>
      <c r="AA1290" s="30" t="n"/>
      <c r="AB1290" s="30" t="n"/>
      <c r="AC1290" s="30" t="n"/>
      <c r="AD1290" s="30" t="n"/>
      <c r="AE1290" s="30" t="n"/>
      <c r="AF1290" s="30" t="n"/>
      <c r="AG1290" s="30" t="n"/>
      <c r="AH1290" s="30" t="n"/>
      <c r="AI1290" s="30" t="n"/>
      <c r="AJ1290" s="30" t="n"/>
      <c r="AK1290" s="30" t="n"/>
      <c r="AL1290" s="30" t="n"/>
      <c r="AM1290" s="30" t="n"/>
      <c r="AN1290" s="30" t="n"/>
      <c r="AO1290" s="30" t="n"/>
    </row>
    <row r="1291">
      <c r="A1291" s="89" t="inlineStr">
        <is>
          <t>15292XXX</t>
        </is>
      </c>
      <c r="B1291" s="135" t="inlineStr">
        <is>
          <t>TAVERNITI   CHOMBA M/C</t>
        </is>
      </c>
      <c r="C1291" s="88" t="n">
        <v>65500</v>
      </c>
      <c r="D1291" s="88" t="n"/>
      <c r="E1291" s="170" t="n"/>
      <c r="F1291" s="170" t="n"/>
      <c r="G1291" s="170" t="n"/>
      <c r="H1291" s="170" t="n"/>
      <c r="I1291" s="170" t="n"/>
      <c r="J1291" s="170" t="n"/>
      <c r="K1291" s="170" t="n"/>
      <c r="L1291" s="170" t="n"/>
      <c r="M1291" s="170" t="n"/>
      <c r="N1291" s="170" t="n"/>
      <c r="O1291" s="150">
        <f>C1291*P1291</f>
        <v/>
      </c>
      <c r="P1291" s="22" t="n">
        <v>1.045</v>
      </c>
      <c r="Q1291" s="30" t="n"/>
      <c r="R1291" s="170" t="n"/>
      <c r="S1291" s="30" t="n"/>
      <c r="T1291" s="170" t="n"/>
      <c r="U1291" s="30" t="n"/>
      <c r="V1291" s="30" t="n"/>
      <c r="W1291" s="30" t="n"/>
      <c r="X1291" s="30" t="n"/>
      <c r="Y1291" s="30" t="n"/>
      <c r="Z1291" s="30" t="n"/>
      <c r="AA1291" s="30" t="n"/>
      <c r="AB1291" s="30" t="n"/>
      <c r="AC1291" s="30" t="n"/>
      <c r="AD1291" s="30" t="n"/>
      <c r="AE1291" s="30" t="n"/>
      <c r="AF1291" s="30" t="n"/>
      <c r="AG1291" s="30" t="n"/>
      <c r="AH1291" s="30" t="n"/>
      <c r="AI1291" s="30" t="n"/>
      <c r="AJ1291" s="30" t="n"/>
      <c r="AK1291" s="30" t="n"/>
      <c r="AL1291" s="30" t="n"/>
      <c r="AM1291" s="30" t="n"/>
      <c r="AN1291" s="30" t="n"/>
      <c r="AO1291" s="30" t="n"/>
    </row>
    <row r="1292">
      <c r="A1292" s="89" t="inlineStr">
        <is>
          <t>15322XXX</t>
        </is>
      </c>
      <c r="B1292" s="135" t="inlineStr">
        <is>
          <t>TAVERNITI   CHOMBA M/C</t>
        </is>
      </c>
      <c r="C1292" s="88" t="n">
        <v>62800</v>
      </c>
      <c r="D1292" s="88" t="n"/>
      <c r="E1292" s="170" t="n"/>
      <c r="F1292" s="170" t="n"/>
      <c r="G1292" s="170" t="n"/>
      <c r="H1292" s="170" t="n"/>
      <c r="I1292" s="170" t="n"/>
      <c r="J1292" s="170" t="n"/>
      <c r="K1292" s="170" t="n"/>
      <c r="L1292" s="170" t="n"/>
      <c r="M1292" s="170" t="n"/>
      <c r="N1292" s="170" t="n"/>
      <c r="O1292" s="150">
        <f>C1292*P1292</f>
        <v/>
      </c>
      <c r="P1292" s="22" t="n">
        <v>1.045</v>
      </c>
      <c r="Q1292" s="30" t="n"/>
      <c r="R1292" s="170" t="n"/>
      <c r="S1292" s="30" t="n"/>
      <c r="T1292" s="170" t="n"/>
      <c r="U1292" s="30" t="n"/>
      <c r="V1292" s="30" t="n"/>
      <c r="W1292" s="30" t="n"/>
      <c r="X1292" s="30" t="n"/>
      <c r="Y1292" s="30" t="n"/>
      <c r="Z1292" s="30" t="n"/>
      <c r="AA1292" s="30" t="n"/>
      <c r="AB1292" s="30" t="n"/>
      <c r="AC1292" s="30" t="n"/>
      <c r="AD1292" s="30" t="n"/>
      <c r="AE1292" s="30" t="n"/>
      <c r="AF1292" s="30" t="n"/>
      <c r="AG1292" s="30" t="n"/>
      <c r="AH1292" s="30" t="n"/>
      <c r="AI1292" s="30" t="n"/>
      <c r="AJ1292" s="30" t="n"/>
      <c r="AK1292" s="30" t="n"/>
      <c r="AL1292" s="30" t="n"/>
      <c r="AM1292" s="30" t="n"/>
      <c r="AN1292" s="30" t="n"/>
      <c r="AO1292" s="30" t="n"/>
    </row>
    <row r="1293">
      <c r="A1293" s="89" t="inlineStr">
        <is>
          <t>15374XXX</t>
        </is>
      </c>
      <c r="B1293" s="135" t="inlineStr">
        <is>
          <t>TAVERNITI   CHOMBA M/C</t>
        </is>
      </c>
      <c r="C1293" s="88" t="n">
        <v>72500</v>
      </c>
      <c r="D1293" s="88" t="n"/>
      <c r="E1293" s="170" t="n"/>
      <c r="F1293" s="170" t="n"/>
      <c r="G1293" s="170" t="n"/>
      <c r="H1293" s="170" t="n"/>
      <c r="I1293" s="170" t="n"/>
      <c r="J1293" s="170" t="n"/>
      <c r="K1293" s="170" t="n"/>
      <c r="L1293" s="170" t="n"/>
      <c r="M1293" s="170" t="n"/>
      <c r="N1293" s="170" t="n"/>
      <c r="O1293" s="150">
        <f>C1293*P1293</f>
        <v/>
      </c>
      <c r="P1293" s="22" t="n">
        <v>1.045</v>
      </c>
      <c r="Q1293" s="30" t="n"/>
      <c r="R1293" s="170" t="n"/>
      <c r="S1293" s="30" t="n"/>
      <c r="T1293" s="170" t="n"/>
      <c r="U1293" s="30" t="n"/>
      <c r="V1293" s="30" t="n"/>
      <c r="W1293" s="30" t="n"/>
      <c r="X1293" s="30" t="n"/>
      <c r="Y1293" s="30" t="n"/>
      <c r="Z1293" s="30" t="n"/>
      <c r="AA1293" s="30" t="n"/>
      <c r="AB1293" s="30" t="n"/>
      <c r="AC1293" s="30" t="n"/>
      <c r="AD1293" s="30" t="n"/>
      <c r="AE1293" s="30" t="n"/>
      <c r="AF1293" s="30" t="n"/>
      <c r="AG1293" s="30" t="n"/>
      <c r="AH1293" s="30" t="n"/>
      <c r="AI1293" s="30" t="n"/>
      <c r="AJ1293" s="30" t="n"/>
      <c r="AK1293" s="30" t="n"/>
      <c r="AL1293" s="30" t="n"/>
      <c r="AM1293" s="30" t="n"/>
      <c r="AN1293" s="30" t="n"/>
      <c r="AO1293" s="30" t="n"/>
    </row>
    <row r="1294">
      <c r="A1294" s="89" t="inlineStr">
        <is>
          <t>15376XXX</t>
        </is>
      </c>
      <c r="B1294" s="135" t="inlineStr">
        <is>
          <t>TAVERNITI   CHOMBA M/C</t>
        </is>
      </c>
      <c r="C1294" s="88" t="n">
        <v>68700</v>
      </c>
      <c r="D1294" s="88" t="n"/>
      <c r="E1294" s="170" t="n"/>
      <c r="F1294" s="170" t="n"/>
      <c r="G1294" s="170" t="n"/>
      <c r="H1294" s="170" t="n"/>
      <c r="I1294" s="170" t="n"/>
      <c r="J1294" s="170" t="n"/>
      <c r="K1294" s="170" t="n"/>
      <c r="L1294" s="170" t="n"/>
      <c r="M1294" s="170" t="n"/>
      <c r="N1294" s="170" t="n"/>
      <c r="O1294" s="150">
        <f>C1294*P1294</f>
        <v/>
      </c>
      <c r="P1294" s="22" t="n">
        <v>1.045</v>
      </c>
      <c r="Q1294" s="30" t="n"/>
      <c r="R1294" s="170" t="n"/>
      <c r="S1294" s="30" t="n"/>
      <c r="T1294" s="170" t="n"/>
      <c r="U1294" s="30" t="n"/>
      <c r="V1294" s="30" t="n"/>
      <c r="W1294" s="30" t="n"/>
      <c r="X1294" s="30" t="n"/>
      <c r="Y1294" s="30" t="n"/>
      <c r="Z1294" s="30" t="n"/>
      <c r="AA1294" s="30" t="n"/>
      <c r="AB1294" s="30" t="n"/>
      <c r="AC1294" s="30" t="n"/>
      <c r="AD1294" s="30" t="n"/>
      <c r="AE1294" s="30" t="n"/>
      <c r="AF1294" s="30" t="n"/>
      <c r="AG1294" s="30" t="n"/>
      <c r="AH1294" s="30" t="n"/>
      <c r="AI1294" s="30" t="n"/>
      <c r="AJ1294" s="30" t="n"/>
      <c r="AK1294" s="30" t="n"/>
      <c r="AL1294" s="30" t="n"/>
      <c r="AM1294" s="30" t="n"/>
      <c r="AN1294" s="30" t="n"/>
      <c r="AO1294" s="30" t="n"/>
    </row>
    <row r="1295">
      <c r="A1295" s="89" t="inlineStr">
        <is>
          <t>15378XXX</t>
        </is>
      </c>
      <c r="B1295" s="135" t="inlineStr">
        <is>
          <t>TAVERNITI   CHOMBA M/C</t>
        </is>
      </c>
      <c r="C1295" s="88" t="n">
        <v>68700</v>
      </c>
      <c r="D1295" s="88" t="n"/>
      <c r="E1295" s="170" t="n"/>
      <c r="F1295" s="170" t="n"/>
      <c r="G1295" s="170" t="n"/>
      <c r="H1295" s="170" t="n"/>
      <c r="I1295" s="170" t="n"/>
      <c r="J1295" s="170" t="n"/>
      <c r="K1295" s="170" t="n"/>
      <c r="L1295" s="170" t="n"/>
      <c r="M1295" s="170" t="n"/>
      <c r="N1295" s="170" t="n"/>
      <c r="O1295" s="150">
        <f>C1295*P1295</f>
        <v/>
      </c>
      <c r="P1295" s="22" t="n">
        <v>1.045</v>
      </c>
      <c r="Q1295" s="30" t="n"/>
      <c r="R1295" s="170" t="n"/>
      <c r="S1295" s="30" t="n"/>
      <c r="T1295" s="170" t="n"/>
      <c r="U1295" s="30" t="n"/>
      <c r="V1295" s="30" t="n"/>
      <c r="W1295" s="30" t="n"/>
      <c r="X1295" s="30" t="n"/>
      <c r="Y1295" s="30" t="n"/>
      <c r="Z1295" s="30" t="n"/>
      <c r="AA1295" s="30" t="n"/>
      <c r="AB1295" s="30" t="n"/>
      <c r="AC1295" s="30" t="n"/>
      <c r="AD1295" s="30" t="n"/>
      <c r="AE1295" s="30" t="n"/>
      <c r="AF1295" s="30" t="n"/>
      <c r="AG1295" s="30" t="n"/>
      <c r="AH1295" s="30" t="n"/>
      <c r="AI1295" s="30" t="n"/>
      <c r="AJ1295" s="30" t="n"/>
      <c r="AK1295" s="30" t="n"/>
      <c r="AL1295" s="30" t="n"/>
      <c r="AM1295" s="30" t="n"/>
      <c r="AN1295" s="30" t="n"/>
      <c r="AO1295" s="30" t="n"/>
    </row>
    <row r="1296">
      <c r="A1296" s="89" t="inlineStr">
        <is>
          <t>15380XXX</t>
        </is>
      </c>
      <c r="B1296" s="135" t="inlineStr">
        <is>
          <t>TAVERNITI   CHOMBA M/C</t>
        </is>
      </c>
      <c r="C1296" s="88" t="n">
        <v>68700</v>
      </c>
      <c r="D1296" s="88" t="n"/>
      <c r="E1296" s="170" t="n"/>
      <c r="F1296" s="170" t="n"/>
      <c r="G1296" s="170" t="n"/>
      <c r="H1296" s="170" t="n"/>
      <c r="I1296" s="170" t="n"/>
      <c r="J1296" s="170" t="n"/>
      <c r="K1296" s="170" t="n"/>
      <c r="L1296" s="170" t="n"/>
      <c r="M1296" s="170" t="n"/>
      <c r="N1296" s="170" t="n"/>
      <c r="O1296" s="150">
        <f>C1296*P1296</f>
        <v/>
      </c>
      <c r="P1296" s="22" t="n">
        <v>1.045</v>
      </c>
      <c r="Q1296" s="30" t="n"/>
      <c r="R1296" s="170" t="n"/>
      <c r="S1296" s="30" t="n"/>
      <c r="T1296" s="170" t="n"/>
      <c r="U1296" s="30" t="n"/>
      <c r="V1296" s="30" t="n"/>
      <c r="W1296" s="30" t="n"/>
      <c r="X1296" s="30" t="n"/>
      <c r="Y1296" s="30" t="n"/>
      <c r="Z1296" s="30" t="n"/>
      <c r="AA1296" s="30" t="n"/>
      <c r="AB1296" s="30" t="n"/>
      <c r="AC1296" s="30" t="n"/>
      <c r="AD1296" s="30" t="n"/>
      <c r="AE1296" s="30" t="n"/>
      <c r="AF1296" s="30" t="n"/>
      <c r="AG1296" s="30" t="n"/>
      <c r="AH1296" s="30" t="n"/>
      <c r="AI1296" s="30" t="n"/>
      <c r="AJ1296" s="30" t="n"/>
      <c r="AK1296" s="30" t="n"/>
      <c r="AL1296" s="30" t="n"/>
      <c r="AM1296" s="30" t="n"/>
      <c r="AN1296" s="30" t="n"/>
      <c r="AO1296" s="30" t="n"/>
    </row>
    <row r="1297">
      <c r="A1297" s="89" t="inlineStr">
        <is>
          <t>15384XXX</t>
        </is>
      </c>
      <c r="B1297" s="135" t="inlineStr">
        <is>
          <t>TAVERNITI   CHOMBA M/C</t>
        </is>
      </c>
      <c r="C1297" s="88" t="n">
        <v>68700</v>
      </c>
      <c r="D1297" s="88" t="n"/>
      <c r="E1297" s="170" t="n"/>
      <c r="F1297" s="170" t="n"/>
      <c r="G1297" s="170" t="n"/>
      <c r="H1297" s="170" t="n"/>
      <c r="I1297" s="170" t="n"/>
      <c r="J1297" s="170" t="n"/>
      <c r="K1297" s="170" t="n"/>
      <c r="L1297" s="170" t="n"/>
      <c r="M1297" s="170" t="n"/>
      <c r="N1297" s="170" t="n"/>
      <c r="O1297" s="150">
        <f>C1297*P1297</f>
        <v/>
      </c>
      <c r="P1297" s="22" t="n">
        <v>1.045</v>
      </c>
      <c r="Q1297" s="30" t="n"/>
      <c r="R1297" s="170" t="n"/>
      <c r="S1297" s="30" t="n"/>
      <c r="T1297" s="170" t="n"/>
      <c r="U1297" s="30" t="n"/>
      <c r="V1297" s="30" t="n"/>
      <c r="W1297" s="30" t="n"/>
      <c r="X1297" s="30" t="n"/>
      <c r="Y1297" s="30" t="n"/>
      <c r="Z1297" s="30" t="n"/>
      <c r="AA1297" s="30" t="n"/>
      <c r="AB1297" s="30" t="n"/>
      <c r="AC1297" s="30" t="n"/>
      <c r="AD1297" s="30" t="n"/>
      <c r="AE1297" s="30" t="n"/>
      <c r="AF1297" s="30" t="n"/>
      <c r="AG1297" s="30" t="n"/>
      <c r="AH1297" s="30" t="n"/>
      <c r="AI1297" s="30" t="n"/>
      <c r="AJ1297" s="30" t="n"/>
      <c r="AK1297" s="30" t="n"/>
      <c r="AL1297" s="30" t="n"/>
      <c r="AM1297" s="30" t="n"/>
      <c r="AN1297" s="30" t="n"/>
      <c r="AO1297" s="30" t="n"/>
    </row>
    <row r="1298">
      <c r="A1298" s="89" t="inlineStr">
        <is>
          <t>15388XXX</t>
        </is>
      </c>
      <c r="B1298" s="135" t="inlineStr">
        <is>
          <t>TAVERNITI   CHOMBA M/C</t>
        </is>
      </c>
      <c r="C1298" s="88" t="n">
        <v>68700</v>
      </c>
      <c r="D1298" s="88" t="n"/>
      <c r="E1298" s="170" t="n"/>
      <c r="F1298" s="170" t="n"/>
      <c r="G1298" s="170" t="n"/>
      <c r="H1298" s="170" t="n"/>
      <c r="I1298" s="170" t="n"/>
      <c r="J1298" s="170" t="n"/>
      <c r="K1298" s="170" t="n"/>
      <c r="L1298" s="170" t="n"/>
      <c r="M1298" s="170" t="n"/>
      <c r="N1298" s="170" t="n"/>
      <c r="O1298" s="150">
        <f>C1298*P1298</f>
        <v/>
      </c>
      <c r="P1298" s="22" t="n">
        <v>1.045</v>
      </c>
      <c r="Q1298" s="30" t="n"/>
      <c r="R1298" s="170" t="n"/>
      <c r="S1298" s="30" t="n"/>
      <c r="T1298" s="170" t="n"/>
      <c r="U1298" s="30" t="n"/>
      <c r="V1298" s="30" t="n"/>
      <c r="W1298" s="30" t="n"/>
      <c r="X1298" s="30" t="n"/>
      <c r="Y1298" s="30" t="n"/>
      <c r="Z1298" s="30" t="n"/>
      <c r="AA1298" s="30" t="n"/>
      <c r="AB1298" s="30" t="n"/>
      <c r="AC1298" s="30" t="n"/>
      <c r="AD1298" s="30" t="n"/>
      <c r="AE1298" s="30" t="n"/>
      <c r="AF1298" s="30" t="n"/>
      <c r="AG1298" s="30" t="n"/>
      <c r="AH1298" s="30" t="n"/>
      <c r="AI1298" s="30" t="n"/>
      <c r="AJ1298" s="30" t="n"/>
      <c r="AK1298" s="30" t="n"/>
      <c r="AL1298" s="30" t="n"/>
      <c r="AM1298" s="30" t="n"/>
      <c r="AN1298" s="30" t="n"/>
      <c r="AO1298" s="30" t="n"/>
    </row>
    <row r="1299">
      <c r="A1299" s="89" t="inlineStr">
        <is>
          <t>15390XXX</t>
        </is>
      </c>
      <c r="B1299" s="135" t="inlineStr">
        <is>
          <t>TAVERNITI   CHOMBA M/C</t>
        </is>
      </c>
      <c r="C1299" s="88" t="n">
        <v>72600</v>
      </c>
      <c r="D1299" s="88" t="n"/>
      <c r="E1299" s="170" t="n"/>
      <c r="F1299" s="170" t="n"/>
      <c r="G1299" s="170" t="n"/>
      <c r="H1299" s="170" t="n"/>
      <c r="I1299" s="170" t="n"/>
      <c r="J1299" s="170" t="n"/>
      <c r="K1299" s="170" t="n"/>
      <c r="L1299" s="170" t="n"/>
      <c r="M1299" s="170" t="n"/>
      <c r="N1299" s="170" t="n"/>
      <c r="O1299" s="150">
        <f>C1299*P1299</f>
        <v/>
      </c>
      <c r="P1299" s="22" t="n">
        <v>1.045</v>
      </c>
      <c r="Q1299" s="30" t="n"/>
      <c r="R1299" s="170" t="n"/>
      <c r="S1299" s="30" t="n"/>
      <c r="T1299" s="170" t="n"/>
      <c r="U1299" s="30" t="n"/>
      <c r="V1299" s="30" t="n"/>
      <c r="W1299" s="30" t="n"/>
      <c r="X1299" s="30" t="n"/>
      <c r="Y1299" s="30" t="n"/>
      <c r="Z1299" s="30" t="n"/>
      <c r="AA1299" s="30" t="n"/>
      <c r="AB1299" s="30" t="n"/>
      <c r="AC1299" s="30" t="n"/>
      <c r="AD1299" s="30" t="n"/>
      <c r="AE1299" s="30" t="n"/>
      <c r="AF1299" s="30" t="n"/>
      <c r="AG1299" s="30" t="n"/>
      <c r="AH1299" s="30" t="n"/>
      <c r="AI1299" s="30" t="n"/>
      <c r="AJ1299" s="30" t="n"/>
      <c r="AK1299" s="30" t="n"/>
      <c r="AL1299" s="30" t="n"/>
      <c r="AM1299" s="30" t="n"/>
      <c r="AN1299" s="30" t="n"/>
      <c r="AO1299" s="30" t="n"/>
    </row>
    <row r="1300">
      <c r="A1300" s="134" t="inlineStr">
        <is>
          <t>16300XXX</t>
        </is>
      </c>
      <c r="B1300" s="246" t="inlineStr">
        <is>
          <t>TAVERNITI   CHOMBA M/C</t>
        </is>
      </c>
      <c r="C1300" s="88" t="n">
        <v>70600</v>
      </c>
      <c r="D1300" s="88" t="n"/>
      <c r="E1300" s="219" t="n"/>
      <c r="F1300" s="219" t="n"/>
      <c r="G1300" s="219" t="n"/>
      <c r="H1300" s="219" t="n"/>
      <c r="I1300" s="219" t="n"/>
      <c r="J1300" s="219" t="n"/>
      <c r="K1300" s="219" t="n"/>
      <c r="L1300" s="183" t="n"/>
      <c r="M1300" s="219" t="n"/>
      <c r="N1300" s="219" t="n"/>
      <c r="O1300" s="117">
        <f>C1300*P1300</f>
        <v/>
      </c>
      <c r="P1300" s="22" t="n">
        <v>1.045</v>
      </c>
      <c r="Q1300" s="118" t="n"/>
      <c r="R1300" s="117" t="n"/>
      <c r="S1300" s="118" t="n"/>
      <c r="T1300" s="117" t="n"/>
      <c r="U1300" s="118" t="n"/>
      <c r="V1300" s="118" t="n"/>
      <c r="W1300" s="118" t="n"/>
      <c r="X1300" s="118" t="n"/>
      <c r="Y1300" s="118" t="n"/>
      <c r="Z1300" s="118" t="n"/>
      <c r="AA1300" s="118" t="n"/>
      <c r="AB1300" s="118" t="n"/>
      <c r="AC1300" s="118" t="n"/>
      <c r="AD1300" s="118" t="n"/>
      <c r="AE1300" s="118" t="n"/>
      <c r="AF1300" s="118" t="n"/>
      <c r="AG1300" s="118" t="n"/>
      <c r="AH1300" s="118" t="n"/>
      <c r="AI1300" s="118" t="n"/>
      <c r="AJ1300" s="118" t="n"/>
      <c r="AK1300" s="118" t="n"/>
      <c r="AL1300" s="118" t="n"/>
      <c r="AM1300" s="118" t="n"/>
      <c r="AN1300" s="118" t="n"/>
      <c r="AO1300" s="118" t="n"/>
    </row>
    <row r="1301">
      <c r="A1301" s="134" t="inlineStr">
        <is>
          <t>16334XXX</t>
        </is>
      </c>
      <c r="B1301" s="246" t="inlineStr">
        <is>
          <t>TAVERNITI   CHOMBA M/C</t>
        </is>
      </c>
      <c r="C1301" s="88" t="n">
        <v>70600</v>
      </c>
      <c r="D1301" s="88" t="n"/>
      <c r="E1301" s="219" t="n"/>
      <c r="F1301" s="219" t="n"/>
      <c r="G1301" s="219" t="n"/>
      <c r="H1301" s="219" t="n"/>
      <c r="I1301" s="219" t="n"/>
      <c r="J1301" s="219" t="n"/>
      <c r="K1301" s="219" t="n"/>
      <c r="L1301" s="183" t="n"/>
      <c r="M1301" s="219" t="n"/>
      <c r="N1301" s="219" t="n"/>
      <c r="O1301" s="117">
        <f>C1301*P1301</f>
        <v/>
      </c>
      <c r="P1301" s="22" t="n">
        <v>1.045</v>
      </c>
      <c r="R1301" s="117" t="n"/>
      <c r="T1301" s="117" t="n"/>
    </row>
    <row r="1302">
      <c r="A1302" s="134" t="inlineStr">
        <is>
          <t>16340XXX</t>
        </is>
      </c>
      <c r="B1302" s="246" t="inlineStr">
        <is>
          <t>TAVERNITI   CHOMBA M/C</t>
        </is>
      </c>
      <c r="C1302" s="88" t="n">
        <v>70600</v>
      </c>
      <c r="D1302" s="88" t="n"/>
      <c r="E1302" s="219" t="n"/>
      <c r="F1302" s="219" t="n"/>
      <c r="G1302" s="219" t="n"/>
      <c r="H1302" s="219" t="n"/>
      <c r="I1302" s="219" t="n"/>
      <c r="J1302" s="219" t="n"/>
      <c r="K1302" s="219" t="n"/>
      <c r="L1302" s="183" t="n"/>
      <c r="M1302" s="219" t="n"/>
      <c r="N1302" s="219" t="n"/>
      <c r="O1302" s="117">
        <f>C1302*P1302</f>
        <v/>
      </c>
      <c r="P1302" s="22" t="n">
        <v>1.045</v>
      </c>
      <c r="R1302" s="117" t="n"/>
      <c r="T1302" s="117" t="n"/>
    </row>
    <row r="1303">
      <c r="A1303" s="134" t="inlineStr">
        <is>
          <t>16640XXX</t>
        </is>
      </c>
      <c r="B1303" s="246" t="inlineStr">
        <is>
          <t>TAVERNITI   CHOMBA M/C</t>
        </is>
      </c>
      <c r="C1303" s="88" t="n">
        <v>70600</v>
      </c>
      <c r="D1303" s="88" t="n"/>
      <c r="E1303" s="219" t="n"/>
      <c r="F1303" s="219" t="n"/>
      <c r="G1303" s="219" t="n"/>
      <c r="H1303" s="219" t="n"/>
      <c r="I1303" s="219" t="n"/>
      <c r="J1303" s="219" t="n"/>
      <c r="K1303" s="219" t="n"/>
      <c r="L1303" s="183" t="n"/>
      <c r="M1303" s="219" t="n"/>
      <c r="N1303" s="219" t="n"/>
      <c r="O1303" s="117">
        <f>C1303*P1303</f>
        <v/>
      </c>
      <c r="P1303" s="22" t="n">
        <v>1.045</v>
      </c>
      <c r="R1303" s="117" t="n"/>
      <c r="T1303" s="117" t="n"/>
    </row>
    <row r="1304">
      <c r="A1304" s="89" t="inlineStr">
        <is>
          <t>16702XXX</t>
        </is>
      </c>
      <c r="B1304" s="135" t="inlineStr">
        <is>
          <t>TAVERNITI   CHOMBA M/C</t>
        </is>
      </c>
      <c r="C1304" s="88" t="n">
        <v>70600</v>
      </c>
      <c r="D1304" s="88" t="n"/>
      <c r="E1304" s="170" t="n"/>
      <c r="F1304" s="170" t="n"/>
      <c r="G1304" s="170" t="n"/>
      <c r="H1304" s="170" t="n"/>
      <c r="I1304" s="170" t="n"/>
      <c r="J1304" s="170" t="n"/>
      <c r="K1304" s="170" t="n"/>
      <c r="L1304" s="170" t="n"/>
      <c r="M1304" s="170" t="n"/>
      <c r="N1304" s="170" t="n"/>
      <c r="O1304" s="150">
        <f>C1304*P1304</f>
        <v/>
      </c>
      <c r="P1304" s="22" t="n">
        <v>1.045</v>
      </c>
      <c r="Q1304" s="30" t="n"/>
      <c r="R1304" s="170" t="n"/>
      <c r="S1304" s="30" t="n"/>
      <c r="T1304" s="170" t="n"/>
      <c r="U1304" s="30" t="n"/>
      <c r="V1304" s="30" t="n"/>
      <c r="W1304" s="30" t="n"/>
      <c r="X1304" s="30" t="n"/>
      <c r="Y1304" s="30" t="n"/>
      <c r="Z1304" s="30" t="n"/>
      <c r="AA1304" s="30" t="n"/>
      <c r="AB1304" s="30" t="n"/>
      <c r="AC1304" s="30" t="n"/>
      <c r="AD1304" s="30" t="n"/>
      <c r="AE1304" s="30" t="n"/>
      <c r="AF1304" s="30" t="n"/>
      <c r="AG1304" s="30" t="n"/>
      <c r="AH1304" s="30" t="n"/>
      <c r="AI1304" s="30" t="n"/>
      <c r="AJ1304" s="30" t="n"/>
      <c r="AK1304" s="30" t="n"/>
      <c r="AL1304" s="30" t="n"/>
      <c r="AM1304" s="30" t="n"/>
      <c r="AN1304" s="30" t="n"/>
      <c r="AO1304" s="30" t="n"/>
    </row>
    <row r="1305">
      <c r="A1305" s="89" t="inlineStr">
        <is>
          <t>16708XXX</t>
        </is>
      </c>
      <c r="B1305" s="135" t="inlineStr">
        <is>
          <t>TAVERNITI   CHOMBA M/C</t>
        </is>
      </c>
      <c r="C1305" s="88" t="n">
        <v>70400</v>
      </c>
      <c r="D1305" s="88" t="n"/>
      <c r="E1305" s="88" t="n"/>
      <c r="F1305" s="88" t="n"/>
      <c r="G1305" s="88" t="n"/>
      <c r="H1305" s="88" t="n"/>
      <c r="I1305" s="88" t="n"/>
      <c r="J1305" s="88" t="n"/>
      <c r="K1305" s="88" t="n"/>
      <c r="L1305" s="170" t="n"/>
      <c r="M1305" s="88" t="n"/>
      <c r="N1305" s="170" t="n"/>
      <c r="O1305" s="150">
        <f>C1305*P1305</f>
        <v/>
      </c>
      <c r="P1305" s="22" t="n">
        <v>1.045</v>
      </c>
      <c r="Q1305" s="30" t="n"/>
      <c r="R1305" s="170" t="n"/>
      <c r="S1305" s="30" t="n"/>
      <c r="T1305" s="170" t="n"/>
      <c r="U1305" s="30" t="n"/>
      <c r="V1305" s="30" t="n"/>
      <c r="W1305" s="30" t="n"/>
      <c r="X1305" s="30" t="n"/>
      <c r="Y1305" s="30" t="n"/>
      <c r="Z1305" s="30" t="n"/>
      <c r="AA1305" s="30" t="n"/>
      <c r="AB1305" s="30" t="n"/>
      <c r="AC1305" s="30" t="n"/>
      <c r="AD1305" s="30" t="n"/>
      <c r="AE1305" s="30" t="n"/>
      <c r="AF1305" s="30" t="n"/>
      <c r="AG1305" s="30" t="n"/>
      <c r="AH1305" s="30" t="n"/>
      <c r="AI1305" s="30" t="n"/>
      <c r="AJ1305" s="30" t="n"/>
      <c r="AK1305" s="30" t="n"/>
      <c r="AL1305" s="30" t="n"/>
      <c r="AM1305" s="30" t="n"/>
      <c r="AN1305" s="30" t="n"/>
      <c r="AO1305" s="30" t="n"/>
    </row>
    <row r="1306">
      <c r="A1306" s="89" t="inlineStr">
        <is>
          <t>16710XXX</t>
        </is>
      </c>
      <c r="B1306" s="135" t="inlineStr">
        <is>
          <t>TAVERNITI   CHOMBA M/C</t>
        </is>
      </c>
      <c r="C1306" s="88" t="n">
        <v>57500</v>
      </c>
      <c r="D1306" s="88" t="n"/>
      <c r="E1306" s="170" t="n"/>
      <c r="F1306" s="170" t="n"/>
      <c r="G1306" s="170" t="n"/>
      <c r="H1306" s="170" t="n"/>
      <c r="I1306" s="170" t="n"/>
      <c r="J1306" s="170" t="n"/>
      <c r="K1306" s="170" t="n"/>
      <c r="L1306" s="170" t="n"/>
      <c r="M1306" s="170" t="n"/>
      <c r="N1306" s="170" t="n"/>
      <c r="O1306" s="150">
        <f>C1306*P1306</f>
        <v/>
      </c>
      <c r="P1306" s="22" t="n">
        <v>1.045</v>
      </c>
      <c r="Q1306" s="30" t="n"/>
      <c r="R1306" s="170" t="n"/>
      <c r="S1306" s="30" t="n"/>
      <c r="T1306" s="170" t="n"/>
      <c r="U1306" s="30" t="n"/>
      <c r="V1306" s="30" t="n"/>
      <c r="W1306" s="30" t="n"/>
      <c r="X1306" s="30" t="n"/>
      <c r="Y1306" s="30" t="n"/>
      <c r="Z1306" s="30" t="n"/>
      <c r="AA1306" s="30" t="n"/>
      <c r="AB1306" s="30" t="n"/>
      <c r="AC1306" s="30" t="n"/>
      <c r="AD1306" s="30" t="n"/>
      <c r="AE1306" s="30" t="n"/>
      <c r="AF1306" s="30" t="n"/>
      <c r="AG1306" s="30" t="n"/>
      <c r="AH1306" s="30" t="n"/>
      <c r="AI1306" s="30" t="n"/>
      <c r="AJ1306" s="30" t="n"/>
      <c r="AK1306" s="30" t="n"/>
      <c r="AL1306" s="30" t="n"/>
      <c r="AM1306" s="30" t="n"/>
      <c r="AN1306" s="30" t="n"/>
      <c r="AO1306" s="30" t="n"/>
    </row>
    <row r="1307">
      <c r="A1307" s="89" t="inlineStr">
        <is>
          <t>16712XXX</t>
        </is>
      </c>
      <c r="B1307" s="135" t="inlineStr">
        <is>
          <t>TAVERNITI   CHOMBA M/C</t>
        </is>
      </c>
      <c r="C1307" s="88" t="n">
        <v>67900</v>
      </c>
      <c r="D1307" s="88" t="n"/>
      <c r="E1307" s="170" t="n"/>
      <c r="F1307" s="170" t="n"/>
      <c r="G1307" s="170" t="n"/>
      <c r="H1307" s="170" t="n"/>
      <c r="I1307" s="170" t="n"/>
      <c r="J1307" s="170" t="n"/>
      <c r="K1307" s="170" t="n"/>
      <c r="L1307" s="170" t="n"/>
      <c r="M1307" s="170" t="n"/>
      <c r="N1307" s="170" t="n"/>
      <c r="O1307" s="150">
        <f>C1307*P1307</f>
        <v/>
      </c>
      <c r="P1307" s="22" t="n">
        <v>1.045</v>
      </c>
      <c r="Q1307" s="30" t="n"/>
      <c r="R1307" s="170" t="n"/>
      <c r="S1307" s="30" t="n"/>
      <c r="T1307" s="170" t="n"/>
      <c r="U1307" s="30" t="n"/>
      <c r="V1307" s="30" t="n"/>
      <c r="W1307" s="30" t="n"/>
      <c r="X1307" s="30" t="n"/>
      <c r="Y1307" s="30" t="n"/>
      <c r="Z1307" s="30" t="n"/>
      <c r="AA1307" s="30" t="n"/>
      <c r="AB1307" s="30" t="n"/>
      <c r="AC1307" s="30" t="n"/>
      <c r="AD1307" s="30" t="n"/>
      <c r="AE1307" s="30" t="n"/>
      <c r="AF1307" s="30" t="n"/>
      <c r="AG1307" s="30" t="n"/>
      <c r="AH1307" s="30" t="n"/>
      <c r="AI1307" s="30" t="n"/>
      <c r="AJ1307" s="30" t="n"/>
      <c r="AK1307" s="30" t="n"/>
      <c r="AL1307" s="30" t="n"/>
      <c r="AM1307" s="30" t="n"/>
      <c r="AN1307" s="30" t="n"/>
      <c r="AO1307" s="30" t="n"/>
    </row>
    <row r="1308">
      <c r="A1308" s="89" t="inlineStr">
        <is>
          <t>16714XXX</t>
        </is>
      </c>
      <c r="B1308" s="135" t="inlineStr">
        <is>
          <t>TAVERNITI   CHOMBA M/C</t>
        </is>
      </c>
      <c r="C1308" s="88" t="n">
        <v>62900</v>
      </c>
      <c r="D1308" s="88" t="n"/>
      <c r="E1308" s="88" t="n"/>
      <c r="F1308" s="88" t="n"/>
      <c r="G1308" s="88" t="n"/>
      <c r="H1308" s="88" t="n"/>
      <c r="I1308" s="88" t="n"/>
      <c r="J1308" s="88" t="n"/>
      <c r="K1308" s="88" t="n"/>
      <c r="L1308" s="170" t="n"/>
      <c r="M1308" s="88" t="n"/>
      <c r="N1308" s="170" t="n"/>
      <c r="O1308" s="150">
        <f>C1308*P1308</f>
        <v/>
      </c>
      <c r="P1308" s="22" t="n">
        <v>1.045</v>
      </c>
      <c r="Q1308" s="30" t="n"/>
      <c r="R1308" s="170" t="n"/>
      <c r="S1308" s="30" t="n"/>
      <c r="T1308" s="170" t="n"/>
      <c r="U1308" s="30" t="n"/>
      <c r="V1308" s="30" t="n"/>
      <c r="W1308" s="30" t="n"/>
      <c r="X1308" s="30" t="n"/>
      <c r="Y1308" s="30" t="n"/>
      <c r="Z1308" s="30" t="n"/>
      <c r="AA1308" s="30" t="n"/>
      <c r="AB1308" s="30" t="n"/>
      <c r="AC1308" s="30" t="n"/>
      <c r="AD1308" s="30" t="n"/>
      <c r="AE1308" s="30" t="n"/>
      <c r="AF1308" s="30" t="n"/>
      <c r="AG1308" s="30" t="n"/>
      <c r="AH1308" s="30" t="n"/>
      <c r="AI1308" s="30" t="n"/>
      <c r="AJ1308" s="30" t="n"/>
      <c r="AK1308" s="30" t="n"/>
      <c r="AL1308" s="30" t="n"/>
      <c r="AM1308" s="30" t="n"/>
      <c r="AN1308" s="30" t="n"/>
      <c r="AO1308" s="30" t="n"/>
    </row>
    <row r="1309">
      <c r="A1309" s="134" t="inlineStr">
        <is>
          <t>16800XXX</t>
        </is>
      </c>
      <c r="B1309" s="246" t="inlineStr">
        <is>
          <t>TAVERNITI   CHOMBA M/C</t>
        </is>
      </c>
      <c r="C1309" s="88" t="n">
        <v>70600</v>
      </c>
      <c r="D1309" s="88" t="n"/>
      <c r="E1309" s="219" t="n"/>
      <c r="F1309" s="219" t="n"/>
      <c r="G1309" s="219" t="n"/>
      <c r="H1309" s="219" t="n"/>
      <c r="I1309" s="219" t="n"/>
      <c r="J1309" s="219" t="n"/>
      <c r="K1309" s="219" t="n"/>
      <c r="L1309" s="183" t="n"/>
      <c r="M1309" s="219" t="n"/>
      <c r="N1309" s="219" t="n"/>
      <c r="O1309" s="117">
        <f>C1309*P1309</f>
        <v/>
      </c>
      <c r="P1309" s="22" t="n">
        <v>1.045</v>
      </c>
      <c r="R1309" s="117" t="n"/>
      <c r="T1309" s="117" t="n"/>
    </row>
    <row r="1310">
      <c r="A1310" s="134" t="inlineStr">
        <is>
          <t>16802XXX</t>
        </is>
      </c>
      <c r="B1310" s="246" t="inlineStr">
        <is>
          <t>TAVERNITI   CHOMBA M/C</t>
        </is>
      </c>
      <c r="C1310" s="88" t="n">
        <v>70600</v>
      </c>
      <c r="D1310" s="88" t="n"/>
      <c r="E1310" s="219" t="n"/>
      <c r="F1310" s="219" t="n"/>
      <c r="G1310" s="219" t="n"/>
      <c r="H1310" s="219" t="n"/>
      <c r="I1310" s="219" t="n"/>
      <c r="J1310" s="219" t="n"/>
      <c r="K1310" s="219" t="n"/>
      <c r="L1310" s="183" t="n"/>
      <c r="M1310" s="219" t="n"/>
      <c r="N1310" s="219" t="n"/>
      <c r="O1310" s="117">
        <f>C1310*P1310</f>
        <v/>
      </c>
      <c r="P1310" s="22" t="n">
        <v>1.045</v>
      </c>
      <c r="R1310" s="117" t="n"/>
      <c r="T1310" s="117" t="n"/>
    </row>
    <row r="1311">
      <c r="A1311" s="134" t="inlineStr">
        <is>
          <t>16804XXX</t>
        </is>
      </c>
      <c r="B1311" s="246" t="inlineStr">
        <is>
          <t>TAVERNITI   CHOMBA M/C</t>
        </is>
      </c>
      <c r="C1311" s="88" t="n">
        <v>70600</v>
      </c>
      <c r="D1311" s="88" t="n"/>
      <c r="E1311" s="219" t="n"/>
      <c r="F1311" s="219" t="n"/>
      <c r="G1311" s="219" t="n"/>
      <c r="H1311" s="219" t="n"/>
      <c r="I1311" s="219" t="n"/>
      <c r="J1311" s="219" t="n"/>
      <c r="K1311" s="219" t="n"/>
      <c r="L1311" s="183" t="n"/>
      <c r="M1311" s="219" t="n"/>
      <c r="N1311" s="219" t="n"/>
      <c r="O1311" s="117">
        <f>C1311*P1311</f>
        <v/>
      </c>
      <c r="P1311" s="22" t="n">
        <v>1.045</v>
      </c>
      <c r="R1311" s="117" t="n"/>
      <c r="T1311" s="117" t="n"/>
    </row>
    <row r="1312">
      <c r="A1312" s="134" t="inlineStr">
        <is>
          <t>16806XXX</t>
        </is>
      </c>
      <c r="B1312" s="246" t="inlineStr">
        <is>
          <t>TAVERNITI   CHOMBA M/C</t>
        </is>
      </c>
      <c r="C1312" s="88" t="n">
        <v>70600</v>
      </c>
      <c r="D1312" s="88" t="n"/>
      <c r="E1312" s="219" t="n"/>
      <c r="F1312" s="219" t="n"/>
      <c r="G1312" s="219" t="n"/>
      <c r="H1312" s="219" t="n"/>
      <c r="I1312" s="219" t="n"/>
      <c r="J1312" s="219" t="n"/>
      <c r="K1312" s="219" t="n"/>
      <c r="L1312" s="183" t="n"/>
      <c r="M1312" s="219" t="n"/>
      <c r="N1312" s="219" t="n"/>
      <c r="O1312" s="117">
        <f>C1312*P1312</f>
        <v/>
      </c>
      <c r="P1312" s="22" t="n">
        <v>1.045</v>
      </c>
      <c r="R1312" s="117" t="n"/>
      <c r="T1312" s="117" t="n"/>
    </row>
    <row r="1313">
      <c r="A1313" s="134" t="inlineStr">
        <is>
          <t>16808XXX</t>
        </is>
      </c>
      <c r="B1313" s="246" t="inlineStr">
        <is>
          <t>TAVERNITI   CHOMBA M/C</t>
        </is>
      </c>
      <c r="C1313" s="88" t="n">
        <v>70600</v>
      </c>
      <c r="D1313" s="88" t="n"/>
      <c r="E1313" s="219" t="n"/>
      <c r="F1313" s="219" t="n"/>
      <c r="G1313" s="219" t="n"/>
      <c r="H1313" s="219" t="n"/>
      <c r="I1313" s="219" t="n"/>
      <c r="J1313" s="219" t="n"/>
      <c r="K1313" s="219" t="n"/>
      <c r="L1313" s="183" t="n"/>
      <c r="M1313" s="219" t="n"/>
      <c r="N1313" s="219" t="n"/>
      <c r="O1313" s="117">
        <f>C1313*P1313</f>
        <v/>
      </c>
      <c r="P1313" s="22" t="n">
        <v>1.045</v>
      </c>
      <c r="R1313" s="117" t="n"/>
      <c r="T1313" s="117" t="n"/>
    </row>
    <row r="1314">
      <c r="A1314" s="134" t="inlineStr">
        <is>
          <t>16810XXX</t>
        </is>
      </c>
      <c r="B1314" s="246" t="inlineStr">
        <is>
          <t>TAVERNITI   CHOMBA M/C</t>
        </is>
      </c>
      <c r="C1314" s="88" t="n">
        <v>70600</v>
      </c>
      <c r="D1314" s="88" t="n"/>
      <c r="E1314" s="219" t="n"/>
      <c r="F1314" s="219" t="n"/>
      <c r="G1314" s="219" t="n"/>
      <c r="H1314" s="219" t="n"/>
      <c r="I1314" s="219" t="n"/>
      <c r="J1314" s="219" t="n"/>
      <c r="K1314" s="219" t="n"/>
      <c r="L1314" s="183" t="n"/>
      <c r="M1314" s="219" t="n"/>
      <c r="N1314" s="219" t="n"/>
      <c r="O1314" s="117">
        <f>C1314*P1314</f>
        <v/>
      </c>
      <c r="P1314" s="22" t="n">
        <v>1.045</v>
      </c>
      <c r="R1314" s="117" t="n"/>
      <c r="T1314" s="117" t="n"/>
    </row>
    <row r="1315">
      <c r="A1315" s="134" t="inlineStr">
        <is>
          <t>16816XXX</t>
        </is>
      </c>
      <c r="B1315" s="246" t="inlineStr">
        <is>
          <t>TAVERNITI   CHOMBA M/C</t>
        </is>
      </c>
      <c r="C1315" s="88" t="n">
        <v>70600</v>
      </c>
      <c r="D1315" s="88" t="n"/>
      <c r="E1315" s="219" t="n"/>
      <c r="F1315" s="219" t="n"/>
      <c r="G1315" s="219" t="n"/>
      <c r="H1315" s="219" t="n"/>
      <c r="I1315" s="219" t="n"/>
      <c r="J1315" s="219" t="n"/>
      <c r="K1315" s="219" t="n"/>
      <c r="L1315" s="183" t="n"/>
      <c r="M1315" s="219" t="n"/>
      <c r="N1315" s="219" t="n"/>
      <c r="O1315" s="117">
        <f>C1315*P1315</f>
        <v/>
      </c>
      <c r="P1315" s="22" t="n">
        <v>1.045</v>
      </c>
      <c r="R1315" s="117" t="n"/>
      <c r="T1315" s="117" t="n"/>
    </row>
    <row r="1316">
      <c r="A1316" s="134" t="inlineStr">
        <is>
          <t>16818XXX</t>
        </is>
      </c>
      <c r="B1316" s="246" t="inlineStr">
        <is>
          <t>TAVERNITI   CHOMBA M/C</t>
        </is>
      </c>
      <c r="C1316" s="88" t="n">
        <v>70600</v>
      </c>
      <c r="D1316" s="88" t="n"/>
      <c r="E1316" s="219" t="n"/>
      <c r="F1316" s="219" t="n"/>
      <c r="G1316" s="219" t="n"/>
      <c r="H1316" s="219" t="n"/>
      <c r="I1316" s="219" t="n"/>
      <c r="J1316" s="219" t="n"/>
      <c r="K1316" s="219" t="n"/>
      <c r="L1316" s="183" t="n"/>
      <c r="M1316" s="219" t="n"/>
      <c r="N1316" s="219" t="n"/>
      <c r="O1316" s="117">
        <f>C1316*P1316</f>
        <v/>
      </c>
      <c r="P1316" s="22" t="n">
        <v>1.045</v>
      </c>
      <c r="R1316" s="117" t="n"/>
      <c r="T1316" s="117" t="n"/>
    </row>
    <row r="1317">
      <c r="A1317" s="134" t="inlineStr">
        <is>
          <t>16820XXX</t>
        </is>
      </c>
      <c r="B1317" s="246" t="inlineStr">
        <is>
          <t>TAVERNITI   CHOMBA M/C</t>
        </is>
      </c>
      <c r="C1317" s="88" t="n">
        <v>70600</v>
      </c>
      <c r="D1317" s="88" t="n"/>
      <c r="E1317" s="219" t="n"/>
      <c r="F1317" s="219" t="n"/>
      <c r="G1317" s="219" t="n"/>
      <c r="H1317" s="219" t="n"/>
      <c r="I1317" s="219" t="n"/>
      <c r="J1317" s="219" t="n"/>
      <c r="K1317" s="219" t="n"/>
      <c r="L1317" s="183" t="n"/>
      <c r="M1317" s="219" t="n"/>
      <c r="N1317" s="219" t="n"/>
      <c r="O1317" s="117">
        <f>C1317*P1317</f>
        <v/>
      </c>
      <c r="P1317" s="22" t="n">
        <v>1.045</v>
      </c>
      <c r="R1317" s="117" t="n"/>
      <c r="T1317" s="117" t="n"/>
    </row>
    <row r="1318">
      <c r="A1318" s="134" t="inlineStr">
        <is>
          <t>16822XXX</t>
        </is>
      </c>
      <c r="B1318" s="246" t="inlineStr">
        <is>
          <t>TAVERNITI   CHOMBA M/C</t>
        </is>
      </c>
      <c r="C1318" s="88" t="n">
        <v>70600</v>
      </c>
      <c r="D1318" s="88" t="n"/>
      <c r="E1318" s="219" t="n"/>
      <c r="F1318" s="219" t="n"/>
      <c r="G1318" s="219" t="n"/>
      <c r="H1318" s="219" t="n"/>
      <c r="I1318" s="219" t="n"/>
      <c r="J1318" s="219" t="n"/>
      <c r="K1318" s="219" t="n"/>
      <c r="L1318" s="183" t="n"/>
      <c r="M1318" s="219" t="n"/>
      <c r="N1318" s="219" t="n"/>
      <c r="O1318" s="117">
        <f>C1318*P1318</f>
        <v/>
      </c>
      <c r="P1318" s="22" t="n">
        <v>1.045</v>
      </c>
      <c r="R1318" s="117" t="n"/>
      <c r="T1318" s="117" t="n"/>
    </row>
    <row r="1319">
      <c r="A1319" s="134" t="inlineStr">
        <is>
          <t>16826XXX</t>
        </is>
      </c>
      <c r="B1319" s="246" t="inlineStr">
        <is>
          <t>TAVERNITI   CHOMBA M/C</t>
        </is>
      </c>
      <c r="C1319" s="88" t="n">
        <v>70600</v>
      </c>
      <c r="D1319" s="88" t="n"/>
      <c r="E1319" s="219" t="n"/>
      <c r="F1319" s="219" t="n"/>
      <c r="G1319" s="219" t="n"/>
      <c r="H1319" s="219" t="n"/>
      <c r="I1319" s="219" t="n"/>
      <c r="J1319" s="219" t="n"/>
      <c r="K1319" s="219" t="n"/>
      <c r="L1319" s="183" t="n"/>
      <c r="M1319" s="219" t="n"/>
      <c r="N1319" s="219" t="n"/>
      <c r="O1319" s="117">
        <f>C1319*P1319</f>
        <v/>
      </c>
      <c r="P1319" s="22" t="n">
        <v>1.045</v>
      </c>
      <c r="R1319" s="117" t="n"/>
      <c r="T1319" s="117" t="n"/>
    </row>
    <row r="1320">
      <c r="A1320" s="134" t="inlineStr">
        <is>
          <t>16828XXX</t>
        </is>
      </c>
      <c r="B1320" s="246" t="inlineStr">
        <is>
          <t>TAVERNITI   CHOMBA M/C</t>
        </is>
      </c>
      <c r="C1320" s="88" t="n">
        <v>70600</v>
      </c>
      <c r="D1320" s="88" t="n"/>
      <c r="E1320" s="219" t="n"/>
      <c r="F1320" s="219" t="n"/>
      <c r="G1320" s="219" t="n"/>
      <c r="H1320" s="219" t="n"/>
      <c r="I1320" s="219" t="n"/>
      <c r="J1320" s="219" t="n"/>
      <c r="K1320" s="219" t="n"/>
      <c r="L1320" s="183" t="n"/>
      <c r="M1320" s="219" t="n"/>
      <c r="N1320" s="219" t="n"/>
      <c r="O1320" s="117">
        <f>C1320*P1320</f>
        <v/>
      </c>
      <c r="P1320" s="22" t="n">
        <v>1.045</v>
      </c>
      <c r="R1320" s="117" t="n"/>
      <c r="T1320" s="117" t="n"/>
    </row>
    <row r="1321">
      <c r="A1321" s="134" t="inlineStr">
        <is>
          <t>16830XXX</t>
        </is>
      </c>
      <c r="B1321" s="246" t="inlineStr">
        <is>
          <t>TAVERNITI   CHOMBA M/C</t>
        </is>
      </c>
      <c r="C1321" s="88" t="n">
        <v>70600</v>
      </c>
      <c r="D1321" s="88" t="n"/>
      <c r="E1321" s="219" t="n"/>
      <c r="F1321" s="219" t="n"/>
      <c r="G1321" s="219" t="n"/>
      <c r="H1321" s="219" t="n"/>
      <c r="I1321" s="219" t="n"/>
      <c r="J1321" s="219" t="n"/>
      <c r="K1321" s="219" t="n"/>
      <c r="L1321" s="183" t="n"/>
      <c r="M1321" s="219" t="n"/>
      <c r="N1321" s="219" t="n"/>
      <c r="O1321" s="117">
        <f>C1321*P1321</f>
        <v/>
      </c>
      <c r="P1321" s="22" t="n">
        <v>1.045</v>
      </c>
      <c r="R1321" s="117" t="n"/>
      <c r="T1321" s="117" t="n"/>
    </row>
    <row r="1322">
      <c r="A1322" s="134" t="inlineStr">
        <is>
          <t>16832XXX</t>
        </is>
      </c>
      <c r="B1322" s="246" t="inlineStr">
        <is>
          <t>TAVERNITI   CHOMBA M/C</t>
        </is>
      </c>
      <c r="C1322" s="88" t="n">
        <v>70600</v>
      </c>
      <c r="D1322" s="88" t="n"/>
      <c r="E1322" s="219" t="n"/>
      <c r="F1322" s="219" t="n"/>
      <c r="G1322" s="219" t="n"/>
      <c r="H1322" s="219" t="n"/>
      <c r="I1322" s="219" t="n"/>
      <c r="J1322" s="219" t="n"/>
      <c r="K1322" s="219" t="n"/>
      <c r="L1322" s="183" t="n"/>
      <c r="M1322" s="219" t="n"/>
      <c r="N1322" s="219" t="n"/>
      <c r="O1322" s="117">
        <f>C1322*P1322</f>
        <v/>
      </c>
      <c r="P1322" s="22" t="n">
        <v>1.045</v>
      </c>
      <c r="R1322" s="117" t="n"/>
      <c r="T1322" s="117" t="n"/>
    </row>
    <row r="1323">
      <c r="A1323" s="134" t="inlineStr">
        <is>
          <t>16834XXX</t>
        </is>
      </c>
      <c r="B1323" s="246" t="inlineStr">
        <is>
          <t>TAVERNITI   CHOMBA M/C</t>
        </is>
      </c>
      <c r="C1323" s="88" t="n">
        <v>70600</v>
      </c>
      <c r="D1323" s="88" t="n"/>
      <c r="E1323" s="219" t="n"/>
      <c r="F1323" s="219" t="n"/>
      <c r="G1323" s="219" t="n"/>
      <c r="H1323" s="219" t="n"/>
      <c r="I1323" s="219" t="n"/>
      <c r="J1323" s="219" t="n"/>
      <c r="K1323" s="219" t="n"/>
      <c r="L1323" s="183" t="n"/>
      <c r="M1323" s="219" t="n"/>
      <c r="N1323" s="219" t="n"/>
      <c r="O1323" s="117">
        <f>C1323*P1323</f>
        <v/>
      </c>
      <c r="P1323" s="22" t="n">
        <v>1.045</v>
      </c>
      <c r="R1323" s="117" t="n"/>
      <c r="T1323" s="117" t="n"/>
    </row>
    <row r="1324">
      <c r="A1324" s="134" t="inlineStr">
        <is>
          <t>16836XXX</t>
        </is>
      </c>
      <c r="B1324" s="246" t="inlineStr">
        <is>
          <t>TAVERNITI   CHOMBA M/C</t>
        </is>
      </c>
      <c r="C1324" s="88" t="n">
        <v>70600</v>
      </c>
      <c r="D1324" s="88" t="n"/>
      <c r="E1324" s="219" t="n"/>
      <c r="F1324" s="219" t="n"/>
      <c r="G1324" s="219" t="n"/>
      <c r="H1324" s="219" t="n"/>
      <c r="I1324" s="219" t="n"/>
      <c r="J1324" s="219" t="n"/>
      <c r="K1324" s="219" t="n"/>
      <c r="L1324" s="183" t="n"/>
      <c r="M1324" s="219" t="n"/>
      <c r="N1324" s="219" t="n"/>
      <c r="O1324" s="117">
        <f>C1324*P1324</f>
        <v/>
      </c>
      <c r="P1324" s="22" t="n">
        <v>1.045</v>
      </c>
      <c r="R1324" s="117" t="n"/>
      <c r="T1324" s="117" t="n"/>
    </row>
    <row r="1325">
      <c r="A1325" s="134" t="inlineStr">
        <is>
          <t>16838XXX</t>
        </is>
      </c>
      <c r="B1325" s="246" t="inlineStr">
        <is>
          <t>TAVERNITI   CHOMBA M/C</t>
        </is>
      </c>
      <c r="C1325" s="88" t="n">
        <v>70600</v>
      </c>
      <c r="D1325" s="88" t="n"/>
      <c r="E1325" s="219" t="n"/>
      <c r="F1325" s="219" t="n"/>
      <c r="G1325" s="219" t="n"/>
      <c r="H1325" s="219" t="n"/>
      <c r="I1325" s="219" t="n"/>
      <c r="J1325" s="219" t="n"/>
      <c r="K1325" s="219" t="n"/>
      <c r="L1325" s="183" t="n"/>
      <c r="M1325" s="219" t="n"/>
      <c r="N1325" s="219" t="n"/>
      <c r="O1325" s="117">
        <f>C1325*P1325</f>
        <v/>
      </c>
      <c r="P1325" s="22" t="n">
        <v>1.045</v>
      </c>
      <c r="R1325" s="117" t="n"/>
      <c r="T1325" s="117" t="n"/>
    </row>
    <row r="1326">
      <c r="A1326" s="134" t="inlineStr">
        <is>
          <t>16840XXX</t>
        </is>
      </c>
      <c r="B1326" s="246" t="inlineStr">
        <is>
          <t>TAVERNITI   CHOMBA M/C</t>
        </is>
      </c>
      <c r="C1326" s="88" t="n">
        <v>70600</v>
      </c>
      <c r="D1326" s="88" t="n"/>
      <c r="E1326" s="219" t="n"/>
      <c r="F1326" s="219" t="n"/>
      <c r="G1326" s="219" t="n"/>
      <c r="H1326" s="219" t="n"/>
      <c r="I1326" s="219" t="n"/>
      <c r="J1326" s="219" t="n"/>
      <c r="K1326" s="219" t="n"/>
      <c r="L1326" s="183" t="n"/>
      <c r="M1326" s="219" t="n"/>
      <c r="N1326" s="219" t="n"/>
      <c r="O1326" s="117">
        <f>C1326*P1326</f>
        <v/>
      </c>
      <c r="P1326" s="22" t="n">
        <v>1.045</v>
      </c>
      <c r="R1326" s="117" t="n"/>
      <c r="T1326" s="117" t="n"/>
    </row>
    <row r="1327">
      <c r="A1327" s="134" t="inlineStr">
        <is>
          <t>16844XXX</t>
        </is>
      </c>
      <c r="B1327" s="246" t="inlineStr">
        <is>
          <t>TAVERNITI   CHOMBA M/C</t>
        </is>
      </c>
      <c r="C1327" s="88" t="n">
        <v>70600</v>
      </c>
      <c r="D1327" s="88" t="n"/>
      <c r="E1327" s="119" t="n"/>
      <c r="F1327" s="219" t="n"/>
      <c r="G1327" s="219" t="n"/>
      <c r="H1327" s="219" t="n"/>
      <c r="I1327" s="219" t="n"/>
      <c r="J1327" s="219" t="n"/>
      <c r="K1327" s="219" t="n"/>
      <c r="L1327" s="183" t="n"/>
      <c r="M1327" s="219" t="n"/>
      <c r="N1327" s="219" t="n"/>
      <c r="O1327" s="117">
        <f>C1327*P1327</f>
        <v/>
      </c>
      <c r="P1327" s="22" t="n">
        <v>1.045</v>
      </c>
      <c r="R1327" s="117" t="n"/>
      <c r="T1327" s="117" t="n"/>
    </row>
    <row r="1328">
      <c r="A1328" s="134" t="inlineStr">
        <is>
          <t>16846XXX</t>
        </is>
      </c>
      <c r="B1328" s="246" t="inlineStr">
        <is>
          <t>TAVERNITI   CHOMBA M/C</t>
        </is>
      </c>
      <c r="C1328" s="88" t="n">
        <v>70600</v>
      </c>
      <c r="D1328" s="88" t="n"/>
      <c r="E1328" s="219" t="n"/>
      <c r="F1328" s="219" t="n"/>
      <c r="G1328" s="219" t="n"/>
      <c r="H1328" s="219" t="n"/>
      <c r="I1328" s="219" t="n"/>
      <c r="J1328" s="219" t="n"/>
      <c r="K1328" s="219" t="n"/>
      <c r="L1328" s="183" t="n"/>
      <c r="M1328" s="219" t="n"/>
      <c r="N1328" s="219" t="n"/>
      <c r="O1328" s="117">
        <f>C1328*P1328</f>
        <v/>
      </c>
      <c r="P1328" s="22" t="n">
        <v>1.045</v>
      </c>
      <c r="R1328" s="117" t="n"/>
      <c r="T1328" s="117" t="n"/>
    </row>
    <row r="1329">
      <c r="A1329" s="134" t="inlineStr">
        <is>
          <t>16848XXX</t>
        </is>
      </c>
      <c r="B1329" s="246" t="inlineStr">
        <is>
          <t>TAVERNITI   CHOMBA M/C</t>
        </is>
      </c>
      <c r="C1329" s="88" t="n">
        <v>70600</v>
      </c>
      <c r="D1329" s="88" t="n"/>
      <c r="E1329" s="219" t="n"/>
      <c r="F1329" s="219" t="n"/>
      <c r="G1329" s="219" t="n"/>
      <c r="H1329" s="219" t="n"/>
      <c r="I1329" s="219" t="n"/>
      <c r="J1329" s="219" t="n"/>
      <c r="K1329" s="219" t="n"/>
      <c r="L1329" s="183" t="n"/>
      <c r="M1329" s="219" t="n"/>
      <c r="N1329" s="219" t="n"/>
      <c r="O1329" s="117">
        <f>C1329*P1329</f>
        <v/>
      </c>
      <c r="P1329" s="22" t="n">
        <v>1.045</v>
      </c>
      <c r="R1329" s="117" t="n"/>
      <c r="T1329" s="117" t="n"/>
    </row>
    <row r="1330">
      <c r="A1330" s="134" t="inlineStr">
        <is>
          <t>16850XXX</t>
        </is>
      </c>
      <c r="B1330" s="246" t="inlineStr">
        <is>
          <t>TAVERNITI   CHOMBA M/C</t>
        </is>
      </c>
      <c r="C1330" s="88" t="n">
        <v>70600</v>
      </c>
      <c r="D1330" s="88" t="n"/>
      <c r="E1330" s="219" t="n"/>
      <c r="F1330" s="219" t="n"/>
      <c r="G1330" s="219" t="n"/>
      <c r="H1330" s="219" t="n"/>
      <c r="I1330" s="219" t="n"/>
      <c r="J1330" s="219" t="n"/>
      <c r="K1330" s="219" t="n"/>
      <c r="L1330" s="183" t="n"/>
      <c r="M1330" s="219" t="n"/>
      <c r="N1330" s="219" t="n"/>
      <c r="O1330" s="117">
        <f>C1330*P1330</f>
        <v/>
      </c>
      <c r="P1330" s="22" t="n">
        <v>1.045</v>
      </c>
      <c r="R1330" s="117" t="n"/>
      <c r="T1330" s="117" t="n"/>
    </row>
    <row r="1331">
      <c r="A1331" s="134" t="inlineStr">
        <is>
          <t>16852XXX</t>
        </is>
      </c>
      <c r="B1331" s="246" t="inlineStr">
        <is>
          <t>TAVERNITI   CHOMBA M/C</t>
        </is>
      </c>
      <c r="C1331" s="88" t="n">
        <v>70600</v>
      </c>
      <c r="D1331" s="88" t="n"/>
      <c r="E1331" s="219" t="n"/>
      <c r="F1331" s="219" t="n"/>
      <c r="G1331" s="219" t="n"/>
      <c r="H1331" s="219" t="n"/>
      <c r="I1331" s="219" t="n"/>
      <c r="J1331" s="219" t="n"/>
      <c r="K1331" s="219" t="n"/>
      <c r="L1331" s="183" t="n"/>
      <c r="M1331" s="219" t="n"/>
      <c r="N1331" s="219" t="n"/>
      <c r="O1331" s="117">
        <f>C1331*P1331</f>
        <v/>
      </c>
      <c r="P1331" s="22" t="n">
        <v>1.045</v>
      </c>
      <c r="R1331" s="117" t="n"/>
      <c r="T1331" s="117" t="n"/>
    </row>
    <row r="1332">
      <c r="A1332" s="134" t="inlineStr">
        <is>
          <t>16854XXX</t>
        </is>
      </c>
      <c r="B1332" s="246" t="inlineStr">
        <is>
          <t>TAVERNITI   CHOMBA M/C</t>
        </is>
      </c>
      <c r="C1332" s="88" t="n">
        <v>70600</v>
      </c>
      <c r="D1332" s="88" t="n"/>
      <c r="E1332" s="219" t="n"/>
      <c r="F1332" s="219" t="n"/>
      <c r="G1332" s="219" t="n"/>
      <c r="H1332" s="219" t="n"/>
      <c r="I1332" s="219" t="n"/>
      <c r="J1332" s="219" t="n"/>
      <c r="K1332" s="219" t="n"/>
      <c r="L1332" s="183" t="n"/>
      <c r="M1332" s="219" t="n"/>
      <c r="N1332" s="219" t="n"/>
      <c r="O1332" s="117">
        <f>C1332*P1332</f>
        <v/>
      </c>
      <c r="P1332" s="22" t="n">
        <v>1.045</v>
      </c>
      <c r="R1332" s="117" t="n"/>
      <c r="T1332" s="117" t="n"/>
    </row>
    <row r="1333">
      <c r="A1333" s="134" t="inlineStr">
        <is>
          <t>16856XXX</t>
        </is>
      </c>
      <c r="B1333" s="246" t="inlineStr">
        <is>
          <t>TAVERNITI   CHOMBA M/C</t>
        </is>
      </c>
      <c r="C1333" s="88" t="n">
        <v>70600</v>
      </c>
      <c r="D1333" s="88" t="n"/>
      <c r="E1333" s="219" t="n"/>
      <c r="F1333" s="219" t="n"/>
      <c r="G1333" s="219" t="n"/>
      <c r="H1333" s="219" t="n"/>
      <c r="I1333" s="219" t="n"/>
      <c r="J1333" s="219" t="n"/>
      <c r="K1333" s="219" t="n"/>
      <c r="L1333" s="183" t="n"/>
      <c r="M1333" s="219" t="n"/>
      <c r="N1333" s="219" t="n"/>
      <c r="O1333" s="117">
        <f>C1333*P1333</f>
        <v/>
      </c>
      <c r="P1333" s="22" t="n">
        <v>1.045</v>
      </c>
      <c r="R1333" s="117" t="n"/>
      <c r="T1333" s="117" t="n"/>
    </row>
    <row r="1334">
      <c r="A1334" s="134" t="inlineStr">
        <is>
          <t>16858XXX</t>
        </is>
      </c>
      <c r="B1334" s="246" t="inlineStr">
        <is>
          <t>TAVERNITI   CHOMBA M/C</t>
        </is>
      </c>
      <c r="C1334" s="88" t="n">
        <v>70600</v>
      </c>
      <c r="D1334" s="88" t="n"/>
      <c r="E1334" s="219" t="n"/>
      <c r="F1334" s="219" t="n"/>
      <c r="G1334" s="219" t="n"/>
      <c r="H1334" s="219" t="n"/>
      <c r="I1334" s="219" t="n"/>
      <c r="J1334" s="219" t="n"/>
      <c r="K1334" s="219" t="n"/>
      <c r="L1334" s="183" t="n"/>
      <c r="M1334" s="219" t="n"/>
      <c r="N1334" s="219" t="n"/>
      <c r="O1334" s="117">
        <f>C1334*P1334</f>
        <v/>
      </c>
      <c r="P1334" s="22" t="n">
        <v>1.045</v>
      </c>
      <c r="R1334" s="117" t="n"/>
      <c r="T1334" s="117" t="n"/>
    </row>
    <row r="1335">
      <c r="A1335" s="134" t="inlineStr">
        <is>
          <t>17244XXX</t>
        </is>
      </c>
      <c r="B1335" s="246" t="inlineStr">
        <is>
          <t>TAVERNITI   CHOMBA M/C</t>
        </is>
      </c>
      <c r="C1335" s="88" t="n">
        <v>65900</v>
      </c>
      <c r="D1335" s="88" t="n"/>
      <c r="E1335" s="219" t="n"/>
      <c r="F1335" s="219" t="n"/>
      <c r="G1335" s="219" t="n"/>
      <c r="H1335" s="219" t="n"/>
      <c r="I1335" s="219" t="n"/>
      <c r="J1335" s="219" t="n"/>
      <c r="K1335" s="219" t="n"/>
      <c r="L1335" s="183" t="n"/>
      <c r="M1335" s="219" t="n"/>
      <c r="N1335" s="219" t="n"/>
      <c r="O1335" s="117">
        <f>C1335*P1335</f>
        <v/>
      </c>
      <c r="P1335" s="22" t="n">
        <v>1.045</v>
      </c>
      <c r="R1335" s="117" t="n"/>
      <c r="T1335" s="117" t="n"/>
    </row>
    <row r="1336">
      <c r="A1336" s="134" t="inlineStr">
        <is>
          <t>17398XXX</t>
        </is>
      </c>
      <c r="B1336" s="246" t="inlineStr">
        <is>
          <t>TAVERNITI   CHOMBA M/C</t>
        </is>
      </c>
      <c r="C1336" s="88" t="n">
        <v>70000</v>
      </c>
      <c r="D1336" s="88" t="n"/>
      <c r="E1336" s="219" t="n"/>
      <c r="F1336" s="219" t="n"/>
      <c r="G1336" s="219" t="n"/>
      <c r="H1336" s="219" t="n"/>
      <c r="I1336" s="219" t="n"/>
      <c r="J1336" s="219" t="n"/>
      <c r="K1336" s="219" t="n"/>
      <c r="L1336" s="183" t="n"/>
      <c r="M1336" s="219" t="n"/>
      <c r="N1336" s="219" t="n"/>
      <c r="O1336" s="117">
        <f>C1336*P1336</f>
        <v/>
      </c>
      <c r="P1336" s="22" t="n">
        <v>1.045</v>
      </c>
      <c r="R1336" s="117" t="n"/>
      <c r="T1336" s="117" t="n"/>
    </row>
    <row r="1337">
      <c r="A1337" s="134" t="inlineStr">
        <is>
          <t>17400XXX</t>
        </is>
      </c>
      <c r="B1337" s="246" t="inlineStr">
        <is>
          <t>TAVERNITI   CHOMBA M/C</t>
        </is>
      </c>
      <c r="C1337" s="88" t="n">
        <v>70000</v>
      </c>
      <c r="D1337" s="88" t="n"/>
      <c r="E1337" s="219" t="n"/>
      <c r="F1337" s="219" t="n"/>
      <c r="G1337" s="219" t="n"/>
      <c r="H1337" s="219" t="n"/>
      <c r="I1337" s="219" t="n"/>
      <c r="J1337" s="219" t="n"/>
      <c r="K1337" s="219" t="n"/>
      <c r="L1337" s="183" t="n"/>
      <c r="M1337" s="219" t="n"/>
      <c r="N1337" s="219" t="n"/>
      <c r="O1337" s="117">
        <f>C1337*P1337</f>
        <v/>
      </c>
      <c r="P1337" s="22" t="n">
        <v>1.045</v>
      </c>
      <c r="R1337" s="117" t="n"/>
      <c r="T1337" s="117" t="n"/>
    </row>
    <row r="1338">
      <c r="A1338" s="134" t="inlineStr">
        <is>
          <t>17404XXX</t>
        </is>
      </c>
      <c r="B1338" s="246" t="inlineStr">
        <is>
          <t>TAVERNITI   CHOMBA M/C</t>
        </is>
      </c>
      <c r="C1338" s="88" t="n">
        <v>70000</v>
      </c>
      <c r="D1338" s="88" t="n"/>
      <c r="E1338" s="219" t="n"/>
      <c r="F1338" s="219" t="n"/>
      <c r="G1338" s="219" t="n"/>
      <c r="H1338" s="219" t="n"/>
      <c r="I1338" s="219" t="n"/>
      <c r="J1338" s="219" t="n"/>
      <c r="K1338" s="219" t="n"/>
      <c r="L1338" s="183" t="n"/>
      <c r="M1338" s="219" t="n"/>
      <c r="N1338" s="219" t="n"/>
      <c r="O1338" s="117">
        <f>C1338*P1338</f>
        <v/>
      </c>
      <c r="P1338" s="22" t="n">
        <v>1.045</v>
      </c>
      <c r="R1338" s="117" t="n"/>
      <c r="T1338" s="117" t="n"/>
    </row>
    <row r="1339">
      <c r="A1339" s="134" t="inlineStr">
        <is>
          <t>17406XXX</t>
        </is>
      </c>
      <c r="B1339" s="246" t="inlineStr">
        <is>
          <t>TAVERNITI   CHOMBA M/C</t>
        </is>
      </c>
      <c r="C1339" s="88" t="n">
        <v>70000</v>
      </c>
      <c r="D1339" s="88" t="n"/>
      <c r="E1339" s="219" t="n"/>
      <c r="F1339" s="219" t="n"/>
      <c r="G1339" s="219" t="n"/>
      <c r="H1339" s="219" t="n"/>
      <c r="I1339" s="219" t="n"/>
      <c r="J1339" s="219" t="n"/>
      <c r="K1339" s="219" t="n"/>
      <c r="L1339" s="183" t="n"/>
      <c r="M1339" s="219" t="n"/>
      <c r="N1339" s="219" t="n"/>
      <c r="O1339" s="117">
        <f>C1339*P1339</f>
        <v/>
      </c>
      <c r="P1339" s="22" t="n">
        <v>1.045</v>
      </c>
      <c r="R1339" s="117" t="n"/>
      <c r="T1339" s="117" t="n"/>
    </row>
    <row r="1340">
      <c r="A1340" s="134" t="inlineStr">
        <is>
          <t>17408XXX</t>
        </is>
      </c>
      <c r="B1340" s="246" t="inlineStr">
        <is>
          <t>TAVERNITI   CHOMBA M/C</t>
        </is>
      </c>
      <c r="C1340" s="88" t="n">
        <v>70000</v>
      </c>
      <c r="D1340" s="88" t="n"/>
      <c r="E1340" s="219" t="n"/>
      <c r="F1340" s="219" t="n"/>
      <c r="G1340" s="219" t="n"/>
      <c r="H1340" s="219" t="n"/>
      <c r="I1340" s="219" t="n"/>
      <c r="J1340" s="219" t="n"/>
      <c r="K1340" s="219" t="n"/>
      <c r="L1340" s="183" t="n"/>
      <c r="M1340" s="219" t="n"/>
      <c r="N1340" s="219" t="n"/>
      <c r="O1340" s="117">
        <f>C1340*P1340</f>
        <v/>
      </c>
      <c r="P1340" s="22" t="n">
        <v>1.045</v>
      </c>
      <c r="R1340" s="117" t="n"/>
      <c r="T1340" s="117" t="n"/>
    </row>
    <row r="1341">
      <c r="A1341" s="134" t="inlineStr">
        <is>
          <t>17412XXX</t>
        </is>
      </c>
      <c r="B1341" s="246" t="inlineStr">
        <is>
          <t>TAVERNITI   CHOMBA M/C</t>
        </is>
      </c>
      <c r="C1341" s="88" t="n">
        <v>70000</v>
      </c>
      <c r="D1341" s="88" t="n"/>
      <c r="E1341" s="219" t="n"/>
      <c r="F1341" s="219" t="n"/>
      <c r="G1341" s="219" t="n"/>
      <c r="H1341" s="219" t="n"/>
      <c r="I1341" s="219" t="n"/>
      <c r="J1341" s="219" t="n"/>
      <c r="K1341" s="219" t="n"/>
      <c r="L1341" s="183" t="n"/>
      <c r="M1341" s="219" t="n"/>
      <c r="N1341" s="219" t="n"/>
      <c r="O1341" s="117">
        <f>C1341*P1341</f>
        <v/>
      </c>
      <c r="P1341" s="22" t="n">
        <v>1.045</v>
      </c>
      <c r="R1341" s="117" t="n"/>
      <c r="T1341" s="117" t="n"/>
    </row>
    <row r="1342">
      <c r="A1342" s="134" t="inlineStr">
        <is>
          <t>17416XXX</t>
        </is>
      </c>
      <c r="B1342" s="246" t="inlineStr">
        <is>
          <t>TAVERNITI   CHOMBA M/C</t>
        </is>
      </c>
      <c r="C1342" s="88" t="n">
        <v>70000</v>
      </c>
      <c r="D1342" s="88" t="n"/>
      <c r="E1342" s="219" t="n"/>
      <c r="F1342" s="219" t="n"/>
      <c r="G1342" s="219" t="n"/>
      <c r="H1342" s="219" t="n"/>
      <c r="I1342" s="219" t="n"/>
      <c r="J1342" s="219" t="n"/>
      <c r="K1342" s="219" t="n"/>
      <c r="L1342" s="183" t="n"/>
      <c r="M1342" s="219" t="n"/>
      <c r="N1342" s="219" t="n"/>
      <c r="O1342" s="117">
        <f>C1342*P1342</f>
        <v/>
      </c>
      <c r="P1342" s="22" t="n">
        <v>1.045</v>
      </c>
      <c r="R1342" s="117" t="n"/>
      <c r="T1342" s="117" t="n"/>
    </row>
    <row r="1343">
      <c r="A1343" s="134" t="inlineStr">
        <is>
          <t>17418XXX</t>
        </is>
      </c>
      <c r="B1343" s="246" t="inlineStr">
        <is>
          <t>TAVERNITI   CHOMBA M/C</t>
        </is>
      </c>
      <c r="C1343" s="88" t="n">
        <v>70000</v>
      </c>
      <c r="D1343" s="88" t="n"/>
      <c r="E1343" s="219" t="n"/>
      <c r="F1343" s="219" t="n"/>
      <c r="G1343" s="219" t="n"/>
      <c r="H1343" s="219" t="n"/>
      <c r="I1343" s="219" t="n"/>
      <c r="J1343" s="219" t="n"/>
      <c r="K1343" s="219" t="n"/>
      <c r="L1343" s="183" t="n"/>
      <c r="M1343" s="219" t="n"/>
      <c r="N1343" s="219" t="n"/>
      <c r="O1343" s="117">
        <f>C1343*P1343</f>
        <v/>
      </c>
      <c r="P1343" s="22" t="n">
        <v>1.045</v>
      </c>
      <c r="R1343" s="117" t="n"/>
      <c r="T1343" s="117" t="n"/>
    </row>
    <row r="1344">
      <c r="A1344" s="134" t="inlineStr">
        <is>
          <t>17420XXX</t>
        </is>
      </c>
      <c r="B1344" s="246" t="inlineStr">
        <is>
          <t>TAVERNITI   CHOMBA M/C</t>
        </is>
      </c>
      <c r="C1344" s="88" t="n">
        <v>70000</v>
      </c>
      <c r="D1344" s="88" t="n"/>
      <c r="E1344" s="219" t="n"/>
      <c r="F1344" s="219" t="n"/>
      <c r="G1344" s="219" t="n"/>
      <c r="H1344" s="219" t="n"/>
      <c r="I1344" s="219" t="n"/>
      <c r="J1344" s="219" t="n"/>
      <c r="K1344" s="219" t="n"/>
      <c r="L1344" s="183" t="n"/>
      <c r="M1344" s="219" t="n"/>
      <c r="N1344" s="219" t="n"/>
      <c r="O1344" s="117">
        <f>C1344*P1344</f>
        <v/>
      </c>
      <c r="P1344" s="22" t="n">
        <v>1.045</v>
      </c>
      <c r="R1344" s="117" t="n"/>
      <c r="T1344" s="117" t="n"/>
    </row>
    <row r="1345">
      <c r="A1345" s="134" t="inlineStr">
        <is>
          <t>17422XXX</t>
        </is>
      </c>
      <c r="B1345" s="246" t="inlineStr">
        <is>
          <t>TAVERNITI   CHOMBA M/C</t>
        </is>
      </c>
      <c r="C1345" s="88" t="n">
        <v>70000</v>
      </c>
      <c r="D1345" s="88" t="n"/>
      <c r="E1345" s="219" t="n"/>
      <c r="F1345" s="219" t="n"/>
      <c r="G1345" s="219" t="n"/>
      <c r="H1345" s="219" t="n"/>
      <c r="I1345" s="219" t="n"/>
      <c r="J1345" s="219" t="n"/>
      <c r="K1345" s="219" t="n"/>
      <c r="L1345" s="183" t="n"/>
      <c r="M1345" s="219" t="n"/>
      <c r="N1345" s="219" t="n"/>
      <c r="O1345" s="117">
        <f>C1345*P1345</f>
        <v/>
      </c>
      <c r="P1345" s="22" t="n">
        <v>1.045</v>
      </c>
      <c r="R1345" s="117" t="n"/>
      <c r="T1345" s="117" t="n"/>
    </row>
    <row r="1346">
      <c r="A1346" s="134" t="inlineStr">
        <is>
          <t>17424XXX</t>
        </is>
      </c>
      <c r="B1346" s="246" t="inlineStr">
        <is>
          <t>TAVERNITI   CHOMBA M/C</t>
        </is>
      </c>
      <c r="C1346" s="88" t="n">
        <v>70000</v>
      </c>
      <c r="D1346" s="88" t="n"/>
      <c r="E1346" s="219" t="n"/>
      <c r="F1346" s="219" t="n"/>
      <c r="G1346" s="219" t="n"/>
      <c r="H1346" s="219" t="n"/>
      <c r="I1346" s="219" t="n"/>
      <c r="J1346" s="219" t="n"/>
      <c r="K1346" s="219" t="n"/>
      <c r="L1346" s="183" t="n"/>
      <c r="M1346" s="219" t="n"/>
      <c r="N1346" s="219" t="n"/>
      <c r="O1346" s="117">
        <f>C1346*P1346</f>
        <v/>
      </c>
      <c r="P1346" s="22" t="n">
        <v>1.045</v>
      </c>
      <c r="R1346" s="117" t="n"/>
      <c r="T1346" s="117" t="n"/>
    </row>
    <row r="1347">
      <c r="A1347" s="134" t="inlineStr">
        <is>
          <t>17426XXX</t>
        </is>
      </c>
      <c r="B1347" s="246" t="inlineStr">
        <is>
          <t>TAVERNITI   CHOMBA M/C</t>
        </is>
      </c>
      <c r="C1347" s="88" t="n">
        <v>70000</v>
      </c>
      <c r="D1347" s="88" t="n"/>
      <c r="E1347" s="219" t="n"/>
      <c r="F1347" s="219" t="n"/>
      <c r="G1347" s="219" t="n"/>
      <c r="H1347" s="219" t="n"/>
      <c r="I1347" s="219" t="n"/>
      <c r="J1347" s="219" t="n"/>
      <c r="K1347" s="219" t="n"/>
      <c r="L1347" s="183" t="n"/>
      <c r="M1347" s="219" t="n"/>
      <c r="N1347" s="219" t="n"/>
      <c r="O1347" s="117">
        <f>C1347*P1347</f>
        <v/>
      </c>
      <c r="P1347" s="22" t="n">
        <v>1.045</v>
      </c>
      <c r="R1347" s="117" t="n"/>
      <c r="T1347" s="117" t="n"/>
    </row>
    <row r="1348">
      <c r="A1348" s="134" t="inlineStr">
        <is>
          <t>17428XXX</t>
        </is>
      </c>
      <c r="B1348" s="246" t="inlineStr">
        <is>
          <t>TAVERNITI   CHOMBA M/C</t>
        </is>
      </c>
      <c r="C1348" s="88" t="n">
        <v>70000</v>
      </c>
      <c r="D1348" s="88" t="n"/>
      <c r="E1348" s="219" t="n"/>
      <c r="F1348" s="219" t="n"/>
      <c r="G1348" s="219" t="n"/>
      <c r="H1348" s="219" t="n"/>
      <c r="I1348" s="219" t="n"/>
      <c r="J1348" s="219" t="n"/>
      <c r="K1348" s="219" t="n"/>
      <c r="L1348" s="183" t="n"/>
      <c r="M1348" s="219" t="n"/>
      <c r="N1348" s="219" t="n"/>
      <c r="O1348" s="117">
        <f>C1348*P1348</f>
        <v/>
      </c>
      <c r="P1348" s="22" t="n">
        <v>1.045</v>
      </c>
      <c r="R1348" s="117" t="n"/>
      <c r="T1348" s="117" t="n"/>
    </row>
    <row r="1349">
      <c r="A1349" s="134" t="inlineStr">
        <is>
          <t>17430XXX</t>
        </is>
      </c>
      <c r="B1349" s="246" t="inlineStr">
        <is>
          <t>TAVERNITI   CHOMBA M/C</t>
        </is>
      </c>
      <c r="C1349" s="88" t="n">
        <v>70000</v>
      </c>
      <c r="D1349" s="88" t="n"/>
      <c r="E1349" s="219" t="n"/>
      <c r="F1349" s="219" t="n"/>
      <c r="G1349" s="219" t="n"/>
      <c r="H1349" s="219" t="n"/>
      <c r="I1349" s="219" t="n"/>
      <c r="J1349" s="219" t="n"/>
      <c r="K1349" s="219" t="n"/>
      <c r="L1349" s="183" t="n"/>
      <c r="M1349" s="219" t="n"/>
      <c r="N1349" s="219" t="n"/>
      <c r="O1349" s="117">
        <f>C1349*P1349</f>
        <v/>
      </c>
      <c r="P1349" s="22" t="n">
        <v>1.045</v>
      </c>
      <c r="R1349" s="117" t="n"/>
      <c r="T1349" s="117" t="n"/>
    </row>
    <row r="1350">
      <c r="A1350" s="134" t="inlineStr">
        <is>
          <t>17432XXX</t>
        </is>
      </c>
      <c r="B1350" s="246" t="inlineStr">
        <is>
          <t>TAVERNITI   CHOMBA M/C</t>
        </is>
      </c>
      <c r="C1350" s="88" t="n">
        <v>70000</v>
      </c>
      <c r="D1350" s="88" t="n"/>
      <c r="E1350" s="219" t="n"/>
      <c r="F1350" s="219" t="n"/>
      <c r="G1350" s="219" t="n"/>
      <c r="H1350" s="219" t="n"/>
      <c r="I1350" s="219" t="n"/>
      <c r="J1350" s="219" t="n"/>
      <c r="K1350" s="219" t="n"/>
      <c r="L1350" s="183" t="n"/>
      <c r="M1350" s="219" t="n"/>
      <c r="N1350" s="219" t="n"/>
      <c r="O1350" s="117">
        <f>C1350*P1350</f>
        <v/>
      </c>
      <c r="P1350" s="22" t="n">
        <v>1.045</v>
      </c>
      <c r="R1350" s="117" t="n"/>
      <c r="T1350" s="117" t="n"/>
    </row>
    <row r="1351">
      <c r="A1351" s="134" t="inlineStr">
        <is>
          <t>17434XXX</t>
        </is>
      </c>
      <c r="B1351" s="246" t="inlineStr">
        <is>
          <t>TAVERNITI   CHOMBA M/C</t>
        </is>
      </c>
      <c r="C1351" s="88" t="n">
        <v>70000</v>
      </c>
      <c r="D1351" s="88" t="n"/>
      <c r="E1351" s="219" t="n"/>
      <c r="F1351" s="219" t="n"/>
      <c r="G1351" s="219" t="n"/>
      <c r="H1351" s="219" t="n"/>
      <c r="I1351" s="219" t="n"/>
      <c r="J1351" s="219" t="n"/>
      <c r="K1351" s="219" t="n"/>
      <c r="L1351" s="183" t="n"/>
      <c r="M1351" s="219" t="n"/>
      <c r="N1351" s="219" t="n"/>
      <c r="O1351" s="117">
        <f>C1351*P1351</f>
        <v/>
      </c>
      <c r="P1351" s="22" t="n">
        <v>1.045</v>
      </c>
      <c r="R1351" s="117" t="n"/>
      <c r="T1351" s="117" t="n"/>
    </row>
    <row r="1352">
      <c r="A1352" s="134" t="inlineStr">
        <is>
          <t>17436XXX</t>
        </is>
      </c>
      <c r="B1352" s="246" t="inlineStr">
        <is>
          <t>TAVERNITI   CHOMBA M/C</t>
        </is>
      </c>
      <c r="C1352" s="88" t="n">
        <v>70000</v>
      </c>
      <c r="D1352" s="88" t="n"/>
      <c r="E1352" s="219" t="n"/>
      <c r="F1352" s="219" t="n"/>
      <c r="G1352" s="219" t="n"/>
      <c r="H1352" s="219" t="n"/>
      <c r="I1352" s="219" t="n"/>
      <c r="J1352" s="219" t="n"/>
      <c r="K1352" s="219" t="n"/>
      <c r="L1352" s="183" t="n"/>
      <c r="M1352" s="219" t="n"/>
      <c r="N1352" s="219" t="n"/>
      <c r="O1352" s="117">
        <f>C1352*P1352</f>
        <v/>
      </c>
      <c r="P1352" s="22" t="n">
        <v>1.045</v>
      </c>
      <c r="R1352" s="117" t="n"/>
      <c r="T1352" s="117" t="n"/>
    </row>
    <row r="1353">
      <c r="A1353" s="134" t="inlineStr">
        <is>
          <t>17438XXX</t>
        </is>
      </c>
      <c r="B1353" s="246" t="inlineStr">
        <is>
          <t>TAVERNITI   CHOMBA M/C</t>
        </is>
      </c>
      <c r="C1353" s="88" t="n">
        <v>70000</v>
      </c>
      <c r="D1353" s="88" t="n"/>
      <c r="E1353" s="219" t="n"/>
      <c r="F1353" s="219" t="n"/>
      <c r="G1353" s="219" t="n"/>
      <c r="H1353" s="219" t="n"/>
      <c r="I1353" s="219" t="n"/>
      <c r="J1353" s="219" t="n"/>
      <c r="K1353" s="219" t="n"/>
      <c r="L1353" s="183" t="n"/>
      <c r="M1353" s="219" t="n"/>
      <c r="N1353" s="219" t="n"/>
      <c r="O1353" s="117">
        <f>C1353*P1353</f>
        <v/>
      </c>
      <c r="P1353" s="22" t="n">
        <v>1.045</v>
      </c>
      <c r="R1353" s="117" t="n"/>
      <c r="T1353" s="117" t="n"/>
    </row>
    <row r="1354">
      <c r="A1354" s="134" t="inlineStr">
        <is>
          <t>17440XXX</t>
        </is>
      </c>
      <c r="B1354" s="246" t="inlineStr">
        <is>
          <t>TAVERNITI   CHOMBA M/C</t>
        </is>
      </c>
      <c r="C1354" s="88" t="n">
        <v>70000</v>
      </c>
      <c r="D1354" s="88" t="n"/>
      <c r="E1354" s="219" t="n"/>
      <c r="F1354" s="219" t="n"/>
      <c r="G1354" s="219" t="n"/>
      <c r="H1354" s="219" t="n"/>
      <c r="I1354" s="219" t="n"/>
      <c r="J1354" s="219" t="n"/>
      <c r="K1354" s="219" t="n"/>
      <c r="L1354" s="183" t="n"/>
      <c r="M1354" s="219" t="n"/>
      <c r="N1354" s="219" t="n"/>
      <c r="O1354" s="117">
        <f>C1354*P1354</f>
        <v/>
      </c>
      <c r="P1354" s="22" t="n">
        <v>1.045</v>
      </c>
      <c r="R1354" s="117" t="n"/>
      <c r="T1354" s="117" t="n"/>
    </row>
    <row r="1355">
      <c r="A1355" s="134" t="inlineStr">
        <is>
          <t>17442XXX</t>
        </is>
      </c>
      <c r="B1355" s="246" t="inlineStr">
        <is>
          <t>TAVERNITI   CHOMBA M/C</t>
        </is>
      </c>
      <c r="C1355" s="88" t="n">
        <v>75800</v>
      </c>
      <c r="D1355" s="88" t="n"/>
      <c r="E1355" s="219" t="n"/>
      <c r="F1355" s="219" t="n"/>
      <c r="G1355" s="219" t="n"/>
      <c r="H1355" s="219" t="n"/>
      <c r="I1355" s="219" t="n"/>
      <c r="J1355" s="219" t="n"/>
      <c r="K1355" s="219" t="n"/>
      <c r="L1355" s="183" t="n"/>
      <c r="M1355" s="219" t="n"/>
      <c r="N1355" s="219" t="n"/>
      <c r="O1355" s="117">
        <f>C1355*P1355</f>
        <v/>
      </c>
      <c r="P1355" s="22" t="n">
        <v>1.045</v>
      </c>
      <c r="R1355" s="117" t="n"/>
      <c r="T1355" s="117" t="n"/>
    </row>
    <row r="1356">
      <c r="A1356" s="134" t="inlineStr">
        <is>
          <t>17444XXX</t>
        </is>
      </c>
      <c r="B1356" s="246" t="inlineStr">
        <is>
          <t>TAVERNITI   CHOMBA M/C</t>
        </is>
      </c>
      <c r="C1356" s="88" t="n">
        <v>70000</v>
      </c>
      <c r="D1356" s="88" t="n"/>
      <c r="E1356" s="219" t="n"/>
      <c r="F1356" s="219" t="n"/>
      <c r="G1356" s="219" t="n"/>
      <c r="H1356" s="219" t="n"/>
      <c r="I1356" s="219" t="n"/>
      <c r="J1356" s="219" t="n"/>
      <c r="K1356" s="219" t="n"/>
      <c r="L1356" s="183" t="n"/>
      <c r="M1356" s="219" t="n"/>
      <c r="N1356" s="219" t="n"/>
      <c r="O1356" s="117">
        <f>C1356*P1356</f>
        <v/>
      </c>
      <c r="P1356" s="22" t="n">
        <v>1.045</v>
      </c>
      <c r="R1356" s="117" t="n"/>
      <c r="T1356" s="117" t="n"/>
    </row>
    <row r="1357">
      <c r="A1357" s="134" t="inlineStr">
        <is>
          <t>17446XXX</t>
        </is>
      </c>
      <c r="B1357" s="246" t="inlineStr">
        <is>
          <t>TAVERNITI   CHOMBA M/C</t>
        </is>
      </c>
      <c r="C1357" s="88" t="n">
        <v>70000</v>
      </c>
      <c r="D1357" s="88" t="n"/>
      <c r="E1357" s="219" t="n"/>
      <c r="F1357" s="219" t="n"/>
      <c r="G1357" s="219" t="n"/>
      <c r="H1357" s="219" t="n"/>
      <c r="I1357" s="219" t="n"/>
      <c r="J1357" s="219" t="n"/>
      <c r="K1357" s="219" t="n"/>
      <c r="L1357" s="183" t="n"/>
      <c r="M1357" s="219" t="n"/>
      <c r="N1357" s="219" t="n"/>
      <c r="O1357" s="117">
        <f>C1357*P1357</f>
        <v/>
      </c>
      <c r="P1357" s="22" t="n">
        <v>1.045</v>
      </c>
      <c r="R1357" s="117" t="n"/>
      <c r="T1357" s="117" t="n"/>
    </row>
    <row r="1358">
      <c r="A1358" s="134" t="inlineStr">
        <is>
          <t>17450XXX</t>
        </is>
      </c>
      <c r="B1358" s="246" t="inlineStr">
        <is>
          <t>TAVERNITI   CHOMBA M/C</t>
        </is>
      </c>
      <c r="C1358" s="88" t="n">
        <v>70000</v>
      </c>
      <c r="D1358" s="88" t="n"/>
      <c r="E1358" s="219" t="n"/>
      <c r="F1358" s="219" t="n"/>
      <c r="G1358" s="219" t="n"/>
      <c r="H1358" s="219" t="n"/>
      <c r="I1358" s="219" t="n"/>
      <c r="J1358" s="219" t="n"/>
      <c r="K1358" s="219" t="n"/>
      <c r="L1358" s="183" t="n"/>
      <c r="M1358" s="219" t="n"/>
      <c r="N1358" s="219" t="n"/>
      <c r="O1358" s="117">
        <f>C1358*P1358</f>
        <v/>
      </c>
      <c r="P1358" s="22" t="n">
        <v>1.045</v>
      </c>
      <c r="R1358" s="117" t="n"/>
      <c r="T1358" s="117" t="n"/>
    </row>
    <row r="1359">
      <c r="A1359" s="134" t="inlineStr">
        <is>
          <t>17452XXX</t>
        </is>
      </c>
      <c r="B1359" s="246" t="inlineStr">
        <is>
          <t>TAVERNITI   CHOMBA M/C</t>
        </is>
      </c>
      <c r="C1359" s="88" t="n">
        <v>70000</v>
      </c>
      <c r="D1359" s="88" t="n"/>
      <c r="E1359" s="219" t="n"/>
      <c r="F1359" s="219" t="n"/>
      <c r="G1359" s="219" t="n"/>
      <c r="H1359" s="219" t="n"/>
      <c r="I1359" s="219" t="n"/>
      <c r="J1359" s="219" t="n"/>
      <c r="K1359" s="219" t="n"/>
      <c r="L1359" s="183" t="n"/>
      <c r="M1359" s="219" t="n"/>
      <c r="N1359" s="219" t="n"/>
      <c r="O1359" s="117">
        <f>C1359*P1359</f>
        <v/>
      </c>
      <c r="P1359" s="22" t="n">
        <v>1.045</v>
      </c>
      <c r="R1359" s="117" t="n"/>
      <c r="T1359" s="117" t="n"/>
    </row>
    <row r="1360">
      <c r="A1360" s="134" t="inlineStr">
        <is>
          <t>17454XXX</t>
        </is>
      </c>
      <c r="B1360" s="246" t="inlineStr">
        <is>
          <t>TAVERNITI   CHOMBA M/C</t>
        </is>
      </c>
      <c r="C1360" s="88" t="n">
        <v>70000</v>
      </c>
      <c r="D1360" s="88" t="n"/>
      <c r="E1360" s="219" t="n"/>
      <c r="F1360" s="219" t="n"/>
      <c r="G1360" s="219" t="n"/>
      <c r="H1360" s="219" t="n"/>
      <c r="I1360" s="219" t="n"/>
      <c r="J1360" s="219" t="n"/>
      <c r="K1360" s="219" t="n"/>
      <c r="L1360" s="183" t="n"/>
      <c r="M1360" s="219" t="n"/>
      <c r="N1360" s="219" t="n"/>
      <c r="O1360" s="117">
        <f>C1360*P1360</f>
        <v/>
      </c>
      <c r="P1360" s="22" t="n">
        <v>1.045</v>
      </c>
      <c r="R1360" s="117" t="n"/>
      <c r="T1360" s="117" t="n"/>
    </row>
    <row r="1361">
      <c r="A1361" s="134" t="inlineStr">
        <is>
          <t>17456XXX</t>
        </is>
      </c>
      <c r="B1361" s="246" t="inlineStr">
        <is>
          <t>TAVERNITI   CHOMBA M/C</t>
        </is>
      </c>
      <c r="C1361" s="88" t="n">
        <v>70000</v>
      </c>
      <c r="D1361" s="88" t="n"/>
      <c r="E1361" s="219" t="n"/>
      <c r="F1361" s="219" t="n"/>
      <c r="G1361" s="219" t="n"/>
      <c r="H1361" s="219" t="n"/>
      <c r="I1361" s="219" t="n"/>
      <c r="J1361" s="219" t="n"/>
      <c r="K1361" s="219" t="n"/>
      <c r="L1361" s="183" t="n"/>
      <c r="M1361" s="219" t="n"/>
      <c r="N1361" s="219" t="n"/>
      <c r="O1361" s="117">
        <f>C1361*P1361</f>
        <v/>
      </c>
      <c r="P1361" s="22" t="n">
        <v>1.045</v>
      </c>
      <c r="R1361" s="117" t="n"/>
      <c r="T1361" s="117" t="n"/>
    </row>
    <row r="1362">
      <c r="A1362" s="134" t="inlineStr">
        <is>
          <t>17458XXX</t>
        </is>
      </c>
      <c r="B1362" s="246" t="inlineStr">
        <is>
          <t>TAVERNITI   CHOMBA M/C</t>
        </is>
      </c>
      <c r="C1362" s="88" t="n">
        <v>70000</v>
      </c>
      <c r="D1362" s="88" t="n"/>
      <c r="E1362" s="219" t="n"/>
      <c r="F1362" s="219" t="n"/>
      <c r="G1362" s="219" t="n"/>
      <c r="H1362" s="219" t="n"/>
      <c r="I1362" s="219" t="n"/>
      <c r="J1362" s="219" t="n"/>
      <c r="K1362" s="219" t="n"/>
      <c r="L1362" s="183" t="n"/>
      <c r="M1362" s="219" t="n"/>
      <c r="N1362" s="219" t="n"/>
      <c r="O1362" s="117">
        <f>C1362*P1362</f>
        <v/>
      </c>
      <c r="P1362" s="22" t="n">
        <v>1.045</v>
      </c>
      <c r="R1362" s="117" t="n"/>
      <c r="T1362" s="117" t="n"/>
    </row>
    <row r="1363">
      <c r="A1363" s="134" t="inlineStr">
        <is>
          <t>17460XXX</t>
        </is>
      </c>
      <c r="B1363" s="246" t="inlineStr">
        <is>
          <t>TAVERNITI   CHOMBA M/C</t>
        </is>
      </c>
      <c r="C1363" s="88" t="n">
        <v>70000</v>
      </c>
      <c r="D1363" s="88" t="n"/>
      <c r="E1363" s="219" t="n"/>
      <c r="F1363" s="219" t="n"/>
      <c r="G1363" s="219" t="n"/>
      <c r="H1363" s="219" t="n"/>
      <c r="I1363" s="219" t="n"/>
      <c r="J1363" s="219" t="n"/>
      <c r="K1363" s="219" t="n"/>
      <c r="L1363" s="183" t="n"/>
      <c r="M1363" s="219" t="n"/>
      <c r="N1363" s="219" t="n"/>
      <c r="O1363" s="117">
        <f>C1363*P1363</f>
        <v/>
      </c>
      <c r="P1363" s="22" t="n">
        <v>1.045</v>
      </c>
      <c r="R1363" s="117" t="n"/>
      <c r="T1363" s="117" t="n"/>
    </row>
    <row r="1364">
      <c r="A1364" s="134" t="inlineStr">
        <is>
          <t>17462XXX</t>
        </is>
      </c>
      <c r="B1364" s="246" t="inlineStr">
        <is>
          <t>TAVERNITI   CHOMBA M/C</t>
        </is>
      </c>
      <c r="C1364" s="88" t="n">
        <v>70000</v>
      </c>
      <c r="D1364" s="88" t="n"/>
      <c r="E1364" s="219" t="n"/>
      <c r="F1364" s="219" t="n"/>
      <c r="G1364" s="219" t="n"/>
      <c r="H1364" s="219" t="n"/>
      <c r="I1364" s="219" t="n"/>
      <c r="J1364" s="219" t="n"/>
      <c r="K1364" s="219" t="n"/>
      <c r="L1364" s="183" t="n"/>
      <c r="M1364" s="219" t="n"/>
      <c r="N1364" s="219" t="n"/>
      <c r="O1364" s="117">
        <f>C1364*P1364</f>
        <v/>
      </c>
      <c r="P1364" s="22" t="n">
        <v>1.045</v>
      </c>
      <c r="R1364" s="117" t="n"/>
      <c r="T1364" s="117" t="n"/>
    </row>
    <row r="1365">
      <c r="A1365" s="134" t="inlineStr">
        <is>
          <t>17500XXX</t>
        </is>
      </c>
      <c r="B1365" s="246" t="inlineStr">
        <is>
          <t>TAVERNITI   CHOMBA M/C</t>
        </is>
      </c>
      <c r="C1365" s="88" t="n">
        <v>70000</v>
      </c>
      <c r="D1365" s="88" t="n"/>
      <c r="E1365" s="219" t="n"/>
      <c r="F1365" s="219" t="n"/>
      <c r="G1365" s="219" t="n"/>
      <c r="H1365" s="219" t="n"/>
      <c r="I1365" s="219" t="n"/>
      <c r="J1365" s="219" t="n"/>
      <c r="K1365" s="219" t="n"/>
      <c r="L1365" s="183" t="n"/>
      <c r="M1365" s="219" t="n"/>
      <c r="N1365" s="219" t="n"/>
      <c r="O1365" s="117">
        <f>C1365*P1365</f>
        <v/>
      </c>
      <c r="P1365" s="22" t="n">
        <v>1.045</v>
      </c>
      <c r="R1365" s="117" t="n"/>
      <c r="T1365" s="117" t="n"/>
    </row>
    <row r="1366">
      <c r="A1366" s="89" t="inlineStr">
        <is>
          <t>17626XXX</t>
        </is>
      </c>
      <c r="B1366" s="135" t="inlineStr">
        <is>
          <t>TAVERNITI   CHOMBA M/C</t>
        </is>
      </c>
      <c r="C1366" s="88" t="n">
        <v>57100</v>
      </c>
      <c r="D1366" s="88" t="n"/>
      <c r="E1366" s="170" t="n"/>
      <c r="F1366" s="170" t="n"/>
      <c r="G1366" s="170" t="n"/>
      <c r="H1366" s="170" t="n"/>
      <c r="I1366" s="170" t="n"/>
      <c r="J1366" s="170" t="n"/>
      <c r="K1366" s="170" t="n"/>
      <c r="L1366" s="170" t="n"/>
      <c r="M1366" s="170" t="n"/>
      <c r="N1366" s="170" t="n"/>
      <c r="O1366" s="150">
        <f>C1366*P1366</f>
        <v/>
      </c>
      <c r="P1366" s="22" t="n">
        <v>1.045</v>
      </c>
      <c r="Q1366" s="30" t="n"/>
      <c r="R1366" s="170" t="n"/>
      <c r="S1366" s="30" t="n"/>
      <c r="T1366" s="170" t="n"/>
      <c r="U1366" s="30" t="n"/>
      <c r="V1366" s="30" t="n"/>
      <c r="W1366" s="30" t="n"/>
      <c r="X1366" s="30" t="n"/>
      <c r="Y1366" s="30" t="n"/>
      <c r="Z1366" s="30" t="n"/>
      <c r="AA1366" s="30" t="n"/>
      <c r="AB1366" s="30" t="n"/>
      <c r="AC1366" s="30" t="n"/>
      <c r="AD1366" s="30" t="n"/>
      <c r="AE1366" s="30" t="n"/>
      <c r="AF1366" s="30" t="n"/>
      <c r="AG1366" s="30" t="n"/>
      <c r="AH1366" s="30" t="n"/>
      <c r="AI1366" s="30" t="n"/>
      <c r="AJ1366" s="30" t="n"/>
      <c r="AK1366" s="30" t="n"/>
      <c r="AL1366" s="30" t="n"/>
      <c r="AM1366" s="30" t="n"/>
      <c r="AN1366" s="30" t="n"/>
      <c r="AO1366" s="30" t="n"/>
    </row>
    <row r="1367">
      <c r="A1367" s="89" t="inlineStr">
        <is>
          <t>17628XXX</t>
        </is>
      </c>
      <c r="B1367" s="135" t="inlineStr">
        <is>
          <t>TAVERNITI   CHOMBA M/C</t>
        </is>
      </c>
      <c r="C1367" s="88" t="n">
        <v>68700</v>
      </c>
      <c r="D1367" s="88" t="n"/>
      <c r="E1367" s="170" t="n"/>
      <c r="F1367" s="170" t="n"/>
      <c r="G1367" s="170" t="n"/>
      <c r="H1367" s="170" t="n"/>
      <c r="I1367" s="170" t="n"/>
      <c r="J1367" s="170" t="n"/>
      <c r="K1367" s="170" t="n"/>
      <c r="L1367" s="170" t="n"/>
      <c r="M1367" s="170" t="n"/>
      <c r="N1367" s="170" t="n"/>
      <c r="O1367" s="150">
        <f>C1367*P1367</f>
        <v/>
      </c>
      <c r="P1367" s="22" t="n">
        <v>1.045</v>
      </c>
      <c r="Q1367" s="30" t="n"/>
      <c r="R1367" s="170" t="n"/>
      <c r="S1367" s="30" t="n"/>
      <c r="T1367" s="170" t="n"/>
      <c r="U1367" s="30" t="n"/>
      <c r="V1367" s="30" t="n"/>
      <c r="W1367" s="30" t="n"/>
      <c r="X1367" s="30" t="n"/>
      <c r="Y1367" s="30" t="n"/>
      <c r="Z1367" s="30" t="n"/>
      <c r="AA1367" s="30" t="n"/>
      <c r="AB1367" s="30" t="n"/>
      <c r="AC1367" s="30" t="n"/>
      <c r="AD1367" s="30" t="n"/>
      <c r="AE1367" s="30" t="n"/>
      <c r="AF1367" s="30" t="n"/>
      <c r="AG1367" s="30" t="n"/>
      <c r="AH1367" s="30" t="n"/>
      <c r="AI1367" s="30" t="n"/>
      <c r="AJ1367" s="30" t="n"/>
      <c r="AK1367" s="30" t="n"/>
      <c r="AL1367" s="30" t="n"/>
      <c r="AM1367" s="30" t="n"/>
      <c r="AN1367" s="30" t="n"/>
      <c r="AO1367" s="30" t="n"/>
    </row>
    <row r="1368">
      <c r="A1368" s="134" t="inlineStr">
        <is>
          <t>17720XXX</t>
        </is>
      </c>
      <c r="B1368" s="246" t="inlineStr">
        <is>
          <t>TAVERNITI   CHOMBA M/C</t>
        </is>
      </c>
      <c r="C1368" s="88" t="n">
        <v>68700</v>
      </c>
      <c r="D1368" s="88" t="n"/>
      <c r="E1368" s="219" t="n"/>
      <c r="F1368" s="219" t="n"/>
      <c r="G1368" s="219" t="n"/>
      <c r="H1368" s="219" t="n"/>
      <c r="I1368" s="219" t="n"/>
      <c r="J1368" s="219" t="n"/>
      <c r="K1368" s="219" t="n"/>
      <c r="L1368" s="183" t="n"/>
      <c r="M1368" s="219" t="n"/>
      <c r="N1368" s="219" t="n"/>
      <c r="O1368" s="117">
        <f>C1368*P1368</f>
        <v/>
      </c>
      <c r="P1368" s="22" t="n">
        <v>1.045</v>
      </c>
      <c r="R1368" s="117" t="n"/>
      <c r="T1368" s="117" t="n"/>
    </row>
    <row r="1369">
      <c r="A1369" s="134" t="inlineStr">
        <is>
          <t>17758XXX</t>
        </is>
      </c>
      <c r="B1369" s="246" t="inlineStr">
        <is>
          <t>TAVERNITI   CHOMBA M/C</t>
        </is>
      </c>
      <c r="C1369" s="88" t="n">
        <v>72800</v>
      </c>
      <c r="D1369" s="88" t="n"/>
      <c r="E1369" s="219" t="n"/>
      <c r="F1369" s="219" t="n"/>
      <c r="G1369" s="219" t="n"/>
      <c r="H1369" s="219" t="n"/>
      <c r="I1369" s="219" t="n"/>
      <c r="J1369" s="219" t="n"/>
      <c r="K1369" s="219" t="n"/>
      <c r="L1369" s="183" t="n"/>
      <c r="M1369" s="219" t="n"/>
      <c r="N1369" s="219" t="n"/>
      <c r="O1369" s="117">
        <f>C1369*P1369</f>
        <v/>
      </c>
      <c r="P1369" s="22" t="n">
        <v>1.045</v>
      </c>
      <c r="R1369" s="117" t="n"/>
      <c r="T1369" s="117" t="n"/>
    </row>
    <row r="1370">
      <c r="A1370" s="134" t="inlineStr">
        <is>
          <t>17762XXX</t>
        </is>
      </c>
      <c r="B1370" s="246" t="inlineStr">
        <is>
          <t>TAVERNITI   CHOMBA M/C</t>
        </is>
      </c>
      <c r="C1370" s="88" t="n">
        <v>68700</v>
      </c>
      <c r="D1370" s="88" t="n"/>
      <c r="E1370" s="219" t="n"/>
      <c r="F1370" s="219" t="n"/>
      <c r="G1370" s="219" t="n"/>
      <c r="H1370" s="219" t="n"/>
      <c r="I1370" s="219" t="n"/>
      <c r="J1370" s="219" t="n"/>
      <c r="K1370" s="219" t="n"/>
      <c r="L1370" s="183" t="n"/>
      <c r="M1370" s="219" t="n"/>
      <c r="N1370" s="219" t="n"/>
      <c r="O1370" s="117">
        <f>C1370*P1370</f>
        <v/>
      </c>
      <c r="P1370" s="22" t="n">
        <v>1.045</v>
      </c>
      <c r="R1370" s="117" t="n"/>
      <c r="T1370" s="117" t="n"/>
    </row>
    <row r="1371">
      <c r="A1371" s="134" t="inlineStr">
        <is>
          <t>17778XXX</t>
        </is>
      </c>
      <c r="B1371" s="246" t="inlineStr">
        <is>
          <t>TAVERNITI   CHOMBA M/C</t>
        </is>
      </c>
      <c r="C1371" s="88" t="n">
        <v>68700</v>
      </c>
      <c r="D1371" s="88" t="n"/>
      <c r="E1371" s="219" t="n"/>
      <c r="F1371" s="219" t="n"/>
      <c r="G1371" s="219" t="n"/>
      <c r="H1371" s="219" t="n"/>
      <c r="I1371" s="219" t="n"/>
      <c r="J1371" s="219" t="n"/>
      <c r="K1371" s="219" t="n"/>
      <c r="L1371" s="183" t="n"/>
      <c r="M1371" s="219" t="n"/>
      <c r="N1371" s="219" t="n"/>
      <c r="O1371" s="117">
        <f>C1371*P1371</f>
        <v/>
      </c>
      <c r="P1371" s="22" t="n">
        <v>1.045</v>
      </c>
      <c r="R1371" s="117" t="n"/>
      <c r="T1371" s="117" t="n"/>
    </row>
    <row r="1372">
      <c r="A1372" s="134" t="inlineStr">
        <is>
          <t>17788XXX</t>
        </is>
      </c>
      <c r="B1372" s="246" t="inlineStr">
        <is>
          <t>TAVERNITI   CHOMBA M/C</t>
        </is>
      </c>
      <c r="C1372" s="88" t="n">
        <v>70500</v>
      </c>
      <c r="D1372" s="88" t="n"/>
      <c r="E1372" s="219" t="n"/>
      <c r="F1372" s="219" t="n"/>
      <c r="G1372" s="219" t="n"/>
      <c r="H1372" s="219" t="n"/>
      <c r="I1372" s="219" t="n"/>
      <c r="J1372" s="219" t="n"/>
      <c r="K1372" s="219" t="n"/>
      <c r="L1372" s="183" t="n"/>
      <c r="M1372" s="219" t="n"/>
      <c r="N1372" s="219" t="n"/>
      <c r="O1372" s="117">
        <f>C1372*P1372</f>
        <v/>
      </c>
      <c r="P1372" s="22" t="n">
        <v>1.045</v>
      </c>
      <c r="R1372" s="117" t="n"/>
      <c r="T1372" s="117" t="n"/>
    </row>
    <row r="1373">
      <c r="A1373" s="89" t="inlineStr">
        <is>
          <t>17828XXX</t>
        </is>
      </c>
      <c r="B1373" s="135" t="inlineStr">
        <is>
          <t>TAVERNITI   CHOMBA M/C</t>
        </is>
      </c>
      <c r="C1373" s="88" t="n">
        <v>68700</v>
      </c>
      <c r="D1373" s="88" t="n"/>
      <c r="E1373" s="170" t="n"/>
      <c r="F1373" s="170" t="n"/>
      <c r="G1373" s="170" t="n"/>
      <c r="H1373" s="170" t="n"/>
      <c r="I1373" s="170" t="n"/>
      <c r="J1373" s="170" t="n"/>
      <c r="K1373" s="170" t="n"/>
      <c r="L1373" s="170" t="n"/>
      <c r="M1373" s="170" t="n"/>
      <c r="N1373" s="170" t="n"/>
      <c r="O1373" s="150">
        <f>C1373*P1373</f>
        <v/>
      </c>
      <c r="P1373" s="22" t="n">
        <v>1.045</v>
      </c>
      <c r="Q1373" s="30" t="n"/>
      <c r="R1373" s="170" t="n"/>
      <c r="S1373" s="30" t="n"/>
      <c r="T1373" s="170" t="n"/>
      <c r="U1373" s="30" t="n"/>
      <c r="V1373" s="30" t="n"/>
      <c r="W1373" s="30" t="n"/>
      <c r="X1373" s="30" t="n"/>
      <c r="Y1373" s="30" t="n"/>
      <c r="Z1373" s="30" t="n"/>
      <c r="AA1373" s="30" t="n"/>
      <c r="AB1373" s="30" t="n"/>
      <c r="AC1373" s="30" t="n"/>
      <c r="AD1373" s="30" t="n"/>
      <c r="AE1373" s="30" t="n"/>
      <c r="AF1373" s="30" t="n"/>
      <c r="AG1373" s="30" t="n"/>
      <c r="AH1373" s="30" t="n"/>
      <c r="AI1373" s="30" t="n"/>
      <c r="AJ1373" s="30" t="n"/>
      <c r="AK1373" s="30" t="n"/>
      <c r="AL1373" s="30" t="n"/>
      <c r="AM1373" s="30" t="n"/>
      <c r="AN1373" s="30" t="n"/>
      <c r="AO1373" s="30" t="n"/>
    </row>
    <row r="1374">
      <c r="A1374" s="134" t="inlineStr">
        <is>
          <t>17854XXX</t>
        </is>
      </c>
      <c r="B1374" s="246" t="inlineStr">
        <is>
          <t>TAVERNITI   CHOMBA M/C</t>
        </is>
      </c>
      <c r="C1374" s="88" t="n">
        <v>68700</v>
      </c>
      <c r="D1374" s="88" t="n"/>
      <c r="E1374" s="219" t="n"/>
      <c r="F1374" s="219" t="n"/>
      <c r="G1374" s="219" t="n"/>
      <c r="H1374" s="219" t="n"/>
      <c r="I1374" s="219" t="n"/>
      <c r="J1374" s="219" t="n"/>
      <c r="K1374" s="219" t="n"/>
      <c r="L1374" s="183" t="n"/>
      <c r="M1374" s="219" t="n"/>
      <c r="N1374" s="219" t="n"/>
      <c r="O1374" s="117">
        <f>C1374*P1374</f>
        <v/>
      </c>
      <c r="P1374" s="22" t="n">
        <v>1.045</v>
      </c>
      <c r="R1374" s="117" t="n"/>
      <c r="T1374" s="117" t="n"/>
    </row>
    <row r="1375">
      <c r="A1375" s="134" t="inlineStr">
        <is>
          <t>17858XXX</t>
        </is>
      </c>
      <c r="B1375" s="246" t="inlineStr">
        <is>
          <t>TAVERNITI   CHOMBA M/C</t>
        </is>
      </c>
      <c r="C1375" s="88" t="n">
        <v>68700</v>
      </c>
      <c r="D1375" s="88" t="n"/>
      <c r="E1375" s="219" t="n"/>
      <c r="F1375" s="219" t="n"/>
      <c r="G1375" s="219" t="n"/>
      <c r="H1375" s="219" t="n"/>
      <c r="I1375" s="219" t="n"/>
      <c r="J1375" s="219" t="n"/>
      <c r="K1375" s="219" t="n"/>
      <c r="L1375" s="183" t="n"/>
      <c r="M1375" s="219" t="n"/>
      <c r="N1375" s="219" t="n"/>
      <c r="O1375" s="117">
        <f>C1375*P1375</f>
        <v/>
      </c>
      <c r="P1375" s="22" t="n">
        <v>1.045</v>
      </c>
      <c r="R1375" s="117" t="n"/>
      <c r="T1375" s="117" t="n"/>
    </row>
    <row r="1376">
      <c r="A1376" s="134" t="inlineStr">
        <is>
          <t>17866XXX</t>
        </is>
      </c>
      <c r="B1376" s="246" t="inlineStr">
        <is>
          <t>TAVERNITI   CHOMBA M/C</t>
        </is>
      </c>
      <c r="C1376" s="88" t="n">
        <v>68700</v>
      </c>
      <c r="D1376" s="88" t="n"/>
      <c r="E1376" s="219" t="n"/>
      <c r="F1376" s="219" t="n"/>
      <c r="G1376" s="219" t="n"/>
      <c r="H1376" s="219" t="n"/>
      <c r="I1376" s="219" t="n"/>
      <c r="J1376" s="219" t="n"/>
      <c r="K1376" s="219" t="n"/>
      <c r="L1376" s="183" t="n"/>
      <c r="M1376" s="219" t="n"/>
      <c r="N1376" s="219" t="n"/>
      <c r="O1376" s="117">
        <f>C1376*P1376</f>
        <v/>
      </c>
      <c r="P1376" s="22" t="n">
        <v>1.045</v>
      </c>
      <c r="R1376" s="117" t="n"/>
      <c r="T1376" s="117" t="n"/>
    </row>
    <row r="1377">
      <c r="A1377" s="134" t="inlineStr">
        <is>
          <t>17882XXX</t>
        </is>
      </c>
      <c r="B1377" s="246" t="inlineStr">
        <is>
          <t>TAVERNITI   CHOMBA M/C</t>
        </is>
      </c>
      <c r="C1377" s="88" t="n">
        <v>61700</v>
      </c>
      <c r="D1377" s="88" t="n"/>
      <c r="E1377" s="219" t="n"/>
      <c r="F1377" s="219" t="n"/>
      <c r="G1377" s="219" t="n"/>
      <c r="H1377" s="219" t="n"/>
      <c r="I1377" s="219" t="n"/>
      <c r="J1377" s="219" t="n"/>
      <c r="K1377" s="219" t="n"/>
      <c r="L1377" s="183" t="n"/>
      <c r="M1377" s="219" t="n"/>
      <c r="N1377" s="219" t="n"/>
      <c r="O1377" s="117">
        <f>C1377*P1377</f>
        <v/>
      </c>
      <c r="P1377" s="22" t="n">
        <v>1.045</v>
      </c>
      <c r="R1377" s="117" t="n"/>
      <c r="T1377" s="117" t="n"/>
    </row>
    <row r="1378">
      <c r="A1378" s="134" t="inlineStr">
        <is>
          <t>17954XXX</t>
        </is>
      </c>
      <c r="B1378" s="246" t="inlineStr">
        <is>
          <t>TAVERNITI   CHOMBA M/C</t>
        </is>
      </c>
      <c r="C1378" s="88" t="n">
        <v>68600</v>
      </c>
      <c r="D1378" s="88" t="n"/>
      <c r="E1378" s="219" t="n"/>
      <c r="F1378" s="219" t="n"/>
      <c r="G1378" s="219" t="n"/>
      <c r="H1378" s="219" t="n"/>
      <c r="I1378" s="219" t="n"/>
      <c r="J1378" s="219" t="n"/>
      <c r="K1378" s="219" t="n"/>
      <c r="L1378" s="183" t="n"/>
      <c r="M1378" s="219" t="n"/>
      <c r="N1378" s="219" t="n"/>
      <c r="O1378" s="117">
        <f>C1378*P1378</f>
        <v/>
      </c>
      <c r="P1378" s="22" t="n">
        <v>1.045</v>
      </c>
      <c r="R1378" s="117" t="n"/>
      <c r="T1378" s="117" t="n"/>
    </row>
    <row r="1379">
      <c r="A1379" s="134" t="inlineStr">
        <is>
          <t>17970XXX</t>
        </is>
      </c>
      <c r="B1379" s="246" t="inlineStr">
        <is>
          <t>TAVERNITI   CHOMBA M/C</t>
        </is>
      </c>
      <c r="C1379" s="88" t="n">
        <v>68600</v>
      </c>
      <c r="D1379" s="88" t="n"/>
      <c r="E1379" s="219" t="n"/>
      <c r="F1379" s="219" t="n"/>
      <c r="G1379" s="219" t="n"/>
      <c r="H1379" s="219" t="n"/>
      <c r="I1379" s="219" t="n"/>
      <c r="J1379" s="219" t="n"/>
      <c r="K1379" s="219" t="n"/>
      <c r="L1379" s="183" t="n"/>
      <c r="M1379" s="219" t="n"/>
      <c r="N1379" s="219" t="n"/>
      <c r="O1379" s="117">
        <f>C1379*P1379</f>
        <v/>
      </c>
      <c r="P1379" s="22" t="n">
        <v>1.045</v>
      </c>
      <c r="R1379" s="117" t="n"/>
      <c r="T1379" s="117" t="n"/>
    </row>
    <row r="1380">
      <c r="A1380" s="89" t="inlineStr">
        <is>
          <t>18204XXX</t>
        </is>
      </c>
      <c r="B1380" s="135" t="inlineStr">
        <is>
          <t>TAVERNITI   CHOMBA M/C</t>
        </is>
      </c>
      <c r="C1380" s="88" t="n">
        <v>68600</v>
      </c>
      <c r="D1380" s="88" t="n"/>
      <c r="E1380" s="170" t="n"/>
      <c r="F1380" s="170" t="n"/>
      <c r="G1380" s="170" t="n"/>
      <c r="H1380" s="170" t="n"/>
      <c r="I1380" s="170" t="n"/>
      <c r="J1380" s="170" t="n"/>
      <c r="K1380" s="170" t="n"/>
      <c r="L1380" s="170" t="n"/>
      <c r="M1380" s="170" t="n"/>
      <c r="N1380" s="170" t="n"/>
      <c r="O1380" s="150">
        <f>C1380*P1380</f>
        <v/>
      </c>
      <c r="P1380" s="22" t="n">
        <v>1.045</v>
      </c>
      <c r="Q1380" s="30" t="n"/>
      <c r="R1380" s="170" t="n"/>
      <c r="S1380" s="30" t="n"/>
      <c r="T1380" s="170" t="n"/>
      <c r="U1380" s="30" t="n"/>
      <c r="V1380" s="30" t="n"/>
      <c r="W1380" s="30" t="n"/>
      <c r="X1380" s="30" t="n"/>
      <c r="Y1380" s="30" t="n"/>
      <c r="Z1380" s="30" t="n"/>
      <c r="AA1380" s="30" t="n"/>
      <c r="AB1380" s="30" t="n"/>
      <c r="AC1380" s="30" t="n"/>
      <c r="AD1380" s="30" t="n"/>
      <c r="AE1380" s="30" t="n"/>
      <c r="AF1380" s="30" t="n"/>
      <c r="AG1380" s="30" t="n"/>
      <c r="AH1380" s="30" t="n"/>
      <c r="AI1380" s="30" t="n"/>
      <c r="AJ1380" s="30" t="n"/>
      <c r="AK1380" s="30" t="n"/>
      <c r="AL1380" s="30" t="n"/>
      <c r="AM1380" s="30" t="n"/>
      <c r="AN1380" s="30" t="n"/>
      <c r="AO1380" s="30" t="n"/>
    </row>
    <row r="1381">
      <c r="A1381" s="89" t="inlineStr">
        <is>
          <t>18200XXX</t>
        </is>
      </c>
      <c r="B1381" s="135" t="inlineStr">
        <is>
          <t>TAVERNITI   CHOMBA M/C</t>
        </is>
      </c>
      <c r="C1381" s="88" t="n">
        <v>68600</v>
      </c>
      <c r="D1381" s="88" t="n"/>
      <c r="E1381" s="170" t="n"/>
      <c r="F1381" s="170" t="n"/>
      <c r="G1381" s="170" t="n"/>
      <c r="H1381" s="170" t="n"/>
      <c r="I1381" s="170" t="n"/>
      <c r="J1381" s="170" t="n"/>
      <c r="K1381" s="170" t="n"/>
      <c r="L1381" s="170" t="n"/>
      <c r="M1381" s="170" t="n"/>
      <c r="N1381" s="170" t="n"/>
      <c r="O1381" s="150">
        <f>C1381*P1381</f>
        <v/>
      </c>
      <c r="P1381" s="22" t="n">
        <v>1.045</v>
      </c>
      <c r="Q1381" s="30" t="n"/>
      <c r="R1381" s="170" t="n"/>
      <c r="S1381" s="30" t="n"/>
      <c r="T1381" s="170" t="n"/>
      <c r="U1381" s="30" t="n"/>
      <c r="V1381" s="30" t="n"/>
      <c r="W1381" s="30" t="n"/>
      <c r="X1381" s="30" t="n"/>
      <c r="Y1381" s="30" t="n"/>
      <c r="Z1381" s="30" t="n"/>
      <c r="AA1381" s="30" t="n"/>
      <c r="AB1381" s="30" t="n"/>
      <c r="AC1381" s="30" t="n"/>
      <c r="AD1381" s="30" t="n"/>
      <c r="AE1381" s="30" t="n"/>
      <c r="AF1381" s="30" t="n"/>
      <c r="AG1381" s="30" t="n"/>
      <c r="AH1381" s="30" t="n"/>
      <c r="AI1381" s="30" t="n"/>
      <c r="AJ1381" s="30" t="n"/>
      <c r="AK1381" s="30" t="n"/>
      <c r="AL1381" s="30" t="n"/>
      <c r="AM1381" s="30" t="n"/>
      <c r="AN1381" s="30" t="n"/>
      <c r="AO1381" s="30" t="n"/>
    </row>
    <row r="1382">
      <c r="A1382" s="89" t="inlineStr">
        <is>
          <t>18202XXX</t>
        </is>
      </c>
      <c r="B1382" s="135" t="inlineStr">
        <is>
          <t>TAVERNITI   CHOMBA M/C</t>
        </is>
      </c>
      <c r="C1382" s="88" t="n">
        <v>68600</v>
      </c>
      <c r="D1382" s="88" t="n"/>
      <c r="E1382" s="170" t="n"/>
      <c r="F1382" s="170" t="n"/>
      <c r="G1382" s="170" t="n"/>
      <c r="H1382" s="170" t="n"/>
      <c r="I1382" s="170" t="n"/>
      <c r="J1382" s="170" t="n"/>
      <c r="K1382" s="170" t="n"/>
      <c r="L1382" s="170" t="n"/>
      <c r="M1382" s="170" t="n"/>
      <c r="N1382" s="170" t="n"/>
      <c r="O1382" s="150">
        <f>C1382*P1382</f>
        <v/>
      </c>
      <c r="P1382" s="22" t="n">
        <v>1.045</v>
      </c>
      <c r="Q1382" s="30" t="n"/>
      <c r="R1382" s="170" t="n"/>
      <c r="S1382" s="30" t="n"/>
      <c r="T1382" s="170" t="n"/>
      <c r="U1382" s="30" t="n"/>
      <c r="V1382" s="30" t="n"/>
      <c r="W1382" s="30" t="n"/>
      <c r="X1382" s="30" t="n"/>
      <c r="Y1382" s="30" t="n"/>
      <c r="Z1382" s="30" t="n"/>
      <c r="AA1382" s="30" t="n"/>
      <c r="AB1382" s="30" t="n"/>
      <c r="AC1382" s="30" t="n"/>
      <c r="AD1382" s="30" t="n"/>
      <c r="AE1382" s="30" t="n"/>
      <c r="AF1382" s="30" t="n"/>
      <c r="AG1382" s="30" t="n"/>
      <c r="AH1382" s="30" t="n"/>
      <c r="AI1382" s="30" t="n"/>
      <c r="AJ1382" s="30" t="n"/>
      <c r="AK1382" s="30" t="n"/>
      <c r="AL1382" s="30" t="n"/>
      <c r="AM1382" s="30" t="n"/>
      <c r="AN1382" s="30" t="n"/>
      <c r="AO1382" s="30" t="n"/>
    </row>
    <row r="1383">
      <c r="A1383" s="89" t="inlineStr">
        <is>
          <t>18208XXX</t>
        </is>
      </c>
      <c r="B1383" s="135" t="inlineStr">
        <is>
          <t>TAVERNITI   CHOMBA M/C</t>
        </is>
      </c>
      <c r="C1383" s="88" t="n">
        <v>68600</v>
      </c>
      <c r="D1383" s="88" t="n"/>
      <c r="E1383" s="170" t="n"/>
      <c r="F1383" s="170" t="n"/>
      <c r="G1383" s="170" t="n"/>
      <c r="H1383" s="170" t="n"/>
      <c r="I1383" s="170" t="n"/>
      <c r="J1383" s="170" t="n"/>
      <c r="K1383" s="170" t="n"/>
      <c r="L1383" s="170" t="n"/>
      <c r="M1383" s="170" t="n"/>
      <c r="N1383" s="170" t="n"/>
      <c r="O1383" s="150">
        <f>C1383*P1383</f>
        <v/>
      </c>
      <c r="P1383" s="22" t="n">
        <v>1.045</v>
      </c>
      <c r="Q1383" s="30" t="n"/>
      <c r="R1383" s="170" t="n"/>
      <c r="S1383" s="30" t="n"/>
      <c r="T1383" s="170" t="n"/>
      <c r="U1383" s="30" t="n"/>
      <c r="V1383" s="30" t="n"/>
      <c r="W1383" s="30" t="n"/>
      <c r="X1383" s="30" t="n"/>
      <c r="Y1383" s="30" t="n"/>
      <c r="Z1383" s="30" t="n"/>
      <c r="AA1383" s="30" t="n"/>
      <c r="AB1383" s="30" t="n"/>
      <c r="AC1383" s="30" t="n"/>
      <c r="AD1383" s="30" t="n"/>
      <c r="AE1383" s="30" t="n"/>
      <c r="AF1383" s="30" t="n"/>
      <c r="AG1383" s="30" t="n"/>
      <c r="AH1383" s="30" t="n"/>
      <c r="AI1383" s="30" t="n"/>
      <c r="AJ1383" s="30" t="n"/>
      <c r="AK1383" s="30" t="n"/>
      <c r="AL1383" s="30" t="n"/>
      <c r="AM1383" s="30" t="n"/>
      <c r="AN1383" s="30" t="n"/>
      <c r="AO1383" s="30" t="n"/>
    </row>
    <row r="1384">
      <c r="A1384" s="89" t="inlineStr">
        <is>
          <t>18210XXX</t>
        </is>
      </c>
      <c r="B1384" s="135" t="inlineStr">
        <is>
          <t>TAVERNITI   CHOMBA M/C</t>
        </is>
      </c>
      <c r="C1384" s="88" t="n">
        <v>68600</v>
      </c>
      <c r="D1384" s="88" t="n"/>
      <c r="E1384" s="170" t="n"/>
      <c r="F1384" s="170" t="n"/>
      <c r="G1384" s="170" t="n"/>
      <c r="H1384" s="170" t="n"/>
      <c r="I1384" s="170" t="n"/>
      <c r="J1384" s="170" t="n"/>
      <c r="K1384" s="170" t="n"/>
      <c r="L1384" s="170" t="n"/>
      <c r="M1384" s="170" t="n"/>
      <c r="N1384" s="170" t="n"/>
      <c r="O1384" s="150">
        <f>C1384*P1384</f>
        <v/>
      </c>
      <c r="P1384" s="22" t="n">
        <v>1.045</v>
      </c>
      <c r="Q1384" s="30" t="n"/>
      <c r="R1384" s="170" t="n"/>
      <c r="S1384" s="30" t="n"/>
      <c r="T1384" s="170" t="n"/>
      <c r="U1384" s="30" t="n"/>
      <c r="V1384" s="30" t="n"/>
      <c r="W1384" s="30" t="n"/>
      <c r="X1384" s="30" t="n"/>
      <c r="Y1384" s="30" t="n"/>
      <c r="Z1384" s="30" t="n"/>
      <c r="AA1384" s="30" t="n"/>
      <c r="AB1384" s="30" t="n"/>
      <c r="AC1384" s="30" t="n"/>
      <c r="AD1384" s="30" t="n"/>
      <c r="AE1384" s="30" t="n"/>
      <c r="AF1384" s="30" t="n"/>
      <c r="AG1384" s="30" t="n"/>
      <c r="AH1384" s="30" t="n"/>
      <c r="AI1384" s="30" t="n"/>
      <c r="AJ1384" s="30" t="n"/>
      <c r="AK1384" s="30" t="n"/>
      <c r="AL1384" s="30" t="n"/>
      <c r="AM1384" s="30" t="n"/>
      <c r="AN1384" s="30" t="n"/>
      <c r="AO1384" s="30" t="n"/>
    </row>
    <row r="1385">
      <c r="A1385" s="89" t="inlineStr">
        <is>
          <t>18212XXX</t>
        </is>
      </c>
      <c r="B1385" s="135" t="inlineStr">
        <is>
          <t>TAVERNITI   CHOMBA M/C</t>
        </is>
      </c>
      <c r="C1385" s="88" t="n">
        <v>68600</v>
      </c>
      <c r="D1385" s="88" t="n"/>
      <c r="E1385" s="170" t="n"/>
      <c r="F1385" s="170" t="n"/>
      <c r="G1385" s="170" t="n"/>
      <c r="H1385" s="170" t="n"/>
      <c r="I1385" s="170" t="n"/>
      <c r="J1385" s="170" t="n"/>
      <c r="K1385" s="170" t="n"/>
      <c r="L1385" s="170" t="n"/>
      <c r="M1385" s="170" t="n"/>
      <c r="N1385" s="170" t="n"/>
      <c r="O1385" s="150">
        <f>C1385*P1385</f>
        <v/>
      </c>
      <c r="P1385" s="22" t="n">
        <v>1.045</v>
      </c>
      <c r="Q1385" s="30" t="n"/>
      <c r="R1385" s="170" t="n"/>
      <c r="S1385" s="30" t="n"/>
      <c r="T1385" s="170" t="n"/>
      <c r="U1385" s="30" t="n"/>
      <c r="V1385" s="30" t="n"/>
      <c r="W1385" s="30" t="n"/>
      <c r="X1385" s="30" t="n"/>
      <c r="Y1385" s="30" t="n"/>
      <c r="Z1385" s="30" t="n"/>
      <c r="AA1385" s="30" t="n"/>
      <c r="AB1385" s="30" t="n"/>
      <c r="AC1385" s="30" t="n"/>
      <c r="AD1385" s="30" t="n"/>
      <c r="AE1385" s="30" t="n"/>
      <c r="AF1385" s="30" t="n"/>
      <c r="AG1385" s="30" t="n"/>
      <c r="AH1385" s="30" t="n"/>
      <c r="AI1385" s="30" t="n"/>
      <c r="AJ1385" s="30" t="n"/>
      <c r="AK1385" s="30" t="n"/>
      <c r="AL1385" s="30" t="n"/>
      <c r="AM1385" s="30" t="n"/>
      <c r="AN1385" s="30" t="n"/>
      <c r="AO1385" s="30" t="n"/>
    </row>
    <row r="1386">
      <c r="A1386" s="134" t="inlineStr">
        <is>
          <t>18214XXX</t>
        </is>
      </c>
      <c r="B1386" s="246" t="inlineStr">
        <is>
          <t>TAVERNITI   CHOMBA M/C</t>
        </is>
      </c>
      <c r="C1386" s="88" t="n">
        <v>68600</v>
      </c>
      <c r="D1386" s="88" t="n"/>
      <c r="E1386" s="219" t="n"/>
      <c r="F1386" s="219" t="n"/>
      <c r="G1386" s="219" t="n"/>
      <c r="H1386" s="219" t="n"/>
      <c r="I1386" s="219" t="n"/>
      <c r="J1386" s="219" t="n"/>
      <c r="K1386" s="219" t="n"/>
      <c r="L1386" s="183" t="n"/>
      <c r="M1386" s="219" t="n"/>
      <c r="N1386" s="219" t="n"/>
      <c r="O1386" s="117">
        <f>C1386*P1386</f>
        <v/>
      </c>
      <c r="P1386" s="22" t="n">
        <v>1.045</v>
      </c>
      <c r="R1386" s="117" t="n"/>
      <c r="T1386" s="117" t="n"/>
    </row>
    <row r="1387">
      <c r="A1387" s="134" t="inlineStr">
        <is>
          <t>18216XXX</t>
        </is>
      </c>
      <c r="B1387" s="246" t="inlineStr">
        <is>
          <t>TAVERNITI   CHOMBA M/C</t>
        </is>
      </c>
      <c r="C1387" s="88" t="n">
        <v>68600</v>
      </c>
      <c r="D1387" s="88" t="n"/>
      <c r="E1387" s="219" t="n"/>
      <c r="F1387" s="219" t="n"/>
      <c r="G1387" s="219" t="n"/>
      <c r="H1387" s="219" t="n"/>
      <c r="I1387" s="219" t="n"/>
      <c r="J1387" s="219" t="n"/>
      <c r="K1387" s="219" t="n"/>
      <c r="L1387" s="183" t="n"/>
      <c r="M1387" s="219" t="n"/>
      <c r="N1387" s="219" t="n"/>
      <c r="O1387" s="117">
        <f>C1387*P1387</f>
        <v/>
      </c>
      <c r="P1387" s="22" t="n">
        <v>1.045</v>
      </c>
      <c r="R1387" s="117" t="n"/>
      <c r="T1387" s="117" t="n"/>
    </row>
    <row r="1388">
      <c r="A1388" s="134" t="inlineStr">
        <is>
          <t>18218XXX</t>
        </is>
      </c>
      <c r="B1388" s="246" t="inlineStr">
        <is>
          <t>TAVERNITI   CHOMBA M/C</t>
        </is>
      </c>
      <c r="C1388" s="88" t="n">
        <v>68600</v>
      </c>
      <c r="D1388" s="88" t="n"/>
      <c r="E1388" s="219" t="n"/>
      <c r="F1388" s="219" t="n"/>
      <c r="G1388" s="219" t="n"/>
      <c r="H1388" s="219" t="n"/>
      <c r="I1388" s="219" t="n"/>
      <c r="J1388" s="219" t="n"/>
      <c r="K1388" s="219" t="n"/>
      <c r="L1388" s="183" t="n"/>
      <c r="M1388" s="219" t="n"/>
      <c r="N1388" s="219" t="n"/>
      <c r="O1388" s="117">
        <f>C1388*P1388</f>
        <v/>
      </c>
      <c r="P1388" s="22" t="n">
        <v>1.045</v>
      </c>
      <c r="R1388" s="117" t="n"/>
      <c r="T1388" s="117" t="n"/>
    </row>
    <row r="1389">
      <c r="A1389" s="89" t="inlineStr">
        <is>
          <t>18512XXX</t>
        </is>
      </c>
      <c r="B1389" s="135" t="inlineStr">
        <is>
          <t>TAVERNITI   CHOMBA M/C</t>
        </is>
      </c>
      <c r="C1389" s="88" t="n">
        <v>68600</v>
      </c>
      <c r="D1389" s="88" t="n"/>
      <c r="E1389" s="170" t="n"/>
      <c r="F1389" s="170" t="n"/>
      <c r="G1389" s="170" t="n"/>
      <c r="H1389" s="170" t="n"/>
      <c r="I1389" s="170" t="n"/>
      <c r="J1389" s="170" t="n"/>
      <c r="K1389" s="170" t="n"/>
      <c r="L1389" s="170" t="n"/>
      <c r="M1389" s="170" t="n"/>
      <c r="N1389" s="170" t="n"/>
      <c r="O1389" s="150">
        <f>C1389*P1389</f>
        <v/>
      </c>
      <c r="P1389" s="22" t="n">
        <v>1.045</v>
      </c>
      <c r="Q1389" s="30" t="n"/>
      <c r="R1389" s="170" t="n"/>
      <c r="S1389" s="30" t="n"/>
      <c r="T1389" s="170" t="n"/>
      <c r="U1389" s="30" t="n"/>
      <c r="V1389" s="30" t="n"/>
      <c r="W1389" s="30" t="n"/>
      <c r="X1389" s="30" t="n"/>
      <c r="Y1389" s="30" t="n"/>
      <c r="Z1389" s="30" t="n"/>
      <c r="AA1389" s="30" t="n"/>
      <c r="AB1389" s="30" t="n"/>
      <c r="AC1389" s="30" t="n"/>
      <c r="AD1389" s="30" t="n"/>
      <c r="AE1389" s="30" t="n"/>
      <c r="AF1389" s="30" t="n"/>
      <c r="AG1389" s="30" t="n"/>
      <c r="AH1389" s="30" t="n"/>
      <c r="AI1389" s="30" t="n"/>
      <c r="AJ1389" s="30" t="n"/>
      <c r="AK1389" s="30" t="n"/>
      <c r="AL1389" s="30" t="n"/>
      <c r="AM1389" s="30" t="n"/>
      <c r="AN1389" s="30" t="n"/>
      <c r="AO1389" s="30" t="n"/>
    </row>
    <row r="1390">
      <c r="A1390" s="89" t="inlineStr">
        <is>
          <t>18530XXX</t>
        </is>
      </c>
      <c r="B1390" s="135" t="inlineStr">
        <is>
          <t>TAVERNITI   CHOMBA M/C</t>
        </is>
      </c>
      <c r="C1390" s="88" t="n">
        <v>59700</v>
      </c>
      <c r="D1390" s="88" t="n"/>
      <c r="E1390" s="170" t="n"/>
      <c r="F1390" s="170" t="n"/>
      <c r="G1390" s="170" t="n"/>
      <c r="H1390" s="170" t="n"/>
      <c r="I1390" s="170" t="n"/>
      <c r="J1390" s="170" t="n"/>
      <c r="K1390" s="170" t="n"/>
      <c r="L1390" s="170" t="n"/>
      <c r="M1390" s="170" t="n"/>
      <c r="N1390" s="170" t="n"/>
      <c r="O1390" s="150">
        <f>C1390*P1390</f>
        <v/>
      </c>
      <c r="P1390" s="22" t="n">
        <v>1.045</v>
      </c>
      <c r="Q1390" s="30" t="n"/>
      <c r="R1390" s="170" t="n"/>
      <c r="S1390" s="30" t="n"/>
      <c r="T1390" s="170" t="n"/>
      <c r="U1390" s="30" t="n"/>
      <c r="V1390" s="30" t="n"/>
      <c r="W1390" s="30" t="n"/>
      <c r="X1390" s="30" t="n"/>
      <c r="Y1390" s="30" t="n"/>
      <c r="Z1390" s="30" t="n"/>
      <c r="AA1390" s="30" t="n"/>
      <c r="AB1390" s="30" t="n"/>
      <c r="AC1390" s="30" t="n"/>
      <c r="AD1390" s="30" t="n"/>
      <c r="AE1390" s="30" t="n"/>
      <c r="AF1390" s="30" t="n"/>
      <c r="AG1390" s="30" t="n"/>
      <c r="AH1390" s="30" t="n"/>
      <c r="AI1390" s="30" t="n"/>
      <c r="AJ1390" s="30" t="n"/>
      <c r="AK1390" s="30" t="n"/>
      <c r="AL1390" s="30" t="n"/>
      <c r="AM1390" s="30" t="n"/>
      <c r="AN1390" s="30" t="n"/>
      <c r="AO1390" s="30" t="n"/>
    </row>
    <row r="1391">
      <c r="A1391" s="89" t="inlineStr">
        <is>
          <t>18532XXX</t>
        </is>
      </c>
      <c r="B1391" s="135" t="inlineStr">
        <is>
          <t>TAVERNITI   CHOMBA M/C</t>
        </is>
      </c>
      <c r="C1391" s="88" t="n">
        <v>68600</v>
      </c>
      <c r="D1391" s="88" t="n"/>
      <c r="E1391" s="170" t="n"/>
      <c r="F1391" s="170" t="n"/>
      <c r="G1391" s="170" t="n"/>
      <c r="H1391" s="170" t="n"/>
      <c r="I1391" s="170" t="n"/>
      <c r="J1391" s="170" t="n"/>
      <c r="K1391" s="170" t="n"/>
      <c r="L1391" s="170" t="n"/>
      <c r="M1391" s="170" t="n"/>
      <c r="N1391" s="170" t="n"/>
      <c r="O1391" s="150">
        <f>C1391*P1391</f>
        <v/>
      </c>
      <c r="P1391" s="22" t="n">
        <v>1.045</v>
      </c>
      <c r="Q1391" s="30" t="n"/>
      <c r="R1391" s="170" t="n"/>
      <c r="S1391" s="30" t="n"/>
      <c r="T1391" s="170" t="n"/>
      <c r="U1391" s="30" t="n"/>
      <c r="V1391" s="30" t="n"/>
      <c r="W1391" s="30" t="n"/>
      <c r="X1391" s="30" t="n"/>
      <c r="Y1391" s="30" t="n"/>
      <c r="Z1391" s="30" t="n"/>
      <c r="AA1391" s="30" t="n"/>
      <c r="AB1391" s="30" t="n"/>
      <c r="AC1391" s="30" t="n"/>
      <c r="AD1391" s="30" t="n"/>
      <c r="AE1391" s="30" t="n"/>
      <c r="AF1391" s="30" t="n"/>
      <c r="AG1391" s="30" t="n"/>
      <c r="AH1391" s="30" t="n"/>
      <c r="AI1391" s="30" t="n"/>
      <c r="AJ1391" s="30" t="n"/>
      <c r="AK1391" s="30" t="n"/>
      <c r="AL1391" s="30" t="n"/>
      <c r="AM1391" s="30" t="n"/>
      <c r="AN1391" s="30" t="n"/>
      <c r="AO1391" s="30" t="n"/>
    </row>
    <row r="1392">
      <c r="A1392" s="134" t="inlineStr">
        <is>
          <t>18534XXX</t>
        </is>
      </c>
      <c r="B1392" s="246" t="inlineStr">
        <is>
          <t>TAVERNITI   CHOMBA M/C</t>
        </is>
      </c>
      <c r="C1392" s="88" t="n">
        <v>68600</v>
      </c>
      <c r="D1392" s="88" t="n"/>
      <c r="E1392" s="219" t="n"/>
      <c r="F1392" s="219" t="n"/>
      <c r="G1392" s="219" t="n"/>
      <c r="H1392" s="219" t="n"/>
      <c r="I1392" s="219" t="n"/>
      <c r="J1392" s="219" t="n"/>
      <c r="K1392" s="219" t="n"/>
      <c r="L1392" s="183" t="n"/>
      <c r="M1392" s="219" t="n"/>
      <c r="N1392" s="219" t="n"/>
      <c r="O1392" s="117">
        <f>C1392*P1392</f>
        <v/>
      </c>
      <c r="P1392" s="22" t="n">
        <v>1.045</v>
      </c>
      <c r="R1392" s="117" t="n"/>
      <c r="T1392" s="117" t="n"/>
    </row>
    <row r="1393">
      <c r="A1393" s="89" t="inlineStr">
        <is>
          <t>18536XXX</t>
        </is>
      </c>
      <c r="B1393" s="135" t="inlineStr">
        <is>
          <t>TAVERNITI   CHOMBA M/C</t>
        </is>
      </c>
      <c r="C1393" s="88" t="n">
        <v>68600</v>
      </c>
      <c r="D1393" s="88" t="n"/>
      <c r="E1393" s="170" t="n"/>
      <c r="F1393" s="170" t="n"/>
      <c r="G1393" s="170" t="n"/>
      <c r="H1393" s="170" t="n"/>
      <c r="I1393" s="170" t="n"/>
      <c r="J1393" s="170" t="n"/>
      <c r="K1393" s="170" t="n"/>
      <c r="L1393" s="170" t="n"/>
      <c r="M1393" s="170" t="n"/>
      <c r="N1393" s="170" t="n"/>
      <c r="O1393" s="150">
        <f>C1393*P1393</f>
        <v/>
      </c>
      <c r="P1393" s="22" t="n">
        <v>1.045</v>
      </c>
      <c r="Q1393" s="30" t="n"/>
      <c r="R1393" s="170" t="n"/>
      <c r="S1393" s="30" t="n"/>
      <c r="T1393" s="170" t="n"/>
      <c r="U1393" s="30" t="n"/>
      <c r="V1393" s="30" t="n"/>
      <c r="W1393" s="30" t="n"/>
      <c r="X1393" s="30" t="n"/>
      <c r="Y1393" s="30" t="n"/>
      <c r="Z1393" s="30" t="n"/>
      <c r="AA1393" s="30" t="n"/>
      <c r="AB1393" s="30" t="n"/>
      <c r="AC1393" s="30" t="n"/>
      <c r="AD1393" s="30" t="n"/>
      <c r="AE1393" s="30" t="n"/>
      <c r="AF1393" s="30" t="n"/>
      <c r="AG1393" s="30" t="n"/>
      <c r="AH1393" s="30" t="n"/>
      <c r="AI1393" s="30" t="n"/>
      <c r="AJ1393" s="30" t="n"/>
      <c r="AK1393" s="30" t="n"/>
      <c r="AL1393" s="30" t="n"/>
      <c r="AM1393" s="30" t="n"/>
      <c r="AN1393" s="30" t="n"/>
      <c r="AO1393" s="30" t="n"/>
    </row>
    <row r="1394">
      <c r="A1394" s="89" t="inlineStr">
        <is>
          <t>18538XXX</t>
        </is>
      </c>
      <c r="B1394" s="135" t="inlineStr">
        <is>
          <t>TAVERNITI   CHOMBA M/C</t>
        </is>
      </c>
      <c r="C1394" s="88" t="n">
        <v>68600</v>
      </c>
      <c r="D1394" s="88" t="n"/>
      <c r="E1394" s="170" t="n"/>
      <c r="F1394" s="170" t="n"/>
      <c r="G1394" s="170" t="n"/>
      <c r="H1394" s="170" t="n"/>
      <c r="I1394" s="170" t="n"/>
      <c r="J1394" s="170" t="n"/>
      <c r="K1394" s="170" t="n"/>
      <c r="L1394" s="170" t="n"/>
      <c r="M1394" s="170" t="n"/>
      <c r="N1394" s="170" t="n"/>
      <c r="O1394" s="150">
        <f>C1394*P1394</f>
        <v/>
      </c>
      <c r="P1394" s="22" t="n">
        <v>1.045</v>
      </c>
      <c r="Q1394" s="30" t="n"/>
      <c r="R1394" s="170" t="n"/>
      <c r="S1394" s="30" t="n"/>
      <c r="T1394" s="170" t="n"/>
      <c r="U1394" s="30" t="n"/>
      <c r="V1394" s="30" t="n"/>
      <c r="W1394" s="30" t="n"/>
      <c r="X1394" s="30" t="n"/>
      <c r="Y1394" s="30" t="n"/>
      <c r="Z1394" s="30" t="n"/>
      <c r="AA1394" s="30" t="n"/>
      <c r="AB1394" s="30" t="n"/>
      <c r="AC1394" s="30" t="n"/>
      <c r="AD1394" s="30" t="n"/>
      <c r="AE1394" s="30" t="n"/>
      <c r="AF1394" s="30" t="n"/>
      <c r="AG1394" s="30" t="n"/>
      <c r="AH1394" s="30" t="n"/>
      <c r="AI1394" s="30" t="n"/>
      <c r="AJ1394" s="30" t="n"/>
      <c r="AK1394" s="30" t="n"/>
      <c r="AL1394" s="30" t="n"/>
      <c r="AM1394" s="30" t="n"/>
      <c r="AN1394" s="30" t="n"/>
      <c r="AO1394" s="30" t="n"/>
    </row>
    <row r="1395">
      <c r="A1395" s="89" t="inlineStr">
        <is>
          <t>18580XXX</t>
        </is>
      </c>
      <c r="B1395" s="135" t="inlineStr">
        <is>
          <t>TAVERNITI   CHOMBA M/C</t>
        </is>
      </c>
      <c r="C1395" s="88" t="n">
        <v>63000</v>
      </c>
      <c r="D1395" s="170" t="n"/>
      <c r="E1395" s="170" t="n"/>
      <c r="F1395" s="170" t="n"/>
      <c r="G1395" s="170" t="n"/>
      <c r="H1395" s="170" t="n"/>
      <c r="I1395" s="170" t="n"/>
      <c r="J1395" s="170" t="n"/>
      <c r="K1395" s="170" t="n"/>
      <c r="L1395" s="170" t="n"/>
      <c r="M1395" s="170" t="n"/>
      <c r="N1395" s="170" t="n"/>
      <c r="O1395" s="150">
        <f>C1395*P1395</f>
        <v/>
      </c>
      <c r="P1395" s="22" t="n">
        <v>1.045</v>
      </c>
      <c r="Q1395" s="30" t="n"/>
      <c r="R1395" s="170" t="n"/>
      <c r="S1395" s="30" t="n"/>
      <c r="T1395" s="170" t="n"/>
      <c r="U1395" s="30" t="n"/>
      <c r="V1395" s="30" t="n"/>
      <c r="W1395" s="30" t="n"/>
      <c r="X1395" s="30" t="n"/>
      <c r="Y1395" s="30" t="n"/>
      <c r="Z1395" s="30" t="n"/>
      <c r="AA1395" s="30" t="n"/>
      <c r="AB1395" s="30" t="n"/>
      <c r="AC1395" s="30" t="n"/>
      <c r="AD1395" s="30" t="n"/>
      <c r="AE1395" s="30" t="n"/>
      <c r="AF1395" s="30" t="n"/>
      <c r="AG1395" s="30" t="n"/>
      <c r="AH1395" s="30" t="n"/>
      <c r="AI1395" s="30" t="n"/>
      <c r="AJ1395" s="30" t="n"/>
      <c r="AK1395" s="30" t="n"/>
      <c r="AL1395" s="30" t="n"/>
      <c r="AM1395" s="30" t="n"/>
      <c r="AN1395" s="30" t="n"/>
      <c r="AO1395" s="30" t="n"/>
    </row>
    <row r="1396">
      <c r="A1396" s="89" t="inlineStr">
        <is>
          <t>18582XXX</t>
        </is>
      </c>
      <c r="B1396" s="135" t="inlineStr">
        <is>
          <t>TAVERNITI   CHOMBA M/C</t>
        </is>
      </c>
      <c r="C1396" s="88" t="n">
        <v>63000</v>
      </c>
      <c r="D1396" s="170" t="n"/>
      <c r="E1396" s="170" t="n"/>
      <c r="F1396" s="170" t="n"/>
      <c r="G1396" s="170" t="n"/>
      <c r="H1396" s="170" t="n"/>
      <c r="I1396" s="170" t="n"/>
      <c r="J1396" s="170" t="n"/>
      <c r="K1396" s="170" t="n"/>
      <c r="L1396" s="170" t="n"/>
      <c r="M1396" s="170" t="n"/>
      <c r="N1396" s="170" t="n"/>
      <c r="O1396" s="150">
        <f>C1396*P1396</f>
        <v/>
      </c>
      <c r="P1396" s="22" t="n">
        <v>1.045</v>
      </c>
      <c r="Q1396" s="30" t="n"/>
      <c r="R1396" s="170" t="n"/>
      <c r="S1396" s="30" t="n"/>
      <c r="T1396" s="170" t="n"/>
      <c r="U1396" s="30" t="n"/>
      <c r="V1396" s="30" t="n"/>
      <c r="W1396" s="30" t="n"/>
      <c r="X1396" s="30" t="n"/>
      <c r="Y1396" s="30" t="n"/>
      <c r="Z1396" s="30" t="n"/>
      <c r="AA1396" s="30" t="n"/>
      <c r="AB1396" s="30" t="n"/>
      <c r="AC1396" s="30" t="n"/>
      <c r="AD1396" s="30" t="n"/>
      <c r="AE1396" s="30" t="n"/>
      <c r="AF1396" s="30" t="n"/>
      <c r="AG1396" s="30" t="n"/>
      <c r="AH1396" s="30" t="n"/>
      <c r="AI1396" s="30" t="n"/>
      <c r="AJ1396" s="30" t="n"/>
      <c r="AK1396" s="30" t="n"/>
      <c r="AL1396" s="30" t="n"/>
      <c r="AM1396" s="30" t="n"/>
      <c r="AN1396" s="30" t="n"/>
      <c r="AO1396" s="30" t="n"/>
    </row>
    <row r="1397">
      <c r="A1397" s="89" t="inlineStr">
        <is>
          <t>18584XXX</t>
        </is>
      </c>
      <c r="B1397" s="135" t="inlineStr">
        <is>
          <t>TAVERNITI   CHOMBA M/C</t>
        </is>
      </c>
      <c r="C1397" s="88" t="n">
        <v>63000</v>
      </c>
      <c r="D1397" s="88" t="n"/>
      <c r="E1397" s="170" t="n"/>
      <c r="F1397" s="170" t="n"/>
      <c r="G1397" s="170" t="n"/>
      <c r="H1397" s="170" t="n"/>
      <c r="I1397" s="170" t="n"/>
      <c r="J1397" s="170" t="n"/>
      <c r="K1397" s="170" t="n"/>
      <c r="L1397" s="170" t="n"/>
      <c r="M1397" s="170" t="n"/>
      <c r="N1397" s="170" t="n"/>
      <c r="O1397" s="150">
        <f>C1397*P1397</f>
        <v/>
      </c>
      <c r="P1397" s="22" t="n">
        <v>1.045</v>
      </c>
      <c r="Q1397" s="30" t="n"/>
      <c r="R1397" s="170" t="n"/>
      <c r="S1397" s="30" t="n"/>
      <c r="T1397" s="170" t="n"/>
      <c r="U1397" s="30" t="n"/>
      <c r="V1397" s="30" t="n"/>
      <c r="W1397" s="30" t="n"/>
      <c r="X1397" s="30" t="n"/>
      <c r="Y1397" s="30" t="n"/>
      <c r="Z1397" s="30" t="n"/>
      <c r="AA1397" s="30" t="n"/>
      <c r="AB1397" s="30" t="n"/>
      <c r="AC1397" s="30" t="n"/>
      <c r="AD1397" s="30" t="n"/>
      <c r="AE1397" s="30" t="n"/>
      <c r="AF1397" s="30" t="n"/>
      <c r="AG1397" s="30" t="n"/>
      <c r="AH1397" s="30" t="n"/>
      <c r="AI1397" s="30" t="n"/>
      <c r="AJ1397" s="30" t="n"/>
      <c r="AK1397" s="30" t="n"/>
      <c r="AL1397" s="30" t="n"/>
      <c r="AM1397" s="30" t="n"/>
      <c r="AN1397" s="30" t="n"/>
      <c r="AO1397" s="30" t="n"/>
    </row>
    <row r="1398">
      <c r="A1398" s="89" t="inlineStr">
        <is>
          <t>18590XXX</t>
        </is>
      </c>
      <c r="B1398" s="135" t="inlineStr">
        <is>
          <t>TAVERNITI   CHOMBA M/C</t>
        </is>
      </c>
      <c r="C1398" s="88" t="n">
        <v>60400</v>
      </c>
      <c r="D1398" s="88" t="n"/>
      <c r="E1398" s="170" t="n"/>
      <c r="F1398" s="170" t="n"/>
      <c r="G1398" s="170" t="n"/>
      <c r="H1398" s="170" t="n"/>
      <c r="I1398" s="170" t="n"/>
      <c r="J1398" s="170" t="n"/>
      <c r="K1398" s="170" t="n"/>
      <c r="L1398" s="170" t="n"/>
      <c r="M1398" s="170" t="n"/>
      <c r="N1398" s="170" t="n"/>
      <c r="O1398" s="150">
        <f>C1398*P1398</f>
        <v/>
      </c>
      <c r="P1398" s="22" t="n">
        <v>1.045</v>
      </c>
      <c r="Q1398" s="30" t="n"/>
      <c r="R1398" s="170" t="n"/>
      <c r="S1398" s="30" t="n"/>
      <c r="T1398" s="170" t="n"/>
      <c r="U1398" s="30" t="n"/>
      <c r="V1398" s="30" t="n"/>
      <c r="W1398" s="30" t="n"/>
      <c r="X1398" s="30" t="n"/>
      <c r="Y1398" s="30" t="n"/>
      <c r="Z1398" s="30" t="n"/>
      <c r="AA1398" s="30" t="n"/>
      <c r="AB1398" s="30" t="n"/>
      <c r="AC1398" s="30" t="n"/>
      <c r="AD1398" s="30" t="n"/>
      <c r="AE1398" s="30" t="n"/>
      <c r="AF1398" s="30" t="n"/>
      <c r="AG1398" s="30" t="n"/>
      <c r="AH1398" s="30" t="n"/>
      <c r="AI1398" s="30" t="n"/>
      <c r="AJ1398" s="30" t="n"/>
      <c r="AK1398" s="30" t="n"/>
      <c r="AL1398" s="30" t="n"/>
      <c r="AM1398" s="30" t="n"/>
      <c r="AN1398" s="30" t="n"/>
      <c r="AO1398" s="30" t="n"/>
    </row>
    <row r="1399">
      <c r="A1399" s="89" t="inlineStr">
        <is>
          <t>18664XXX</t>
        </is>
      </c>
      <c r="B1399" s="135" t="inlineStr">
        <is>
          <t>TAVERNITI   CHOMBA M/C</t>
        </is>
      </c>
      <c r="C1399" s="88" t="n">
        <v>63000</v>
      </c>
      <c r="D1399" s="88" t="n"/>
      <c r="E1399" s="170" t="n"/>
      <c r="F1399" s="170" t="n"/>
      <c r="G1399" s="170" t="n"/>
      <c r="H1399" s="170" t="n"/>
      <c r="I1399" s="170" t="n"/>
      <c r="J1399" s="170" t="n"/>
      <c r="K1399" s="170" t="n"/>
      <c r="L1399" s="170" t="n"/>
      <c r="M1399" s="170" t="n"/>
      <c r="N1399" s="170" t="n"/>
      <c r="O1399" s="150">
        <f>C1399*P1399</f>
        <v/>
      </c>
      <c r="P1399" s="22" t="n">
        <v>1.045</v>
      </c>
      <c r="Q1399" s="30" t="n"/>
      <c r="R1399" s="170" t="n"/>
      <c r="S1399" s="30" t="n"/>
      <c r="T1399" s="170" t="n"/>
      <c r="U1399" s="30" t="n"/>
      <c r="V1399" s="30" t="n"/>
      <c r="W1399" s="30" t="n"/>
      <c r="X1399" s="30" t="n"/>
      <c r="Y1399" s="30" t="n"/>
      <c r="Z1399" s="30" t="n"/>
      <c r="AA1399" s="30" t="n"/>
      <c r="AB1399" s="30" t="n"/>
      <c r="AC1399" s="30" t="n"/>
      <c r="AD1399" s="30" t="n"/>
      <c r="AE1399" s="30" t="n"/>
      <c r="AF1399" s="30" t="n"/>
      <c r="AG1399" s="30" t="n"/>
      <c r="AH1399" s="30" t="n"/>
      <c r="AI1399" s="30" t="n"/>
      <c r="AJ1399" s="30" t="n"/>
      <c r="AK1399" s="30" t="n"/>
      <c r="AL1399" s="30" t="n"/>
      <c r="AM1399" s="30" t="n"/>
      <c r="AN1399" s="30" t="n"/>
      <c r="AO1399" s="30" t="n"/>
    </row>
    <row r="1400">
      <c r="A1400" s="89" t="inlineStr">
        <is>
          <t>18666XXX</t>
        </is>
      </c>
      <c r="B1400" s="135" t="inlineStr">
        <is>
          <t>TAVERNITI   CHOMBA M/C</t>
        </is>
      </c>
      <c r="C1400" s="88" t="n">
        <v>63000</v>
      </c>
      <c r="D1400" s="88" t="n"/>
      <c r="E1400" s="170" t="n"/>
      <c r="F1400" s="170" t="n"/>
      <c r="G1400" s="170" t="n"/>
      <c r="H1400" s="170" t="n"/>
      <c r="I1400" s="170" t="n"/>
      <c r="J1400" s="170" t="n"/>
      <c r="K1400" s="170" t="n"/>
      <c r="L1400" s="170" t="n"/>
      <c r="M1400" s="170" t="n"/>
      <c r="N1400" s="170" t="n"/>
      <c r="O1400" s="150">
        <f>C1400*P1400</f>
        <v/>
      </c>
      <c r="P1400" s="22" t="n">
        <v>1.045</v>
      </c>
      <c r="Q1400" s="30" t="n"/>
      <c r="R1400" s="170" t="n"/>
      <c r="S1400" s="30" t="n"/>
      <c r="T1400" s="170" t="n"/>
      <c r="U1400" s="30" t="n"/>
      <c r="V1400" s="30" t="n"/>
      <c r="W1400" s="30" t="n"/>
      <c r="X1400" s="30" t="n"/>
      <c r="Y1400" s="30" t="n"/>
      <c r="Z1400" s="30" t="n"/>
      <c r="AA1400" s="30" t="n"/>
      <c r="AB1400" s="30" t="n"/>
      <c r="AC1400" s="30" t="n"/>
      <c r="AD1400" s="30" t="n"/>
      <c r="AE1400" s="30" t="n"/>
      <c r="AF1400" s="30" t="n"/>
      <c r="AG1400" s="30" t="n"/>
      <c r="AH1400" s="30" t="n"/>
      <c r="AI1400" s="30" t="n"/>
      <c r="AJ1400" s="30" t="n"/>
      <c r="AK1400" s="30" t="n"/>
      <c r="AL1400" s="30" t="n"/>
      <c r="AM1400" s="30" t="n"/>
      <c r="AN1400" s="30" t="n"/>
      <c r="AO1400" s="30" t="n"/>
    </row>
    <row r="1401">
      <c r="A1401" s="89" t="inlineStr">
        <is>
          <t>18850XXX</t>
        </is>
      </c>
      <c r="B1401" s="135" t="inlineStr">
        <is>
          <t>TAVERNITI   CHOMBA M/C</t>
        </is>
      </c>
      <c r="C1401" s="88" t="n">
        <v>59200</v>
      </c>
      <c r="D1401" s="88" t="n"/>
      <c r="E1401" s="170" t="n"/>
      <c r="F1401" s="170" t="n"/>
      <c r="G1401" s="170" t="n"/>
      <c r="H1401" s="170" t="n"/>
      <c r="I1401" s="170" t="n"/>
      <c r="J1401" s="170" t="n"/>
      <c r="K1401" s="170" t="n"/>
      <c r="L1401" s="170" t="n"/>
      <c r="M1401" s="170" t="n"/>
      <c r="N1401" s="170" t="n"/>
      <c r="O1401" s="150">
        <f>C1401*P1401</f>
        <v/>
      </c>
      <c r="P1401" s="22" t="n">
        <v>1.045</v>
      </c>
      <c r="Q1401" s="30" t="n"/>
      <c r="R1401" s="170" t="n"/>
      <c r="S1401" s="30" t="n"/>
      <c r="T1401" s="170" t="n"/>
      <c r="U1401" s="30" t="n"/>
      <c r="V1401" s="30" t="n"/>
      <c r="W1401" s="30" t="n"/>
      <c r="X1401" s="30" t="n"/>
      <c r="Y1401" s="30" t="n"/>
      <c r="Z1401" s="30" t="n"/>
      <c r="AA1401" s="30" t="n"/>
      <c r="AB1401" s="30" t="n"/>
      <c r="AC1401" s="30" t="n"/>
      <c r="AD1401" s="30" t="n"/>
      <c r="AE1401" s="30" t="n"/>
      <c r="AF1401" s="30" t="n"/>
      <c r="AG1401" s="30" t="n"/>
      <c r="AH1401" s="30" t="n"/>
      <c r="AI1401" s="30" t="n"/>
      <c r="AJ1401" s="30" t="n"/>
      <c r="AK1401" s="30" t="n"/>
      <c r="AL1401" s="30" t="n"/>
      <c r="AM1401" s="30" t="n"/>
      <c r="AN1401" s="30" t="n"/>
      <c r="AO1401" s="30" t="n"/>
    </row>
    <row r="1402">
      <c r="A1402" s="89" t="inlineStr">
        <is>
          <t>18852XXX</t>
        </is>
      </c>
      <c r="B1402" s="135" t="inlineStr">
        <is>
          <t>TAVERNITI   CHOMBA M/C</t>
        </is>
      </c>
      <c r="C1402" s="88" t="n">
        <v>63000</v>
      </c>
      <c r="D1402" s="88" t="n"/>
      <c r="E1402" s="170" t="n"/>
      <c r="F1402" s="170" t="n"/>
      <c r="G1402" s="170" t="n"/>
      <c r="H1402" s="170" t="n"/>
      <c r="I1402" s="170" t="n"/>
      <c r="J1402" s="170" t="n"/>
      <c r="K1402" s="170" t="n"/>
      <c r="L1402" s="170" t="n"/>
      <c r="M1402" s="170" t="n"/>
      <c r="N1402" s="170" t="n"/>
      <c r="O1402" s="150">
        <f>C1402*P1402</f>
        <v/>
      </c>
      <c r="P1402" s="22" t="n">
        <v>1.045</v>
      </c>
      <c r="Q1402" s="30" t="n"/>
      <c r="R1402" s="170" t="n"/>
      <c r="S1402" s="30" t="n"/>
      <c r="T1402" s="170" t="n"/>
      <c r="U1402" s="30" t="n"/>
      <c r="V1402" s="30" t="n"/>
      <c r="W1402" s="30" t="n"/>
      <c r="X1402" s="30" t="n"/>
      <c r="Y1402" s="30" t="n"/>
      <c r="Z1402" s="30" t="n"/>
      <c r="AA1402" s="30" t="n"/>
      <c r="AB1402" s="30" t="n"/>
      <c r="AC1402" s="30" t="n"/>
      <c r="AD1402" s="30" t="n"/>
      <c r="AE1402" s="30" t="n"/>
      <c r="AF1402" s="30" t="n"/>
      <c r="AG1402" s="30" t="n"/>
      <c r="AH1402" s="30" t="n"/>
      <c r="AI1402" s="30" t="n"/>
      <c r="AJ1402" s="30" t="n"/>
      <c r="AK1402" s="30" t="n"/>
      <c r="AL1402" s="30" t="n"/>
      <c r="AM1402" s="30" t="n"/>
      <c r="AN1402" s="30" t="n"/>
      <c r="AO1402" s="30" t="n"/>
    </row>
    <row r="1403">
      <c r="A1403" s="89" t="inlineStr">
        <is>
          <t>18854XXX</t>
        </is>
      </c>
      <c r="B1403" s="135" t="inlineStr">
        <is>
          <t>TAVERNITI   CHOMBA M/C</t>
        </is>
      </c>
      <c r="C1403" s="88" t="n">
        <v>63000</v>
      </c>
      <c r="D1403" s="88" t="n"/>
      <c r="E1403" s="170" t="n"/>
      <c r="F1403" s="170" t="n"/>
      <c r="G1403" s="170" t="n"/>
      <c r="H1403" s="170" t="n"/>
      <c r="I1403" s="170" t="n"/>
      <c r="J1403" s="170" t="n"/>
      <c r="K1403" s="170" t="n"/>
      <c r="L1403" s="170" t="n"/>
      <c r="M1403" s="170" t="n"/>
      <c r="N1403" s="170" t="n"/>
      <c r="O1403" s="150">
        <f>C1403*P1403</f>
        <v/>
      </c>
      <c r="P1403" s="22" t="n">
        <v>1.045</v>
      </c>
      <c r="Q1403" s="30" t="n"/>
      <c r="R1403" s="170" t="n"/>
      <c r="S1403" s="30" t="n"/>
      <c r="T1403" s="170" t="n"/>
      <c r="U1403" s="30" t="n"/>
      <c r="V1403" s="30" t="n"/>
      <c r="W1403" s="30" t="n"/>
      <c r="X1403" s="30" t="n"/>
      <c r="Y1403" s="30" t="n"/>
      <c r="Z1403" s="30" t="n"/>
      <c r="AA1403" s="30" t="n"/>
      <c r="AB1403" s="30" t="n"/>
      <c r="AC1403" s="30" t="n"/>
      <c r="AD1403" s="30" t="n"/>
      <c r="AE1403" s="30" t="n"/>
      <c r="AF1403" s="30" t="n"/>
      <c r="AG1403" s="30" t="n"/>
      <c r="AH1403" s="30" t="n"/>
      <c r="AI1403" s="30" t="n"/>
      <c r="AJ1403" s="30" t="n"/>
      <c r="AK1403" s="30" t="n"/>
      <c r="AL1403" s="30" t="n"/>
      <c r="AM1403" s="30" t="n"/>
      <c r="AN1403" s="30" t="n"/>
      <c r="AO1403" s="30" t="n"/>
    </row>
    <row r="1404">
      <c r="A1404" s="89" t="inlineStr">
        <is>
          <t>18856XXX</t>
        </is>
      </c>
      <c r="B1404" s="135" t="inlineStr">
        <is>
          <t>TAVERNITI   CHOMBA M/C</t>
        </is>
      </c>
      <c r="C1404" s="88" t="n">
        <v>58400</v>
      </c>
      <c r="D1404" s="88" t="n"/>
      <c r="E1404" s="170" t="n"/>
      <c r="F1404" s="170" t="n"/>
      <c r="G1404" s="170" t="n"/>
      <c r="H1404" s="170" t="n"/>
      <c r="I1404" s="170" t="n"/>
      <c r="J1404" s="170" t="n"/>
      <c r="K1404" s="170" t="n"/>
      <c r="L1404" s="170" t="n"/>
      <c r="M1404" s="170" t="n"/>
      <c r="N1404" s="170" t="n"/>
      <c r="O1404" s="150">
        <f>C1404*P1404</f>
        <v/>
      </c>
      <c r="P1404" s="22" t="n">
        <v>1.045</v>
      </c>
      <c r="Q1404" s="30" t="n"/>
      <c r="R1404" s="170" t="n"/>
      <c r="S1404" s="30" t="n"/>
      <c r="T1404" s="170" t="n"/>
      <c r="U1404" s="30" t="n"/>
      <c r="V1404" s="30" t="n"/>
      <c r="W1404" s="30" t="n"/>
      <c r="X1404" s="30" t="n"/>
      <c r="Y1404" s="30" t="n"/>
      <c r="Z1404" s="30" t="n"/>
      <c r="AA1404" s="30" t="n"/>
      <c r="AB1404" s="30" t="n"/>
      <c r="AC1404" s="30" t="n"/>
      <c r="AD1404" s="30" t="n"/>
      <c r="AE1404" s="30" t="n"/>
      <c r="AF1404" s="30" t="n"/>
      <c r="AG1404" s="30" t="n"/>
      <c r="AH1404" s="30" t="n"/>
      <c r="AI1404" s="30" t="n"/>
      <c r="AJ1404" s="30" t="n"/>
      <c r="AK1404" s="30" t="n"/>
      <c r="AL1404" s="30" t="n"/>
      <c r="AM1404" s="30" t="n"/>
      <c r="AN1404" s="30" t="n"/>
      <c r="AO1404" s="30" t="n"/>
    </row>
    <row r="1405">
      <c r="A1405" s="89" t="inlineStr">
        <is>
          <t>18858XXX</t>
        </is>
      </c>
      <c r="B1405" s="135" t="inlineStr">
        <is>
          <t>TAVERNITI   CHOMBA M/C</t>
        </is>
      </c>
      <c r="C1405" s="88" t="n">
        <v>59700</v>
      </c>
      <c r="D1405" s="88" t="n"/>
      <c r="E1405" s="170" t="n"/>
      <c r="F1405" s="170" t="n"/>
      <c r="G1405" s="170" t="n"/>
      <c r="H1405" s="170" t="n"/>
      <c r="I1405" s="170" t="n"/>
      <c r="J1405" s="170" t="n"/>
      <c r="K1405" s="170" t="n"/>
      <c r="L1405" s="170" t="n"/>
      <c r="M1405" s="170" t="n"/>
      <c r="N1405" s="170" t="n"/>
      <c r="O1405" s="150">
        <f>C1405*P1405</f>
        <v/>
      </c>
      <c r="P1405" s="22" t="n">
        <v>1.045</v>
      </c>
      <c r="Q1405" s="30" t="n"/>
      <c r="R1405" s="170" t="n"/>
      <c r="S1405" s="30" t="n"/>
      <c r="T1405" s="170" t="n"/>
      <c r="U1405" s="30" t="n"/>
      <c r="V1405" s="30" t="n"/>
      <c r="W1405" s="30" t="n"/>
      <c r="X1405" s="30" t="n"/>
      <c r="Y1405" s="30" t="n"/>
      <c r="Z1405" s="30" t="n"/>
      <c r="AA1405" s="30" t="n"/>
      <c r="AB1405" s="30" t="n"/>
      <c r="AC1405" s="30" t="n"/>
      <c r="AD1405" s="30" t="n"/>
      <c r="AE1405" s="30" t="n"/>
      <c r="AF1405" s="30" t="n"/>
      <c r="AG1405" s="30" t="n"/>
      <c r="AH1405" s="30" t="n"/>
      <c r="AI1405" s="30" t="n"/>
      <c r="AJ1405" s="30" t="n"/>
      <c r="AK1405" s="30" t="n"/>
      <c r="AL1405" s="30" t="n"/>
      <c r="AM1405" s="30" t="n"/>
      <c r="AN1405" s="30" t="n"/>
      <c r="AO1405" s="30" t="n"/>
    </row>
    <row r="1406">
      <c r="A1406" s="89" t="inlineStr">
        <is>
          <t>18860XXX</t>
        </is>
      </c>
      <c r="B1406" s="135" t="inlineStr">
        <is>
          <t>TAVERNITI   CHOMBA M/C</t>
        </is>
      </c>
      <c r="C1406" s="88" t="n">
        <v>63000</v>
      </c>
      <c r="D1406" s="88" t="n"/>
      <c r="E1406" s="170" t="n"/>
      <c r="F1406" s="170" t="n"/>
      <c r="G1406" s="170" t="n"/>
      <c r="H1406" s="170" t="n"/>
      <c r="I1406" s="170" t="n"/>
      <c r="J1406" s="170" t="n"/>
      <c r="K1406" s="170" t="n"/>
      <c r="L1406" s="170" t="n"/>
      <c r="M1406" s="170" t="n"/>
      <c r="N1406" s="170" t="n"/>
      <c r="O1406" s="150">
        <f>C1406*P1406</f>
        <v/>
      </c>
      <c r="P1406" s="22" t="n">
        <v>1.045</v>
      </c>
      <c r="Q1406" s="30" t="n"/>
      <c r="R1406" s="170" t="n"/>
      <c r="S1406" s="30" t="n"/>
      <c r="T1406" s="170" t="n"/>
      <c r="U1406" s="30" t="n"/>
      <c r="V1406" s="30" t="n"/>
      <c r="W1406" s="30" t="n"/>
      <c r="X1406" s="30" t="n"/>
      <c r="Y1406" s="30" t="n"/>
      <c r="Z1406" s="30" t="n"/>
      <c r="AA1406" s="30" t="n"/>
      <c r="AB1406" s="30" t="n"/>
      <c r="AC1406" s="30" t="n"/>
      <c r="AD1406" s="30" t="n"/>
      <c r="AE1406" s="30" t="n"/>
      <c r="AF1406" s="30" t="n"/>
      <c r="AG1406" s="30" t="n"/>
      <c r="AH1406" s="30" t="n"/>
      <c r="AI1406" s="30" t="n"/>
      <c r="AJ1406" s="30" t="n"/>
      <c r="AK1406" s="30" t="n"/>
      <c r="AL1406" s="30" t="n"/>
      <c r="AM1406" s="30" t="n"/>
      <c r="AN1406" s="30" t="n"/>
      <c r="AO1406" s="30" t="n"/>
    </row>
    <row r="1407">
      <c r="A1407" s="89" t="inlineStr">
        <is>
          <t>18864XXX</t>
        </is>
      </c>
      <c r="B1407" s="135" t="inlineStr">
        <is>
          <t>TAVERNITI   CHOMBA M/C</t>
        </is>
      </c>
      <c r="C1407" s="88" t="n">
        <v>63000</v>
      </c>
      <c r="D1407" s="170" t="n"/>
      <c r="E1407" s="170" t="n"/>
      <c r="F1407" s="170" t="n"/>
      <c r="G1407" s="170" t="n"/>
      <c r="H1407" s="170" t="n"/>
      <c r="I1407" s="170" t="n"/>
      <c r="J1407" s="170" t="n"/>
      <c r="K1407" s="170" t="n"/>
      <c r="L1407" s="170" t="n"/>
      <c r="M1407" s="170" t="n"/>
      <c r="N1407" s="170" t="n"/>
      <c r="O1407" s="150">
        <f>C1407*P1407</f>
        <v/>
      </c>
      <c r="P1407" s="22" t="n">
        <v>1.045</v>
      </c>
      <c r="Q1407" s="30" t="n"/>
      <c r="R1407" s="170" t="n"/>
      <c r="S1407" s="30" t="n"/>
      <c r="T1407" s="170" t="n"/>
      <c r="U1407" s="30" t="n"/>
      <c r="V1407" s="30" t="n"/>
      <c r="W1407" s="30" t="n"/>
      <c r="X1407" s="30" t="n"/>
      <c r="Y1407" s="30" t="n"/>
      <c r="Z1407" s="30" t="n"/>
      <c r="AA1407" s="30" t="n"/>
      <c r="AB1407" s="30" t="n"/>
      <c r="AC1407" s="30" t="n"/>
      <c r="AD1407" s="30" t="n"/>
      <c r="AE1407" s="30" t="n"/>
      <c r="AF1407" s="30" t="n"/>
      <c r="AG1407" s="30" t="n"/>
      <c r="AH1407" s="30" t="n"/>
      <c r="AI1407" s="30" t="n"/>
      <c r="AJ1407" s="30" t="n"/>
      <c r="AK1407" s="30" t="n"/>
      <c r="AL1407" s="30" t="n"/>
      <c r="AM1407" s="30" t="n"/>
      <c r="AN1407" s="30" t="n"/>
      <c r="AO1407" s="30" t="n"/>
    </row>
    <row r="1408">
      <c r="A1408" s="89" t="inlineStr">
        <is>
          <t>18866XXX</t>
        </is>
      </c>
      <c r="B1408" s="135" t="inlineStr">
        <is>
          <t>TAVERNITI   CHOMBA M/C</t>
        </is>
      </c>
      <c r="C1408" s="88" t="n">
        <v>63000</v>
      </c>
      <c r="D1408" s="88" t="n"/>
      <c r="E1408" s="170" t="n"/>
      <c r="F1408" s="170" t="n"/>
      <c r="G1408" s="170" t="n"/>
      <c r="H1408" s="170" t="n"/>
      <c r="I1408" s="170" t="n"/>
      <c r="J1408" s="170" t="n"/>
      <c r="K1408" s="170" t="n"/>
      <c r="L1408" s="170" t="n"/>
      <c r="M1408" s="170" t="n"/>
      <c r="N1408" s="170" t="n"/>
      <c r="O1408" s="150">
        <f>C1408*P1408</f>
        <v/>
      </c>
      <c r="P1408" s="22" t="n">
        <v>1.045</v>
      </c>
      <c r="Q1408" s="30" t="n"/>
      <c r="R1408" s="170" t="n"/>
      <c r="S1408" s="30" t="n"/>
      <c r="T1408" s="170" t="n"/>
      <c r="U1408" s="30" t="n"/>
      <c r="V1408" s="30" t="n"/>
      <c r="W1408" s="30" t="n"/>
      <c r="X1408" s="30" t="n"/>
      <c r="Y1408" s="30" t="n"/>
      <c r="Z1408" s="30" t="n"/>
      <c r="AA1408" s="30" t="n"/>
      <c r="AB1408" s="30" t="n"/>
      <c r="AC1408" s="30" t="n"/>
      <c r="AD1408" s="30" t="n"/>
      <c r="AE1408" s="30" t="n"/>
      <c r="AF1408" s="30" t="n"/>
      <c r="AG1408" s="30" t="n"/>
      <c r="AH1408" s="30" t="n"/>
      <c r="AI1408" s="30" t="n"/>
      <c r="AJ1408" s="30" t="n"/>
      <c r="AK1408" s="30" t="n"/>
      <c r="AL1408" s="30" t="n"/>
      <c r="AM1408" s="30" t="n"/>
      <c r="AN1408" s="30" t="n"/>
      <c r="AO1408" s="30" t="n"/>
    </row>
    <row r="1409">
      <c r="A1409" s="89" t="inlineStr">
        <is>
          <t>18868XXX</t>
        </is>
      </c>
      <c r="B1409" s="135" t="inlineStr">
        <is>
          <t>TAVERNITI   CHOMBA M/C</t>
        </is>
      </c>
      <c r="C1409" s="88" t="n">
        <v>63000</v>
      </c>
      <c r="D1409" s="88" t="n"/>
      <c r="E1409" s="170" t="n"/>
      <c r="F1409" s="170" t="n"/>
      <c r="G1409" s="170" t="n"/>
      <c r="H1409" s="170" t="n"/>
      <c r="I1409" s="170" t="n"/>
      <c r="J1409" s="170" t="n"/>
      <c r="K1409" s="170" t="n"/>
      <c r="L1409" s="170" t="n"/>
      <c r="M1409" s="170" t="n"/>
      <c r="N1409" s="170" t="n"/>
      <c r="O1409" s="150">
        <f>C1409*P1409</f>
        <v/>
      </c>
      <c r="P1409" s="22" t="n">
        <v>1.045</v>
      </c>
      <c r="Q1409" s="30" t="n"/>
      <c r="R1409" s="170" t="n"/>
      <c r="S1409" s="30" t="n"/>
      <c r="T1409" s="170" t="n"/>
      <c r="U1409" s="30" t="n"/>
      <c r="V1409" s="30" t="n"/>
      <c r="W1409" s="30" t="n"/>
      <c r="X1409" s="30" t="n"/>
      <c r="Y1409" s="30" t="n"/>
      <c r="Z1409" s="30" t="n"/>
      <c r="AA1409" s="30" t="n"/>
      <c r="AB1409" s="30" t="n"/>
      <c r="AC1409" s="30" t="n"/>
      <c r="AD1409" s="30" t="n"/>
      <c r="AE1409" s="30" t="n"/>
      <c r="AF1409" s="30" t="n"/>
      <c r="AG1409" s="30" t="n"/>
      <c r="AH1409" s="30" t="n"/>
      <c r="AI1409" s="30" t="n"/>
      <c r="AJ1409" s="30" t="n"/>
      <c r="AK1409" s="30" t="n"/>
      <c r="AL1409" s="30" t="n"/>
      <c r="AM1409" s="30" t="n"/>
      <c r="AN1409" s="30" t="n"/>
      <c r="AO1409" s="30" t="n"/>
    </row>
    <row r="1410">
      <c r="A1410" s="89" t="inlineStr">
        <is>
          <t>18870XXX</t>
        </is>
      </c>
      <c r="B1410" s="120" t="inlineStr">
        <is>
          <t>TAVERNITI   CHOMBA M/C</t>
        </is>
      </c>
      <c r="C1410" s="88" t="n">
        <v>63000</v>
      </c>
      <c r="D1410" s="88" t="n"/>
      <c r="E1410" s="170" t="n"/>
      <c r="F1410" s="170" t="n"/>
      <c r="G1410" s="170" t="n"/>
      <c r="H1410" s="170" t="n"/>
      <c r="I1410" s="170" t="n"/>
      <c r="J1410" s="170" t="n"/>
      <c r="K1410" s="170" t="n"/>
      <c r="L1410" s="170" t="n"/>
      <c r="M1410" s="170" t="n"/>
      <c r="N1410" s="170" t="n"/>
      <c r="O1410" s="150">
        <f>C1410*P1410</f>
        <v/>
      </c>
      <c r="P1410" s="22" t="n">
        <v>1.045</v>
      </c>
      <c r="Q1410" s="30" t="n"/>
      <c r="R1410" s="170" t="n"/>
      <c r="S1410" s="30" t="n"/>
      <c r="T1410" s="170" t="n"/>
      <c r="U1410" s="30" t="n"/>
      <c r="V1410" s="30" t="n"/>
      <c r="W1410" s="30" t="n"/>
      <c r="X1410" s="30" t="n"/>
      <c r="Y1410" s="30" t="n"/>
      <c r="Z1410" s="30" t="n"/>
      <c r="AA1410" s="30" t="n"/>
      <c r="AB1410" s="30" t="n"/>
      <c r="AC1410" s="30" t="n"/>
      <c r="AD1410" s="30" t="n"/>
      <c r="AE1410" s="30" t="n"/>
      <c r="AF1410" s="30" t="n"/>
      <c r="AG1410" s="30" t="n"/>
      <c r="AH1410" s="30" t="n"/>
      <c r="AI1410" s="30" t="n"/>
      <c r="AJ1410" s="30" t="n"/>
      <c r="AK1410" s="30" t="n"/>
      <c r="AL1410" s="30" t="n"/>
      <c r="AM1410" s="30" t="n"/>
      <c r="AN1410" s="30" t="n"/>
      <c r="AO1410" s="30" t="n"/>
    </row>
    <row r="1411">
      <c r="A1411" s="89" t="inlineStr">
        <is>
          <t>18872XXX</t>
        </is>
      </c>
      <c r="B1411" s="135" t="inlineStr">
        <is>
          <t>TAVERNITI   CHOMBA M/C</t>
        </is>
      </c>
      <c r="C1411" s="88" t="n">
        <v>63000</v>
      </c>
      <c r="D1411" s="88" t="n"/>
      <c r="E1411" s="170" t="n"/>
      <c r="F1411" s="170" t="n"/>
      <c r="G1411" s="170" t="n"/>
      <c r="H1411" s="170" t="n"/>
      <c r="I1411" s="170" t="n"/>
      <c r="J1411" s="170" t="n"/>
      <c r="K1411" s="170" t="n"/>
      <c r="L1411" s="170" t="n"/>
      <c r="M1411" s="170" t="n"/>
      <c r="N1411" s="170" t="n"/>
      <c r="O1411" s="150">
        <f>C1411*P1411</f>
        <v/>
      </c>
      <c r="P1411" s="22" t="n">
        <v>1.045</v>
      </c>
      <c r="Q1411" s="30" t="n"/>
      <c r="R1411" s="170" t="n"/>
      <c r="S1411" s="30" t="n"/>
      <c r="T1411" s="170" t="n"/>
      <c r="U1411" s="30" t="n"/>
      <c r="V1411" s="30" t="n"/>
      <c r="W1411" s="30" t="n"/>
      <c r="X1411" s="30" t="n"/>
      <c r="Y1411" s="30" t="n"/>
      <c r="Z1411" s="30" t="n"/>
      <c r="AA1411" s="30" t="n"/>
      <c r="AB1411" s="30" t="n"/>
      <c r="AC1411" s="30" t="n"/>
      <c r="AD1411" s="30" t="n"/>
      <c r="AE1411" s="30" t="n"/>
      <c r="AF1411" s="30" t="n"/>
      <c r="AG1411" s="30" t="n"/>
      <c r="AH1411" s="30" t="n"/>
      <c r="AI1411" s="30" t="n"/>
      <c r="AJ1411" s="30" t="n"/>
      <c r="AK1411" s="30" t="n"/>
      <c r="AL1411" s="30" t="n"/>
      <c r="AM1411" s="30" t="n"/>
      <c r="AN1411" s="30" t="n"/>
      <c r="AO1411" s="30" t="n"/>
    </row>
    <row r="1412">
      <c r="A1412" s="89" t="inlineStr">
        <is>
          <t>18874XXX</t>
        </is>
      </c>
      <c r="B1412" s="135" t="inlineStr">
        <is>
          <t>TAVERNITI   CHOMBA M/C</t>
        </is>
      </c>
      <c r="C1412" s="88" t="n">
        <v>65500</v>
      </c>
      <c r="D1412" s="88" t="n"/>
      <c r="E1412" s="170" t="n"/>
      <c r="F1412" s="170" t="n"/>
      <c r="G1412" s="170" t="n"/>
      <c r="H1412" s="170" t="n"/>
      <c r="I1412" s="170" t="n"/>
      <c r="J1412" s="170" t="n"/>
      <c r="K1412" s="170" t="n"/>
      <c r="L1412" s="170" t="n"/>
      <c r="M1412" s="170" t="n"/>
      <c r="N1412" s="170" t="n"/>
      <c r="O1412" s="150">
        <f>C1412*P1412</f>
        <v/>
      </c>
      <c r="P1412" s="22" t="n">
        <v>1.045</v>
      </c>
      <c r="Q1412" s="30" t="n"/>
      <c r="R1412" s="170" t="n"/>
      <c r="S1412" s="30" t="n"/>
      <c r="T1412" s="170" t="n"/>
      <c r="U1412" s="30" t="n"/>
      <c r="V1412" s="30" t="n"/>
      <c r="W1412" s="30" t="n"/>
      <c r="X1412" s="30" t="n"/>
      <c r="Y1412" s="30" t="n"/>
      <c r="Z1412" s="30" t="n"/>
      <c r="AA1412" s="30" t="n"/>
      <c r="AB1412" s="30" t="n"/>
      <c r="AC1412" s="30" t="n"/>
      <c r="AD1412" s="30" t="n"/>
      <c r="AE1412" s="30" t="n"/>
      <c r="AF1412" s="30" t="n"/>
      <c r="AG1412" s="30" t="n"/>
      <c r="AH1412" s="30" t="n"/>
      <c r="AI1412" s="30" t="n"/>
      <c r="AJ1412" s="30" t="n"/>
      <c r="AK1412" s="30" t="n"/>
      <c r="AL1412" s="30" t="n"/>
      <c r="AM1412" s="30" t="n"/>
      <c r="AN1412" s="30" t="n"/>
      <c r="AO1412" s="30" t="n"/>
    </row>
    <row r="1413">
      <c r="A1413" s="89" t="inlineStr">
        <is>
          <t>18876XXX</t>
        </is>
      </c>
      <c r="B1413" s="135" t="inlineStr">
        <is>
          <t>TAVERNITI   CHOMBA M/C</t>
        </is>
      </c>
      <c r="C1413" s="88" t="n">
        <v>63000</v>
      </c>
      <c r="D1413" s="88" t="n"/>
      <c r="E1413" s="170" t="n"/>
      <c r="F1413" s="170" t="n"/>
      <c r="G1413" s="170" t="n"/>
      <c r="H1413" s="170" t="n"/>
      <c r="I1413" s="170" t="n"/>
      <c r="J1413" s="170" t="n"/>
      <c r="K1413" s="170" t="n"/>
      <c r="L1413" s="170" t="n"/>
      <c r="M1413" s="170" t="n"/>
      <c r="N1413" s="170" t="n"/>
      <c r="O1413" s="150">
        <f>C1413*P1413</f>
        <v/>
      </c>
      <c r="P1413" s="22" t="n">
        <v>1.045</v>
      </c>
      <c r="Q1413" s="30" t="n"/>
      <c r="R1413" s="170" t="n"/>
      <c r="S1413" s="30" t="n"/>
      <c r="T1413" s="170" t="n"/>
      <c r="U1413" s="30" t="n"/>
      <c r="V1413" s="30" t="n"/>
      <c r="W1413" s="30" t="n"/>
      <c r="X1413" s="30" t="n"/>
      <c r="Y1413" s="30" t="n"/>
      <c r="Z1413" s="30" t="n"/>
      <c r="AA1413" s="30" t="n"/>
      <c r="AB1413" s="30" t="n"/>
      <c r="AC1413" s="30" t="n"/>
      <c r="AD1413" s="30" t="n"/>
      <c r="AE1413" s="30" t="n"/>
      <c r="AF1413" s="30" t="n"/>
      <c r="AG1413" s="30" t="n"/>
      <c r="AH1413" s="30" t="n"/>
      <c r="AI1413" s="30" t="n"/>
      <c r="AJ1413" s="30" t="n"/>
      <c r="AK1413" s="30" t="n"/>
      <c r="AL1413" s="30" t="n"/>
      <c r="AM1413" s="30" t="n"/>
      <c r="AN1413" s="30" t="n"/>
      <c r="AO1413" s="30" t="n"/>
    </row>
    <row r="1414">
      <c r="A1414" s="134" t="inlineStr">
        <is>
          <t>19102XXX</t>
        </is>
      </c>
      <c r="B1414" s="246" t="inlineStr">
        <is>
          <t>TAVERNITI   CHOMBA M/C</t>
        </is>
      </c>
      <c r="C1414" s="88" t="n">
        <v>63000</v>
      </c>
      <c r="D1414" s="88" t="n"/>
      <c r="E1414" s="219" t="n"/>
      <c r="F1414" s="219" t="n"/>
      <c r="G1414" s="219" t="n"/>
      <c r="H1414" s="219" t="n"/>
      <c r="I1414" s="219" t="n"/>
      <c r="J1414" s="219" t="n"/>
      <c r="K1414" s="219" t="n"/>
      <c r="L1414" s="183" t="n"/>
      <c r="M1414" s="219" t="n"/>
      <c r="N1414" s="219" t="n"/>
      <c r="O1414" s="117">
        <f>C1414*P1414</f>
        <v/>
      </c>
      <c r="P1414" s="22" t="n">
        <v>1.045</v>
      </c>
      <c r="R1414" s="117" t="n"/>
      <c r="T1414" s="117" t="n"/>
    </row>
    <row r="1415">
      <c r="A1415" s="134" t="inlineStr">
        <is>
          <t>19666602</t>
        </is>
      </c>
      <c r="B1415" s="246" t="inlineStr">
        <is>
          <t>TAVERNITI   CHOMBA M/C</t>
        </is>
      </c>
      <c r="C1415" s="88" t="n">
        <v>63000</v>
      </c>
      <c r="D1415" s="88" t="n"/>
      <c r="E1415" s="219" t="n"/>
      <c r="F1415" s="219" t="n"/>
      <c r="G1415" s="219" t="n"/>
      <c r="H1415" s="219" t="n"/>
      <c r="I1415" s="219" t="n"/>
      <c r="J1415" s="219" t="n"/>
      <c r="K1415" s="219" t="n"/>
      <c r="L1415" s="183" t="n"/>
      <c r="M1415" s="219" t="n"/>
      <c r="N1415" s="219" t="n"/>
      <c r="O1415" s="117">
        <f>C1415*P1415</f>
        <v/>
      </c>
      <c r="P1415" s="22" t="n">
        <v>1.045</v>
      </c>
      <c r="R1415" s="117" t="n"/>
      <c r="T1415" s="117" t="n"/>
    </row>
    <row r="1416">
      <c r="A1416" s="134" t="inlineStr">
        <is>
          <t>19692601</t>
        </is>
      </c>
      <c r="B1416" s="246" t="inlineStr">
        <is>
          <t>TAVERNITI   CHOMBA M/C</t>
        </is>
      </c>
      <c r="C1416" s="88" t="n">
        <v>58700</v>
      </c>
      <c r="D1416" s="88" t="n"/>
      <c r="E1416" s="219" t="n"/>
      <c r="F1416" s="219" t="n"/>
      <c r="G1416" s="219" t="n"/>
      <c r="H1416" s="219" t="n"/>
      <c r="I1416" s="219" t="n"/>
      <c r="J1416" s="219" t="n"/>
      <c r="K1416" s="219" t="n"/>
      <c r="L1416" s="183" t="n"/>
      <c r="M1416" s="219" t="n"/>
      <c r="N1416" s="219" t="n"/>
      <c r="O1416" s="117">
        <f>C1416*P1416</f>
        <v/>
      </c>
      <c r="P1416" s="22" t="n">
        <v>1.045</v>
      </c>
      <c r="R1416" s="117" t="n"/>
      <c r="T1416" s="117" t="n"/>
    </row>
    <row r="1417">
      <c r="A1417" s="134" t="inlineStr">
        <is>
          <t>19772XXX</t>
        </is>
      </c>
      <c r="B1417" s="246" t="inlineStr">
        <is>
          <t>TAVERNITI   CHOMBA M/C</t>
        </is>
      </c>
      <c r="C1417" s="88" t="n">
        <v>57500</v>
      </c>
      <c r="D1417" s="88" t="n"/>
      <c r="E1417" s="219" t="n"/>
      <c r="F1417" s="219" t="n"/>
      <c r="G1417" s="219" t="n"/>
      <c r="H1417" s="219" t="n"/>
      <c r="I1417" s="219" t="n"/>
      <c r="J1417" s="219" t="n"/>
      <c r="K1417" s="219" t="n"/>
      <c r="L1417" s="183" t="n"/>
      <c r="M1417" s="219" t="n"/>
      <c r="N1417" s="219" t="n"/>
      <c r="O1417" s="117">
        <f>C1417*P1417</f>
        <v/>
      </c>
      <c r="P1417" s="22" t="n">
        <v>1.045</v>
      </c>
      <c r="R1417" s="117" t="n"/>
      <c r="T1417" s="117" t="n"/>
    </row>
    <row r="1418">
      <c r="A1418" s="134" t="inlineStr">
        <is>
          <t>19802628</t>
        </is>
      </c>
      <c r="B1418" s="246" t="inlineStr">
        <is>
          <t>TAVERNITI   CHOMBA M/C</t>
        </is>
      </c>
      <c r="C1418" s="88" t="n">
        <v>62800</v>
      </c>
      <c r="D1418" s="88" t="n"/>
      <c r="E1418" s="219" t="n"/>
      <c r="F1418" s="121" t="n"/>
      <c r="G1418" s="219" t="n"/>
      <c r="H1418" s="219" t="n"/>
      <c r="I1418" s="219" t="n"/>
      <c r="J1418" s="219" t="n"/>
      <c r="K1418" s="219" t="n"/>
      <c r="L1418" s="183" t="n"/>
      <c r="M1418" s="219" t="n"/>
      <c r="N1418" s="219" t="n"/>
      <c r="O1418" s="117">
        <f>C1418*P1418</f>
        <v/>
      </c>
      <c r="P1418" s="22" t="n">
        <v>1.045</v>
      </c>
      <c r="R1418" s="117" t="n"/>
      <c r="T1418" s="117" t="n"/>
    </row>
    <row r="1419">
      <c r="A1419" s="134" t="inlineStr">
        <is>
          <t>19804626</t>
        </is>
      </c>
      <c r="B1419" s="246" t="inlineStr">
        <is>
          <t>TAVERNITI   CHOMBA M/C</t>
        </is>
      </c>
      <c r="C1419" s="88" t="n">
        <v>62800</v>
      </c>
      <c r="D1419" s="88" t="n"/>
      <c r="E1419" s="219" t="n"/>
      <c r="F1419" s="219" t="n"/>
      <c r="G1419" s="219" t="n"/>
      <c r="H1419" s="219" t="n"/>
      <c r="I1419" s="219" t="n"/>
      <c r="J1419" s="219" t="n"/>
      <c r="K1419" s="219" t="n"/>
      <c r="L1419" s="183" t="n"/>
      <c r="M1419" s="219" t="n"/>
      <c r="N1419" s="219" t="n"/>
      <c r="O1419" s="117">
        <f>C1419*P1419</f>
        <v/>
      </c>
      <c r="P1419" s="22" t="n">
        <v>1.045</v>
      </c>
      <c r="R1419" s="117" t="n"/>
      <c r="T1419" s="117" t="n"/>
    </row>
    <row r="1420">
      <c r="A1420" s="134" t="inlineStr">
        <is>
          <t>19806XXX</t>
        </is>
      </c>
      <c r="B1420" s="246" t="inlineStr">
        <is>
          <t>TAVERNITI   CHOMBA M/C</t>
        </is>
      </c>
      <c r="C1420" s="88" t="n">
        <v>68700</v>
      </c>
      <c r="D1420" s="88" t="n"/>
      <c r="E1420" s="219" t="n"/>
      <c r="F1420" s="122" t="n"/>
      <c r="G1420" s="219" t="n"/>
      <c r="H1420" s="219" t="n"/>
      <c r="I1420" s="219" t="n"/>
      <c r="J1420" s="219" t="n"/>
      <c r="K1420" s="219" t="n"/>
      <c r="L1420" s="183" t="n"/>
      <c r="M1420" s="219" t="n"/>
      <c r="N1420" s="219" t="n"/>
      <c r="O1420" s="117">
        <f>C1420*P1420</f>
        <v/>
      </c>
      <c r="P1420" s="22" t="n">
        <v>1.045</v>
      </c>
      <c r="R1420" s="117" t="n"/>
      <c r="T1420" s="117" t="n"/>
    </row>
    <row r="1421">
      <c r="A1421" s="134" t="inlineStr">
        <is>
          <t>19848323</t>
        </is>
      </c>
      <c r="B1421" s="246" t="inlineStr">
        <is>
          <t>TAVERNITI   CHOMBA M/C</t>
        </is>
      </c>
      <c r="C1421" s="88" t="n">
        <v>68700</v>
      </c>
      <c r="D1421" s="88" t="n"/>
      <c r="E1421" s="219" t="n"/>
      <c r="F1421" s="219" t="n"/>
      <c r="G1421" s="219" t="n"/>
      <c r="H1421" s="219" t="n"/>
      <c r="I1421" s="219" t="n"/>
      <c r="J1421" s="219" t="n"/>
      <c r="K1421" s="219" t="n"/>
      <c r="L1421" s="183" t="n"/>
      <c r="M1421" s="219" t="n"/>
      <c r="N1421" s="219" t="n"/>
      <c r="O1421" s="117">
        <f>C1421*P1421</f>
        <v/>
      </c>
      <c r="P1421" s="22" t="n">
        <v>1.045</v>
      </c>
      <c r="R1421" s="117" t="n"/>
      <c r="T1421" s="117" t="n"/>
    </row>
    <row r="1422">
      <c r="A1422" s="134" t="inlineStr">
        <is>
          <t>19968XXX</t>
        </is>
      </c>
      <c r="B1422" s="246" t="inlineStr">
        <is>
          <t>TAVERNITI   CHOMBA M/C</t>
        </is>
      </c>
      <c r="C1422" s="88" t="n">
        <v>68700</v>
      </c>
      <c r="D1422" s="88" t="n"/>
      <c r="E1422" s="219" t="n"/>
      <c r="F1422" s="219" t="n"/>
      <c r="G1422" s="219" t="n"/>
      <c r="H1422" s="219" t="n"/>
      <c r="I1422" s="219" t="n"/>
      <c r="J1422" s="219" t="n"/>
      <c r="K1422" s="219" t="n"/>
      <c r="L1422" s="183" t="n"/>
      <c r="M1422" s="219" t="n"/>
      <c r="N1422" s="219" t="n"/>
      <c r="O1422" s="117">
        <f>C1422*P1422</f>
        <v/>
      </c>
      <c r="P1422" s="22" t="n">
        <v>1.045</v>
      </c>
      <c r="R1422" s="117" t="n"/>
      <c r="T1422" s="117" t="n"/>
    </row>
    <row r="1423">
      <c r="A1423" s="134" t="inlineStr">
        <is>
          <t>19972XXX</t>
        </is>
      </c>
      <c r="B1423" s="246" t="inlineStr">
        <is>
          <t>TAVERNITI   CHOMBA M/C</t>
        </is>
      </c>
      <c r="C1423" s="88" t="n">
        <v>58400</v>
      </c>
      <c r="D1423" s="88" t="n"/>
      <c r="E1423" s="219" t="n"/>
      <c r="F1423" s="219" t="n"/>
      <c r="G1423" s="219" t="n"/>
      <c r="H1423" s="219" t="n"/>
      <c r="I1423" s="219" t="n"/>
      <c r="J1423" s="219" t="n"/>
      <c r="K1423" s="219" t="n"/>
      <c r="L1423" s="183" t="n"/>
      <c r="M1423" s="219" t="n"/>
      <c r="N1423" s="219" t="n"/>
      <c r="O1423" s="117">
        <f>C1423*P1423</f>
        <v/>
      </c>
      <c r="P1423" s="22" t="n">
        <v>1.045</v>
      </c>
      <c r="R1423" s="117" t="n"/>
      <c r="T1423" s="117" t="n"/>
    </row>
    <row r="1424">
      <c r="A1424" s="134" t="inlineStr">
        <is>
          <t>19974XXX</t>
        </is>
      </c>
      <c r="B1424" s="246" t="inlineStr">
        <is>
          <t>TAVERNITI   CHOMBA M/C</t>
        </is>
      </c>
      <c r="C1424" s="88" t="n">
        <v>60500</v>
      </c>
      <c r="D1424" s="88" t="n"/>
      <c r="E1424" s="219" t="n"/>
      <c r="F1424" s="219" t="n"/>
      <c r="G1424" s="219" t="n"/>
      <c r="H1424" s="219" t="n"/>
      <c r="I1424" s="219" t="n"/>
      <c r="J1424" s="219" t="n"/>
      <c r="K1424" s="219" t="n"/>
      <c r="L1424" s="183" t="n"/>
      <c r="M1424" s="219" t="n"/>
      <c r="N1424" s="219" t="n"/>
      <c r="O1424" s="117">
        <f>C1424*P1424</f>
        <v/>
      </c>
      <c r="P1424" s="22" t="n">
        <v>1.045</v>
      </c>
      <c r="R1424" s="117" t="n"/>
      <c r="T1424" s="117" t="n"/>
    </row>
    <row r="1425">
      <c r="A1425" s="134" t="inlineStr">
        <is>
          <t>19998XXX</t>
        </is>
      </c>
      <c r="B1425" s="246" t="inlineStr">
        <is>
          <t>TAVERNITI   CHOMBA M/C</t>
        </is>
      </c>
      <c r="C1425" s="88" t="n">
        <v>68600</v>
      </c>
      <c r="D1425" s="88" t="n"/>
      <c r="E1425" s="219" t="n"/>
      <c r="F1425" s="219" t="n"/>
      <c r="G1425" s="219" t="n"/>
      <c r="H1425" s="219" t="n"/>
      <c r="I1425" s="219" t="n"/>
      <c r="J1425" s="219" t="n"/>
      <c r="K1425" s="219" t="n"/>
      <c r="L1425" s="183" t="n"/>
      <c r="M1425" s="219" t="n"/>
      <c r="N1425" s="219" t="n"/>
      <c r="O1425" s="117">
        <f>C1425*P1425</f>
        <v/>
      </c>
      <c r="P1425" s="22" t="n">
        <v>1.045</v>
      </c>
      <c r="R1425" s="117" t="n"/>
      <c r="T1425" s="117" t="n"/>
    </row>
    <row r="1426">
      <c r="A1426" s="134" t="inlineStr">
        <is>
          <t>20542XXX</t>
        </is>
      </c>
      <c r="B1426" s="246" t="inlineStr">
        <is>
          <t>TAVERNITI   CHOMBA M/C</t>
        </is>
      </c>
      <c r="C1426" s="88" t="n">
        <v>68600</v>
      </c>
      <c r="D1426" s="88" t="n"/>
      <c r="E1426" s="219" t="n"/>
      <c r="F1426" s="219" t="n"/>
      <c r="G1426" s="219" t="n"/>
      <c r="H1426" s="219" t="n"/>
      <c r="I1426" s="219" t="n"/>
      <c r="J1426" s="219" t="n"/>
      <c r="K1426" s="219" t="n"/>
      <c r="L1426" s="183" t="n"/>
      <c r="M1426" s="219" t="n"/>
      <c r="N1426" s="219" t="n"/>
      <c r="O1426" s="117">
        <f>C1426*P1426</f>
        <v/>
      </c>
      <c r="P1426" s="22" t="n">
        <v>1.045</v>
      </c>
      <c r="R1426" s="117" t="n"/>
      <c r="T1426" s="117" t="n"/>
    </row>
    <row r="1427">
      <c r="A1427" s="89" t="inlineStr">
        <is>
          <t>20550XXX</t>
        </is>
      </c>
      <c r="B1427" s="135" t="inlineStr">
        <is>
          <t>TAVERNITI   CHOMBA M/C</t>
        </is>
      </c>
      <c r="C1427" s="88" t="n">
        <v>68600</v>
      </c>
      <c r="D1427" s="170" t="n"/>
      <c r="E1427" s="170" t="n"/>
      <c r="F1427" s="170" t="n"/>
      <c r="G1427" s="170" t="n"/>
      <c r="H1427" s="170" t="n"/>
      <c r="I1427" s="170" t="n"/>
      <c r="J1427" s="170" t="n"/>
      <c r="K1427" s="170" t="n"/>
      <c r="L1427" s="170" t="n"/>
      <c r="M1427" s="170" t="n"/>
      <c r="N1427" s="170" t="n"/>
      <c r="O1427" s="150">
        <f>C1427*P1427</f>
        <v/>
      </c>
      <c r="P1427" s="22" t="n">
        <v>1.045</v>
      </c>
      <c r="Q1427" s="30" t="n"/>
      <c r="R1427" s="170" t="n"/>
      <c r="S1427" s="30" t="n"/>
      <c r="T1427" s="170" t="n"/>
      <c r="U1427" s="30" t="n"/>
      <c r="V1427" s="30" t="n"/>
      <c r="W1427" s="30" t="n"/>
      <c r="X1427" s="30" t="n"/>
      <c r="Y1427" s="30" t="n"/>
      <c r="Z1427" s="30" t="n"/>
      <c r="AA1427" s="30" t="n"/>
      <c r="AB1427" s="30" t="n"/>
      <c r="AC1427" s="30" t="n"/>
      <c r="AD1427" s="30" t="n"/>
      <c r="AE1427" s="30" t="n"/>
      <c r="AF1427" s="30" t="n"/>
      <c r="AG1427" s="30" t="n"/>
      <c r="AH1427" s="30" t="n"/>
      <c r="AI1427" s="30" t="n"/>
      <c r="AJ1427" s="30" t="n"/>
      <c r="AK1427" s="30" t="n"/>
      <c r="AL1427" s="30" t="n"/>
      <c r="AM1427" s="30" t="n"/>
      <c r="AN1427" s="30" t="n"/>
      <c r="AO1427" s="30" t="n"/>
    </row>
    <row r="1428">
      <c r="A1428" s="134" t="inlineStr">
        <is>
          <t>20552XXX</t>
        </is>
      </c>
      <c r="B1428" s="246" t="inlineStr">
        <is>
          <t>TAVERNITI   CHOMBA M/C</t>
        </is>
      </c>
      <c r="C1428" s="88" t="n">
        <v>68600</v>
      </c>
      <c r="D1428" s="88" t="n"/>
      <c r="E1428" s="219" t="n"/>
      <c r="F1428" s="219" t="n"/>
      <c r="G1428" s="219" t="n"/>
      <c r="H1428" s="219" t="n"/>
      <c r="I1428" s="219" t="n"/>
      <c r="J1428" s="219" t="n"/>
      <c r="K1428" s="219" t="n"/>
      <c r="L1428" s="183" t="n"/>
      <c r="M1428" s="219" t="n"/>
      <c r="N1428" s="219" t="n"/>
      <c r="O1428" s="117">
        <f>C1428*P1428</f>
        <v/>
      </c>
      <c r="P1428" s="22" t="n">
        <v>1.045</v>
      </c>
      <c r="R1428" s="117" t="n"/>
      <c r="T1428" s="117" t="n"/>
    </row>
    <row r="1429">
      <c r="A1429" s="89" t="inlineStr">
        <is>
          <t>20714XXX</t>
        </is>
      </c>
      <c r="B1429" s="135" t="inlineStr">
        <is>
          <t>TAVERNITI   CHOMBA M/C</t>
        </is>
      </c>
      <c r="C1429" s="88" t="n">
        <v>68600</v>
      </c>
      <c r="D1429" s="170" t="n"/>
      <c r="E1429" s="170" t="n"/>
      <c r="F1429" s="170" t="n"/>
      <c r="G1429" s="170" t="n"/>
      <c r="H1429" s="170" t="n"/>
      <c r="I1429" s="170" t="n"/>
      <c r="J1429" s="170" t="n"/>
      <c r="K1429" s="170" t="n"/>
      <c r="L1429" s="170" t="n"/>
      <c r="M1429" s="170" t="n"/>
      <c r="N1429" s="170" t="n"/>
      <c r="O1429" s="150">
        <f>C1429*P1429</f>
        <v/>
      </c>
      <c r="P1429" s="22" t="n">
        <v>1.045</v>
      </c>
      <c r="Q1429" s="30" t="n"/>
      <c r="R1429" s="170" t="n"/>
      <c r="S1429" s="30" t="n"/>
      <c r="T1429" s="170" t="n"/>
      <c r="U1429" s="30" t="n"/>
      <c r="V1429" s="30" t="n"/>
      <c r="W1429" s="30" t="n"/>
      <c r="X1429" s="30" t="n"/>
      <c r="Y1429" s="30" t="n"/>
      <c r="Z1429" s="30" t="n"/>
      <c r="AA1429" s="30" t="n"/>
      <c r="AB1429" s="30" t="n"/>
      <c r="AC1429" s="30" t="n"/>
      <c r="AD1429" s="30" t="n"/>
      <c r="AE1429" s="30" t="n"/>
      <c r="AF1429" s="30" t="n"/>
      <c r="AG1429" s="30" t="n"/>
      <c r="AH1429" s="30" t="n"/>
      <c r="AI1429" s="30" t="n"/>
      <c r="AJ1429" s="30" t="n"/>
      <c r="AK1429" s="30" t="n"/>
      <c r="AL1429" s="30" t="n"/>
      <c r="AM1429" s="30" t="n"/>
      <c r="AN1429" s="30" t="n"/>
      <c r="AO1429" s="30" t="n"/>
    </row>
    <row r="1430">
      <c r="A1430" s="89" t="inlineStr">
        <is>
          <t>20716XXX</t>
        </is>
      </c>
      <c r="B1430" s="135" t="inlineStr">
        <is>
          <t>TAVERNITI   CHOMBA M/C</t>
        </is>
      </c>
      <c r="C1430" s="88" t="n">
        <v>68600</v>
      </c>
      <c r="D1430" s="170" t="n"/>
      <c r="E1430" s="170" t="n"/>
      <c r="F1430" s="170" t="n"/>
      <c r="G1430" s="170" t="n"/>
      <c r="H1430" s="170" t="n"/>
      <c r="I1430" s="170" t="n"/>
      <c r="J1430" s="170" t="n"/>
      <c r="K1430" s="170" t="n"/>
      <c r="L1430" s="170" t="n"/>
      <c r="M1430" s="170" t="n"/>
      <c r="N1430" s="170" t="n"/>
      <c r="O1430" s="150">
        <f>C1430*P1430</f>
        <v/>
      </c>
      <c r="P1430" s="22" t="n">
        <v>1.045</v>
      </c>
      <c r="Q1430" s="30" t="n"/>
      <c r="R1430" s="170" t="n"/>
      <c r="S1430" s="30" t="n"/>
      <c r="T1430" s="170" t="n"/>
      <c r="U1430" s="30" t="n"/>
      <c r="V1430" s="30" t="n"/>
      <c r="W1430" s="30" t="n"/>
      <c r="X1430" s="30" t="n"/>
      <c r="Y1430" s="30" t="n"/>
      <c r="Z1430" s="30" t="n"/>
      <c r="AA1430" s="30" t="n"/>
      <c r="AB1430" s="30" t="n"/>
      <c r="AC1430" s="30" t="n"/>
      <c r="AD1430" s="30" t="n"/>
      <c r="AE1430" s="30" t="n"/>
      <c r="AF1430" s="30" t="n"/>
      <c r="AG1430" s="30" t="n"/>
      <c r="AH1430" s="30" t="n"/>
      <c r="AI1430" s="30" t="n"/>
      <c r="AJ1430" s="30" t="n"/>
      <c r="AK1430" s="30" t="n"/>
      <c r="AL1430" s="30" t="n"/>
      <c r="AM1430" s="30" t="n"/>
      <c r="AN1430" s="30" t="n"/>
      <c r="AO1430" s="30" t="n"/>
    </row>
    <row r="1431">
      <c r="A1431" s="89" t="inlineStr">
        <is>
          <t>20718XXX</t>
        </is>
      </c>
      <c r="B1431" s="135" t="inlineStr">
        <is>
          <t>TAVERNITI   CHOMBA M/C</t>
        </is>
      </c>
      <c r="C1431" s="88" t="n">
        <v>68600</v>
      </c>
      <c r="D1431" s="170" t="n"/>
      <c r="E1431" s="170" t="n"/>
      <c r="F1431" s="170" t="n"/>
      <c r="G1431" s="170" t="n"/>
      <c r="H1431" s="170" t="n"/>
      <c r="I1431" s="170" t="n"/>
      <c r="J1431" s="170" t="n"/>
      <c r="K1431" s="170" t="n"/>
      <c r="L1431" s="170" t="n"/>
      <c r="M1431" s="170" t="n"/>
      <c r="N1431" s="170" t="n"/>
      <c r="O1431" s="150">
        <f>C1431*P1431</f>
        <v/>
      </c>
      <c r="P1431" s="22" t="n">
        <v>1.045</v>
      </c>
      <c r="Q1431" s="30" t="n"/>
      <c r="R1431" s="170" t="n"/>
      <c r="S1431" s="30" t="n"/>
      <c r="T1431" s="170" t="n"/>
      <c r="U1431" s="30" t="n"/>
      <c r="V1431" s="30" t="n"/>
      <c r="W1431" s="30" t="n"/>
      <c r="X1431" s="30" t="n"/>
      <c r="Y1431" s="30" t="n"/>
      <c r="Z1431" s="30" t="n"/>
      <c r="AA1431" s="30" t="n"/>
      <c r="AB1431" s="30" t="n"/>
      <c r="AC1431" s="30" t="n"/>
      <c r="AD1431" s="30" t="n"/>
      <c r="AE1431" s="30" t="n"/>
      <c r="AF1431" s="30" t="n"/>
      <c r="AG1431" s="30" t="n"/>
      <c r="AH1431" s="30" t="n"/>
      <c r="AI1431" s="30" t="n"/>
      <c r="AJ1431" s="30" t="n"/>
      <c r="AK1431" s="30" t="n"/>
      <c r="AL1431" s="30" t="n"/>
      <c r="AM1431" s="30" t="n"/>
      <c r="AN1431" s="30" t="n"/>
      <c r="AO1431" s="30" t="n"/>
    </row>
    <row r="1432">
      <c r="A1432" s="89" t="inlineStr">
        <is>
          <t>20720XXX</t>
        </is>
      </c>
      <c r="B1432" s="135" t="inlineStr">
        <is>
          <t>TAVERNITI   CHOMBA M/C</t>
        </is>
      </c>
      <c r="C1432" s="88" t="n">
        <v>68600</v>
      </c>
      <c r="D1432" s="170" t="n"/>
      <c r="E1432" s="170" t="n"/>
      <c r="F1432" s="170" t="n"/>
      <c r="G1432" s="170" t="n"/>
      <c r="H1432" s="170" t="n"/>
      <c r="I1432" s="170" t="n"/>
      <c r="J1432" s="170" t="n"/>
      <c r="K1432" s="170" t="n"/>
      <c r="L1432" s="170" t="n"/>
      <c r="M1432" s="170" t="n"/>
      <c r="N1432" s="170" t="n"/>
      <c r="O1432" s="150">
        <f>C1432*P1432</f>
        <v/>
      </c>
      <c r="P1432" s="22" t="n">
        <v>1.045</v>
      </c>
      <c r="Q1432" s="30" t="n"/>
      <c r="R1432" s="170" t="n"/>
      <c r="S1432" s="30" t="n"/>
      <c r="T1432" s="170" t="n"/>
      <c r="U1432" s="30" t="n"/>
      <c r="V1432" s="30" t="n"/>
      <c r="W1432" s="30" t="n"/>
      <c r="X1432" s="30" t="n"/>
      <c r="Y1432" s="30" t="n"/>
      <c r="Z1432" s="30" t="n"/>
      <c r="AA1432" s="30" t="n"/>
      <c r="AB1432" s="30" t="n"/>
      <c r="AC1432" s="30" t="n"/>
      <c r="AD1432" s="30" t="n"/>
      <c r="AE1432" s="30" t="n"/>
      <c r="AF1432" s="30" t="n"/>
      <c r="AG1432" s="30" t="n"/>
      <c r="AH1432" s="30" t="n"/>
      <c r="AI1432" s="30" t="n"/>
      <c r="AJ1432" s="30" t="n"/>
      <c r="AK1432" s="30" t="n"/>
      <c r="AL1432" s="30" t="n"/>
      <c r="AM1432" s="30" t="n"/>
      <c r="AN1432" s="30" t="n"/>
      <c r="AO1432" s="30" t="n"/>
    </row>
    <row r="1433">
      <c r="A1433" s="89" t="inlineStr">
        <is>
          <t>20722XXX</t>
        </is>
      </c>
      <c r="B1433" s="135" t="inlineStr">
        <is>
          <t>TAVERNITI   CHOMBA M/C</t>
        </is>
      </c>
      <c r="C1433" s="88" t="n">
        <v>68600</v>
      </c>
      <c r="D1433" s="170" t="n"/>
      <c r="E1433" s="170" t="n"/>
      <c r="F1433" s="170" t="n"/>
      <c r="G1433" s="170" t="n"/>
      <c r="H1433" s="170" t="n"/>
      <c r="I1433" s="170" t="n"/>
      <c r="J1433" s="170" t="n"/>
      <c r="K1433" s="170" t="n"/>
      <c r="L1433" s="170" t="n"/>
      <c r="M1433" s="170" t="n"/>
      <c r="N1433" s="170" t="n"/>
      <c r="O1433" s="150">
        <f>C1433*P1433</f>
        <v/>
      </c>
      <c r="P1433" s="22" t="n">
        <v>1.045</v>
      </c>
      <c r="Q1433" s="30" t="n"/>
      <c r="R1433" s="170" t="n"/>
      <c r="S1433" s="30" t="n"/>
      <c r="T1433" s="170" t="n"/>
      <c r="U1433" s="30" t="n"/>
      <c r="V1433" s="30" t="n"/>
      <c r="W1433" s="30" t="n"/>
      <c r="X1433" s="30" t="n"/>
      <c r="Y1433" s="30" t="n"/>
      <c r="Z1433" s="30" t="n"/>
      <c r="AA1433" s="30" t="n"/>
      <c r="AB1433" s="30" t="n"/>
      <c r="AC1433" s="30" t="n"/>
      <c r="AD1433" s="30" t="n"/>
      <c r="AE1433" s="30" t="n"/>
      <c r="AF1433" s="30" t="n"/>
      <c r="AG1433" s="30" t="n"/>
      <c r="AH1433" s="30" t="n"/>
      <c r="AI1433" s="30" t="n"/>
      <c r="AJ1433" s="30" t="n"/>
      <c r="AK1433" s="30" t="n"/>
      <c r="AL1433" s="30" t="n"/>
      <c r="AM1433" s="30" t="n"/>
      <c r="AN1433" s="30" t="n"/>
      <c r="AO1433" s="30" t="n"/>
    </row>
    <row r="1434">
      <c r="A1434" s="89" t="inlineStr">
        <is>
          <t>20724XXX</t>
        </is>
      </c>
      <c r="B1434" s="135" t="inlineStr">
        <is>
          <t>TAVERNITI   CHOMBA M/C</t>
        </is>
      </c>
      <c r="C1434" s="88" t="n">
        <v>63500</v>
      </c>
      <c r="D1434" s="170" t="n"/>
      <c r="E1434" s="170" t="n"/>
      <c r="F1434" s="170" t="n"/>
      <c r="G1434" s="170" t="n"/>
      <c r="H1434" s="170" t="n"/>
      <c r="I1434" s="170" t="n"/>
      <c r="J1434" s="170" t="n"/>
      <c r="K1434" s="170" t="n"/>
      <c r="L1434" s="170" t="n"/>
      <c r="M1434" s="170" t="n"/>
      <c r="N1434" s="170" t="n"/>
      <c r="O1434" s="150">
        <f>C1434*P1434</f>
        <v/>
      </c>
      <c r="P1434" s="22" t="n">
        <v>1.045</v>
      </c>
      <c r="Q1434" s="30" t="n"/>
      <c r="R1434" s="170" t="n"/>
      <c r="S1434" s="30" t="n"/>
      <c r="T1434" s="170" t="n"/>
      <c r="U1434" s="30" t="n"/>
      <c r="V1434" s="30" t="n"/>
      <c r="W1434" s="30" t="n"/>
      <c r="X1434" s="30" t="n"/>
      <c r="Y1434" s="30" t="n"/>
      <c r="Z1434" s="30" t="n"/>
      <c r="AA1434" s="30" t="n"/>
      <c r="AB1434" s="30" t="n"/>
      <c r="AC1434" s="30" t="n"/>
      <c r="AD1434" s="30" t="n"/>
      <c r="AE1434" s="30" t="n"/>
      <c r="AF1434" s="30" t="n"/>
      <c r="AG1434" s="30" t="n"/>
      <c r="AH1434" s="30" t="n"/>
      <c r="AI1434" s="30" t="n"/>
      <c r="AJ1434" s="30" t="n"/>
      <c r="AK1434" s="30" t="n"/>
      <c r="AL1434" s="30" t="n"/>
      <c r="AM1434" s="30" t="n"/>
      <c r="AN1434" s="30" t="n"/>
      <c r="AO1434" s="30" t="n"/>
    </row>
    <row r="1435">
      <c r="A1435" s="89" t="inlineStr">
        <is>
          <t>20726XXX</t>
        </is>
      </c>
      <c r="B1435" s="135" t="inlineStr">
        <is>
          <t>TAVERNITI   CHOMBA M/C</t>
        </is>
      </c>
      <c r="C1435" s="88" t="n">
        <v>63000</v>
      </c>
      <c r="D1435" s="170" t="n"/>
      <c r="E1435" s="170" t="n"/>
      <c r="F1435" s="170" t="n"/>
      <c r="G1435" s="170" t="n"/>
      <c r="H1435" s="170" t="n"/>
      <c r="I1435" s="170" t="n"/>
      <c r="J1435" s="170" t="n"/>
      <c r="K1435" s="170" t="n"/>
      <c r="L1435" s="170" t="n"/>
      <c r="M1435" s="170" t="n"/>
      <c r="N1435" s="170" t="n"/>
      <c r="O1435" s="150">
        <f>C1435*P1435</f>
        <v/>
      </c>
      <c r="P1435" s="22" t="n">
        <v>1.045</v>
      </c>
      <c r="Q1435" s="30" t="n"/>
      <c r="R1435" s="170" t="n"/>
      <c r="S1435" s="30" t="n"/>
      <c r="T1435" s="170" t="n"/>
      <c r="U1435" s="30" t="n"/>
      <c r="V1435" s="30" t="n"/>
      <c r="W1435" s="30" t="n"/>
      <c r="X1435" s="30" t="n"/>
      <c r="Y1435" s="30" t="n"/>
      <c r="Z1435" s="30" t="n"/>
      <c r="AA1435" s="30" t="n"/>
      <c r="AB1435" s="30" t="n"/>
      <c r="AC1435" s="30" t="n"/>
      <c r="AD1435" s="30" t="n"/>
      <c r="AE1435" s="30" t="n"/>
      <c r="AF1435" s="30" t="n"/>
      <c r="AG1435" s="30" t="n"/>
      <c r="AH1435" s="30" t="n"/>
      <c r="AI1435" s="30" t="n"/>
      <c r="AJ1435" s="30" t="n"/>
      <c r="AK1435" s="30" t="n"/>
      <c r="AL1435" s="30" t="n"/>
      <c r="AM1435" s="30" t="n"/>
      <c r="AN1435" s="30" t="n"/>
      <c r="AO1435" s="30" t="n"/>
    </row>
    <row r="1436">
      <c r="A1436" s="89" t="inlineStr">
        <is>
          <t>20728XXX</t>
        </is>
      </c>
      <c r="B1436" s="135" t="inlineStr">
        <is>
          <t>TAVERNITI   CHOMBA M/C</t>
        </is>
      </c>
      <c r="C1436" s="88" t="n">
        <v>68600</v>
      </c>
      <c r="D1436" s="170" t="n"/>
      <c r="E1436" s="170" t="n"/>
      <c r="F1436" s="170" t="n"/>
      <c r="G1436" s="170" t="n"/>
      <c r="H1436" s="170" t="n"/>
      <c r="I1436" s="170" t="n"/>
      <c r="J1436" s="170" t="n"/>
      <c r="K1436" s="170" t="n"/>
      <c r="L1436" s="170" t="n"/>
      <c r="M1436" s="170" t="n"/>
      <c r="N1436" s="170" t="n"/>
      <c r="O1436" s="150">
        <f>C1436*P1436</f>
        <v/>
      </c>
      <c r="P1436" s="22" t="n">
        <v>1.045</v>
      </c>
      <c r="Q1436" s="30" t="n"/>
      <c r="R1436" s="170" t="n"/>
      <c r="S1436" s="30" t="n"/>
      <c r="T1436" s="170" t="n"/>
      <c r="U1436" s="30" t="n"/>
      <c r="V1436" s="30" t="n"/>
      <c r="W1436" s="30" t="n"/>
      <c r="X1436" s="30" t="n"/>
      <c r="Y1436" s="30" t="n"/>
      <c r="Z1436" s="30" t="n"/>
      <c r="AA1436" s="30" t="n"/>
      <c r="AB1436" s="30" t="n"/>
      <c r="AC1436" s="30" t="n"/>
      <c r="AD1436" s="30" t="n"/>
      <c r="AE1436" s="30" t="n"/>
      <c r="AF1436" s="30" t="n"/>
      <c r="AG1436" s="30" t="n"/>
      <c r="AH1436" s="30" t="n"/>
      <c r="AI1436" s="30" t="n"/>
      <c r="AJ1436" s="30" t="n"/>
      <c r="AK1436" s="30" t="n"/>
      <c r="AL1436" s="30" t="n"/>
      <c r="AM1436" s="30" t="n"/>
      <c r="AN1436" s="30" t="n"/>
      <c r="AO1436" s="30" t="n"/>
    </row>
    <row r="1437">
      <c r="A1437" s="89" t="inlineStr">
        <is>
          <t>20730XXX</t>
        </is>
      </c>
      <c r="B1437" s="135" t="inlineStr">
        <is>
          <t>TAVERNITI   CHOMBA M/C</t>
        </is>
      </c>
      <c r="C1437" s="88" t="n">
        <v>68600</v>
      </c>
      <c r="D1437" s="170" t="n"/>
      <c r="E1437" s="170" t="n"/>
      <c r="F1437" s="170" t="n"/>
      <c r="G1437" s="170" t="n"/>
      <c r="H1437" s="170" t="n"/>
      <c r="I1437" s="170" t="n"/>
      <c r="J1437" s="170" t="n"/>
      <c r="K1437" s="170" t="n"/>
      <c r="L1437" s="170" t="n"/>
      <c r="M1437" s="170" t="n"/>
      <c r="N1437" s="170" t="n"/>
      <c r="O1437" s="150">
        <f>C1437*P1437</f>
        <v/>
      </c>
      <c r="P1437" s="22" t="n">
        <v>1.045</v>
      </c>
      <c r="Q1437" s="30" t="n"/>
      <c r="R1437" s="170" t="n"/>
      <c r="S1437" s="30" t="n"/>
      <c r="T1437" s="170" t="n"/>
      <c r="U1437" s="30" t="n"/>
      <c r="V1437" s="30" t="n"/>
      <c r="W1437" s="30" t="n"/>
      <c r="X1437" s="30" t="n"/>
      <c r="Y1437" s="30" t="n"/>
      <c r="Z1437" s="30" t="n"/>
      <c r="AA1437" s="30" t="n"/>
      <c r="AB1437" s="30" t="n"/>
      <c r="AC1437" s="30" t="n"/>
      <c r="AD1437" s="30" t="n"/>
      <c r="AE1437" s="30" t="n"/>
      <c r="AF1437" s="30" t="n"/>
      <c r="AG1437" s="30" t="n"/>
      <c r="AH1437" s="30" t="n"/>
      <c r="AI1437" s="30" t="n"/>
      <c r="AJ1437" s="30" t="n"/>
      <c r="AK1437" s="30" t="n"/>
      <c r="AL1437" s="30" t="n"/>
      <c r="AM1437" s="30" t="n"/>
      <c r="AN1437" s="30" t="n"/>
      <c r="AO1437" s="30" t="n"/>
    </row>
    <row r="1438">
      <c r="A1438" s="134" t="inlineStr">
        <is>
          <t>20732XXX</t>
        </is>
      </c>
      <c r="B1438" s="246" t="inlineStr">
        <is>
          <t>TAVERNITI   CHOMBA M/C</t>
        </is>
      </c>
      <c r="C1438" s="88" t="n">
        <v>68600</v>
      </c>
      <c r="D1438" s="88" t="n"/>
      <c r="E1438" s="219" t="n"/>
      <c r="F1438" s="219" t="n"/>
      <c r="G1438" s="219" t="n"/>
      <c r="H1438" s="219" t="n"/>
      <c r="I1438" s="219" t="n"/>
      <c r="J1438" s="219" t="n"/>
      <c r="K1438" s="219" t="n"/>
      <c r="L1438" s="183" t="n"/>
      <c r="M1438" s="219" t="n"/>
      <c r="N1438" s="219" t="n"/>
      <c r="O1438" s="117">
        <f>C1438*P1438</f>
        <v/>
      </c>
      <c r="P1438" s="22" t="n">
        <v>1.045</v>
      </c>
      <c r="R1438" s="117" t="n"/>
      <c r="T1438" s="117" t="n"/>
    </row>
    <row r="1439">
      <c r="A1439" s="134" t="inlineStr">
        <is>
          <t>20734XXX</t>
        </is>
      </c>
      <c r="B1439" s="246" t="inlineStr">
        <is>
          <t>TAVERNITI   CHOMBA M/C</t>
        </is>
      </c>
      <c r="C1439" s="88" t="n">
        <v>63500</v>
      </c>
      <c r="D1439" s="88" t="n"/>
      <c r="E1439" s="219" t="n"/>
      <c r="F1439" s="219" t="n"/>
      <c r="G1439" s="219" t="n"/>
      <c r="H1439" s="219" t="n"/>
      <c r="I1439" s="219" t="n"/>
      <c r="J1439" s="219" t="n"/>
      <c r="K1439" s="219" t="n"/>
      <c r="L1439" s="183" t="n"/>
      <c r="M1439" s="219" t="n"/>
      <c r="N1439" s="219" t="n"/>
      <c r="O1439" s="117">
        <f>C1439*P1439</f>
        <v/>
      </c>
      <c r="P1439" s="22" t="n">
        <v>1.045</v>
      </c>
      <c r="R1439" s="117" t="n"/>
      <c r="T1439" s="117" t="n"/>
    </row>
    <row r="1440">
      <c r="A1440" s="134" t="inlineStr">
        <is>
          <t>20736XXX</t>
        </is>
      </c>
      <c r="B1440" s="246" t="inlineStr">
        <is>
          <t>TAVERNITI   CHOMBA M/C</t>
        </is>
      </c>
      <c r="C1440" s="88" t="n">
        <v>75000</v>
      </c>
      <c r="D1440" s="88" t="n"/>
      <c r="E1440" s="219" t="n"/>
      <c r="F1440" s="219" t="n"/>
      <c r="G1440" s="219" t="n"/>
      <c r="H1440" s="219" t="n"/>
      <c r="I1440" s="219" t="n"/>
      <c r="J1440" s="219" t="n"/>
      <c r="K1440" s="219" t="n"/>
      <c r="L1440" s="183" t="n"/>
      <c r="M1440" s="219" t="n"/>
      <c r="N1440" s="219" t="n"/>
      <c r="O1440" s="117">
        <f>C1440*P1440</f>
        <v/>
      </c>
      <c r="P1440" s="22" t="n">
        <v>1.045</v>
      </c>
      <c r="R1440" s="117" t="n"/>
      <c r="T1440" s="117" t="n"/>
    </row>
    <row r="1441">
      <c r="A1441" s="134" t="inlineStr">
        <is>
          <t>20738XXX</t>
        </is>
      </c>
      <c r="B1441" s="246" t="inlineStr">
        <is>
          <t>TAVERNITI   CHOMBA M/C</t>
        </is>
      </c>
      <c r="C1441" s="88" t="n">
        <v>65500</v>
      </c>
      <c r="D1441" s="88" t="n"/>
      <c r="E1441" s="219" t="n"/>
      <c r="F1441" s="219" t="n"/>
      <c r="G1441" s="219" t="n"/>
      <c r="H1441" s="219" t="n"/>
      <c r="I1441" s="219" t="n"/>
      <c r="J1441" s="219" t="n"/>
      <c r="K1441" s="219" t="n"/>
      <c r="L1441" s="183" t="n"/>
      <c r="M1441" s="219" t="n"/>
      <c r="N1441" s="219" t="n"/>
      <c r="O1441" s="117">
        <f>C1441*P1441</f>
        <v/>
      </c>
      <c r="P1441" s="22" t="n">
        <v>1.045</v>
      </c>
      <c r="R1441" s="117" t="n"/>
      <c r="T1441" s="117" t="n"/>
    </row>
    <row r="1442">
      <c r="A1442" s="89" t="inlineStr">
        <is>
          <t>20740XXX</t>
        </is>
      </c>
      <c r="B1442" s="135" t="inlineStr">
        <is>
          <t>TAVERNITI   CHOMBA M/C</t>
        </is>
      </c>
      <c r="C1442" s="88" t="n">
        <v>68600</v>
      </c>
      <c r="D1442" s="170" t="n"/>
      <c r="E1442" s="170" t="n"/>
      <c r="F1442" s="170" t="n"/>
      <c r="G1442" s="170" t="n"/>
      <c r="H1442" s="170" t="n"/>
      <c r="I1442" s="170" t="n"/>
      <c r="J1442" s="170" t="n"/>
      <c r="K1442" s="170" t="n"/>
      <c r="L1442" s="170" t="n"/>
      <c r="M1442" s="170" t="n"/>
      <c r="N1442" s="170" t="n"/>
      <c r="O1442" s="150">
        <f>C1442*P1442</f>
        <v/>
      </c>
      <c r="P1442" s="22" t="n">
        <v>1.045</v>
      </c>
      <c r="Q1442" s="30" t="n"/>
      <c r="R1442" s="170" t="n"/>
      <c r="S1442" s="30" t="n"/>
      <c r="T1442" s="170" t="n"/>
      <c r="U1442" s="30" t="n"/>
      <c r="V1442" s="30" t="n"/>
      <c r="W1442" s="30" t="n"/>
      <c r="X1442" s="30" t="n"/>
      <c r="Y1442" s="30" t="n"/>
      <c r="Z1442" s="30" t="n"/>
      <c r="AA1442" s="30" t="n"/>
      <c r="AB1442" s="30" t="n"/>
      <c r="AC1442" s="30" t="n"/>
      <c r="AD1442" s="30" t="n"/>
      <c r="AE1442" s="30" t="n"/>
      <c r="AF1442" s="30" t="n"/>
      <c r="AG1442" s="30" t="n"/>
      <c r="AH1442" s="30" t="n"/>
      <c r="AI1442" s="30" t="n"/>
      <c r="AJ1442" s="30" t="n"/>
      <c r="AK1442" s="30" t="n"/>
      <c r="AL1442" s="30" t="n"/>
      <c r="AM1442" s="30" t="n"/>
      <c r="AN1442" s="30" t="n"/>
      <c r="AO1442" s="30" t="n"/>
    </row>
    <row r="1443">
      <c r="A1443" s="134" t="inlineStr">
        <is>
          <t>20742XXX</t>
        </is>
      </c>
      <c r="B1443" s="246" t="inlineStr">
        <is>
          <t>TAVERNITI   CHOMBA M/C</t>
        </is>
      </c>
      <c r="C1443" s="88" t="n">
        <v>63000</v>
      </c>
      <c r="D1443" s="88" t="n"/>
      <c r="E1443" s="219" t="n"/>
      <c r="F1443" s="219" t="n"/>
      <c r="G1443" s="219" t="n"/>
      <c r="H1443" s="219" t="n"/>
      <c r="I1443" s="219" t="n"/>
      <c r="J1443" s="219" t="n"/>
      <c r="K1443" s="219" t="n"/>
      <c r="L1443" s="183" t="n"/>
      <c r="M1443" s="219" t="n"/>
      <c r="N1443" s="219" t="n"/>
      <c r="O1443" s="117">
        <f>C1443*P1443</f>
        <v/>
      </c>
      <c r="P1443" s="22" t="n">
        <v>1.045</v>
      </c>
      <c r="R1443" s="117" t="n"/>
      <c r="T1443" s="117" t="n"/>
    </row>
    <row r="1444">
      <c r="A1444" s="89" t="inlineStr">
        <is>
          <t>20744XXX</t>
        </is>
      </c>
      <c r="B1444" s="135" t="inlineStr">
        <is>
          <t>TAVERNITI   CHOMBA M/C</t>
        </is>
      </c>
      <c r="C1444" s="88" t="n">
        <v>63500</v>
      </c>
      <c r="D1444" s="170" t="n"/>
      <c r="E1444" s="170" t="n"/>
      <c r="F1444" s="170" t="n"/>
      <c r="G1444" s="170" t="n"/>
      <c r="H1444" s="170" t="n"/>
      <c r="I1444" s="170" t="n"/>
      <c r="J1444" s="170" t="n"/>
      <c r="K1444" s="170" t="n"/>
      <c r="L1444" s="170" t="n"/>
      <c r="M1444" s="170" t="n"/>
      <c r="N1444" s="170" t="n"/>
      <c r="O1444" s="150">
        <f>C1444*P1444</f>
        <v/>
      </c>
      <c r="P1444" s="22" t="n">
        <v>1.045</v>
      </c>
      <c r="Q1444" s="30" t="n"/>
      <c r="R1444" s="170" t="n"/>
      <c r="S1444" s="30" t="n"/>
      <c r="T1444" s="170" t="n"/>
      <c r="U1444" s="30" t="n"/>
      <c r="V1444" s="30" t="n"/>
      <c r="W1444" s="30" t="n"/>
      <c r="X1444" s="30" t="n"/>
      <c r="Y1444" s="30" t="n"/>
      <c r="Z1444" s="30" t="n"/>
      <c r="AA1444" s="30" t="n"/>
      <c r="AB1444" s="30" t="n"/>
      <c r="AC1444" s="30" t="n"/>
      <c r="AD1444" s="30" t="n"/>
      <c r="AE1444" s="30" t="n"/>
      <c r="AF1444" s="30" t="n"/>
      <c r="AG1444" s="30" t="n"/>
      <c r="AH1444" s="30" t="n"/>
      <c r="AI1444" s="30" t="n"/>
      <c r="AJ1444" s="30" t="n"/>
      <c r="AK1444" s="30" t="n"/>
      <c r="AL1444" s="30" t="n"/>
      <c r="AM1444" s="30" t="n"/>
      <c r="AN1444" s="30" t="n"/>
      <c r="AO1444" s="30" t="n"/>
    </row>
    <row r="1445">
      <c r="A1445" s="134" t="inlineStr">
        <is>
          <t>20746XXX</t>
        </is>
      </c>
      <c r="B1445" s="246" t="inlineStr">
        <is>
          <t>TAVERNITI   CHOMBA M/C</t>
        </is>
      </c>
      <c r="C1445" s="88" t="n">
        <v>63000</v>
      </c>
      <c r="D1445" s="88" t="n"/>
      <c r="E1445" s="219" t="n"/>
      <c r="F1445" s="219" t="n"/>
      <c r="G1445" s="219" t="n"/>
      <c r="H1445" s="219" t="n"/>
      <c r="I1445" s="219" t="n"/>
      <c r="J1445" s="219" t="n"/>
      <c r="K1445" s="219" t="n"/>
      <c r="L1445" s="183" t="n"/>
      <c r="M1445" s="219" t="n"/>
      <c r="N1445" s="219" t="n"/>
      <c r="O1445" s="117">
        <f>C1445*P1445</f>
        <v/>
      </c>
      <c r="P1445" s="22" t="n">
        <v>1.045</v>
      </c>
      <c r="R1445" s="117" t="n"/>
      <c r="T1445" s="117" t="n"/>
    </row>
    <row r="1446">
      <c r="A1446" s="89" t="inlineStr">
        <is>
          <t>20748XXX</t>
        </is>
      </c>
      <c r="B1446" s="135" t="inlineStr">
        <is>
          <t>TAVERNITI   CHOMBA M/C</t>
        </is>
      </c>
      <c r="C1446" s="88" t="n">
        <v>63000</v>
      </c>
      <c r="D1446" s="170" t="n"/>
      <c r="E1446" s="170" t="n"/>
      <c r="F1446" s="170" t="n"/>
      <c r="G1446" s="170" t="n"/>
      <c r="H1446" s="170" t="n"/>
      <c r="I1446" s="170" t="n"/>
      <c r="J1446" s="170" t="n"/>
      <c r="K1446" s="170" t="n"/>
      <c r="L1446" s="170" t="n"/>
      <c r="M1446" s="170" t="n"/>
      <c r="N1446" s="170" t="n"/>
      <c r="O1446" s="150">
        <f>C1446*P1446</f>
        <v/>
      </c>
      <c r="P1446" s="22" t="n">
        <v>1.045</v>
      </c>
      <c r="Q1446" s="30" t="n"/>
      <c r="R1446" s="170" t="n"/>
      <c r="S1446" s="30" t="n"/>
      <c r="T1446" s="170" t="n"/>
      <c r="U1446" s="30" t="n"/>
      <c r="V1446" s="30" t="n"/>
      <c r="W1446" s="30" t="n"/>
      <c r="X1446" s="30" t="n"/>
      <c r="Y1446" s="30" t="n"/>
      <c r="Z1446" s="30" t="n"/>
      <c r="AA1446" s="30" t="n"/>
      <c r="AB1446" s="30" t="n"/>
      <c r="AC1446" s="30" t="n"/>
      <c r="AD1446" s="30" t="n"/>
      <c r="AE1446" s="30" t="n"/>
      <c r="AF1446" s="30" t="n"/>
      <c r="AG1446" s="30" t="n"/>
      <c r="AH1446" s="30" t="n"/>
      <c r="AI1446" s="30" t="n"/>
      <c r="AJ1446" s="30" t="n"/>
      <c r="AK1446" s="30" t="n"/>
      <c r="AL1446" s="30" t="n"/>
      <c r="AM1446" s="30" t="n"/>
      <c r="AN1446" s="30" t="n"/>
      <c r="AO1446" s="30" t="n"/>
    </row>
    <row r="1447">
      <c r="A1447" s="89" t="inlineStr">
        <is>
          <t>20892XXX</t>
        </is>
      </c>
      <c r="B1447" s="135" t="inlineStr">
        <is>
          <t>TAVERNITI   CHOMBA M/C</t>
        </is>
      </c>
      <c r="C1447" s="88" t="n">
        <v>68600</v>
      </c>
      <c r="D1447" s="170" t="n"/>
      <c r="E1447" s="170" t="n"/>
      <c r="F1447" s="170" t="n"/>
      <c r="G1447" s="170" t="n"/>
      <c r="H1447" s="170" t="n"/>
      <c r="I1447" s="170" t="n"/>
      <c r="J1447" s="170" t="n"/>
      <c r="K1447" s="170" t="n"/>
      <c r="L1447" s="170" t="n"/>
      <c r="M1447" s="170" t="n"/>
      <c r="N1447" s="170" t="n"/>
      <c r="O1447" s="150">
        <f>C1447*P1447</f>
        <v/>
      </c>
      <c r="P1447" s="22" t="n">
        <v>1.045</v>
      </c>
      <c r="Q1447" s="30" t="n"/>
      <c r="R1447" s="170" t="n"/>
      <c r="S1447" s="30" t="n"/>
      <c r="T1447" s="170" t="n"/>
      <c r="U1447" s="30" t="n"/>
      <c r="V1447" s="30" t="n"/>
      <c r="W1447" s="30" t="n"/>
      <c r="X1447" s="30" t="n"/>
      <c r="Y1447" s="30" t="n"/>
      <c r="Z1447" s="30" t="n"/>
      <c r="AA1447" s="30" t="n"/>
      <c r="AB1447" s="30" t="n"/>
      <c r="AC1447" s="30" t="n"/>
      <c r="AD1447" s="30" t="n"/>
      <c r="AE1447" s="30" t="n"/>
      <c r="AF1447" s="30" t="n"/>
      <c r="AG1447" s="30" t="n"/>
      <c r="AH1447" s="30" t="n"/>
      <c r="AI1447" s="30" t="n"/>
      <c r="AJ1447" s="30" t="n"/>
      <c r="AK1447" s="30" t="n"/>
      <c r="AL1447" s="30" t="n"/>
      <c r="AM1447" s="30" t="n"/>
      <c r="AN1447" s="30" t="n"/>
      <c r="AO1447" s="30" t="n"/>
    </row>
    <row r="1448">
      <c r="A1448" s="89" t="inlineStr">
        <is>
          <t>20896XXX</t>
        </is>
      </c>
      <c r="B1448" s="123" t="inlineStr">
        <is>
          <t>TAVERNITI   CHOMBA M/C</t>
        </is>
      </c>
      <c r="C1448" s="88" t="n">
        <v>68600</v>
      </c>
      <c r="D1448" s="170" t="n"/>
      <c r="E1448" s="170" t="n"/>
      <c r="F1448" s="170" t="n"/>
      <c r="G1448" s="170" t="n"/>
      <c r="H1448" s="170" t="n"/>
      <c r="I1448" s="170" t="n"/>
      <c r="J1448" s="170" t="n"/>
      <c r="K1448" s="170" t="n"/>
      <c r="L1448" s="170" t="n"/>
      <c r="M1448" s="170" t="n"/>
      <c r="N1448" s="170" t="n"/>
      <c r="O1448" s="150">
        <f>C1448*P1448</f>
        <v/>
      </c>
      <c r="P1448" s="22" t="n">
        <v>1.045</v>
      </c>
      <c r="Q1448" s="30" t="n"/>
      <c r="R1448" s="170" t="n"/>
      <c r="S1448" s="30" t="n"/>
      <c r="T1448" s="170" t="n"/>
      <c r="U1448" s="30" t="n"/>
      <c r="V1448" s="30" t="n"/>
      <c r="W1448" s="30" t="n"/>
      <c r="X1448" s="30" t="n"/>
      <c r="Y1448" s="30" t="n"/>
      <c r="Z1448" s="30" t="n"/>
      <c r="AA1448" s="30" t="n"/>
      <c r="AB1448" s="30" t="n"/>
      <c r="AC1448" s="30" t="n"/>
      <c r="AD1448" s="30" t="n"/>
      <c r="AE1448" s="30" t="n"/>
      <c r="AF1448" s="30" t="n"/>
      <c r="AG1448" s="30" t="n"/>
      <c r="AH1448" s="30" t="n"/>
      <c r="AI1448" s="30" t="n"/>
      <c r="AJ1448" s="30" t="n"/>
      <c r="AK1448" s="30" t="n"/>
      <c r="AL1448" s="30" t="n"/>
      <c r="AM1448" s="30" t="n"/>
      <c r="AN1448" s="30" t="n"/>
      <c r="AO1448" s="30" t="n"/>
    </row>
    <row r="1449">
      <c r="A1449" s="89" t="inlineStr">
        <is>
          <t>20944XXX</t>
        </is>
      </c>
      <c r="B1449" s="135" t="inlineStr">
        <is>
          <t>TAVERNITI   CHOMBA M/C</t>
        </is>
      </c>
      <c r="C1449" s="88" t="n">
        <v>68600</v>
      </c>
      <c r="D1449" s="170" t="n"/>
      <c r="E1449" s="170" t="n"/>
      <c r="F1449" s="170" t="n"/>
      <c r="G1449" s="170" t="n"/>
      <c r="H1449" s="170" t="n"/>
      <c r="I1449" s="170" t="n"/>
      <c r="J1449" s="170" t="n"/>
      <c r="K1449" s="170" t="n"/>
      <c r="L1449" s="170" t="n"/>
      <c r="M1449" s="170" t="n"/>
      <c r="N1449" s="170" t="n"/>
      <c r="O1449" s="150">
        <f>C1449*P1449</f>
        <v/>
      </c>
      <c r="P1449" s="22" t="n">
        <v>1.045</v>
      </c>
      <c r="Q1449" s="30" t="n"/>
      <c r="R1449" s="170" t="n"/>
      <c r="S1449" s="30" t="n"/>
      <c r="T1449" s="170" t="n"/>
      <c r="U1449" s="30" t="n"/>
      <c r="V1449" s="30" t="n"/>
      <c r="W1449" s="30" t="n"/>
      <c r="X1449" s="30" t="n"/>
      <c r="Y1449" s="30" t="n"/>
      <c r="Z1449" s="30" t="n"/>
      <c r="AA1449" s="30" t="n"/>
      <c r="AB1449" s="30" t="n"/>
      <c r="AC1449" s="30" t="n"/>
      <c r="AD1449" s="30" t="n"/>
      <c r="AE1449" s="30" t="n"/>
      <c r="AF1449" s="30" t="n"/>
      <c r="AG1449" s="30" t="n"/>
      <c r="AH1449" s="30" t="n"/>
      <c r="AI1449" s="30" t="n"/>
      <c r="AJ1449" s="30" t="n"/>
      <c r="AK1449" s="30" t="n"/>
      <c r="AL1449" s="30" t="n"/>
      <c r="AM1449" s="30" t="n"/>
      <c r="AN1449" s="30" t="n"/>
      <c r="AO1449" s="30" t="n"/>
    </row>
    <row r="1450">
      <c r="A1450" s="89" t="inlineStr">
        <is>
          <t>20948XXX</t>
        </is>
      </c>
      <c r="B1450" s="135" t="inlineStr">
        <is>
          <t>TAVERNITI   CHOMBA M/C</t>
        </is>
      </c>
      <c r="C1450" s="88" t="n">
        <v>68600</v>
      </c>
      <c r="D1450" s="170" t="n"/>
      <c r="E1450" s="170" t="n"/>
      <c r="F1450" s="170" t="n"/>
      <c r="G1450" s="170" t="n"/>
      <c r="H1450" s="170" t="n"/>
      <c r="I1450" s="170" t="n"/>
      <c r="J1450" s="170" t="n"/>
      <c r="K1450" s="170" t="n"/>
      <c r="L1450" s="170" t="n"/>
      <c r="M1450" s="170" t="n"/>
      <c r="N1450" s="170" t="n"/>
      <c r="O1450" s="150">
        <f>C1450*P1450</f>
        <v/>
      </c>
      <c r="P1450" s="22" t="n">
        <v>1.045</v>
      </c>
      <c r="Q1450" s="30" t="n"/>
      <c r="R1450" s="170" t="n"/>
      <c r="S1450" s="30" t="n"/>
      <c r="T1450" s="170" t="n"/>
      <c r="U1450" s="30" t="n"/>
      <c r="V1450" s="30" t="n"/>
      <c r="W1450" s="30" t="n"/>
      <c r="X1450" s="30" t="n"/>
      <c r="Y1450" s="30" t="n"/>
      <c r="Z1450" s="30" t="n"/>
      <c r="AA1450" s="30" t="n"/>
      <c r="AB1450" s="30" t="n"/>
      <c r="AC1450" s="30" t="n"/>
      <c r="AD1450" s="30" t="n"/>
      <c r="AE1450" s="30" t="n"/>
      <c r="AF1450" s="30" t="n"/>
      <c r="AG1450" s="30" t="n"/>
      <c r="AH1450" s="30" t="n"/>
      <c r="AI1450" s="30" t="n"/>
      <c r="AJ1450" s="30" t="n"/>
      <c r="AK1450" s="30" t="n"/>
      <c r="AL1450" s="30" t="n"/>
      <c r="AM1450" s="30" t="n"/>
      <c r="AN1450" s="30" t="n"/>
      <c r="AO1450" s="30" t="n"/>
    </row>
    <row r="1451">
      <c r="A1451" s="89" t="inlineStr">
        <is>
          <t>20952XXX</t>
        </is>
      </c>
      <c r="B1451" s="135" t="inlineStr">
        <is>
          <t>TAVERNITI   CHOMBA M/C</t>
        </is>
      </c>
      <c r="C1451" s="88" t="n">
        <v>68600</v>
      </c>
      <c r="D1451" s="170" t="n"/>
      <c r="E1451" s="170" t="n"/>
      <c r="F1451" s="170" t="n"/>
      <c r="G1451" s="170" t="n"/>
      <c r="H1451" s="170" t="n"/>
      <c r="I1451" s="170" t="n"/>
      <c r="J1451" s="170" t="n"/>
      <c r="K1451" s="170" t="n"/>
      <c r="L1451" s="170" t="n"/>
      <c r="M1451" s="170" t="n"/>
      <c r="N1451" s="170" t="n"/>
      <c r="O1451" s="150">
        <f>C1451*P1451</f>
        <v/>
      </c>
      <c r="P1451" s="22" t="n">
        <v>1.045</v>
      </c>
      <c r="Q1451" s="30" t="n"/>
      <c r="R1451" s="170" t="n"/>
      <c r="S1451" s="30" t="n"/>
      <c r="T1451" s="170" t="n"/>
      <c r="U1451" s="30" t="n"/>
      <c r="V1451" s="30" t="n"/>
      <c r="W1451" s="30" t="n"/>
      <c r="X1451" s="30" t="n"/>
      <c r="Y1451" s="30" t="n"/>
      <c r="Z1451" s="30" t="n"/>
      <c r="AA1451" s="30" t="n"/>
      <c r="AB1451" s="30" t="n"/>
      <c r="AC1451" s="30" t="n"/>
      <c r="AD1451" s="30" t="n"/>
      <c r="AE1451" s="30" t="n"/>
      <c r="AF1451" s="30" t="n"/>
      <c r="AG1451" s="30" t="n"/>
      <c r="AH1451" s="30" t="n"/>
      <c r="AI1451" s="30" t="n"/>
      <c r="AJ1451" s="30" t="n"/>
      <c r="AK1451" s="30" t="n"/>
      <c r="AL1451" s="30" t="n"/>
      <c r="AM1451" s="30" t="n"/>
      <c r="AN1451" s="30" t="n"/>
      <c r="AO1451" s="30" t="n"/>
    </row>
    <row r="1452">
      <c r="A1452" s="89" t="inlineStr">
        <is>
          <t>20954XXX</t>
        </is>
      </c>
      <c r="B1452" s="135" t="inlineStr">
        <is>
          <t>TAVERNITI   CHOMBA M/C</t>
        </is>
      </c>
      <c r="C1452" s="88" t="n">
        <v>71200</v>
      </c>
      <c r="D1452" s="170" t="n"/>
      <c r="E1452" s="170" t="n"/>
      <c r="F1452" s="170" t="n"/>
      <c r="G1452" s="170" t="n"/>
      <c r="H1452" s="170" t="n"/>
      <c r="I1452" s="170" t="n"/>
      <c r="J1452" s="170" t="n"/>
      <c r="K1452" s="170" t="n"/>
      <c r="L1452" s="170" t="n"/>
      <c r="M1452" s="170" t="n"/>
      <c r="N1452" s="170" t="n"/>
      <c r="O1452" s="150">
        <f>C1452*P1452</f>
        <v/>
      </c>
      <c r="P1452" s="22" t="n">
        <v>1.045</v>
      </c>
      <c r="Q1452" s="30" t="n"/>
      <c r="R1452" s="170" t="n"/>
      <c r="S1452" s="30" t="n"/>
      <c r="T1452" s="170" t="n"/>
      <c r="U1452" s="30" t="n"/>
      <c r="V1452" s="30" t="n"/>
      <c r="W1452" s="30" t="n"/>
      <c r="X1452" s="30" t="n"/>
      <c r="Y1452" s="30" t="n"/>
      <c r="Z1452" s="30" t="n"/>
      <c r="AA1452" s="30" t="n"/>
      <c r="AB1452" s="30" t="n"/>
      <c r="AC1452" s="30" t="n"/>
      <c r="AD1452" s="30" t="n"/>
      <c r="AE1452" s="30" t="n"/>
      <c r="AF1452" s="30" t="n"/>
      <c r="AG1452" s="30" t="n"/>
      <c r="AH1452" s="30" t="n"/>
      <c r="AI1452" s="30" t="n"/>
      <c r="AJ1452" s="30" t="n"/>
      <c r="AK1452" s="30" t="n"/>
      <c r="AL1452" s="30" t="n"/>
      <c r="AM1452" s="30" t="n"/>
      <c r="AN1452" s="30" t="n"/>
      <c r="AO1452" s="30" t="n"/>
    </row>
    <row r="1453">
      <c r="A1453" s="89" t="inlineStr">
        <is>
          <t>20960XXX</t>
        </is>
      </c>
      <c r="B1453" s="135" t="inlineStr">
        <is>
          <t>TAVERNITI   CHOMBA M/C</t>
        </is>
      </c>
      <c r="C1453" s="88" t="n">
        <v>71200</v>
      </c>
      <c r="D1453" s="170" t="n"/>
      <c r="E1453" s="170" t="n"/>
      <c r="F1453" s="170" t="n"/>
      <c r="G1453" s="170" t="n"/>
      <c r="H1453" s="170" t="n"/>
      <c r="I1453" s="170" t="n"/>
      <c r="J1453" s="170" t="n"/>
      <c r="K1453" s="170" t="n"/>
      <c r="L1453" s="170" t="n"/>
      <c r="M1453" s="170" t="n"/>
      <c r="N1453" s="170" t="n"/>
      <c r="O1453" s="150">
        <f>C1453*P1453</f>
        <v/>
      </c>
      <c r="P1453" s="22" t="n">
        <v>1.045</v>
      </c>
      <c r="Q1453" s="30" t="n"/>
      <c r="R1453" s="170" t="n"/>
      <c r="S1453" s="30" t="n"/>
      <c r="T1453" s="170" t="n"/>
      <c r="U1453" s="30" t="n"/>
      <c r="V1453" s="30" t="n"/>
      <c r="W1453" s="30" t="n"/>
      <c r="X1453" s="30" t="n"/>
      <c r="Y1453" s="30" t="n"/>
      <c r="Z1453" s="30" t="n"/>
      <c r="AA1453" s="30" t="n"/>
      <c r="AB1453" s="30" t="n"/>
      <c r="AC1453" s="30" t="n"/>
      <c r="AD1453" s="30" t="n"/>
      <c r="AE1453" s="30" t="n"/>
      <c r="AF1453" s="30" t="n"/>
      <c r="AG1453" s="30" t="n"/>
      <c r="AH1453" s="30" t="n"/>
      <c r="AI1453" s="30" t="n"/>
      <c r="AJ1453" s="30" t="n"/>
      <c r="AK1453" s="30" t="n"/>
      <c r="AL1453" s="30" t="n"/>
      <c r="AM1453" s="30" t="n"/>
      <c r="AN1453" s="30" t="n"/>
      <c r="AO1453" s="30" t="n"/>
    </row>
    <row r="1454">
      <c r="A1454" s="89" t="inlineStr">
        <is>
          <t>20964XXX</t>
        </is>
      </c>
      <c r="B1454" s="135" t="inlineStr">
        <is>
          <t>TAVERNITI   CHOMBA M/C</t>
        </is>
      </c>
      <c r="C1454" s="88" t="n">
        <v>74500</v>
      </c>
      <c r="D1454" s="170" t="n"/>
      <c r="E1454" s="170" t="n"/>
      <c r="F1454" s="170" t="n"/>
      <c r="G1454" s="170" t="n"/>
      <c r="H1454" s="170" t="n"/>
      <c r="I1454" s="170" t="n"/>
      <c r="J1454" s="170" t="n"/>
      <c r="K1454" s="170" t="n"/>
      <c r="L1454" s="170" t="n"/>
      <c r="M1454" s="170" t="n"/>
      <c r="N1454" s="170" t="n"/>
      <c r="O1454" s="150">
        <f>C1454*P1454</f>
        <v/>
      </c>
      <c r="P1454" s="22" t="n">
        <v>1.045</v>
      </c>
      <c r="Q1454" s="30" t="n"/>
      <c r="R1454" s="170" t="n"/>
      <c r="S1454" s="30" t="n"/>
      <c r="T1454" s="170" t="n"/>
      <c r="U1454" s="30" t="n"/>
      <c r="V1454" s="30" t="n"/>
      <c r="W1454" s="30" t="n"/>
      <c r="X1454" s="30" t="n"/>
      <c r="Y1454" s="30" t="n"/>
      <c r="Z1454" s="30" t="n"/>
      <c r="AA1454" s="30" t="n"/>
      <c r="AB1454" s="30" t="n"/>
      <c r="AC1454" s="30" t="n"/>
      <c r="AD1454" s="30" t="n"/>
      <c r="AE1454" s="30" t="n"/>
      <c r="AF1454" s="30" t="n"/>
      <c r="AG1454" s="30" t="n"/>
      <c r="AH1454" s="30" t="n"/>
      <c r="AI1454" s="30" t="n"/>
      <c r="AJ1454" s="30" t="n"/>
      <c r="AK1454" s="30" t="n"/>
      <c r="AL1454" s="30" t="n"/>
      <c r="AM1454" s="30" t="n"/>
      <c r="AN1454" s="30" t="n"/>
      <c r="AO1454" s="30" t="n"/>
    </row>
    <row r="1455">
      <c r="A1455" s="89" t="inlineStr">
        <is>
          <t>21056XXX</t>
        </is>
      </c>
      <c r="B1455" s="135" t="inlineStr">
        <is>
          <t>TAVERNITI   CHOMBA M/C</t>
        </is>
      </c>
      <c r="C1455" s="88" t="n">
        <v>55500</v>
      </c>
      <c r="D1455" s="170" t="n"/>
      <c r="E1455" s="170" t="n"/>
      <c r="F1455" s="170" t="n"/>
      <c r="G1455" s="170" t="n"/>
      <c r="H1455" s="170" t="n"/>
      <c r="I1455" s="170" t="n"/>
      <c r="J1455" s="170" t="n"/>
      <c r="K1455" s="170" t="n"/>
      <c r="L1455" s="170" t="n"/>
      <c r="M1455" s="170" t="n"/>
      <c r="N1455" s="170" t="n"/>
      <c r="O1455" s="150">
        <f>C1455*P1455</f>
        <v/>
      </c>
      <c r="P1455" s="22" t="n">
        <v>1.045</v>
      </c>
      <c r="Q1455" s="30" t="n"/>
      <c r="R1455" s="170" t="n"/>
      <c r="S1455" s="30" t="n"/>
      <c r="T1455" s="170" t="n"/>
      <c r="U1455" s="30" t="n"/>
      <c r="V1455" s="30" t="n"/>
      <c r="W1455" s="30" t="n"/>
      <c r="X1455" s="30" t="n"/>
      <c r="Y1455" s="30" t="n"/>
      <c r="Z1455" s="30" t="n"/>
      <c r="AA1455" s="30" t="n"/>
      <c r="AB1455" s="30" t="n"/>
      <c r="AC1455" s="30" t="n"/>
      <c r="AD1455" s="30" t="n"/>
      <c r="AE1455" s="30" t="n"/>
      <c r="AF1455" s="30" t="n"/>
      <c r="AG1455" s="30" t="n"/>
      <c r="AH1455" s="30" t="n"/>
      <c r="AI1455" s="30" t="n"/>
      <c r="AJ1455" s="30" t="n"/>
      <c r="AK1455" s="30" t="n"/>
      <c r="AL1455" s="30" t="n"/>
      <c r="AM1455" s="30" t="n"/>
      <c r="AN1455" s="30" t="n"/>
      <c r="AO1455" s="30" t="n"/>
    </row>
    <row r="1456">
      <c r="A1456" s="89" t="inlineStr">
        <is>
          <t>21058XXX</t>
        </is>
      </c>
      <c r="B1456" s="135" t="inlineStr">
        <is>
          <t>TAVERNITI   CHOMBA M/C</t>
        </is>
      </c>
      <c r="C1456" s="88" t="n">
        <v>55500</v>
      </c>
      <c r="D1456" s="170" t="n"/>
      <c r="E1456" s="170" t="n"/>
      <c r="F1456" s="170" t="n"/>
      <c r="G1456" s="170" t="n"/>
      <c r="H1456" s="170" t="n"/>
      <c r="I1456" s="170" t="n"/>
      <c r="J1456" s="170" t="n"/>
      <c r="K1456" s="170" t="n"/>
      <c r="L1456" s="170" t="n"/>
      <c r="M1456" s="170" t="n"/>
      <c r="N1456" s="170" t="n"/>
      <c r="O1456" s="150">
        <f>C1456*P1456</f>
        <v/>
      </c>
      <c r="P1456" s="22" t="n">
        <v>1.045</v>
      </c>
      <c r="Q1456" s="30" t="n"/>
      <c r="R1456" s="170" t="n"/>
      <c r="S1456" s="30" t="n"/>
      <c r="T1456" s="170" t="n"/>
      <c r="U1456" s="30" t="n"/>
      <c r="V1456" s="30" t="n"/>
      <c r="W1456" s="30" t="n"/>
      <c r="X1456" s="30" t="n"/>
      <c r="Y1456" s="30" t="n"/>
      <c r="Z1456" s="30" t="n"/>
      <c r="AA1456" s="30" t="n"/>
      <c r="AB1456" s="30" t="n"/>
      <c r="AC1456" s="30" t="n"/>
      <c r="AD1456" s="30" t="n"/>
      <c r="AE1456" s="30" t="n"/>
      <c r="AF1456" s="30" t="n"/>
      <c r="AG1456" s="30" t="n"/>
      <c r="AH1456" s="30" t="n"/>
      <c r="AI1456" s="30" t="n"/>
      <c r="AJ1456" s="30" t="n"/>
      <c r="AK1456" s="30" t="n"/>
      <c r="AL1456" s="30" t="n"/>
      <c r="AM1456" s="30" t="n"/>
      <c r="AN1456" s="30" t="n"/>
      <c r="AO1456" s="30" t="n"/>
    </row>
    <row r="1457">
      <c r="A1457" s="89" t="inlineStr">
        <is>
          <t>21090XXX</t>
        </is>
      </c>
      <c r="B1457" s="135" t="inlineStr">
        <is>
          <t>TAVERNITI   CHOMBA M/C</t>
        </is>
      </c>
      <c r="C1457" s="88" t="n">
        <v>71200</v>
      </c>
      <c r="D1457" s="170" t="n"/>
      <c r="E1457" s="170" t="n"/>
      <c r="F1457" s="170" t="n"/>
      <c r="G1457" s="170" t="n"/>
      <c r="H1457" s="170" t="n"/>
      <c r="I1457" s="170" t="n"/>
      <c r="J1457" s="170" t="n"/>
      <c r="K1457" s="170" t="n"/>
      <c r="L1457" s="170" t="n"/>
      <c r="M1457" s="170" t="n"/>
      <c r="N1457" s="170" t="n"/>
      <c r="O1457" s="150">
        <f>C1457*P1457</f>
        <v/>
      </c>
      <c r="P1457" s="22" t="n">
        <v>1.045</v>
      </c>
      <c r="Q1457" s="30" t="n"/>
      <c r="R1457" s="170" t="n"/>
      <c r="S1457" s="30" t="n"/>
      <c r="T1457" s="170" t="n"/>
      <c r="U1457" s="30" t="n"/>
      <c r="V1457" s="30" t="n"/>
      <c r="W1457" s="30" t="n"/>
      <c r="X1457" s="30" t="n"/>
      <c r="Y1457" s="30" t="n"/>
      <c r="Z1457" s="30" t="n"/>
      <c r="AA1457" s="30" t="n"/>
      <c r="AB1457" s="30" t="n"/>
      <c r="AC1457" s="30" t="n"/>
      <c r="AD1457" s="30" t="n"/>
      <c r="AE1457" s="30" t="n"/>
      <c r="AF1457" s="30" t="n"/>
      <c r="AG1457" s="30" t="n"/>
      <c r="AH1457" s="30" t="n"/>
      <c r="AI1457" s="30" t="n"/>
      <c r="AJ1457" s="30" t="n"/>
      <c r="AK1457" s="30" t="n"/>
      <c r="AL1457" s="30" t="n"/>
      <c r="AM1457" s="30" t="n"/>
      <c r="AN1457" s="30" t="n"/>
      <c r="AO1457" s="30" t="n"/>
    </row>
    <row r="1458">
      <c r="A1458" s="89" t="inlineStr">
        <is>
          <t>21138XXX</t>
        </is>
      </c>
      <c r="B1458" s="135" t="inlineStr">
        <is>
          <t>TAVERNITI   CHOMBA M/C</t>
        </is>
      </c>
      <c r="C1458" s="88" t="n">
        <v>71200</v>
      </c>
      <c r="D1458" s="170" t="n"/>
      <c r="E1458" s="170" t="n"/>
      <c r="F1458" s="170" t="n"/>
      <c r="G1458" s="170" t="n"/>
      <c r="H1458" s="170" t="n"/>
      <c r="I1458" s="170" t="n"/>
      <c r="J1458" s="170" t="n"/>
      <c r="K1458" s="170" t="n"/>
      <c r="L1458" s="170" t="n"/>
      <c r="M1458" s="170" t="n"/>
      <c r="N1458" s="170" t="n"/>
      <c r="O1458" s="150">
        <f>C1458*P1458</f>
        <v/>
      </c>
      <c r="P1458" s="22" t="n">
        <v>1.045</v>
      </c>
      <c r="Q1458" s="30" t="n"/>
      <c r="R1458" s="170" t="n"/>
      <c r="S1458" s="30" t="n"/>
      <c r="T1458" s="170" t="n"/>
      <c r="U1458" s="30" t="n"/>
      <c r="V1458" s="30" t="n"/>
      <c r="W1458" s="30" t="n"/>
      <c r="X1458" s="30" t="n"/>
      <c r="Y1458" s="30" t="n"/>
      <c r="Z1458" s="30" t="n"/>
      <c r="AA1458" s="30" t="n"/>
      <c r="AB1458" s="30" t="n"/>
      <c r="AC1458" s="30" t="n"/>
      <c r="AD1458" s="30" t="n"/>
      <c r="AE1458" s="30" t="n"/>
      <c r="AF1458" s="30" t="n"/>
      <c r="AG1458" s="30" t="n"/>
      <c r="AH1458" s="30" t="n"/>
      <c r="AI1458" s="30" t="n"/>
      <c r="AJ1458" s="30" t="n"/>
      <c r="AK1458" s="30" t="n"/>
      <c r="AL1458" s="30" t="n"/>
      <c r="AM1458" s="30" t="n"/>
      <c r="AN1458" s="30" t="n"/>
      <c r="AO1458" s="30" t="n"/>
    </row>
    <row r="1459">
      <c r="A1459" s="89" t="inlineStr">
        <is>
          <t>21146XXX</t>
        </is>
      </c>
      <c r="B1459" s="135" t="inlineStr">
        <is>
          <t>TAVERNITI   CHOMBA M/C</t>
        </is>
      </c>
      <c r="C1459" s="88" t="n">
        <v>71200</v>
      </c>
      <c r="D1459" s="170" t="n"/>
      <c r="E1459" s="170" t="n"/>
      <c r="F1459" s="170" t="n"/>
      <c r="G1459" s="170" t="n"/>
      <c r="H1459" s="170" t="n"/>
      <c r="I1459" s="170" t="n"/>
      <c r="J1459" s="170" t="n"/>
      <c r="K1459" s="170" t="n"/>
      <c r="L1459" s="170" t="n"/>
      <c r="M1459" s="170" t="n"/>
      <c r="N1459" s="170" t="n"/>
      <c r="O1459" s="150">
        <f>C1459*P1459</f>
        <v/>
      </c>
      <c r="P1459" s="22" t="n">
        <v>1.045</v>
      </c>
      <c r="Q1459" s="30" t="n"/>
      <c r="R1459" s="170" t="n"/>
      <c r="S1459" s="30" t="n"/>
      <c r="T1459" s="170" t="n"/>
      <c r="U1459" s="30" t="n"/>
      <c r="V1459" s="30" t="n"/>
      <c r="W1459" s="30" t="n"/>
      <c r="X1459" s="30" t="n"/>
      <c r="Y1459" s="30" t="n"/>
      <c r="Z1459" s="30" t="n"/>
      <c r="AA1459" s="30" t="n"/>
      <c r="AB1459" s="30" t="n"/>
      <c r="AC1459" s="30" t="n"/>
      <c r="AD1459" s="30" t="n"/>
      <c r="AE1459" s="30" t="n"/>
      <c r="AF1459" s="30" t="n"/>
      <c r="AG1459" s="30" t="n"/>
      <c r="AH1459" s="30" t="n"/>
      <c r="AI1459" s="30" t="n"/>
      <c r="AJ1459" s="30" t="n"/>
      <c r="AK1459" s="30" t="n"/>
      <c r="AL1459" s="30" t="n"/>
      <c r="AM1459" s="30" t="n"/>
      <c r="AN1459" s="30" t="n"/>
      <c r="AO1459" s="30" t="n"/>
    </row>
    <row r="1460">
      <c r="A1460" s="89" t="inlineStr">
        <is>
          <t>21148XXX</t>
        </is>
      </c>
      <c r="B1460" s="135" t="inlineStr">
        <is>
          <t>TAVERNITI   CHOMBA M/C</t>
        </is>
      </c>
      <c r="C1460" s="88" t="n">
        <v>71200</v>
      </c>
      <c r="D1460" s="170" t="n"/>
      <c r="E1460" s="170" t="n"/>
      <c r="F1460" s="170" t="n"/>
      <c r="G1460" s="170" t="n"/>
      <c r="H1460" s="170" t="n"/>
      <c r="I1460" s="170" t="n"/>
      <c r="J1460" s="170" t="n"/>
      <c r="K1460" s="170" t="n"/>
      <c r="L1460" s="170" t="n"/>
      <c r="M1460" s="170" t="n"/>
      <c r="N1460" s="170" t="n"/>
      <c r="O1460" s="150">
        <f>C1460*P1460</f>
        <v/>
      </c>
      <c r="P1460" s="22" t="n">
        <v>1.045</v>
      </c>
      <c r="Q1460" s="30" t="n"/>
      <c r="R1460" s="170" t="n"/>
      <c r="S1460" s="30" t="n"/>
      <c r="T1460" s="170" t="n"/>
      <c r="U1460" s="30" t="n"/>
      <c r="V1460" s="30" t="n"/>
      <c r="W1460" s="30" t="n"/>
      <c r="X1460" s="30" t="n"/>
      <c r="Y1460" s="30" t="n"/>
      <c r="Z1460" s="30" t="n"/>
      <c r="AA1460" s="30" t="n"/>
      <c r="AB1460" s="30" t="n"/>
      <c r="AC1460" s="30" t="n"/>
      <c r="AD1460" s="30" t="n"/>
      <c r="AE1460" s="30" t="n"/>
      <c r="AF1460" s="30" t="n"/>
      <c r="AG1460" s="30" t="n"/>
      <c r="AH1460" s="30" t="n"/>
      <c r="AI1460" s="30" t="n"/>
      <c r="AJ1460" s="30" t="n"/>
      <c r="AK1460" s="30" t="n"/>
      <c r="AL1460" s="30" t="n"/>
      <c r="AM1460" s="30" t="n"/>
      <c r="AN1460" s="30" t="n"/>
      <c r="AO1460" s="30" t="n"/>
    </row>
    <row r="1461">
      <c r="A1461" s="89" t="inlineStr">
        <is>
          <t>21150XXX</t>
        </is>
      </c>
      <c r="B1461" s="135" t="inlineStr">
        <is>
          <t>TAVERNITI   CHOMBA M/C</t>
        </is>
      </c>
      <c r="C1461" s="88" t="n">
        <v>74500</v>
      </c>
      <c r="D1461" s="170" t="n"/>
      <c r="E1461" s="170" t="n"/>
      <c r="F1461" s="170" t="n"/>
      <c r="G1461" s="170" t="n"/>
      <c r="H1461" s="170" t="n"/>
      <c r="I1461" s="170" t="n"/>
      <c r="J1461" s="170" t="n"/>
      <c r="K1461" s="170" t="n"/>
      <c r="L1461" s="170" t="n"/>
      <c r="M1461" s="170" t="n"/>
      <c r="N1461" s="170" t="n"/>
      <c r="O1461" s="150">
        <f>C1461*P1461</f>
        <v/>
      </c>
      <c r="P1461" s="22" t="n">
        <v>1.045</v>
      </c>
      <c r="Q1461" s="30" t="n"/>
      <c r="R1461" s="170" t="n"/>
      <c r="S1461" s="30" t="n"/>
      <c r="T1461" s="170" t="n"/>
      <c r="U1461" s="30" t="n"/>
      <c r="V1461" s="30" t="n"/>
      <c r="W1461" s="30" t="n"/>
      <c r="X1461" s="30" t="n"/>
      <c r="Y1461" s="30" t="n"/>
      <c r="Z1461" s="30" t="n"/>
      <c r="AA1461" s="30" t="n"/>
      <c r="AB1461" s="30" t="n"/>
      <c r="AC1461" s="30" t="n"/>
      <c r="AD1461" s="30" t="n"/>
      <c r="AE1461" s="30" t="n"/>
      <c r="AF1461" s="30" t="n"/>
      <c r="AG1461" s="30" t="n"/>
      <c r="AH1461" s="30" t="n"/>
      <c r="AI1461" s="30" t="n"/>
      <c r="AJ1461" s="30" t="n"/>
      <c r="AK1461" s="30" t="n"/>
      <c r="AL1461" s="30" t="n"/>
      <c r="AM1461" s="30" t="n"/>
      <c r="AN1461" s="30" t="n"/>
      <c r="AO1461" s="30" t="n"/>
    </row>
    <row r="1462">
      <c r="A1462" s="89" t="inlineStr">
        <is>
          <t>21152XXX</t>
        </is>
      </c>
      <c r="B1462" s="135" t="inlineStr">
        <is>
          <t>TAVERNITI   CHOMBA M/C</t>
        </is>
      </c>
      <c r="C1462" s="88" t="n">
        <v>71200</v>
      </c>
      <c r="D1462" s="170" t="n"/>
      <c r="E1462" s="170" t="n"/>
      <c r="F1462" s="170" t="n"/>
      <c r="G1462" s="170" t="n"/>
      <c r="H1462" s="170" t="n"/>
      <c r="I1462" s="170" t="n"/>
      <c r="J1462" s="170" t="n"/>
      <c r="K1462" s="170" t="n"/>
      <c r="L1462" s="170" t="n"/>
      <c r="M1462" s="170" t="n"/>
      <c r="N1462" s="170" t="n"/>
      <c r="O1462" s="150">
        <f>C1462*P1462</f>
        <v/>
      </c>
      <c r="P1462" s="22" t="n">
        <v>1.045</v>
      </c>
      <c r="Q1462" s="30" t="n"/>
      <c r="R1462" s="170" t="n"/>
      <c r="S1462" s="30" t="n"/>
      <c r="T1462" s="170" t="n"/>
      <c r="U1462" s="30" t="n"/>
      <c r="V1462" s="30" t="n"/>
      <c r="W1462" s="30" t="n"/>
      <c r="X1462" s="30" t="n"/>
      <c r="Y1462" s="30" t="n"/>
      <c r="Z1462" s="30" t="n"/>
      <c r="AA1462" s="30" t="n"/>
      <c r="AB1462" s="30" t="n"/>
      <c r="AC1462" s="30" t="n"/>
      <c r="AD1462" s="30" t="n"/>
      <c r="AE1462" s="30" t="n"/>
      <c r="AF1462" s="30" t="n"/>
      <c r="AG1462" s="30" t="n"/>
      <c r="AH1462" s="30" t="n"/>
      <c r="AI1462" s="30" t="n"/>
      <c r="AJ1462" s="30" t="n"/>
      <c r="AK1462" s="30" t="n"/>
      <c r="AL1462" s="30" t="n"/>
      <c r="AM1462" s="30" t="n"/>
      <c r="AN1462" s="30" t="n"/>
      <c r="AO1462" s="30" t="n"/>
    </row>
    <row r="1463">
      <c r="A1463" s="89" t="inlineStr">
        <is>
          <t>21290XXX</t>
        </is>
      </c>
      <c r="B1463" s="135" t="inlineStr">
        <is>
          <t>TAVERNITI   CHOMBA M/C</t>
        </is>
      </c>
      <c r="C1463" s="88" t="n">
        <v>62900</v>
      </c>
      <c r="D1463" s="170" t="n"/>
      <c r="E1463" s="170" t="n"/>
      <c r="F1463" s="170" t="n"/>
      <c r="G1463" s="170" t="n"/>
      <c r="H1463" s="170" t="n"/>
      <c r="I1463" s="170" t="n"/>
      <c r="J1463" s="170" t="n"/>
      <c r="K1463" s="170" t="n"/>
      <c r="L1463" s="170" t="n"/>
      <c r="M1463" s="170" t="n"/>
      <c r="N1463" s="170" t="n"/>
      <c r="O1463" s="150">
        <f>C1463*P1463</f>
        <v/>
      </c>
      <c r="P1463" s="22" t="n">
        <v>1.045</v>
      </c>
      <c r="Q1463" s="30" t="n"/>
      <c r="R1463" s="170" t="n"/>
      <c r="S1463" s="30" t="n"/>
      <c r="T1463" s="170" t="n"/>
      <c r="U1463" s="30" t="n"/>
      <c r="V1463" s="30" t="n"/>
      <c r="W1463" s="30" t="n"/>
      <c r="X1463" s="30" t="n"/>
      <c r="Y1463" s="30" t="n"/>
      <c r="Z1463" s="30" t="n"/>
      <c r="AA1463" s="30" t="n"/>
      <c r="AB1463" s="30" t="n"/>
      <c r="AC1463" s="30" t="n"/>
      <c r="AD1463" s="30" t="n"/>
      <c r="AE1463" s="30" t="n"/>
      <c r="AF1463" s="30" t="n"/>
      <c r="AG1463" s="30" t="n"/>
      <c r="AH1463" s="30" t="n"/>
      <c r="AI1463" s="30" t="n"/>
      <c r="AJ1463" s="30" t="n"/>
      <c r="AK1463" s="30" t="n"/>
      <c r="AL1463" s="30" t="n"/>
      <c r="AM1463" s="30" t="n"/>
      <c r="AN1463" s="30" t="n"/>
      <c r="AO1463" s="30" t="n"/>
    </row>
    <row r="1464">
      <c r="A1464" s="89" t="inlineStr">
        <is>
          <t>21292XXX</t>
        </is>
      </c>
      <c r="B1464" s="135" t="inlineStr">
        <is>
          <t>TAVERNITI   CHOMBA M/C</t>
        </is>
      </c>
      <c r="C1464" s="88" t="n">
        <v>69800</v>
      </c>
      <c r="D1464" s="170" t="n"/>
      <c r="E1464" s="170" t="n"/>
      <c r="F1464" s="170" t="n"/>
      <c r="G1464" s="170" t="n"/>
      <c r="H1464" s="170" t="n"/>
      <c r="I1464" s="170" t="n"/>
      <c r="J1464" s="170" t="n"/>
      <c r="K1464" s="170" t="n"/>
      <c r="L1464" s="170" t="n"/>
      <c r="M1464" s="170" t="n"/>
      <c r="N1464" s="170" t="n"/>
      <c r="O1464" s="150">
        <f>C1464*P1464</f>
        <v/>
      </c>
      <c r="P1464" s="22" t="n">
        <v>1.045</v>
      </c>
      <c r="Q1464" s="30" t="n"/>
      <c r="R1464" s="170" t="n"/>
      <c r="S1464" s="30" t="n"/>
      <c r="T1464" s="170" t="n"/>
      <c r="U1464" s="30" t="n"/>
      <c r="V1464" s="30" t="n"/>
      <c r="W1464" s="30" t="n"/>
      <c r="X1464" s="30" t="n"/>
      <c r="Y1464" s="30" t="n"/>
      <c r="Z1464" s="30" t="n"/>
      <c r="AA1464" s="30" t="n"/>
      <c r="AB1464" s="30" t="n"/>
      <c r="AC1464" s="30" t="n"/>
      <c r="AD1464" s="30" t="n"/>
      <c r="AE1464" s="30" t="n"/>
      <c r="AF1464" s="30" t="n"/>
      <c r="AG1464" s="30" t="n"/>
      <c r="AH1464" s="30" t="n"/>
      <c r="AI1464" s="30" t="n"/>
      <c r="AJ1464" s="30" t="n"/>
      <c r="AK1464" s="30" t="n"/>
      <c r="AL1464" s="30" t="n"/>
      <c r="AM1464" s="30" t="n"/>
      <c r="AN1464" s="30" t="n"/>
      <c r="AO1464" s="30" t="n"/>
    </row>
    <row r="1465">
      <c r="A1465" s="89" t="inlineStr">
        <is>
          <t>21294XXX</t>
        </is>
      </c>
      <c r="B1465" s="135" t="inlineStr">
        <is>
          <t>TAVERNITI   CHOMBA M/C</t>
        </is>
      </c>
      <c r="C1465" s="88" t="n">
        <v>71600</v>
      </c>
      <c r="D1465" s="170" t="n"/>
      <c r="E1465" s="170" t="n"/>
      <c r="F1465" s="170" t="n"/>
      <c r="G1465" s="170" t="n"/>
      <c r="H1465" s="170" t="n"/>
      <c r="I1465" s="170" t="n"/>
      <c r="J1465" s="170" t="n"/>
      <c r="K1465" s="170" t="n"/>
      <c r="L1465" s="170" t="n"/>
      <c r="M1465" s="170" t="n"/>
      <c r="N1465" s="170" t="n"/>
      <c r="O1465" s="150">
        <f>C1465*P1465</f>
        <v/>
      </c>
      <c r="P1465" s="22" t="n">
        <v>1.045</v>
      </c>
      <c r="Q1465" s="30" t="n"/>
      <c r="R1465" s="170" t="n"/>
      <c r="S1465" s="30" t="n"/>
      <c r="T1465" s="170" t="n"/>
      <c r="U1465" s="30" t="n"/>
      <c r="V1465" s="30" t="n"/>
      <c r="W1465" s="30" t="n"/>
      <c r="X1465" s="30" t="n"/>
      <c r="Y1465" s="30" t="n"/>
      <c r="Z1465" s="30" t="n"/>
      <c r="AA1465" s="30" t="n"/>
      <c r="AB1465" s="30" t="n"/>
      <c r="AC1465" s="30" t="n"/>
      <c r="AD1465" s="30" t="n"/>
      <c r="AE1465" s="30" t="n"/>
      <c r="AF1465" s="30" t="n"/>
      <c r="AG1465" s="30" t="n"/>
      <c r="AH1465" s="30" t="n"/>
      <c r="AI1465" s="30" t="n"/>
      <c r="AJ1465" s="30" t="n"/>
      <c r="AK1465" s="30" t="n"/>
      <c r="AL1465" s="30" t="n"/>
      <c r="AM1465" s="30" t="n"/>
      <c r="AN1465" s="30" t="n"/>
      <c r="AO1465" s="30" t="n"/>
    </row>
    <row r="1466">
      <c r="A1466" s="89" t="inlineStr">
        <is>
          <t>21296XXX</t>
        </is>
      </c>
      <c r="B1466" s="135" t="inlineStr">
        <is>
          <t>TAVERNITI   CHOMBA M/C</t>
        </is>
      </c>
      <c r="C1466" s="88" t="n">
        <v>71600</v>
      </c>
      <c r="D1466" s="170" t="n"/>
      <c r="E1466" s="170" t="n"/>
      <c r="F1466" s="170" t="n"/>
      <c r="G1466" s="170" t="n"/>
      <c r="H1466" s="170" t="n"/>
      <c r="I1466" s="170" t="n"/>
      <c r="J1466" s="170" t="n"/>
      <c r="K1466" s="170" t="n"/>
      <c r="L1466" s="170" t="n"/>
      <c r="M1466" s="170" t="n"/>
      <c r="N1466" s="170" t="n"/>
      <c r="O1466" s="150">
        <f>C1466*P1466</f>
        <v/>
      </c>
      <c r="P1466" s="22" t="n">
        <v>1.045</v>
      </c>
      <c r="Q1466" s="30" t="n"/>
      <c r="R1466" s="170" t="n"/>
      <c r="S1466" s="30" t="n"/>
      <c r="T1466" s="170" t="n"/>
      <c r="U1466" s="30" t="n"/>
      <c r="V1466" s="30" t="n"/>
      <c r="W1466" s="30" t="n"/>
      <c r="X1466" s="30" t="n"/>
      <c r="Y1466" s="30" t="n"/>
      <c r="Z1466" s="30" t="n"/>
      <c r="AA1466" s="30" t="n"/>
      <c r="AB1466" s="30" t="n"/>
      <c r="AC1466" s="30" t="n"/>
      <c r="AD1466" s="30" t="n"/>
      <c r="AE1466" s="30" t="n"/>
      <c r="AF1466" s="30" t="n"/>
      <c r="AG1466" s="30" t="n"/>
      <c r="AH1466" s="30" t="n"/>
      <c r="AI1466" s="30" t="n"/>
      <c r="AJ1466" s="30" t="n"/>
      <c r="AK1466" s="30" t="n"/>
      <c r="AL1466" s="30" t="n"/>
      <c r="AM1466" s="30" t="n"/>
      <c r="AN1466" s="30" t="n"/>
      <c r="AO1466" s="30" t="n"/>
    </row>
    <row r="1467">
      <c r="A1467" s="89" t="inlineStr">
        <is>
          <t>21298XXX</t>
        </is>
      </c>
      <c r="B1467" s="135" t="inlineStr">
        <is>
          <t>TAVERNITI   CHOMBA M/C</t>
        </is>
      </c>
      <c r="C1467" s="88" t="n">
        <v>65000</v>
      </c>
      <c r="D1467" s="170" t="n"/>
      <c r="E1467" s="170" t="n"/>
      <c r="F1467" s="170" t="n"/>
      <c r="G1467" s="170" t="n"/>
      <c r="H1467" s="170" t="n"/>
      <c r="I1467" s="170" t="n"/>
      <c r="J1467" s="170" t="n"/>
      <c r="K1467" s="170" t="n"/>
      <c r="L1467" s="170" t="n"/>
      <c r="M1467" s="170" t="n"/>
      <c r="N1467" s="170" t="n"/>
      <c r="O1467" s="150">
        <f>C1467*P1467</f>
        <v/>
      </c>
      <c r="P1467" s="22" t="n">
        <v>1.045</v>
      </c>
      <c r="Q1467" s="30" t="n"/>
      <c r="R1467" s="170" t="n"/>
      <c r="S1467" s="30" t="n"/>
      <c r="T1467" s="170" t="n"/>
      <c r="U1467" s="30" t="n"/>
      <c r="V1467" s="30" t="n"/>
      <c r="W1467" s="30" t="n"/>
      <c r="X1467" s="30" t="n"/>
      <c r="Y1467" s="30" t="n"/>
      <c r="Z1467" s="30" t="n"/>
      <c r="AA1467" s="30" t="n"/>
      <c r="AB1467" s="30" t="n"/>
      <c r="AC1467" s="30" t="n"/>
      <c r="AD1467" s="30" t="n"/>
      <c r="AE1467" s="30" t="n"/>
      <c r="AF1467" s="30" t="n"/>
      <c r="AG1467" s="30" t="n"/>
      <c r="AH1467" s="30" t="n"/>
      <c r="AI1467" s="30" t="n"/>
      <c r="AJ1467" s="30" t="n"/>
      <c r="AK1467" s="30" t="n"/>
      <c r="AL1467" s="30" t="n"/>
      <c r="AM1467" s="30" t="n"/>
      <c r="AN1467" s="30" t="n"/>
      <c r="AO1467" s="30" t="n"/>
    </row>
    <row r="1468">
      <c r="A1468" s="89" t="inlineStr">
        <is>
          <t>21300XXX</t>
        </is>
      </c>
      <c r="B1468" s="135" t="inlineStr">
        <is>
          <t>TAVERNITI   CHOMBA M/C</t>
        </is>
      </c>
      <c r="C1468" s="88" t="n">
        <v>71600</v>
      </c>
      <c r="D1468" s="170" t="n"/>
      <c r="E1468" s="170" t="n"/>
      <c r="F1468" s="170" t="n"/>
      <c r="G1468" s="170" t="n"/>
      <c r="H1468" s="170" t="n"/>
      <c r="I1468" s="170" t="n"/>
      <c r="J1468" s="170" t="n"/>
      <c r="K1468" s="170" t="n"/>
      <c r="L1468" s="170" t="n"/>
      <c r="M1468" s="170" t="n"/>
      <c r="N1468" s="170" t="n"/>
      <c r="O1468" s="150">
        <f>C1468*P1468</f>
        <v/>
      </c>
      <c r="P1468" s="22" t="n">
        <v>1.045</v>
      </c>
      <c r="Q1468" s="30" t="n"/>
      <c r="R1468" s="170" t="n"/>
      <c r="S1468" s="30" t="n"/>
      <c r="T1468" s="170" t="n"/>
      <c r="U1468" s="30" t="n"/>
      <c r="V1468" s="30" t="n"/>
      <c r="W1468" s="30" t="n"/>
      <c r="X1468" s="30" t="n"/>
      <c r="Y1468" s="30" t="n"/>
      <c r="Z1468" s="30" t="n"/>
      <c r="AA1468" s="30" t="n"/>
      <c r="AB1468" s="30" t="n"/>
      <c r="AC1468" s="30" t="n"/>
      <c r="AD1468" s="30" t="n"/>
      <c r="AE1468" s="30" t="n"/>
      <c r="AF1468" s="30" t="n"/>
      <c r="AG1468" s="30" t="n"/>
      <c r="AH1468" s="30" t="n"/>
      <c r="AI1468" s="30" t="n"/>
      <c r="AJ1468" s="30" t="n"/>
      <c r="AK1468" s="30" t="n"/>
      <c r="AL1468" s="30" t="n"/>
      <c r="AM1468" s="30" t="n"/>
      <c r="AN1468" s="30" t="n"/>
      <c r="AO1468" s="30" t="n"/>
    </row>
    <row r="1469">
      <c r="A1469" s="89" t="inlineStr">
        <is>
          <t>21458XXX</t>
        </is>
      </c>
      <c r="B1469" s="135" t="inlineStr">
        <is>
          <t>TAVERNITI   CHOMBA M/C</t>
        </is>
      </c>
      <c r="C1469" s="88" t="n">
        <v>69800</v>
      </c>
      <c r="D1469" s="170" t="n"/>
      <c r="E1469" s="170" t="n"/>
      <c r="F1469" s="170" t="n"/>
      <c r="G1469" s="170" t="n"/>
      <c r="H1469" s="170" t="n"/>
      <c r="I1469" s="170" t="n"/>
      <c r="J1469" s="170" t="n"/>
      <c r="K1469" s="170" t="n"/>
      <c r="L1469" s="170" t="n"/>
      <c r="M1469" s="170" t="n"/>
      <c r="N1469" s="170" t="n"/>
      <c r="O1469" s="150">
        <f>C1469*P1469</f>
        <v/>
      </c>
      <c r="P1469" s="22" t="n">
        <v>1.045</v>
      </c>
      <c r="Q1469" s="30" t="n"/>
      <c r="R1469" s="170" t="n"/>
      <c r="S1469" s="30" t="n"/>
      <c r="T1469" s="170" t="n"/>
      <c r="U1469" s="30" t="n"/>
      <c r="V1469" s="30" t="n"/>
      <c r="W1469" s="30" t="n"/>
      <c r="X1469" s="30" t="n"/>
      <c r="Y1469" s="30" t="n"/>
      <c r="Z1469" s="30" t="n"/>
      <c r="AA1469" s="30" t="n"/>
      <c r="AB1469" s="30" t="n"/>
      <c r="AC1469" s="30" t="n"/>
      <c r="AD1469" s="30" t="n"/>
      <c r="AE1469" s="30" t="n"/>
      <c r="AF1469" s="30" t="n"/>
      <c r="AG1469" s="30" t="n"/>
      <c r="AH1469" s="30" t="n"/>
      <c r="AI1469" s="30" t="n"/>
      <c r="AJ1469" s="30" t="n"/>
      <c r="AK1469" s="30" t="n"/>
      <c r="AL1469" s="30" t="n"/>
      <c r="AM1469" s="30" t="n"/>
      <c r="AN1469" s="30" t="n"/>
      <c r="AO1469" s="30" t="n"/>
    </row>
    <row r="1470">
      <c r="A1470" s="89" t="inlineStr">
        <is>
          <t>21460XXX</t>
        </is>
      </c>
      <c r="B1470" s="135" t="inlineStr">
        <is>
          <t>TAVERNITI   CHOMBA M/C</t>
        </is>
      </c>
      <c r="C1470" s="88" t="n">
        <v>69000</v>
      </c>
      <c r="D1470" s="170" t="n"/>
      <c r="E1470" s="170" t="n"/>
      <c r="F1470" s="170" t="n"/>
      <c r="G1470" s="170" t="n"/>
      <c r="H1470" s="170" t="n"/>
      <c r="I1470" s="170" t="n"/>
      <c r="J1470" s="170" t="n"/>
      <c r="K1470" s="170" t="n"/>
      <c r="L1470" s="170" t="n"/>
      <c r="M1470" s="170" t="n"/>
      <c r="N1470" s="170" t="n"/>
      <c r="O1470" s="150">
        <f>C1470*P1470</f>
        <v/>
      </c>
      <c r="P1470" s="22" t="n">
        <v>1.045</v>
      </c>
      <c r="Q1470" s="30" t="n"/>
      <c r="R1470" s="170" t="n"/>
      <c r="S1470" s="30" t="n"/>
      <c r="T1470" s="170" t="n"/>
      <c r="U1470" s="30" t="n"/>
      <c r="V1470" s="30" t="n"/>
      <c r="W1470" s="30" t="n"/>
      <c r="X1470" s="30" t="n"/>
      <c r="Y1470" s="30" t="n"/>
      <c r="Z1470" s="30" t="n"/>
      <c r="AA1470" s="30" t="n"/>
      <c r="AB1470" s="30" t="n"/>
      <c r="AC1470" s="30" t="n"/>
      <c r="AD1470" s="30" t="n"/>
      <c r="AE1470" s="30" t="n"/>
      <c r="AF1470" s="30" t="n"/>
      <c r="AG1470" s="30" t="n"/>
      <c r="AH1470" s="30" t="n"/>
      <c r="AI1470" s="30" t="n"/>
      <c r="AJ1470" s="30" t="n"/>
      <c r="AK1470" s="30" t="n"/>
      <c r="AL1470" s="30" t="n"/>
      <c r="AM1470" s="30" t="n"/>
      <c r="AN1470" s="30" t="n"/>
      <c r="AO1470" s="30" t="n"/>
    </row>
    <row r="1471">
      <c r="A1471" s="89" t="inlineStr">
        <is>
          <t>21464XXX</t>
        </is>
      </c>
      <c r="B1471" s="135" t="inlineStr">
        <is>
          <t>TAVERNITI   CHOMBA M/C</t>
        </is>
      </c>
      <c r="C1471" s="88" t="n">
        <v>69000</v>
      </c>
      <c r="D1471" s="170" t="n"/>
      <c r="E1471" s="170" t="n"/>
      <c r="F1471" s="170" t="n"/>
      <c r="G1471" s="170" t="n"/>
      <c r="H1471" s="170" t="n"/>
      <c r="I1471" s="170" t="n"/>
      <c r="J1471" s="170" t="n"/>
      <c r="K1471" s="170" t="n"/>
      <c r="L1471" s="170" t="n"/>
      <c r="M1471" s="170" t="n"/>
      <c r="N1471" s="170" t="n"/>
      <c r="O1471" s="150">
        <f>C1471*P1471</f>
        <v/>
      </c>
      <c r="P1471" s="22" t="n">
        <v>1.045</v>
      </c>
      <c r="Q1471" s="30" t="n"/>
      <c r="R1471" s="170" t="n"/>
      <c r="S1471" s="30" t="n"/>
      <c r="T1471" s="170" t="n"/>
      <c r="U1471" s="30" t="n"/>
      <c r="V1471" s="30" t="n"/>
      <c r="W1471" s="30" t="n"/>
      <c r="X1471" s="30" t="n"/>
      <c r="Y1471" s="30" t="n"/>
      <c r="Z1471" s="30" t="n"/>
      <c r="AA1471" s="30" t="n"/>
      <c r="AB1471" s="30" t="n"/>
      <c r="AC1471" s="30" t="n"/>
      <c r="AD1471" s="30" t="n"/>
      <c r="AE1471" s="30" t="n"/>
      <c r="AF1471" s="30" t="n"/>
      <c r="AG1471" s="30" t="n"/>
      <c r="AH1471" s="30" t="n"/>
      <c r="AI1471" s="30" t="n"/>
      <c r="AJ1471" s="30" t="n"/>
      <c r="AK1471" s="30" t="n"/>
      <c r="AL1471" s="30" t="n"/>
      <c r="AM1471" s="30" t="n"/>
      <c r="AN1471" s="30" t="n"/>
      <c r="AO1471" s="30" t="n"/>
    </row>
    <row r="1472">
      <c r="A1472" s="89" t="inlineStr">
        <is>
          <t>21466XXX</t>
        </is>
      </c>
      <c r="B1472" s="135" t="inlineStr">
        <is>
          <t>TAVERNITI   CHOMBA M/C</t>
        </is>
      </c>
      <c r="C1472" s="88" t="n">
        <v>71600</v>
      </c>
      <c r="D1472" s="170" t="n"/>
      <c r="E1472" s="170" t="n"/>
      <c r="F1472" s="170" t="n"/>
      <c r="G1472" s="170" t="n"/>
      <c r="H1472" s="170" t="n"/>
      <c r="I1472" s="170" t="n"/>
      <c r="J1472" s="170" t="n"/>
      <c r="K1472" s="170" t="n"/>
      <c r="L1472" s="170" t="n"/>
      <c r="M1472" s="170" t="n"/>
      <c r="N1472" s="170" t="n"/>
      <c r="O1472" s="150">
        <f>C1472*P1472</f>
        <v/>
      </c>
      <c r="P1472" s="22" t="n">
        <v>1.045</v>
      </c>
      <c r="Q1472" s="30" t="n"/>
      <c r="R1472" s="170" t="n"/>
      <c r="S1472" s="30" t="n"/>
      <c r="T1472" s="170" t="n"/>
      <c r="U1472" s="30" t="n"/>
      <c r="V1472" s="30" t="n"/>
      <c r="W1472" s="30" t="n"/>
      <c r="X1472" s="30" t="n"/>
      <c r="Y1472" s="30" t="n"/>
      <c r="Z1472" s="30" t="n"/>
      <c r="AA1472" s="30" t="n"/>
      <c r="AB1472" s="30" t="n"/>
      <c r="AC1472" s="30" t="n"/>
      <c r="AD1472" s="30" t="n"/>
      <c r="AE1472" s="30" t="n"/>
      <c r="AF1472" s="30" t="n"/>
      <c r="AG1472" s="30" t="n"/>
      <c r="AH1472" s="30" t="n"/>
      <c r="AI1472" s="30" t="n"/>
      <c r="AJ1472" s="30" t="n"/>
      <c r="AK1472" s="30" t="n"/>
      <c r="AL1472" s="30" t="n"/>
      <c r="AM1472" s="30" t="n"/>
      <c r="AN1472" s="30" t="n"/>
      <c r="AO1472" s="30" t="n"/>
    </row>
    <row r="1473">
      <c r="A1473" s="89" t="inlineStr">
        <is>
          <t>21620XXX</t>
        </is>
      </c>
      <c r="B1473" s="135" t="inlineStr">
        <is>
          <t>TAVERNITI   CHOMBA M/C</t>
        </is>
      </c>
      <c r="C1473" s="88" t="n">
        <v>67900</v>
      </c>
      <c r="D1473" s="170" t="n"/>
      <c r="E1473" s="170" t="n"/>
      <c r="F1473" s="170" t="n"/>
      <c r="G1473" s="170" t="n"/>
      <c r="H1473" s="170" t="n"/>
      <c r="I1473" s="170" t="n"/>
      <c r="J1473" s="170" t="n"/>
      <c r="K1473" s="170" t="n"/>
      <c r="L1473" s="170" t="n"/>
      <c r="M1473" s="170" t="n"/>
      <c r="N1473" s="170" t="n"/>
      <c r="O1473" s="150">
        <f>C1473*P1473</f>
        <v/>
      </c>
      <c r="P1473" s="22" t="n">
        <v>1.045</v>
      </c>
      <c r="Q1473" s="30" t="n"/>
      <c r="R1473" s="170" t="n"/>
      <c r="S1473" s="30" t="n"/>
      <c r="T1473" s="170" t="n"/>
      <c r="U1473" s="30" t="n"/>
      <c r="V1473" s="30" t="n"/>
      <c r="W1473" s="30" t="n"/>
      <c r="X1473" s="30" t="n"/>
      <c r="Y1473" s="30" t="n"/>
      <c r="Z1473" s="30" t="n"/>
      <c r="AA1473" s="30" t="n"/>
      <c r="AB1473" s="30" t="n"/>
      <c r="AC1473" s="30" t="n"/>
      <c r="AD1473" s="30" t="n"/>
      <c r="AE1473" s="30" t="n"/>
      <c r="AF1473" s="30" t="n"/>
      <c r="AG1473" s="30" t="n"/>
      <c r="AH1473" s="30" t="n"/>
      <c r="AI1473" s="30" t="n"/>
      <c r="AJ1473" s="30" t="n"/>
      <c r="AK1473" s="30" t="n"/>
      <c r="AL1473" s="30" t="n"/>
      <c r="AM1473" s="30" t="n"/>
      <c r="AN1473" s="30" t="n"/>
      <c r="AO1473" s="30" t="n"/>
    </row>
    <row r="1474">
      <c r="A1474" s="89" t="inlineStr">
        <is>
          <t>23034XXX</t>
        </is>
      </c>
      <c r="B1474" s="135" t="inlineStr">
        <is>
          <t>TAVERNITI   CHOMBA M/C</t>
        </is>
      </c>
      <c r="C1474" s="88" t="n">
        <v>71900</v>
      </c>
      <c r="D1474" s="170" t="n"/>
      <c r="E1474" s="170" t="n"/>
      <c r="F1474" s="170" t="n"/>
      <c r="G1474" s="170" t="n"/>
      <c r="H1474" s="170" t="n"/>
      <c r="I1474" s="170" t="n"/>
      <c r="J1474" s="170" t="n"/>
      <c r="K1474" s="170" t="n"/>
      <c r="L1474" s="170" t="n"/>
      <c r="M1474" s="170" t="n"/>
      <c r="N1474" s="170" t="n"/>
      <c r="O1474" s="150">
        <f>C1474*P1474</f>
        <v/>
      </c>
      <c r="P1474" s="22" t="n">
        <v>1.045</v>
      </c>
      <c r="Q1474" s="30" t="n"/>
      <c r="R1474" s="170" t="n"/>
      <c r="S1474" s="30" t="n"/>
      <c r="T1474" s="170" t="n"/>
      <c r="U1474" s="30" t="n"/>
      <c r="V1474" s="30" t="n"/>
      <c r="W1474" s="30" t="n"/>
      <c r="X1474" s="30" t="n"/>
      <c r="Y1474" s="30" t="n"/>
      <c r="Z1474" s="30" t="n"/>
      <c r="AA1474" s="30" t="n"/>
      <c r="AB1474" s="30" t="n"/>
      <c r="AC1474" s="30" t="n"/>
      <c r="AD1474" s="30" t="n"/>
      <c r="AE1474" s="30" t="n"/>
      <c r="AF1474" s="30" t="n"/>
      <c r="AG1474" s="30" t="n"/>
      <c r="AH1474" s="30" t="n"/>
      <c r="AI1474" s="30" t="n"/>
      <c r="AJ1474" s="30" t="n"/>
      <c r="AK1474" s="30" t="n"/>
      <c r="AL1474" s="30" t="n"/>
      <c r="AM1474" s="30" t="n"/>
      <c r="AN1474" s="30" t="n"/>
      <c r="AO1474" s="30" t="n"/>
    </row>
    <row r="1475">
      <c r="A1475" s="89" t="inlineStr">
        <is>
          <t>23036XXX</t>
        </is>
      </c>
      <c r="B1475" s="135" t="inlineStr">
        <is>
          <t>TAVERNITI   CHOMBA M/C</t>
        </is>
      </c>
      <c r="C1475" s="88" t="n">
        <v>71900</v>
      </c>
      <c r="D1475" s="170" t="n"/>
      <c r="E1475" s="170" t="n"/>
      <c r="F1475" s="170" t="n"/>
      <c r="G1475" s="170" t="n"/>
      <c r="H1475" s="170" t="n"/>
      <c r="I1475" s="170" t="n"/>
      <c r="J1475" s="170" t="n"/>
      <c r="K1475" s="170" t="n"/>
      <c r="L1475" s="170" t="n"/>
      <c r="M1475" s="170" t="n"/>
      <c r="N1475" s="170" t="n"/>
      <c r="O1475" s="150">
        <f>C1475*P1475</f>
        <v/>
      </c>
      <c r="P1475" s="22" t="n">
        <v>1.045</v>
      </c>
      <c r="Q1475" s="30" t="n"/>
      <c r="R1475" s="170" t="n"/>
      <c r="S1475" s="30" t="n"/>
      <c r="T1475" s="170" t="n"/>
      <c r="U1475" s="30" t="n"/>
      <c r="V1475" s="30" t="n"/>
      <c r="W1475" s="30" t="n"/>
      <c r="X1475" s="30" t="n"/>
      <c r="Y1475" s="30" t="n"/>
      <c r="Z1475" s="30" t="n"/>
      <c r="AA1475" s="30" t="n"/>
      <c r="AB1475" s="30" t="n"/>
      <c r="AC1475" s="30" t="n"/>
      <c r="AD1475" s="30" t="n"/>
      <c r="AE1475" s="30" t="n"/>
      <c r="AF1475" s="30" t="n"/>
      <c r="AG1475" s="30" t="n"/>
      <c r="AH1475" s="30" t="n"/>
      <c r="AI1475" s="30" t="n"/>
      <c r="AJ1475" s="30" t="n"/>
      <c r="AK1475" s="30" t="n"/>
      <c r="AL1475" s="30" t="n"/>
      <c r="AM1475" s="30" t="n"/>
      <c r="AN1475" s="30" t="n"/>
      <c r="AO1475" s="30" t="n"/>
    </row>
    <row r="1476">
      <c r="A1476" s="89" t="inlineStr">
        <is>
          <t>23132XXX</t>
        </is>
      </c>
      <c r="B1476" s="135" t="inlineStr">
        <is>
          <t>TAVERNITI   CHOMBA M/C</t>
        </is>
      </c>
      <c r="C1476" s="88" t="n">
        <v>72300</v>
      </c>
      <c r="D1476" s="170" t="n"/>
      <c r="E1476" s="170" t="n"/>
      <c r="F1476" s="170" t="n"/>
      <c r="G1476" s="170" t="n"/>
      <c r="H1476" s="170" t="n"/>
      <c r="I1476" s="170" t="n"/>
      <c r="J1476" s="170" t="n"/>
      <c r="K1476" s="170" t="n"/>
      <c r="L1476" s="170" t="n"/>
      <c r="M1476" s="170" t="n"/>
      <c r="N1476" s="170" t="n"/>
      <c r="O1476" s="150">
        <f>C1476*P1476</f>
        <v/>
      </c>
      <c r="P1476" s="88" t="n">
        <v>1.045</v>
      </c>
      <c r="Q1476" s="30" t="n"/>
      <c r="R1476" s="170" t="n"/>
      <c r="S1476" s="30" t="n"/>
      <c r="T1476" s="170" t="n"/>
      <c r="U1476" s="30" t="n"/>
      <c r="V1476" s="30" t="n"/>
      <c r="W1476" s="30" t="n"/>
      <c r="X1476" s="30" t="n"/>
      <c r="Y1476" s="30" t="n"/>
      <c r="Z1476" s="30" t="n"/>
      <c r="AA1476" s="30" t="n"/>
      <c r="AB1476" s="30" t="n"/>
      <c r="AC1476" s="30" t="n"/>
      <c r="AD1476" s="30" t="n"/>
      <c r="AE1476" s="30" t="n"/>
      <c r="AF1476" s="30" t="n"/>
      <c r="AG1476" s="30" t="n"/>
      <c r="AH1476" s="30" t="n"/>
      <c r="AI1476" s="30" t="n"/>
      <c r="AJ1476" s="30" t="n"/>
      <c r="AK1476" s="30" t="n"/>
      <c r="AL1476" s="30" t="n"/>
      <c r="AM1476" s="30" t="n"/>
      <c r="AN1476" s="30" t="n"/>
      <c r="AO1476" s="30" t="n"/>
    </row>
    <row r="1477">
      <c r="A1477" s="89" t="inlineStr">
        <is>
          <t>23134XXX</t>
        </is>
      </c>
      <c r="B1477" s="135" t="inlineStr">
        <is>
          <t>TAVERNITI   CHOMBA M/C</t>
        </is>
      </c>
      <c r="C1477" s="88" t="n">
        <v>72300</v>
      </c>
      <c r="D1477" s="170" t="n"/>
      <c r="E1477" s="170" t="n"/>
      <c r="F1477" s="170" t="n"/>
      <c r="G1477" s="170" t="n"/>
      <c r="H1477" s="170" t="n"/>
      <c r="I1477" s="170" t="n"/>
      <c r="J1477" s="170" t="n"/>
      <c r="K1477" s="170" t="n"/>
      <c r="L1477" s="170" t="n"/>
      <c r="M1477" s="170" t="n"/>
      <c r="N1477" s="170" t="n"/>
      <c r="O1477" s="150">
        <f>C1477*P1477</f>
        <v/>
      </c>
      <c r="P1477" s="22" t="n">
        <v>1.045</v>
      </c>
      <c r="Q1477" s="30" t="n"/>
      <c r="R1477" s="170" t="n"/>
      <c r="S1477" s="30" t="n"/>
      <c r="T1477" s="170" t="n"/>
      <c r="U1477" s="30" t="n"/>
      <c r="V1477" s="30" t="n"/>
      <c r="W1477" s="30" t="n"/>
      <c r="X1477" s="30" t="n"/>
      <c r="Y1477" s="30" t="n"/>
      <c r="Z1477" s="30" t="n"/>
      <c r="AA1477" s="30" t="n"/>
      <c r="AB1477" s="30" t="n"/>
      <c r="AC1477" s="30" t="n"/>
      <c r="AD1477" s="30" t="n"/>
      <c r="AE1477" s="30" t="n"/>
      <c r="AF1477" s="30" t="n"/>
      <c r="AG1477" s="30" t="n"/>
      <c r="AH1477" s="30" t="n"/>
      <c r="AI1477" s="30" t="n"/>
      <c r="AJ1477" s="30" t="n"/>
      <c r="AK1477" s="30" t="n"/>
      <c r="AL1477" s="30" t="n"/>
      <c r="AM1477" s="30" t="n"/>
      <c r="AN1477" s="30" t="n"/>
      <c r="AO1477" s="30" t="n"/>
    </row>
    <row r="1478">
      <c r="A1478" s="89" t="inlineStr">
        <is>
          <t>23136XXX</t>
        </is>
      </c>
      <c r="B1478" s="135" t="inlineStr">
        <is>
          <t>TAVERNITI   CHOMBA M/C</t>
        </is>
      </c>
      <c r="C1478" s="88" t="n">
        <v>69900</v>
      </c>
      <c r="D1478" s="170" t="n"/>
      <c r="E1478" s="170" t="n"/>
      <c r="F1478" s="170" t="n"/>
      <c r="G1478" s="170" t="n"/>
      <c r="H1478" s="170" t="n"/>
      <c r="I1478" s="170" t="n"/>
      <c r="J1478" s="170" t="n"/>
      <c r="K1478" s="170" t="n"/>
      <c r="L1478" s="170" t="n"/>
      <c r="M1478" s="170" t="n"/>
      <c r="N1478" s="170" t="n"/>
      <c r="O1478" s="150">
        <f>C1478*P1478</f>
        <v/>
      </c>
      <c r="P1478" s="22" t="n">
        <v>1.045</v>
      </c>
      <c r="Q1478" s="30" t="n"/>
      <c r="R1478" s="170" t="n"/>
      <c r="S1478" s="30" t="n"/>
      <c r="T1478" s="170" t="n"/>
      <c r="U1478" s="30" t="n"/>
      <c r="V1478" s="30" t="n"/>
      <c r="W1478" s="30" t="n"/>
      <c r="X1478" s="30" t="n"/>
      <c r="Y1478" s="30" t="n"/>
      <c r="Z1478" s="30" t="n"/>
      <c r="AA1478" s="30" t="n"/>
      <c r="AB1478" s="30" t="n"/>
      <c r="AC1478" s="30" t="n"/>
      <c r="AD1478" s="30" t="n"/>
      <c r="AE1478" s="30" t="n"/>
      <c r="AF1478" s="30" t="n"/>
      <c r="AG1478" s="30" t="n"/>
      <c r="AH1478" s="30" t="n"/>
      <c r="AI1478" s="30" t="n"/>
      <c r="AJ1478" s="30" t="n"/>
      <c r="AK1478" s="30" t="n"/>
      <c r="AL1478" s="30" t="n"/>
      <c r="AM1478" s="30" t="n"/>
      <c r="AN1478" s="30" t="n"/>
      <c r="AO1478" s="30" t="n"/>
    </row>
    <row r="1479">
      <c r="A1479" s="89" t="inlineStr">
        <is>
          <t>23138XXX</t>
        </is>
      </c>
      <c r="B1479" s="135" t="inlineStr">
        <is>
          <t>TAVERNITI   CHOMBA M/C</t>
        </is>
      </c>
      <c r="C1479" s="88" t="n">
        <v>69900</v>
      </c>
      <c r="D1479" s="170" t="n"/>
      <c r="E1479" s="170" t="n"/>
      <c r="F1479" s="170" t="n"/>
      <c r="G1479" s="170" t="n"/>
      <c r="H1479" s="170" t="n"/>
      <c r="I1479" s="170" t="n"/>
      <c r="J1479" s="170" t="n"/>
      <c r="K1479" s="170" t="n"/>
      <c r="L1479" s="170" t="n"/>
      <c r="M1479" s="170" t="n"/>
      <c r="N1479" s="170" t="n"/>
      <c r="O1479" s="150">
        <f>C1479*P1479</f>
        <v/>
      </c>
      <c r="P1479" s="22" t="n">
        <v>1.045</v>
      </c>
      <c r="Q1479" s="30" t="n"/>
      <c r="R1479" s="170" t="n"/>
      <c r="S1479" s="30" t="n"/>
      <c r="T1479" s="170" t="n"/>
      <c r="U1479" s="30" t="n"/>
      <c r="V1479" s="30" t="n"/>
      <c r="W1479" s="30" t="n"/>
      <c r="X1479" s="30" t="n"/>
      <c r="Y1479" s="30" t="n"/>
      <c r="Z1479" s="30" t="n"/>
      <c r="AA1479" s="30" t="n"/>
      <c r="AB1479" s="30" t="n"/>
      <c r="AC1479" s="30" t="n"/>
      <c r="AD1479" s="30" t="n"/>
      <c r="AE1479" s="30" t="n"/>
      <c r="AF1479" s="30" t="n"/>
      <c r="AG1479" s="30" t="n"/>
      <c r="AH1479" s="30" t="n"/>
      <c r="AI1479" s="30" t="n"/>
      <c r="AJ1479" s="30" t="n"/>
      <c r="AK1479" s="30" t="n"/>
      <c r="AL1479" s="30" t="n"/>
      <c r="AM1479" s="30" t="n"/>
      <c r="AN1479" s="30" t="n"/>
      <c r="AO1479" s="30" t="n"/>
    </row>
    <row r="1480">
      <c r="A1480" s="89" t="inlineStr">
        <is>
          <t>23140XXX</t>
        </is>
      </c>
      <c r="B1480" s="135" t="inlineStr">
        <is>
          <t>TAVERNITI   CHOMBA M/C</t>
        </is>
      </c>
      <c r="C1480" s="88" t="n">
        <v>69900</v>
      </c>
      <c r="D1480" s="170" t="n"/>
      <c r="E1480" s="170" t="n"/>
      <c r="F1480" s="170" t="n"/>
      <c r="G1480" s="170" t="n"/>
      <c r="H1480" s="170" t="n"/>
      <c r="I1480" s="170" t="n"/>
      <c r="J1480" s="170" t="n"/>
      <c r="K1480" s="170" t="n"/>
      <c r="L1480" s="170" t="n"/>
      <c r="M1480" s="170" t="n"/>
      <c r="N1480" s="170" t="n"/>
      <c r="O1480" s="150">
        <f>C1480*P1480</f>
        <v/>
      </c>
      <c r="P1480" s="88" t="n">
        <v>1.045</v>
      </c>
      <c r="Q1480" s="30" t="n"/>
      <c r="R1480" s="170" t="n"/>
      <c r="S1480" s="30" t="n"/>
      <c r="T1480" s="170" t="n"/>
      <c r="U1480" s="30" t="n"/>
      <c r="V1480" s="30" t="n"/>
      <c r="W1480" s="30" t="n"/>
      <c r="X1480" s="30" t="n"/>
      <c r="Y1480" s="30" t="n"/>
      <c r="Z1480" s="30" t="n"/>
      <c r="AA1480" s="30" t="n"/>
      <c r="AB1480" s="30" t="n"/>
      <c r="AC1480" s="30" t="n"/>
      <c r="AD1480" s="30" t="n"/>
      <c r="AE1480" s="30" t="n"/>
      <c r="AF1480" s="30" t="n"/>
      <c r="AG1480" s="30" t="n"/>
      <c r="AH1480" s="30" t="n"/>
      <c r="AI1480" s="30" t="n"/>
      <c r="AJ1480" s="30" t="n"/>
      <c r="AK1480" s="30" t="n"/>
      <c r="AL1480" s="30" t="n"/>
      <c r="AM1480" s="30" t="n"/>
      <c r="AN1480" s="30" t="n"/>
      <c r="AO1480" s="30" t="n"/>
    </row>
    <row r="1481">
      <c r="A1481" s="89" t="inlineStr">
        <is>
          <t>23142XXX</t>
        </is>
      </c>
      <c r="B1481" s="135" t="inlineStr">
        <is>
          <t>TAVERNITI   CHOMBA M/C</t>
        </is>
      </c>
      <c r="C1481" s="88" t="n">
        <v>69900</v>
      </c>
      <c r="D1481" s="170" t="n"/>
      <c r="E1481" s="170" t="n"/>
      <c r="F1481" s="170" t="n"/>
      <c r="G1481" s="170" t="n"/>
      <c r="H1481" s="170" t="n"/>
      <c r="I1481" s="170" t="n"/>
      <c r="J1481" s="170" t="n"/>
      <c r="K1481" s="170" t="n"/>
      <c r="L1481" s="170" t="n"/>
      <c r="M1481" s="170" t="n"/>
      <c r="N1481" s="170" t="n"/>
      <c r="O1481" s="150">
        <f>C1481*P1481</f>
        <v/>
      </c>
      <c r="P1481" s="22" t="n">
        <v>1.045</v>
      </c>
      <c r="Q1481" s="30" t="n"/>
      <c r="R1481" s="170" t="n"/>
      <c r="S1481" s="30" t="n"/>
      <c r="T1481" s="170" t="n"/>
      <c r="U1481" s="30" t="n"/>
      <c r="V1481" s="30" t="n"/>
      <c r="W1481" s="30" t="n"/>
      <c r="X1481" s="30" t="n"/>
      <c r="Y1481" s="30" t="n"/>
      <c r="Z1481" s="30" t="n"/>
      <c r="AA1481" s="30" t="n"/>
      <c r="AB1481" s="30" t="n"/>
      <c r="AC1481" s="30" t="n"/>
      <c r="AD1481" s="30" t="n"/>
      <c r="AE1481" s="30" t="n"/>
      <c r="AF1481" s="30" t="n"/>
      <c r="AG1481" s="30" t="n"/>
      <c r="AH1481" s="30" t="n"/>
      <c r="AI1481" s="30" t="n"/>
      <c r="AJ1481" s="30" t="n"/>
      <c r="AK1481" s="30" t="n"/>
      <c r="AL1481" s="30" t="n"/>
      <c r="AM1481" s="30" t="n"/>
      <c r="AN1481" s="30" t="n"/>
      <c r="AO1481" s="30" t="n"/>
    </row>
    <row r="1482">
      <c r="A1482" s="89" t="inlineStr">
        <is>
          <t>23144XXX</t>
        </is>
      </c>
      <c r="B1482" s="135" t="inlineStr">
        <is>
          <t>TAVERNITI   CHOMBA M/C</t>
        </is>
      </c>
      <c r="C1482" s="88" t="n">
        <v>69900</v>
      </c>
      <c r="D1482" s="170" t="n"/>
      <c r="E1482" s="170" t="n"/>
      <c r="F1482" s="170" t="n"/>
      <c r="G1482" s="170" t="n"/>
      <c r="H1482" s="170" t="n"/>
      <c r="I1482" s="170" t="n"/>
      <c r="J1482" s="170" t="n"/>
      <c r="K1482" s="170" t="n"/>
      <c r="L1482" s="170" t="n"/>
      <c r="M1482" s="170" t="n"/>
      <c r="N1482" s="170" t="n"/>
      <c r="O1482" s="150">
        <f>C1482*P1482</f>
        <v/>
      </c>
      <c r="P1482" s="22" t="n">
        <v>1.045</v>
      </c>
      <c r="Q1482" s="30" t="n"/>
      <c r="R1482" s="170" t="n"/>
      <c r="S1482" s="30" t="n"/>
      <c r="T1482" s="170" t="n"/>
      <c r="U1482" s="30" t="n"/>
      <c r="V1482" s="30" t="n"/>
      <c r="W1482" s="30" t="n"/>
      <c r="X1482" s="30" t="n"/>
      <c r="Y1482" s="30" t="n"/>
      <c r="Z1482" s="30" t="n"/>
      <c r="AA1482" s="30" t="n"/>
      <c r="AB1482" s="30" t="n"/>
      <c r="AC1482" s="30" t="n"/>
      <c r="AD1482" s="30" t="n"/>
      <c r="AE1482" s="30" t="n"/>
      <c r="AF1482" s="30" t="n"/>
      <c r="AG1482" s="30" t="n"/>
      <c r="AH1482" s="30" t="n"/>
      <c r="AI1482" s="30" t="n"/>
      <c r="AJ1482" s="30" t="n"/>
      <c r="AK1482" s="30" t="n"/>
      <c r="AL1482" s="30" t="n"/>
      <c r="AM1482" s="30" t="n"/>
      <c r="AN1482" s="30" t="n"/>
      <c r="AO1482" s="30" t="n"/>
    </row>
    <row r="1483">
      <c r="A1483" s="89" t="inlineStr">
        <is>
          <t>23146XXX</t>
        </is>
      </c>
      <c r="B1483" s="135" t="inlineStr">
        <is>
          <t>TAVERNITI   CHOMBA M/C</t>
        </is>
      </c>
      <c r="C1483" s="88" t="n">
        <v>74900</v>
      </c>
      <c r="D1483" s="170" t="n"/>
      <c r="E1483" s="170" t="n"/>
      <c r="F1483" s="170" t="n"/>
      <c r="G1483" s="170" t="n"/>
      <c r="H1483" s="170" t="n"/>
      <c r="I1483" s="170" t="n"/>
      <c r="J1483" s="170" t="n"/>
      <c r="K1483" s="170" t="n"/>
      <c r="L1483" s="170" t="n"/>
      <c r="M1483" s="170" t="n"/>
      <c r="N1483" s="170" t="n"/>
      <c r="O1483" s="150">
        <f>C1483*P1483</f>
        <v/>
      </c>
      <c r="P1483" s="22" t="n">
        <v>1.045</v>
      </c>
      <c r="Q1483" s="30" t="n"/>
      <c r="R1483" s="170" t="n"/>
      <c r="S1483" s="30" t="n"/>
      <c r="T1483" s="170" t="n"/>
      <c r="U1483" s="30" t="n"/>
      <c r="V1483" s="30" t="n"/>
      <c r="W1483" s="30" t="n"/>
      <c r="X1483" s="30" t="n"/>
      <c r="Y1483" s="30" t="n"/>
      <c r="Z1483" s="30" t="n"/>
      <c r="AA1483" s="30" t="n"/>
      <c r="AB1483" s="30" t="n"/>
      <c r="AC1483" s="30" t="n"/>
      <c r="AD1483" s="30" t="n"/>
      <c r="AE1483" s="30" t="n"/>
      <c r="AF1483" s="30" t="n"/>
      <c r="AG1483" s="30" t="n"/>
      <c r="AH1483" s="30" t="n"/>
      <c r="AI1483" s="30" t="n"/>
      <c r="AJ1483" s="30" t="n"/>
      <c r="AK1483" s="30" t="n"/>
      <c r="AL1483" s="30" t="n"/>
      <c r="AM1483" s="30" t="n"/>
      <c r="AN1483" s="30" t="n"/>
      <c r="AO1483" s="30" t="n"/>
    </row>
    <row r="1484">
      <c r="A1484" s="89" t="inlineStr">
        <is>
          <t>23148XXX</t>
        </is>
      </c>
      <c r="B1484" s="135" t="inlineStr">
        <is>
          <t>TAVERNITI   CHOMBA M/C</t>
        </is>
      </c>
      <c r="C1484" s="88" t="n">
        <v>74900</v>
      </c>
      <c r="D1484" s="170" t="n"/>
      <c r="E1484" s="170" t="n"/>
      <c r="F1484" s="170" t="n"/>
      <c r="G1484" s="170" t="n"/>
      <c r="H1484" s="170" t="n"/>
      <c r="I1484" s="170" t="n"/>
      <c r="J1484" s="170" t="n"/>
      <c r="K1484" s="170" t="n"/>
      <c r="L1484" s="170" t="n"/>
      <c r="M1484" s="170" t="n"/>
      <c r="N1484" s="170" t="n"/>
      <c r="O1484" s="150">
        <f>C1484*P1484</f>
        <v/>
      </c>
      <c r="P1484" s="22" t="n">
        <v>1.045</v>
      </c>
      <c r="Q1484" s="30" t="n"/>
      <c r="R1484" s="170" t="n"/>
      <c r="S1484" s="30" t="n"/>
      <c r="T1484" s="170" t="n"/>
      <c r="U1484" s="30" t="n"/>
      <c r="V1484" s="30" t="n"/>
      <c r="W1484" s="30" t="n"/>
      <c r="X1484" s="30" t="n"/>
      <c r="Y1484" s="30" t="n"/>
      <c r="Z1484" s="30" t="n"/>
      <c r="AA1484" s="30" t="n"/>
      <c r="AB1484" s="30" t="n"/>
      <c r="AC1484" s="30" t="n"/>
      <c r="AD1484" s="30" t="n"/>
      <c r="AE1484" s="30" t="n"/>
      <c r="AF1484" s="30" t="n"/>
      <c r="AG1484" s="30" t="n"/>
      <c r="AH1484" s="30" t="n"/>
      <c r="AI1484" s="30" t="n"/>
      <c r="AJ1484" s="30" t="n"/>
      <c r="AK1484" s="30" t="n"/>
      <c r="AL1484" s="30" t="n"/>
      <c r="AM1484" s="30" t="n"/>
      <c r="AN1484" s="30" t="n"/>
      <c r="AO1484" s="30" t="n"/>
    </row>
    <row r="1485">
      <c r="A1485" s="89" t="inlineStr">
        <is>
          <t>23150XXX</t>
        </is>
      </c>
      <c r="B1485" s="135" t="inlineStr">
        <is>
          <t>TAVERNITI   CHOMBA M/C</t>
        </is>
      </c>
      <c r="C1485" s="88" t="n">
        <v>74900</v>
      </c>
      <c r="D1485" s="170" t="n"/>
      <c r="E1485" s="170" t="n"/>
      <c r="F1485" s="170" t="n"/>
      <c r="G1485" s="170" t="n"/>
      <c r="H1485" s="170" t="n"/>
      <c r="I1485" s="170" t="n"/>
      <c r="J1485" s="170" t="n"/>
      <c r="K1485" s="170" t="n"/>
      <c r="L1485" s="170" t="n"/>
      <c r="M1485" s="170" t="n"/>
      <c r="N1485" s="170" t="n"/>
      <c r="O1485" s="150">
        <f>C1485*P1485</f>
        <v/>
      </c>
      <c r="P1485" s="88" t="n">
        <v>1.045</v>
      </c>
      <c r="Q1485" s="30" t="n"/>
      <c r="R1485" s="170" t="n"/>
      <c r="S1485" s="30" t="n"/>
      <c r="T1485" s="170" t="n"/>
      <c r="U1485" s="30" t="n"/>
      <c r="V1485" s="30" t="n"/>
      <c r="W1485" s="30" t="n"/>
      <c r="X1485" s="30" t="n"/>
      <c r="Y1485" s="30" t="n"/>
      <c r="Z1485" s="30" t="n"/>
      <c r="AA1485" s="30" t="n"/>
      <c r="AB1485" s="30" t="n"/>
      <c r="AC1485" s="30" t="n"/>
      <c r="AD1485" s="30" t="n"/>
      <c r="AE1485" s="30" t="n"/>
      <c r="AF1485" s="30" t="n"/>
      <c r="AG1485" s="30" t="n"/>
      <c r="AH1485" s="30" t="n"/>
      <c r="AI1485" s="30" t="n"/>
      <c r="AJ1485" s="30" t="n"/>
      <c r="AK1485" s="30" t="n"/>
      <c r="AL1485" s="30" t="n"/>
      <c r="AM1485" s="30" t="n"/>
      <c r="AN1485" s="30" t="n"/>
      <c r="AO1485" s="30" t="n"/>
    </row>
    <row r="1486">
      <c r="A1486" s="89" t="inlineStr">
        <is>
          <t>23152XXX</t>
        </is>
      </c>
      <c r="B1486" s="135" t="inlineStr">
        <is>
          <t>TAVERNITI   CHOMBA M/C</t>
        </is>
      </c>
      <c r="C1486" s="88" t="n">
        <v>74900</v>
      </c>
      <c r="D1486" s="170" t="n"/>
      <c r="E1486" s="170" t="n"/>
      <c r="F1486" s="170" t="n"/>
      <c r="G1486" s="170" t="n"/>
      <c r="H1486" s="170" t="n"/>
      <c r="I1486" s="170" t="n"/>
      <c r="J1486" s="170" t="n"/>
      <c r="K1486" s="170" t="n"/>
      <c r="L1486" s="170" t="n"/>
      <c r="M1486" s="170" t="n"/>
      <c r="N1486" s="170" t="n"/>
      <c r="O1486" s="150">
        <f>C1486*P1486</f>
        <v/>
      </c>
      <c r="P1486" s="88" t="n">
        <v>1.045</v>
      </c>
      <c r="Q1486" s="30" t="n"/>
      <c r="R1486" s="170" t="n"/>
      <c r="S1486" s="30" t="n"/>
      <c r="T1486" s="170" t="n"/>
      <c r="U1486" s="30" t="n"/>
      <c r="V1486" s="30" t="n"/>
      <c r="W1486" s="30" t="n"/>
      <c r="X1486" s="30" t="n"/>
      <c r="Y1486" s="30" t="n"/>
      <c r="Z1486" s="30" t="n"/>
      <c r="AA1486" s="30" t="n"/>
      <c r="AB1486" s="30" t="n"/>
      <c r="AC1486" s="30" t="n"/>
      <c r="AD1486" s="30" t="n"/>
      <c r="AE1486" s="30" t="n"/>
      <c r="AF1486" s="30" t="n"/>
      <c r="AG1486" s="30" t="n"/>
      <c r="AH1486" s="30" t="n"/>
      <c r="AI1486" s="30" t="n"/>
      <c r="AJ1486" s="30" t="n"/>
      <c r="AK1486" s="30" t="n"/>
      <c r="AL1486" s="30" t="n"/>
      <c r="AM1486" s="30" t="n"/>
      <c r="AN1486" s="30" t="n"/>
      <c r="AO1486" s="30" t="n"/>
    </row>
    <row r="1487">
      <c r="A1487" s="89" t="inlineStr">
        <is>
          <t>23156XXX</t>
        </is>
      </c>
      <c r="B1487" s="135" t="inlineStr">
        <is>
          <t>TAVERNITI   CHOMBA M/C</t>
        </is>
      </c>
      <c r="C1487" s="88" t="n">
        <v>69900</v>
      </c>
      <c r="D1487" s="170" t="n"/>
      <c r="E1487" s="170" t="n"/>
      <c r="F1487" s="170" t="n"/>
      <c r="G1487" s="170" t="n"/>
      <c r="H1487" s="170" t="n"/>
      <c r="I1487" s="170" t="n"/>
      <c r="J1487" s="170" t="n"/>
      <c r="K1487" s="170" t="n"/>
      <c r="L1487" s="170" t="n"/>
      <c r="M1487" s="170" t="n"/>
      <c r="N1487" s="170" t="n"/>
      <c r="O1487" s="150">
        <f>C1487*P1487</f>
        <v/>
      </c>
      <c r="P1487" s="88" t="n">
        <v>1.045</v>
      </c>
      <c r="Q1487" s="30" t="n"/>
      <c r="R1487" s="170" t="n"/>
      <c r="S1487" s="30" t="n"/>
      <c r="T1487" s="170" t="n"/>
      <c r="U1487" s="30" t="n"/>
      <c r="V1487" s="30" t="n"/>
      <c r="W1487" s="30" t="n"/>
      <c r="X1487" s="30" t="n"/>
      <c r="Y1487" s="30" t="n"/>
      <c r="Z1487" s="30" t="n"/>
      <c r="AA1487" s="30" t="n"/>
      <c r="AB1487" s="30" t="n"/>
      <c r="AC1487" s="30" t="n"/>
      <c r="AD1487" s="30" t="n"/>
      <c r="AE1487" s="30" t="n"/>
      <c r="AF1487" s="30" t="n"/>
      <c r="AG1487" s="30" t="n"/>
      <c r="AH1487" s="30" t="n"/>
      <c r="AI1487" s="30" t="n"/>
      <c r="AJ1487" s="30" t="n"/>
      <c r="AK1487" s="30" t="n"/>
      <c r="AL1487" s="30" t="n"/>
      <c r="AM1487" s="30" t="n"/>
      <c r="AN1487" s="30" t="n"/>
      <c r="AO1487" s="30" t="n"/>
    </row>
    <row r="1488">
      <c r="A1488" s="89" t="inlineStr">
        <is>
          <t>23158XXX</t>
        </is>
      </c>
      <c r="B1488" s="135" t="inlineStr">
        <is>
          <t>TAVERNITI   CHOMBA M/C</t>
        </is>
      </c>
      <c r="C1488" s="88" t="n">
        <v>69900</v>
      </c>
      <c r="D1488" s="170" t="n"/>
      <c r="E1488" s="170" t="n"/>
      <c r="F1488" s="170" t="n"/>
      <c r="G1488" s="170" t="n"/>
      <c r="H1488" s="170" t="n"/>
      <c r="I1488" s="170" t="n"/>
      <c r="J1488" s="170" t="n"/>
      <c r="K1488" s="170" t="n"/>
      <c r="L1488" s="170" t="n"/>
      <c r="M1488" s="170" t="n"/>
      <c r="N1488" s="170" t="n"/>
      <c r="O1488" s="150">
        <f>C1488*P1488</f>
        <v/>
      </c>
      <c r="P1488" s="22" t="n">
        <v>1.045</v>
      </c>
      <c r="Q1488" s="30" t="n"/>
      <c r="R1488" s="170" t="n"/>
      <c r="S1488" s="30" t="n"/>
      <c r="T1488" s="170" t="n"/>
      <c r="U1488" s="30" t="n"/>
      <c r="V1488" s="30" t="n"/>
      <c r="W1488" s="30" t="n"/>
      <c r="X1488" s="30" t="n"/>
      <c r="Y1488" s="30" t="n"/>
      <c r="Z1488" s="30" t="n"/>
      <c r="AA1488" s="30" t="n"/>
      <c r="AB1488" s="30" t="n"/>
      <c r="AC1488" s="30" t="n"/>
      <c r="AD1488" s="30" t="n"/>
      <c r="AE1488" s="30" t="n"/>
      <c r="AF1488" s="30" t="n"/>
      <c r="AG1488" s="30" t="n"/>
      <c r="AH1488" s="30" t="n"/>
      <c r="AI1488" s="30" t="n"/>
      <c r="AJ1488" s="30" t="n"/>
      <c r="AK1488" s="30" t="n"/>
      <c r="AL1488" s="30" t="n"/>
      <c r="AM1488" s="30" t="n"/>
      <c r="AN1488" s="30" t="n"/>
      <c r="AO1488" s="30" t="n"/>
    </row>
    <row r="1489">
      <c r="A1489" s="89" t="inlineStr">
        <is>
          <t>23160XXX</t>
        </is>
      </c>
      <c r="B1489" s="135" t="inlineStr">
        <is>
          <t>TAVERNITI   CHOMBA M/C</t>
        </is>
      </c>
      <c r="C1489" s="88" t="n">
        <v>69900</v>
      </c>
      <c r="D1489" s="170" t="n"/>
      <c r="E1489" s="170" t="n"/>
      <c r="F1489" s="170" t="n"/>
      <c r="G1489" s="170" t="n"/>
      <c r="H1489" s="170" t="n"/>
      <c r="I1489" s="170" t="n"/>
      <c r="J1489" s="170" t="n"/>
      <c r="K1489" s="170" t="n"/>
      <c r="L1489" s="170" t="n"/>
      <c r="M1489" s="170" t="n"/>
      <c r="N1489" s="170" t="n"/>
      <c r="O1489" s="150">
        <f>C1489*P1489</f>
        <v/>
      </c>
      <c r="P1489" s="88" t="n">
        <v>1.045</v>
      </c>
      <c r="Q1489" s="30" t="n"/>
      <c r="R1489" s="170" t="n"/>
      <c r="S1489" s="30" t="n"/>
      <c r="T1489" s="170" t="n"/>
      <c r="U1489" s="30" t="n"/>
      <c r="V1489" s="30" t="n"/>
      <c r="W1489" s="30" t="n"/>
      <c r="X1489" s="30" t="n"/>
      <c r="Y1489" s="30" t="n"/>
      <c r="Z1489" s="30" t="n"/>
      <c r="AA1489" s="30" t="n"/>
      <c r="AB1489" s="30" t="n"/>
      <c r="AC1489" s="30" t="n"/>
      <c r="AD1489" s="30" t="n"/>
      <c r="AE1489" s="30" t="n"/>
      <c r="AF1489" s="30" t="n"/>
      <c r="AG1489" s="30" t="n"/>
      <c r="AH1489" s="30" t="n"/>
      <c r="AI1489" s="30" t="n"/>
      <c r="AJ1489" s="30" t="n"/>
      <c r="AK1489" s="30" t="n"/>
      <c r="AL1489" s="30" t="n"/>
      <c r="AM1489" s="30" t="n"/>
      <c r="AN1489" s="30" t="n"/>
      <c r="AO1489" s="30" t="n"/>
    </row>
    <row r="1490">
      <c r="A1490" s="89" t="inlineStr">
        <is>
          <t>23162XXX</t>
        </is>
      </c>
      <c r="B1490" s="135" t="inlineStr">
        <is>
          <t>TAVERNITI   CHOMBA M/C</t>
        </is>
      </c>
      <c r="C1490" s="88" t="n">
        <v>69900</v>
      </c>
      <c r="D1490" s="170" t="n"/>
      <c r="E1490" s="170" t="n"/>
      <c r="F1490" s="170" t="n"/>
      <c r="G1490" s="170" t="n"/>
      <c r="H1490" s="170" t="n"/>
      <c r="I1490" s="170" t="n"/>
      <c r="J1490" s="170" t="n"/>
      <c r="K1490" s="170" t="n"/>
      <c r="L1490" s="170" t="n"/>
      <c r="M1490" s="170" t="n"/>
      <c r="N1490" s="170" t="n"/>
      <c r="O1490" s="150">
        <f>C1490*P1490</f>
        <v/>
      </c>
      <c r="P1490" s="22" t="n">
        <v>1.045</v>
      </c>
      <c r="Q1490" s="30" t="n"/>
      <c r="R1490" s="170" t="n"/>
      <c r="S1490" s="30" t="n"/>
      <c r="T1490" s="170" t="n"/>
      <c r="U1490" s="30" t="n"/>
      <c r="V1490" s="30" t="n"/>
      <c r="W1490" s="30" t="n"/>
      <c r="X1490" s="30" t="n"/>
      <c r="Y1490" s="30" t="n"/>
      <c r="Z1490" s="30" t="n"/>
      <c r="AA1490" s="30" t="n"/>
      <c r="AB1490" s="30" t="n"/>
      <c r="AC1490" s="30" t="n"/>
      <c r="AD1490" s="30" t="n"/>
      <c r="AE1490" s="30" t="n"/>
      <c r="AF1490" s="30" t="n"/>
      <c r="AG1490" s="30" t="n"/>
      <c r="AH1490" s="30" t="n"/>
      <c r="AI1490" s="30" t="n"/>
      <c r="AJ1490" s="30" t="n"/>
      <c r="AK1490" s="30" t="n"/>
      <c r="AL1490" s="30" t="n"/>
      <c r="AM1490" s="30" t="n"/>
      <c r="AN1490" s="30" t="n"/>
      <c r="AO1490" s="30" t="n"/>
    </row>
    <row r="1491">
      <c r="A1491" s="89" t="inlineStr">
        <is>
          <t>23252XXX</t>
        </is>
      </c>
      <c r="B1491" s="135" t="inlineStr">
        <is>
          <t>TAVERNITI   CHOMBA M/C</t>
        </is>
      </c>
      <c r="C1491" s="88" t="n">
        <v>65500</v>
      </c>
      <c r="D1491" s="170" t="n"/>
      <c r="E1491" s="170" t="n"/>
      <c r="F1491" s="170" t="n"/>
      <c r="G1491" s="170" t="n"/>
      <c r="H1491" s="170" t="n"/>
      <c r="I1491" s="170" t="n"/>
      <c r="J1491" s="170" t="n"/>
      <c r="K1491" s="170" t="n"/>
      <c r="L1491" s="170" t="n"/>
      <c r="M1491" s="170" t="n"/>
      <c r="N1491" s="170" t="n"/>
      <c r="O1491" s="150">
        <f>C1491*P1491</f>
        <v/>
      </c>
      <c r="P1491" s="22" t="n">
        <v>1.045</v>
      </c>
      <c r="Q1491" s="30" t="n"/>
      <c r="R1491" s="170" t="n"/>
      <c r="S1491" s="30" t="n"/>
      <c r="T1491" s="170" t="n"/>
      <c r="U1491" s="30" t="n"/>
      <c r="V1491" s="30" t="n"/>
      <c r="W1491" s="30" t="n"/>
      <c r="X1491" s="30" t="n"/>
      <c r="Y1491" s="30" t="n"/>
      <c r="Z1491" s="30" t="n"/>
      <c r="AA1491" s="30" t="n"/>
      <c r="AB1491" s="30" t="n"/>
      <c r="AC1491" s="30" t="n"/>
      <c r="AD1491" s="30" t="n"/>
      <c r="AE1491" s="30" t="n"/>
      <c r="AF1491" s="30" t="n"/>
      <c r="AG1491" s="30" t="n"/>
      <c r="AH1491" s="30" t="n"/>
      <c r="AI1491" s="30" t="n"/>
      <c r="AJ1491" s="30" t="n"/>
      <c r="AK1491" s="30" t="n"/>
      <c r="AL1491" s="30" t="n"/>
      <c r="AM1491" s="30" t="n"/>
      <c r="AN1491" s="30" t="n"/>
      <c r="AO1491" s="30" t="n"/>
    </row>
    <row r="1492">
      <c r="A1492" s="89" t="inlineStr">
        <is>
          <t>23254XXX</t>
        </is>
      </c>
      <c r="B1492" s="135" t="inlineStr">
        <is>
          <t>TAVERNITI   CHOMBA M/C</t>
        </is>
      </c>
      <c r="C1492" s="88" t="n">
        <v>65500</v>
      </c>
      <c r="D1492" s="170" t="n"/>
      <c r="E1492" s="170" t="n"/>
      <c r="F1492" s="170" t="n"/>
      <c r="G1492" s="170" t="n"/>
      <c r="H1492" s="170" t="n"/>
      <c r="I1492" s="170" t="n"/>
      <c r="J1492" s="170" t="n"/>
      <c r="K1492" s="170" t="n"/>
      <c r="L1492" s="170" t="n"/>
      <c r="M1492" s="170" t="n"/>
      <c r="N1492" s="170" t="n"/>
      <c r="O1492" s="150">
        <f>C1492*P1492</f>
        <v/>
      </c>
      <c r="P1492" s="22" t="n">
        <v>1.045</v>
      </c>
      <c r="Q1492" s="30" t="n"/>
      <c r="R1492" s="170" t="n"/>
      <c r="S1492" s="30" t="n"/>
      <c r="T1492" s="170" t="n"/>
      <c r="U1492" s="30" t="n"/>
      <c r="V1492" s="30" t="n"/>
      <c r="W1492" s="30" t="n"/>
      <c r="X1492" s="30" t="n"/>
      <c r="Y1492" s="30" t="n"/>
      <c r="Z1492" s="30" t="n"/>
      <c r="AA1492" s="30" t="n"/>
      <c r="AB1492" s="30" t="n"/>
      <c r="AC1492" s="30" t="n"/>
      <c r="AD1492" s="30" t="n"/>
      <c r="AE1492" s="30" t="n"/>
      <c r="AF1492" s="30" t="n"/>
      <c r="AG1492" s="30" t="n"/>
      <c r="AH1492" s="30" t="n"/>
      <c r="AI1492" s="30" t="n"/>
      <c r="AJ1492" s="30" t="n"/>
      <c r="AK1492" s="30" t="n"/>
      <c r="AL1492" s="30" t="n"/>
      <c r="AM1492" s="30" t="n"/>
      <c r="AN1492" s="30" t="n"/>
      <c r="AO1492" s="30" t="n"/>
    </row>
    <row r="1493">
      <c r="A1493" s="89" t="inlineStr">
        <is>
          <t>23256XXX</t>
        </is>
      </c>
      <c r="B1493" s="135" t="inlineStr">
        <is>
          <t>TAVERNITI   CHOMBA M/C</t>
        </is>
      </c>
      <c r="C1493" s="88" t="n">
        <v>65500</v>
      </c>
      <c r="D1493" s="170" t="n"/>
      <c r="E1493" s="170" t="n"/>
      <c r="F1493" s="170" t="n"/>
      <c r="G1493" s="170" t="n"/>
      <c r="H1493" s="170" t="n"/>
      <c r="I1493" s="170" t="n"/>
      <c r="J1493" s="170" t="n"/>
      <c r="K1493" s="170" t="n"/>
      <c r="L1493" s="170" t="n"/>
      <c r="M1493" s="170" t="n"/>
      <c r="N1493" s="170" t="n"/>
      <c r="O1493" s="150">
        <f>C1493*P1493</f>
        <v/>
      </c>
      <c r="P1493" s="22" t="n">
        <v>1.045</v>
      </c>
      <c r="Q1493" s="30" t="n"/>
      <c r="R1493" s="170" t="n"/>
      <c r="S1493" s="30" t="n"/>
      <c r="T1493" s="170" t="n"/>
      <c r="U1493" s="30" t="n"/>
      <c r="V1493" s="30" t="n"/>
      <c r="W1493" s="30" t="n"/>
      <c r="X1493" s="30" t="n"/>
      <c r="Y1493" s="30" t="n"/>
      <c r="Z1493" s="30" t="n"/>
      <c r="AA1493" s="30" t="n"/>
      <c r="AB1493" s="30" t="n"/>
      <c r="AC1493" s="30" t="n"/>
      <c r="AD1493" s="30" t="n"/>
      <c r="AE1493" s="30" t="n"/>
      <c r="AF1493" s="30" t="n"/>
      <c r="AG1493" s="30" t="n"/>
      <c r="AH1493" s="30" t="n"/>
      <c r="AI1493" s="30" t="n"/>
      <c r="AJ1493" s="30" t="n"/>
      <c r="AK1493" s="30" t="n"/>
      <c r="AL1493" s="30" t="n"/>
      <c r="AM1493" s="30" t="n"/>
      <c r="AN1493" s="30" t="n"/>
      <c r="AO1493" s="30" t="n"/>
    </row>
    <row r="1494">
      <c r="A1494" s="89" t="inlineStr">
        <is>
          <t>XXX</t>
        </is>
      </c>
      <c r="B1494" s="135" t="inlineStr">
        <is>
          <t>TAVERNITI   CHOMBA M/C</t>
        </is>
      </c>
      <c r="C1494" s="88" t="n">
        <v>65500</v>
      </c>
      <c r="D1494" s="170" t="n"/>
      <c r="E1494" s="170" t="n"/>
      <c r="F1494" s="170" t="n"/>
      <c r="G1494" s="170" t="n"/>
      <c r="H1494" s="170" t="n"/>
      <c r="I1494" s="170" t="n"/>
      <c r="J1494" s="170" t="n"/>
      <c r="K1494" s="170" t="n"/>
      <c r="L1494" s="170" t="n"/>
      <c r="M1494" s="170" t="n"/>
      <c r="N1494" s="170" t="n"/>
      <c r="O1494" s="150">
        <f>C1494*P1494</f>
        <v/>
      </c>
      <c r="P1494" s="22" t="n">
        <v>1.045</v>
      </c>
      <c r="Q1494" s="30" t="n"/>
      <c r="R1494" s="170" t="n"/>
      <c r="S1494" s="30" t="n"/>
      <c r="T1494" s="170" t="n"/>
      <c r="U1494" s="30" t="n"/>
      <c r="V1494" s="30" t="n"/>
      <c r="W1494" s="30" t="n"/>
      <c r="X1494" s="30" t="n"/>
      <c r="Y1494" s="30" t="n"/>
      <c r="Z1494" s="30" t="n"/>
      <c r="AA1494" s="30" t="n"/>
      <c r="AB1494" s="30" t="n"/>
      <c r="AC1494" s="30" t="n"/>
      <c r="AD1494" s="30" t="n"/>
      <c r="AE1494" s="30" t="n"/>
      <c r="AF1494" s="30" t="n"/>
      <c r="AG1494" s="30" t="n"/>
      <c r="AH1494" s="30" t="n"/>
      <c r="AI1494" s="30" t="n"/>
      <c r="AJ1494" s="30" t="n"/>
      <c r="AK1494" s="30" t="n"/>
      <c r="AL1494" s="30" t="n"/>
      <c r="AM1494" s="30" t="n"/>
      <c r="AN1494" s="30" t="n"/>
      <c r="AO1494" s="30" t="n"/>
    </row>
    <row r="1495">
      <c r="A1495" s="134" t="n"/>
      <c r="B1495" s="246" t="n"/>
      <c r="C1495" s="219" t="n"/>
      <c r="D1495" s="219" t="n"/>
      <c r="E1495" s="219" t="n"/>
      <c r="F1495" s="219" t="n"/>
      <c r="G1495" s="219" t="n"/>
      <c r="H1495" s="219" t="n"/>
      <c r="I1495" s="219" t="n"/>
      <c r="J1495" s="219" t="n"/>
      <c r="K1495" s="219" t="n"/>
      <c r="L1495" s="219" t="n"/>
      <c r="M1495" s="219" t="n"/>
      <c r="N1495" s="219" t="n"/>
      <c r="P1495" s="117" t="n"/>
      <c r="R1495" s="117" t="n"/>
      <c r="T1495" s="117" t="n"/>
    </row>
    <row r="1496">
      <c r="A1496" s="80" t="n"/>
      <c r="B1496" s="81" t="inlineStr">
        <is>
          <t>CONJUNTOS HOMBRE</t>
        </is>
      </c>
      <c r="C1496" s="83" t="inlineStr">
        <is>
          <t>1 al 4</t>
        </is>
      </c>
      <c r="D1496" s="83" t="n"/>
      <c r="E1496" s="83" t="n"/>
      <c r="F1496" s="83" t="n">
        <v>6</v>
      </c>
      <c r="G1496" s="83" t="n">
        <v>7</v>
      </c>
      <c r="H1496" s="83" t="n">
        <v>8</v>
      </c>
      <c r="I1496" s="83" t="n">
        <v>9</v>
      </c>
      <c r="J1496" s="83" t="n">
        <v>10</v>
      </c>
      <c r="K1496" s="83" t="n"/>
      <c r="L1496" s="80" t="inlineStr">
        <is>
          <t>03/25</t>
        </is>
      </c>
      <c r="M1496" s="83" t="n"/>
      <c r="N1496" s="83" t="n"/>
      <c r="P1496" s="117" t="n"/>
      <c r="Q1496" s="85" t="n"/>
      <c r="R1496" s="84" t="n"/>
      <c r="S1496" s="85" t="n"/>
      <c r="T1496" s="84" t="n"/>
      <c r="U1496" s="85" t="n"/>
      <c r="V1496" s="85" t="n"/>
      <c r="W1496" s="85" t="n"/>
      <c r="X1496" s="85" t="n"/>
      <c r="Y1496" s="85" t="n"/>
      <c r="Z1496" s="85" t="n"/>
      <c r="AA1496" s="85" t="n"/>
      <c r="AB1496" s="85" t="n"/>
      <c r="AC1496" s="85" t="n"/>
      <c r="AD1496" s="85" t="n"/>
      <c r="AE1496" s="85" t="n"/>
      <c r="AF1496" s="85" t="n"/>
      <c r="AG1496" s="85" t="n"/>
      <c r="AH1496" s="85" t="n"/>
      <c r="AI1496" s="85" t="n"/>
      <c r="AJ1496" s="85" t="n"/>
      <c r="AK1496" s="85" t="n"/>
      <c r="AL1496" s="85" t="n"/>
      <c r="AM1496" s="85" t="n"/>
      <c r="AN1496" s="85" t="n"/>
      <c r="AO1496" s="85" t="n"/>
    </row>
    <row r="1497">
      <c r="A1497" s="89" t="inlineStr">
        <is>
          <t>1440/14401</t>
        </is>
      </c>
      <c r="B1497" s="248" t="inlineStr">
        <is>
          <t>CONJUNTO MICROFIBRA WILL SPORT</t>
        </is>
      </c>
      <c r="C1497" s="146" t="n">
        <v>72200</v>
      </c>
      <c r="D1497" s="88">
        <f>ROUND((C1497*1.06)/100,0)*100</f>
        <v/>
      </c>
      <c r="E1497" s="88">
        <f>ROUND((C1497*1.15)/100,0)*100</f>
        <v/>
      </c>
      <c r="F1497" s="88">
        <f>ROUND((C1497*1.23)/100,0)*100</f>
        <v/>
      </c>
      <c r="G1497" s="88">
        <f>ROUND((C1497*1.29)/100,0)*100</f>
        <v/>
      </c>
      <c r="H1497" s="88">
        <f>ROUND((C1497*1.35)/100,0)*100</f>
        <v/>
      </c>
      <c r="I1497" s="88">
        <f>ROUND((C1497*1.39)/100,0)*100</f>
        <v/>
      </c>
      <c r="J1497" s="88" t="n"/>
      <c r="K1497" s="88" t="n"/>
      <c r="L1497" s="88" t="n"/>
      <c r="M1497" s="88" t="n"/>
      <c r="N1497" s="88" t="n"/>
      <c r="O1497" s="248">
        <f>C1497*P1497</f>
        <v/>
      </c>
      <c r="P1497" s="22" t="n">
        <v>1.35</v>
      </c>
      <c r="R1497" s="117" t="n"/>
      <c r="T1497" s="117" t="n"/>
      <c r="AA1497" s="125" t="n"/>
    </row>
    <row r="1498">
      <c r="A1498" s="89" t="inlineStr">
        <is>
          <t>1441</t>
        </is>
      </c>
      <c r="B1498" s="248" t="inlineStr">
        <is>
          <t>NORTH STAR CONJ ALGODÓN FRIZA</t>
        </is>
      </c>
      <c r="C1498" s="146" t="n">
        <v>76100</v>
      </c>
      <c r="D1498" s="88">
        <f>ROUND((C1498*1.06)/100,0)*100</f>
        <v/>
      </c>
      <c r="E1498" s="88">
        <f>ROUND((C1498*1.15)/100,0)*100</f>
        <v/>
      </c>
      <c r="F1498" s="88">
        <f>ROUND((C1498*1.23)/100,0)*100</f>
        <v/>
      </c>
      <c r="G1498" s="88">
        <f>ROUND((C1498*1.29)/100,0)*100</f>
        <v/>
      </c>
      <c r="H1498" s="88">
        <f>ROUND((C1498*1.35)/100,0)*100</f>
        <v/>
      </c>
      <c r="I1498" s="88">
        <f>ROUND((C1498*1.39)/100,0)*100</f>
        <v/>
      </c>
      <c r="J1498" s="88" t="n"/>
      <c r="K1498" s="88" t="n"/>
      <c r="L1498" s="88" t="n"/>
      <c r="M1498" s="88" t="n"/>
      <c r="N1498" s="88" t="n"/>
      <c r="O1498" s="248">
        <f>C1498*P1498</f>
        <v/>
      </c>
      <c r="P1498" s="22" t="n">
        <v>1.35</v>
      </c>
      <c r="R1498" s="117" t="n"/>
      <c r="T1498" s="117" t="n"/>
    </row>
    <row r="1499">
      <c r="A1499" s="89" t="inlineStr">
        <is>
          <t>1442</t>
        </is>
      </c>
      <c r="B1499" s="248" t="inlineStr">
        <is>
          <t>WILL SPORT CONJUNTO ACETATO C/FRIZA</t>
        </is>
      </c>
      <c r="C1499" s="146" t="n">
        <v>72200</v>
      </c>
      <c r="D1499" s="88">
        <f>ROUND((C1499*1.06)/100,0)*100</f>
        <v/>
      </c>
      <c r="E1499" s="88">
        <f>ROUND((C1499*1.15)/100,0)*100</f>
        <v/>
      </c>
      <c r="F1499" s="88">
        <f>ROUND((C1499*1.23)/100,0)*100</f>
        <v/>
      </c>
      <c r="G1499" s="88">
        <f>ROUND((C1499*1.29)/100,0)*100</f>
        <v/>
      </c>
      <c r="H1499" s="88">
        <f>ROUND((C1499*1.35)/100,0)*100</f>
        <v/>
      </c>
      <c r="I1499" s="88">
        <f>ROUND((C1499*1.39)/100,0)*100</f>
        <v/>
      </c>
      <c r="J1499" s="88" t="n"/>
      <c r="K1499" s="88" t="n"/>
      <c r="L1499" s="88" t="n"/>
      <c r="M1499" s="88" t="n"/>
      <c r="N1499" s="88" t="n"/>
      <c r="O1499" s="248">
        <f>C1499*P1499</f>
        <v/>
      </c>
      <c r="P1499" s="22" t="n">
        <v>1.35</v>
      </c>
      <c r="R1499" s="117" t="n"/>
      <c r="T1499" s="117" t="n"/>
    </row>
    <row r="1500">
      <c r="A1500" s="89" t="inlineStr">
        <is>
          <t>1443</t>
        </is>
      </c>
      <c r="B1500" s="248" t="inlineStr">
        <is>
          <t>JOGI ACETATO</t>
        </is>
      </c>
      <c r="C1500" s="146" t="n">
        <v>72200</v>
      </c>
      <c r="D1500" s="88">
        <f>ROUND((C1500*1.06)/100,0)*100</f>
        <v/>
      </c>
      <c r="E1500" s="88">
        <f>ROUND((C1500*1.15)/100,0)*100</f>
        <v/>
      </c>
      <c r="F1500" s="88">
        <f>ROUND((C1500*1.23)/100,0)*100</f>
        <v/>
      </c>
      <c r="G1500" s="88">
        <f>ROUND((C1500*1.29)/100,0)*100</f>
        <v/>
      </c>
      <c r="H1500" s="88">
        <f>ROUND((C1500*1.35)/100,0)*100</f>
        <v/>
      </c>
      <c r="I1500" s="88">
        <f>ROUND((C1500*1.39)/100,0)*100</f>
        <v/>
      </c>
      <c r="J1500" s="88" t="n"/>
      <c r="K1500" s="88" t="n"/>
      <c r="L1500" s="88" t="n"/>
      <c r="M1500" s="88" t="n"/>
      <c r="N1500" s="88" t="n"/>
      <c r="O1500" s="248">
        <f>C1500*P1500</f>
        <v/>
      </c>
      <c r="P1500" s="22" t="n">
        <v>1.35</v>
      </c>
      <c r="R1500" s="117" t="n"/>
      <c r="T1500" s="117" t="n"/>
    </row>
    <row r="1501">
      <c r="A1501" s="89" t="inlineStr">
        <is>
          <t>1444</t>
        </is>
      </c>
      <c r="B1501" s="248" t="inlineStr">
        <is>
          <t xml:space="preserve">CONJ FRIZA NIÑO </t>
        </is>
      </c>
      <c r="C1501" s="146" t="n">
        <v>72200</v>
      </c>
      <c r="D1501" s="88">
        <f>ROUND((C1501*1.06)/100,0)*100</f>
        <v/>
      </c>
      <c r="E1501" s="88">
        <f>ROUND((C1501*1.15)/100,0)*100</f>
        <v/>
      </c>
      <c r="F1501" s="88">
        <f>ROUND((C1501*1.23)/100,0)*100</f>
        <v/>
      </c>
      <c r="G1501" s="88">
        <f>ROUND((C1501*1.29)/100,0)*100</f>
        <v/>
      </c>
      <c r="H1501" s="88">
        <f>ROUND((C1501*1.35)/100,0)*100</f>
        <v/>
      </c>
      <c r="I1501" s="88">
        <f>ROUND((C1501*1.39)/100,0)*100</f>
        <v/>
      </c>
      <c r="J1501" s="88" t="n"/>
      <c r="K1501" s="88" t="n"/>
      <c r="L1501" s="88" t="n"/>
      <c r="M1501" s="88" t="n"/>
      <c r="N1501" s="88" t="n"/>
      <c r="O1501" s="248">
        <f>C1501*P1501</f>
        <v/>
      </c>
      <c r="P1501" s="22" t="n">
        <v>1.35</v>
      </c>
      <c r="R1501" s="117" t="n"/>
      <c r="T1501" s="117" t="n"/>
    </row>
    <row r="1502">
      <c r="A1502" s="89" t="inlineStr">
        <is>
          <t>509</t>
        </is>
      </c>
      <c r="B1502" s="248" t="inlineStr">
        <is>
          <t>AERO ALGODÓN</t>
        </is>
      </c>
      <c r="C1502" s="146" t="n">
        <v>72200</v>
      </c>
      <c r="D1502" s="88">
        <f>ROUND((C1502*1.06)/100,0)*100</f>
        <v/>
      </c>
      <c r="E1502" s="88">
        <f>ROUND((C1502*1.15)/100,0)*100</f>
        <v/>
      </c>
      <c r="F1502" s="88">
        <f>ROUND((C1502*1.23)/100,0)*100</f>
        <v/>
      </c>
      <c r="G1502" s="88">
        <f>ROUND((C1502*1.29)/100,0)*100</f>
        <v/>
      </c>
      <c r="H1502" s="88">
        <f>ROUND((C1502*1.35)/100,0)*100</f>
        <v/>
      </c>
      <c r="I1502" s="88">
        <f>ROUND((C1502*1.39)/100,0)*100</f>
        <v/>
      </c>
      <c r="J1502" s="88" t="n"/>
      <c r="K1502" s="88" t="n"/>
      <c r="L1502" s="88" t="n"/>
      <c r="M1502" s="88" t="n"/>
      <c r="N1502" s="88" t="n"/>
      <c r="O1502" s="248">
        <f>C1502*P1502</f>
        <v/>
      </c>
      <c r="P1502" s="22" t="n">
        <v>1.35</v>
      </c>
      <c r="R1502" s="117" t="n"/>
      <c r="T1502" s="117" t="n"/>
    </row>
    <row r="1503">
      <c r="A1503" s="134" t="n"/>
      <c r="B1503" s="246" t="n"/>
      <c r="C1503" s="219" t="n"/>
      <c r="D1503" s="219" t="n"/>
      <c r="E1503" s="219" t="n"/>
      <c r="F1503" s="219" t="n"/>
      <c r="G1503" s="219" t="n"/>
      <c r="H1503" s="219" t="n"/>
      <c r="I1503" s="219" t="n"/>
      <c r="J1503" s="219" t="n"/>
      <c r="K1503" s="219" t="n"/>
      <c r="L1503" s="219" t="n"/>
      <c r="M1503" s="219" t="n"/>
      <c r="N1503" s="219" t="n"/>
      <c r="P1503" s="141" t="n"/>
      <c r="R1503" s="117" t="n"/>
      <c r="T1503" s="117" t="n"/>
    </row>
    <row r="1504">
      <c r="A1504" s="134" t="n"/>
      <c r="B1504" s="246" t="n"/>
      <c r="C1504" s="219" t="n"/>
      <c r="D1504" s="219" t="n"/>
      <c r="E1504" s="219" t="n"/>
      <c r="F1504" s="219" t="n"/>
      <c r="G1504" s="219" t="n"/>
      <c r="H1504" s="219" t="n"/>
      <c r="I1504" s="219" t="n"/>
      <c r="J1504" s="219" t="n"/>
      <c r="K1504" s="219" t="n"/>
      <c r="L1504" s="219" t="n"/>
      <c r="M1504" s="219" t="n"/>
      <c r="N1504" s="219" t="n"/>
      <c r="P1504" s="141" t="n"/>
      <c r="R1504" s="117" t="n"/>
      <c r="T1504" s="117" t="n"/>
    </row>
    <row r="1505">
      <c r="A1505" s="128" t="n"/>
      <c r="B1505" s="110" t="n"/>
      <c r="C1505" s="183" t="n"/>
      <c r="D1505" s="183" t="n"/>
      <c r="E1505" s="183" t="n"/>
      <c r="F1505" s="219" t="n"/>
      <c r="G1505" s="219" t="n"/>
      <c r="H1505" s="219" t="n"/>
      <c r="I1505" s="219" t="n"/>
      <c r="J1505" s="219" t="n"/>
      <c r="K1505" s="219" t="n"/>
      <c r="L1505" s="219" t="n"/>
      <c r="M1505" s="219" t="n"/>
      <c r="N1505" s="219" t="n"/>
      <c r="P1505" s="141" t="n"/>
      <c r="R1505" s="117" t="n"/>
      <c r="T1505" s="117" t="n"/>
    </row>
    <row r="1506">
      <c r="A1506" s="128" t="n"/>
      <c r="B1506" s="129" t="inlineStr">
        <is>
          <t xml:space="preserve"> PANTALONES BUZO (ALG Y ACET.)</t>
        </is>
      </c>
      <c r="C1506" s="42" t="inlineStr">
        <is>
          <t>1 al 4</t>
        </is>
      </c>
      <c r="D1506" s="42" t="inlineStr">
        <is>
          <t>5/XXL</t>
        </is>
      </c>
      <c r="E1506" s="42" t="inlineStr">
        <is>
          <t>6-7</t>
        </is>
      </c>
      <c r="F1506" s="42" t="inlineStr">
        <is>
          <t>8-9</t>
        </is>
      </c>
      <c r="G1506" s="42" t="n">
        <v>10</v>
      </c>
      <c r="H1506" s="42" t="n">
        <v>12</v>
      </c>
      <c r="I1506" s="42" t="n">
        <v>14</v>
      </c>
      <c r="J1506" s="42" t="n">
        <v>16</v>
      </c>
      <c r="K1506" s="128" t="inlineStr">
        <is>
          <t>06/25</t>
        </is>
      </c>
      <c r="L1506" s="153" t="n"/>
      <c r="M1506" s="153" t="n"/>
      <c r="O1506" s="137" t="n"/>
      <c r="P1506" s="117" t="n"/>
      <c r="R1506" s="117" t="n"/>
      <c r="T1506" s="117" t="n"/>
    </row>
    <row r="1507">
      <c r="A1507" s="68" t="inlineStr">
        <is>
          <t>900</t>
        </is>
      </c>
      <c r="B1507" s="110" t="inlineStr">
        <is>
          <t>NORTH STAR PANT S/FRIZA</t>
        </is>
      </c>
      <c r="C1507" s="88" t="n">
        <v>52300</v>
      </c>
      <c r="D1507" s="88">
        <f>ROUND((C1507*1.06)/100,0)*100</f>
        <v/>
      </c>
      <c r="E1507" s="88">
        <f>ROUND((C1507*1.15)/100,0)*100</f>
        <v/>
      </c>
      <c r="F1507" s="88">
        <f>ROUND((C1507*1.23)/100,0)*100</f>
        <v/>
      </c>
      <c r="G1507" s="88">
        <f>ROUND((C1507*1.29)/100,0)*100</f>
        <v/>
      </c>
      <c r="H1507" s="88">
        <f>ROUND((C1507*1.35)/100,0)*100</f>
        <v/>
      </c>
      <c r="I1507" s="88">
        <f>ROUND((C1507*1.39)/100,0)*100</f>
        <v/>
      </c>
      <c r="J1507" s="88">
        <f>ROUND((C1507*1.43)/100,0)*100</f>
        <v/>
      </c>
      <c r="K1507" s="219" t="n"/>
      <c r="L1507" s="219">
        <f>ROUND((SUM(C1507*T1507))/100,0)*100</f>
        <v/>
      </c>
      <c r="M1507" s="219" t="n"/>
      <c r="N1507" s="219" t="n"/>
      <c r="O1507" s="219" t="n"/>
      <c r="P1507" s="219" t="n"/>
      <c r="Q1507" s="219" t="n"/>
      <c r="R1507" s="219" t="n"/>
      <c r="S1507" s="219" t="n"/>
      <c r="T1507" s="94" t="n">
        <v>1.14</v>
      </c>
      <c r="AC1507" s="125" t="n"/>
    </row>
    <row r="1508">
      <c r="A1508" s="134" t="inlineStr">
        <is>
          <t>9011/90111</t>
        </is>
      </c>
      <c r="B1508" s="131" t="inlineStr">
        <is>
          <t>NORTH STAR FRIZA CHUPIN</t>
        </is>
      </c>
      <c r="C1508" s="88" t="n">
        <v>52300</v>
      </c>
      <c r="D1508" s="88">
        <f>ROUND((C1508*1.06)/100,0)*100</f>
        <v/>
      </c>
      <c r="E1508" s="88">
        <f>ROUND((C1508*1.15)/100,0)*100</f>
        <v/>
      </c>
      <c r="F1508" s="88">
        <f>ROUND((C1508*1.23)/100,0)*100</f>
        <v/>
      </c>
      <c r="G1508" s="88">
        <f>ROUND((C1508*1.29)/100,0)*100</f>
        <v/>
      </c>
      <c r="H1508" s="88">
        <f>ROUND((C1508*1.35)/100,0)*100</f>
        <v/>
      </c>
      <c r="I1508" s="88">
        <f>ROUND((C1508*1.39)/100,0)*100</f>
        <v/>
      </c>
      <c r="J1508" s="88">
        <f>ROUND((C1508*1.43)/100,0)*100</f>
        <v/>
      </c>
      <c r="K1508" s="219" t="n"/>
      <c r="L1508" s="219">
        <f>ROUND((SUM(C1508*T1508))/100,0)*100</f>
        <v/>
      </c>
      <c r="M1508" s="219" t="n"/>
      <c r="N1508" s="219" t="n"/>
      <c r="O1508" s="219" t="n"/>
      <c r="P1508" s="219" t="n"/>
      <c r="Q1508" s="219" t="n"/>
      <c r="R1508" s="219" t="n"/>
      <c r="S1508" s="219" t="n"/>
      <c r="T1508" s="94" t="n">
        <v>1.14</v>
      </c>
    </row>
    <row r="1509">
      <c r="A1509" s="134" t="inlineStr">
        <is>
          <t>90112</t>
        </is>
      </c>
      <c r="B1509" s="131" t="inlineStr">
        <is>
          <t>NORTH STAR CAMUFLADO CHUPIN</t>
        </is>
      </c>
      <c r="C1509" s="88" t="n">
        <v>52300</v>
      </c>
      <c r="D1509" s="88">
        <f>ROUND((C1509*1.06)/100,0)*100</f>
        <v/>
      </c>
      <c r="E1509" s="88">
        <f>ROUND((C1509*1.15)/100,0)*100</f>
        <v/>
      </c>
      <c r="F1509" s="88">
        <f>ROUND((C1509*1.23)/100,0)*100</f>
        <v/>
      </c>
      <c r="G1509" s="88">
        <f>ROUND((C1509*1.29)/100,0)*100</f>
        <v/>
      </c>
      <c r="H1509" s="88">
        <f>ROUND((C1509*1.35)/100,0)*100</f>
        <v/>
      </c>
      <c r="I1509" s="88">
        <f>ROUND((C1509*1.39)/100,0)*100</f>
        <v/>
      </c>
      <c r="J1509" s="88">
        <f>ROUND((C1509*1.43)/100,0)*100</f>
        <v/>
      </c>
      <c r="K1509" s="219" t="n"/>
      <c r="L1509" s="219">
        <f>ROUND((SUM(C1509*T1509))/100,0)*100</f>
        <v/>
      </c>
      <c r="M1509" s="219" t="n"/>
      <c r="N1509" s="219" t="n"/>
      <c r="O1509" s="219" t="n"/>
      <c r="P1509" s="219" t="n"/>
      <c r="Q1509" s="219" t="n"/>
      <c r="R1509" s="219" t="n"/>
      <c r="S1509" s="219" t="n"/>
      <c r="T1509" s="94" t="n">
        <v>1.14</v>
      </c>
    </row>
    <row r="1510">
      <c r="A1510" s="134" t="inlineStr">
        <is>
          <t>9022/90222</t>
        </is>
      </c>
      <c r="B1510" s="131" t="inlineStr">
        <is>
          <t>NORTH STAR FRIZA</t>
        </is>
      </c>
      <c r="C1510" s="88" t="n">
        <v>52300</v>
      </c>
      <c r="D1510" s="88">
        <f>ROUND((C1510*1.06)/100,0)*100</f>
        <v/>
      </c>
      <c r="E1510" s="88">
        <f>ROUND((C1510*1.15)/100,0)*100</f>
        <v/>
      </c>
      <c r="F1510" s="88">
        <f>ROUND((C1510*1.23)/100,0)*100</f>
        <v/>
      </c>
      <c r="G1510" s="88">
        <f>ROUND((C1510*1.29)/100,0)*100</f>
        <v/>
      </c>
      <c r="H1510" s="88">
        <f>ROUND((C1510*1.35)/100,0)*100</f>
        <v/>
      </c>
      <c r="I1510" s="88">
        <f>ROUND((C1510*1.39)/100,0)*100</f>
        <v/>
      </c>
      <c r="J1510" s="88">
        <f>ROUND((C1510*1.43)/100,0)*100</f>
        <v/>
      </c>
      <c r="K1510" s="219" t="n"/>
      <c r="L1510" s="219">
        <f>ROUND((SUM(C1510*T1510))/100,0)*100</f>
        <v/>
      </c>
      <c r="M1510" s="219" t="n"/>
      <c r="N1510" s="219" t="n"/>
      <c r="O1510" s="219" t="n"/>
      <c r="P1510" s="219" t="n"/>
      <c r="Q1510" s="219" t="n"/>
      <c r="R1510" s="219" t="n"/>
      <c r="S1510" s="219" t="n"/>
      <c r="T1510" s="94" t="n">
        <v>1.14</v>
      </c>
    </row>
    <row r="1511">
      <c r="A1511" s="134" t="inlineStr">
        <is>
          <t>9021</t>
        </is>
      </c>
      <c r="B1511" s="131" t="inlineStr">
        <is>
          <t>NORTH STAR FRIZA</t>
        </is>
      </c>
      <c r="C1511" s="88" t="n">
        <v>52300</v>
      </c>
      <c r="D1511" s="88">
        <f>ROUND((C1511*1.06)/100,0)*100</f>
        <v/>
      </c>
      <c r="E1511" s="88">
        <f>ROUND((C1511*1.15)/100,0)*100</f>
        <v/>
      </c>
      <c r="F1511" s="88">
        <f>ROUND((C1511*1.23)/100,0)*100</f>
        <v/>
      </c>
      <c r="G1511" s="88">
        <f>ROUND((C1511*1.29)/100,0)*100</f>
        <v/>
      </c>
      <c r="H1511" s="88">
        <f>ROUND((C1511*1.35)/100,0)*100</f>
        <v/>
      </c>
      <c r="I1511" s="88">
        <f>ROUND((C1511*1.39)/100,0)*100</f>
        <v/>
      </c>
      <c r="J1511" s="88">
        <f>ROUND((C1511*1.43)/100,0)*100</f>
        <v/>
      </c>
      <c r="K1511" s="219" t="n"/>
      <c r="L1511" s="219">
        <f>ROUND((SUM(C1511*T1511))/100,0)*100</f>
        <v/>
      </c>
      <c r="M1511" s="219" t="n"/>
      <c r="N1511" s="219" t="n"/>
      <c r="O1511" s="219" t="n"/>
      <c r="P1511" s="219" t="n"/>
      <c r="Q1511" s="219" t="n"/>
      <c r="R1511" s="219" t="n"/>
      <c r="S1511" s="219" t="n"/>
      <c r="T1511" s="94" t="n">
        <v>1.14</v>
      </c>
    </row>
    <row r="1512">
      <c r="A1512" s="134" t="inlineStr">
        <is>
          <t>90333/9033</t>
        </is>
      </c>
      <c r="B1512" s="131" t="inlineStr">
        <is>
          <t>NORTH STAR BABUCHA FRIZA</t>
        </is>
      </c>
      <c r="C1512" s="88" t="n">
        <v>52300</v>
      </c>
      <c r="D1512" s="88">
        <f>ROUND((C1512*1.06)/100,0)*100</f>
        <v/>
      </c>
      <c r="E1512" s="88">
        <f>ROUND((C1512*1.15)/100,0)*100</f>
        <v/>
      </c>
      <c r="F1512" s="88">
        <f>ROUND((C1512*1.23)/100,0)*100</f>
        <v/>
      </c>
      <c r="G1512" s="88">
        <f>ROUND((C1512*1.29)/100,0)*100</f>
        <v/>
      </c>
      <c r="H1512" s="88">
        <f>ROUND((C1512*1.35)/100,0)*100</f>
        <v/>
      </c>
      <c r="I1512" s="88">
        <f>ROUND((C1512*1.39)/100,0)*100</f>
        <v/>
      </c>
      <c r="J1512" s="88">
        <f>ROUND((C1512*1.43)/100,0)*100</f>
        <v/>
      </c>
      <c r="K1512" s="219" t="n"/>
      <c r="L1512" s="219">
        <f>ROUND((SUM(C1512*T1512))/100,0)*100</f>
        <v/>
      </c>
      <c r="M1512" s="219" t="n"/>
      <c r="N1512" s="219" t="n"/>
      <c r="O1512" s="219" t="n"/>
      <c r="P1512" s="219" t="n"/>
      <c r="Q1512" s="219" t="n"/>
      <c r="R1512" s="219" t="n"/>
      <c r="S1512" s="219" t="n"/>
      <c r="T1512" s="94" t="n">
        <v>1.14</v>
      </c>
    </row>
    <row r="1513">
      <c r="A1513" s="134" t="inlineStr">
        <is>
          <t>9012</t>
        </is>
      </c>
      <c r="B1513" s="131" t="inlineStr">
        <is>
          <t>NORTH STAR CHUPIN S/F</t>
        </is>
      </c>
      <c r="C1513" s="88" t="n">
        <v>52300</v>
      </c>
      <c r="D1513" s="88">
        <f>ROUND((C1513*1.06)/100,0)*100</f>
        <v/>
      </c>
      <c r="E1513" s="88">
        <f>ROUND((C1513*1.15)/100,0)*100</f>
        <v/>
      </c>
      <c r="F1513" s="88">
        <f>ROUND((C1513*1.23)/100,0)*100</f>
        <v/>
      </c>
      <c r="G1513" s="88">
        <f>ROUND((C1513*1.29)/100,0)*100</f>
        <v/>
      </c>
      <c r="H1513" s="88">
        <f>ROUND((C1513*1.35)/100,0)*100</f>
        <v/>
      </c>
      <c r="I1513" s="88">
        <f>ROUND((C1513*1.39)/100,0)*100</f>
        <v/>
      </c>
      <c r="J1513" s="88">
        <f>ROUND((C1513*1.43)/100,0)*100</f>
        <v/>
      </c>
      <c r="K1513" s="219" t="n"/>
      <c r="L1513" s="219">
        <f>ROUND((SUM(C1513*T1513))/100,0)*100</f>
        <v/>
      </c>
      <c r="M1513" s="219" t="n"/>
      <c r="N1513" s="219" t="n"/>
      <c r="O1513" s="219" t="n"/>
      <c r="P1513" s="219" t="n"/>
      <c r="Q1513" s="219" t="n"/>
      <c r="R1513" s="219" t="n"/>
      <c r="S1513" s="219" t="n"/>
      <c r="T1513" s="94" t="n">
        <v>1.14</v>
      </c>
    </row>
    <row r="1514">
      <c r="A1514" s="134" t="inlineStr">
        <is>
          <t>9013</t>
        </is>
      </c>
      <c r="B1514" s="131" t="inlineStr">
        <is>
          <t>NORTH STAR CLASICO S/FRIZA</t>
        </is>
      </c>
      <c r="C1514" s="88" t="n">
        <v>52300</v>
      </c>
      <c r="D1514" s="88">
        <f>ROUND((C1514*1.06)/100,0)*100</f>
        <v/>
      </c>
      <c r="E1514" s="88">
        <f>ROUND((C1514*1.15)/100,0)*100</f>
        <v/>
      </c>
      <c r="F1514" s="88">
        <f>ROUND((C1514*1.23)/100,0)*100</f>
        <v/>
      </c>
      <c r="G1514" s="88">
        <f>ROUND((C1514*1.29)/100,0)*100</f>
        <v/>
      </c>
      <c r="H1514" s="88">
        <f>ROUND((C1514*1.35)/100,0)*100</f>
        <v/>
      </c>
      <c r="I1514" s="88">
        <f>ROUND((C1514*1.39)/100,0)*100</f>
        <v/>
      </c>
      <c r="J1514" s="88">
        <f>ROUND((C1514*1.43)/100,0)*100</f>
        <v/>
      </c>
      <c r="K1514" s="219" t="n"/>
      <c r="L1514" s="219">
        <f>ROUND((SUM(C1514*T1514))/100,0)*100</f>
        <v/>
      </c>
      <c r="M1514" s="219" t="n"/>
      <c r="N1514" s="219" t="n"/>
      <c r="O1514" s="219" t="n"/>
      <c r="P1514" s="219" t="n"/>
      <c r="Q1514" s="219" t="n"/>
      <c r="R1514" s="219" t="n"/>
      <c r="S1514" s="219" t="n"/>
      <c r="T1514" s="94" t="n">
        <v>1.14</v>
      </c>
    </row>
    <row r="1515">
      <c r="A1515" s="134" t="inlineStr">
        <is>
          <t>9014/90144</t>
        </is>
      </c>
      <c r="B1515" s="131" t="inlineStr">
        <is>
          <t>N. STAR BABUCHA S/FRIZA</t>
        </is>
      </c>
      <c r="C1515" s="88" t="n">
        <v>56600</v>
      </c>
      <c r="D1515" s="88">
        <f>ROUND((C1515*1.06)/100,0)*100</f>
        <v/>
      </c>
      <c r="E1515" s="88">
        <f>ROUND((C1515*1.15)/100,0)*100</f>
        <v/>
      </c>
      <c r="F1515" s="88">
        <f>ROUND((C1515*1.23)/100,0)*100</f>
        <v/>
      </c>
      <c r="G1515" s="88">
        <f>ROUND((C1515*1.29)/100,0)*100</f>
        <v/>
      </c>
      <c r="H1515" s="88">
        <f>ROUND((C1515*1.35)/100,0)*100</f>
        <v/>
      </c>
      <c r="I1515" s="88">
        <f>ROUND((C1515*1.39)/100,0)*100</f>
        <v/>
      </c>
      <c r="J1515" s="88">
        <f>ROUND((C1515*1.43)/100,0)*100</f>
        <v/>
      </c>
      <c r="K1515" s="219" t="n"/>
      <c r="L1515" s="219">
        <f>ROUND((SUM(C1515*T1515))/100,0)*100</f>
        <v/>
      </c>
      <c r="M1515" s="219" t="n"/>
      <c r="N1515" s="219" t="n"/>
      <c r="O1515" s="219" t="n"/>
      <c r="P1515" s="219" t="n"/>
      <c r="Q1515" s="219" t="n"/>
      <c r="R1515" s="219" t="n"/>
      <c r="S1515" s="219" t="n"/>
      <c r="T1515" s="94" t="n">
        <v>1.14</v>
      </c>
    </row>
    <row r="1516">
      <c r="A1516" s="134" t="inlineStr">
        <is>
          <t>90145</t>
        </is>
      </c>
      <c r="B1516" s="131" t="inlineStr">
        <is>
          <t>DEPORTIVO YD / I-RUN</t>
        </is>
      </c>
      <c r="C1516" s="88" t="n">
        <v>75000</v>
      </c>
      <c r="D1516" s="88">
        <f>ROUND((C1516*1.06)/100,0)*100</f>
        <v/>
      </c>
      <c r="E1516" s="88">
        <f>ROUND((C1516*1.15)/100,0)*100</f>
        <v/>
      </c>
      <c r="F1516" s="88">
        <f>ROUND((C1516*1.23)/100,0)*100</f>
        <v/>
      </c>
      <c r="G1516" s="88">
        <f>ROUND((C1516*1.29)/100,0)*100</f>
        <v/>
      </c>
      <c r="H1516" s="88">
        <f>ROUND((C1516*1.35)/100,0)*100</f>
        <v/>
      </c>
      <c r="I1516" s="88">
        <f>ROUND((C1516*1.39)/100,0)*100</f>
        <v/>
      </c>
      <c r="J1516" s="88">
        <f>ROUND((C1516*1.43)/100,0)*100</f>
        <v/>
      </c>
      <c r="K1516" s="219" t="n"/>
      <c r="L1516" s="219">
        <f>ROUND((SUM(C1516*T1516))/100,0)*100</f>
        <v/>
      </c>
      <c r="M1516" s="219" t="n"/>
      <c r="N1516" s="219" t="n"/>
      <c r="O1516" s="219" t="n"/>
      <c r="P1516" s="219" t="n"/>
      <c r="Q1516" s="219" t="n"/>
      <c r="R1516" s="219" t="n"/>
      <c r="S1516" s="219" t="n"/>
      <c r="T1516" s="94" t="n">
        <v>1.14</v>
      </c>
    </row>
    <row r="1517">
      <c r="A1517" s="134" t="inlineStr">
        <is>
          <t>903</t>
        </is>
      </c>
      <c r="B1517" s="131" t="inlineStr">
        <is>
          <t>VHB ALGODÓN FRIZA</t>
        </is>
      </c>
      <c r="C1517" s="88" t="n">
        <v>52300</v>
      </c>
      <c r="D1517" s="88">
        <f>ROUND((C1517*1.06)/100,0)*100</f>
        <v/>
      </c>
      <c r="E1517" s="88">
        <f>ROUND((C1517*1.15)/100,0)*100</f>
        <v/>
      </c>
      <c r="F1517" s="88">
        <f>ROUND((C1517*1.23)/100,0)*100</f>
        <v/>
      </c>
      <c r="G1517" s="88">
        <f>ROUND((C1517*1.29)/100,0)*100</f>
        <v/>
      </c>
      <c r="H1517" s="88">
        <f>ROUND((C1517*1.35)/100,0)*100</f>
        <v/>
      </c>
      <c r="I1517" s="88">
        <f>ROUND((C1517*1.39)/100,0)*100</f>
        <v/>
      </c>
      <c r="J1517" s="88">
        <f>ROUND((C1517*1.43)/100,0)*100</f>
        <v/>
      </c>
      <c r="K1517" s="219" t="n"/>
      <c r="L1517" s="219">
        <f>ROUND((SUM(C1517*T1517))/100,0)*100</f>
        <v/>
      </c>
      <c r="M1517" s="219" t="n"/>
      <c r="N1517" s="219" t="n"/>
      <c r="O1517" s="219" t="n"/>
      <c r="P1517" s="219" t="n"/>
      <c r="Q1517" s="219" t="n"/>
      <c r="R1517" s="219" t="n"/>
      <c r="S1517" s="219" t="n"/>
      <c r="T1517" s="94" t="n">
        <v>1.14</v>
      </c>
    </row>
    <row r="1518">
      <c r="A1518" s="134" t="inlineStr">
        <is>
          <t>904</t>
        </is>
      </c>
      <c r="B1518" s="131" t="inlineStr">
        <is>
          <t>DEPORT/ SPORT ALGODÓN C/FRIZA</t>
        </is>
      </c>
      <c r="C1518" s="88" t="n">
        <v>52300</v>
      </c>
      <c r="D1518" s="88">
        <f>ROUND((C1518*1.06)/100,0)*100</f>
        <v/>
      </c>
      <c r="E1518" s="88">
        <f>ROUND((C1518*1.15)/100,0)*100</f>
        <v/>
      </c>
      <c r="F1518" s="88">
        <f>ROUND((C1518*1.23)/100,0)*100</f>
        <v/>
      </c>
      <c r="G1518" s="88">
        <f>ROUND((C1518*1.29)/100,0)*100</f>
        <v/>
      </c>
      <c r="H1518" s="88">
        <f>ROUND((C1518*1.35)/100,0)*100</f>
        <v/>
      </c>
      <c r="I1518" s="88">
        <f>ROUND((C1518*1.39)/100,0)*100</f>
        <v/>
      </c>
      <c r="J1518" s="88">
        <f>ROUND((C1518*1.43)/100,0)*100</f>
        <v/>
      </c>
      <c r="K1518" s="219" t="n"/>
      <c r="L1518" s="219">
        <f>ROUND((SUM(C1518*T1518))/100,0)*100</f>
        <v/>
      </c>
      <c r="M1518" s="219" t="n"/>
      <c r="N1518" s="219" t="n"/>
      <c r="O1518" s="219" t="n"/>
      <c r="P1518" s="219" t="n"/>
      <c r="Q1518" s="219" t="n"/>
      <c r="R1518" s="219" t="n"/>
      <c r="S1518" s="219" t="n"/>
      <c r="T1518" s="94" t="n">
        <v>1.14</v>
      </c>
    </row>
    <row r="1519">
      <c r="A1519" s="134" t="inlineStr">
        <is>
          <t>905</t>
        </is>
      </c>
      <c r="B1519" s="132" t="inlineStr">
        <is>
          <t>NORTH STAR/CRONSFER ACETATOC/FRIZA</t>
        </is>
      </c>
      <c r="C1519" s="88" t="n">
        <v>52300</v>
      </c>
      <c r="D1519" s="88">
        <f>ROUND((C1519*1.06)/100,0)*100</f>
        <v/>
      </c>
      <c r="E1519" s="88">
        <f>ROUND((C1519*1.15)/100,0)*100</f>
        <v/>
      </c>
      <c r="F1519" s="88">
        <f>ROUND((C1519*1.23)/100,0)*100</f>
        <v/>
      </c>
      <c r="G1519" s="88">
        <f>ROUND((C1519*1.29)/100,0)*100</f>
        <v/>
      </c>
      <c r="H1519" s="88">
        <f>ROUND((C1519*1.35)/100,0)*100</f>
        <v/>
      </c>
      <c r="I1519" s="88">
        <f>ROUND((C1519*1.39)/100,0)*100</f>
        <v/>
      </c>
      <c r="J1519" s="88">
        <f>ROUND((C1519*1.43)/100,0)*100</f>
        <v/>
      </c>
      <c r="K1519" s="219" t="n"/>
      <c r="L1519" s="219">
        <f>ROUND((SUM(C1519*T1519))/100,0)*100</f>
        <v/>
      </c>
      <c r="M1519" s="219" t="n"/>
      <c r="N1519" s="219" t="n"/>
      <c r="O1519" s="219" t="n"/>
      <c r="P1519" s="219" t="n"/>
      <c r="Q1519" s="219" t="n"/>
      <c r="R1519" s="219" t="n"/>
      <c r="S1519" s="219" t="n"/>
      <c r="T1519" s="94" t="n">
        <v>1.14</v>
      </c>
    </row>
    <row r="1520">
      <c r="A1520" s="134" t="inlineStr">
        <is>
          <t>410</t>
        </is>
      </c>
      <c r="B1520" s="131" t="inlineStr">
        <is>
          <t>D MENT ALGODÓN C/FRIZA</t>
        </is>
      </c>
      <c r="C1520" s="88" t="n">
        <v>52300</v>
      </c>
      <c r="D1520" s="88">
        <f>ROUND((C1520*1.06)/100,0)*100</f>
        <v/>
      </c>
      <c r="E1520" s="88">
        <f>ROUND((C1520*1.15)/100,0)*100</f>
        <v/>
      </c>
      <c r="F1520" s="88">
        <f>ROUND((C1520*1.23)/100,0)*100</f>
        <v/>
      </c>
      <c r="G1520" s="88">
        <f>ROUND((C1520*1.29)/100,0)*100</f>
        <v/>
      </c>
      <c r="H1520" s="88">
        <f>ROUND((C1520*1.35)/100,0)*100</f>
        <v/>
      </c>
      <c r="I1520" s="88">
        <f>ROUND((C1520*1.39)/100,0)*100</f>
        <v/>
      </c>
      <c r="J1520" s="88">
        <f>ROUND((C1520*1.43)/100,0)*100</f>
        <v/>
      </c>
      <c r="K1520" s="219" t="n"/>
      <c r="L1520" s="219">
        <f>ROUND((SUM(C1520*T1520))/100,0)*100</f>
        <v/>
      </c>
      <c r="M1520" s="219" t="n"/>
      <c r="N1520" s="219" t="n"/>
      <c r="O1520" s="219" t="n"/>
      <c r="P1520" s="219" t="n"/>
      <c r="Q1520" s="219" t="n"/>
      <c r="R1520" s="219" t="n"/>
      <c r="S1520" s="219" t="n"/>
      <c r="T1520" s="94" t="n">
        <v>1.14</v>
      </c>
    </row>
    <row r="1521">
      <c r="A1521" s="134" t="inlineStr">
        <is>
          <t>500</t>
        </is>
      </c>
      <c r="B1521" s="131" t="inlineStr">
        <is>
          <t>AERO ALGODÓN C/FRIZA</t>
        </is>
      </c>
      <c r="C1521" s="88" t="n">
        <v>52300</v>
      </c>
      <c r="D1521" s="88">
        <f>ROUND((C1521*1.06)/100,0)*100</f>
        <v/>
      </c>
      <c r="E1521" s="88">
        <f>ROUND((C1521*1.15)/100,0)*100</f>
        <v/>
      </c>
      <c r="F1521" s="88">
        <f>ROUND((C1521*1.23)/100,0)*100</f>
        <v/>
      </c>
      <c r="G1521" s="88">
        <f>ROUND((C1521*1.29)/100,0)*100</f>
        <v/>
      </c>
      <c r="H1521" s="88">
        <f>ROUND((C1521*1.35)/100,0)*100</f>
        <v/>
      </c>
      <c r="I1521" s="88">
        <f>ROUND((C1521*1.39)/100,0)*100</f>
        <v/>
      </c>
      <c r="J1521" s="88">
        <f>ROUND((C1521*1.43)/100,0)*100</f>
        <v/>
      </c>
      <c r="K1521" s="219" t="n"/>
      <c r="L1521" s="219">
        <f>ROUND((SUM(C1521*T1521))/100,0)*100</f>
        <v/>
      </c>
      <c r="M1521" s="219" t="n"/>
      <c r="N1521" s="219" t="n"/>
      <c r="O1521" s="219" t="n"/>
      <c r="P1521" s="219" t="n"/>
      <c r="Q1521" s="219" t="n"/>
      <c r="R1521" s="219" t="n"/>
      <c r="S1521" s="219" t="n"/>
      <c r="T1521" s="94" t="n">
        <v>1.14</v>
      </c>
    </row>
    <row r="1522">
      <c r="A1522" s="134" t="inlineStr">
        <is>
          <t>505</t>
        </is>
      </c>
      <c r="B1522" s="131" t="inlineStr">
        <is>
          <t>AERO ACETATO C/FRIZA</t>
        </is>
      </c>
      <c r="C1522" s="88" t="n">
        <v>52300</v>
      </c>
      <c r="D1522" s="88">
        <f>ROUND((C1522*1.06)/100,0)*100</f>
        <v/>
      </c>
      <c r="E1522" s="88">
        <f>ROUND((C1522*1.15)/100,0)*100</f>
        <v/>
      </c>
      <c r="F1522" s="88">
        <f>ROUND((C1522*1.23)/100,0)*100</f>
        <v/>
      </c>
      <c r="G1522" s="88">
        <f>ROUND((C1522*1.29)/100,0)*100</f>
        <v/>
      </c>
      <c r="H1522" s="88">
        <f>ROUND((C1522*1.35)/100,0)*100</f>
        <v/>
      </c>
      <c r="I1522" s="88">
        <f>ROUND((C1522*1.39)/100,0)*100</f>
        <v/>
      </c>
      <c r="J1522" s="88">
        <f>ROUND((C1522*1.43)/100,0)*100</f>
        <v/>
      </c>
      <c r="K1522" s="219" t="n"/>
      <c r="L1522" s="219">
        <f>ROUND((SUM(C1522*T1522))/100,0)*100</f>
        <v/>
      </c>
      <c r="M1522" s="219" t="n"/>
      <c r="N1522" s="219" t="n"/>
      <c r="O1522" s="219" t="n"/>
      <c r="P1522" s="219" t="n"/>
      <c r="Q1522" s="219" t="n"/>
      <c r="R1522" s="219" t="n"/>
      <c r="S1522" s="219" t="n"/>
      <c r="T1522" s="94" t="n">
        <v>1.14</v>
      </c>
    </row>
    <row r="1523">
      <c r="A1523" s="128" t="inlineStr">
        <is>
          <t>4566XXX</t>
        </is>
      </c>
      <c r="B1523" s="246" t="inlineStr">
        <is>
          <t>TAVERNITI JOGGING</t>
        </is>
      </c>
      <c r="C1523" s="88" t="n">
        <v>59600</v>
      </c>
      <c r="D1523" s="88" t="n"/>
      <c r="E1523" s="88" t="n"/>
      <c r="F1523" s="88" t="n"/>
      <c r="G1523" s="88" t="n"/>
      <c r="H1523" s="88" t="n"/>
      <c r="I1523" s="22" t="n"/>
      <c r="J1523" s="22" t="n"/>
      <c r="K1523" s="219" t="n"/>
      <c r="L1523" s="219">
        <f>ROUND((T1523*C1523)/100,0)*100</f>
        <v/>
      </c>
      <c r="M1523" s="219" t="n"/>
      <c r="N1523" s="219" t="n"/>
      <c r="O1523" s="219" t="n"/>
      <c r="P1523" s="219" t="n"/>
      <c r="Q1523" s="219" t="n"/>
      <c r="R1523" s="219" t="n"/>
      <c r="S1523" s="219" t="n"/>
      <c r="T1523" s="94" t="n">
        <v>1.14</v>
      </c>
    </row>
    <row r="1524">
      <c r="A1524" s="134" t="inlineStr">
        <is>
          <t>06034XXX</t>
        </is>
      </c>
      <c r="B1524" s="135" t="inlineStr">
        <is>
          <t>TAVERNITI JOGGING</t>
        </is>
      </c>
      <c r="C1524" s="88" t="n">
        <v>82800</v>
      </c>
      <c r="D1524" s="170" t="n"/>
      <c r="E1524" s="170" t="n"/>
      <c r="F1524" s="170" t="n"/>
      <c r="G1524" s="170" t="n"/>
      <c r="H1524" s="170" t="n"/>
      <c r="I1524" s="170" t="n"/>
      <c r="J1524" s="170" t="n"/>
      <c r="K1524" s="170" t="n"/>
      <c r="L1524" s="88">
        <f>ROUND((T1524*C1524)/100,0)*100</f>
        <v/>
      </c>
      <c r="M1524" s="170" t="n"/>
      <c r="N1524" s="170" t="n"/>
      <c r="O1524" s="170" t="n"/>
      <c r="P1524" s="170" t="n"/>
      <c r="Q1524" s="170" t="n"/>
      <c r="R1524" s="170" t="n"/>
      <c r="S1524" s="170" t="n"/>
      <c r="T1524" s="94" t="n">
        <v>1.14</v>
      </c>
      <c r="U1524" s="30" t="n"/>
      <c r="V1524" s="30" t="n"/>
      <c r="W1524" s="30" t="n"/>
      <c r="X1524" s="30" t="n"/>
      <c r="Y1524" s="30" t="n"/>
      <c r="Z1524" s="30" t="n"/>
      <c r="AA1524" s="30" t="n"/>
      <c r="AB1524" s="30" t="n"/>
      <c r="AC1524" s="30" t="n"/>
      <c r="AD1524" s="30" t="n"/>
      <c r="AE1524" s="30" t="n"/>
      <c r="AF1524" s="30" t="n"/>
      <c r="AG1524" s="30" t="n"/>
      <c r="AH1524" s="30" t="n"/>
      <c r="AI1524" s="30" t="n"/>
      <c r="AJ1524" s="30" t="n"/>
      <c r="AK1524" s="30" t="n"/>
      <c r="AL1524" s="30" t="n"/>
      <c r="AM1524" s="30" t="n"/>
      <c r="AN1524" s="30" t="n"/>
      <c r="AO1524" s="30" t="n"/>
    </row>
    <row r="1525">
      <c r="A1525" s="134" t="inlineStr">
        <is>
          <t>06036XXX</t>
        </is>
      </c>
      <c r="B1525" s="135" t="inlineStr">
        <is>
          <t>TAVERNITI JOGGING</t>
        </is>
      </c>
      <c r="C1525" s="88" t="n">
        <v>76400</v>
      </c>
      <c r="D1525" s="170" t="n"/>
      <c r="E1525" s="170" t="n"/>
      <c r="F1525" s="170" t="n"/>
      <c r="G1525" s="170" t="n"/>
      <c r="H1525" s="170" t="n"/>
      <c r="I1525" s="170" t="n"/>
      <c r="J1525" s="170" t="n"/>
      <c r="K1525" s="170" t="n"/>
      <c r="L1525" s="88">
        <f>ROUND((T1525*C1525)/100,0)*100</f>
        <v/>
      </c>
      <c r="M1525" s="170" t="n"/>
      <c r="N1525" s="170" t="n"/>
      <c r="O1525" s="170" t="n"/>
      <c r="P1525" s="170" t="n"/>
      <c r="Q1525" s="170" t="n"/>
      <c r="R1525" s="170" t="n"/>
      <c r="S1525" s="170" t="n"/>
      <c r="T1525" s="94" t="n">
        <v>1.14</v>
      </c>
      <c r="U1525" s="30" t="n"/>
      <c r="V1525" s="30" t="n"/>
      <c r="W1525" s="30" t="n"/>
      <c r="X1525" s="30" t="n"/>
      <c r="Y1525" s="30" t="n"/>
      <c r="Z1525" s="30" t="n"/>
      <c r="AA1525" s="30" t="n"/>
      <c r="AB1525" s="30" t="n"/>
      <c r="AC1525" s="30" t="n"/>
      <c r="AD1525" s="30" t="n"/>
      <c r="AE1525" s="30" t="n"/>
      <c r="AF1525" s="30" t="n"/>
      <c r="AG1525" s="30" t="n"/>
      <c r="AH1525" s="30" t="n"/>
      <c r="AI1525" s="30" t="n"/>
      <c r="AJ1525" s="30" t="n"/>
      <c r="AK1525" s="30" t="n"/>
      <c r="AL1525" s="30" t="n"/>
      <c r="AM1525" s="30" t="n"/>
      <c r="AN1525" s="30" t="n"/>
      <c r="AO1525" s="30" t="n"/>
    </row>
    <row r="1526">
      <c r="A1526" s="128" t="inlineStr">
        <is>
          <t>6148XXX</t>
        </is>
      </c>
      <c r="B1526" s="246" t="inlineStr">
        <is>
          <t>TAVERNITI JOGGING</t>
        </is>
      </c>
      <c r="C1526" s="88" t="n">
        <v>59600</v>
      </c>
      <c r="D1526" s="22" t="n"/>
      <c r="E1526" s="22" t="n"/>
      <c r="F1526" s="22" t="n"/>
      <c r="G1526" s="22" t="n"/>
      <c r="H1526" s="22" t="n"/>
      <c r="I1526" s="22" t="n"/>
      <c r="J1526" s="22" t="n"/>
      <c r="K1526" s="219" t="n"/>
      <c r="L1526" s="219">
        <f>ROUND((T1526*C1526)/100,0)*100</f>
        <v/>
      </c>
      <c r="M1526" s="219" t="n"/>
      <c r="N1526" s="219" t="n"/>
      <c r="O1526" s="219" t="n"/>
      <c r="P1526" s="219" t="n"/>
      <c r="Q1526" s="219" t="n"/>
      <c r="R1526" s="219" t="n"/>
      <c r="S1526" s="219" t="n"/>
      <c r="T1526" s="94" t="n">
        <v>1.14</v>
      </c>
    </row>
    <row r="1527">
      <c r="A1527" s="134" t="inlineStr">
        <is>
          <t>07376XXX</t>
        </is>
      </c>
      <c r="B1527" s="135" t="inlineStr">
        <is>
          <t>TAVERNITI JOGGING</t>
        </is>
      </c>
      <c r="C1527" s="88" t="n">
        <v>76500</v>
      </c>
      <c r="D1527" s="170" t="n"/>
      <c r="E1527" s="170" t="n"/>
      <c r="F1527" s="170" t="n"/>
      <c r="G1527" s="170" t="n"/>
      <c r="H1527" s="170" t="n"/>
      <c r="I1527" s="170" t="n"/>
      <c r="J1527" s="170" t="n"/>
      <c r="K1527" s="170" t="n"/>
      <c r="L1527" s="88">
        <f>ROUND((T1527*C1527)/100,0)*100</f>
        <v/>
      </c>
      <c r="M1527" s="170" t="n"/>
      <c r="N1527" s="170" t="n"/>
      <c r="O1527" s="170" t="n"/>
      <c r="P1527" s="170" t="n"/>
      <c r="Q1527" s="170" t="n"/>
      <c r="R1527" s="170" t="n"/>
      <c r="S1527" s="170" t="n"/>
      <c r="T1527" s="94" t="n">
        <v>1.14</v>
      </c>
      <c r="U1527" s="30" t="n"/>
      <c r="V1527" s="30" t="n"/>
      <c r="W1527" s="30" t="n"/>
      <c r="X1527" s="30" t="n"/>
      <c r="Y1527" s="30" t="n"/>
      <c r="Z1527" s="30" t="n"/>
      <c r="AA1527" s="30" t="n"/>
      <c r="AB1527" s="30" t="n"/>
      <c r="AC1527" s="30" t="n"/>
      <c r="AD1527" s="30" t="n"/>
      <c r="AE1527" s="30" t="n"/>
      <c r="AF1527" s="30" t="n"/>
      <c r="AG1527" s="30" t="n"/>
      <c r="AH1527" s="30" t="n"/>
      <c r="AI1527" s="30" t="n"/>
      <c r="AJ1527" s="30" t="n"/>
      <c r="AK1527" s="30" t="n"/>
      <c r="AL1527" s="30" t="n"/>
      <c r="AM1527" s="30" t="n"/>
      <c r="AN1527" s="30" t="n"/>
      <c r="AO1527" s="30" t="n"/>
    </row>
    <row r="1528">
      <c r="A1528" s="128" t="inlineStr">
        <is>
          <t>07968XXX</t>
        </is>
      </c>
      <c r="B1528" s="246" t="inlineStr">
        <is>
          <t>TAVERNITI JOGGING</t>
        </is>
      </c>
      <c r="C1528" s="88" t="n">
        <v>68200</v>
      </c>
      <c r="D1528" s="22" t="n"/>
      <c r="E1528" s="22" t="n"/>
      <c r="F1528" s="22" t="n"/>
      <c r="G1528" s="22" t="n"/>
      <c r="H1528" s="22" t="n"/>
      <c r="I1528" s="22" t="n"/>
      <c r="J1528" s="22" t="n"/>
      <c r="K1528" s="219" t="n"/>
      <c r="L1528" s="219">
        <f>ROUND((T1528*C1528)/100,0)*100</f>
        <v/>
      </c>
      <c r="M1528" s="219" t="n"/>
      <c r="N1528" s="219" t="n"/>
      <c r="O1528" s="219" t="n"/>
      <c r="P1528" s="219" t="n"/>
      <c r="Q1528" s="219" t="n"/>
      <c r="R1528" s="219" t="n"/>
      <c r="S1528" s="219" t="n"/>
      <c r="T1528" s="94" t="n">
        <v>1.14</v>
      </c>
    </row>
    <row r="1529">
      <c r="A1529" s="128" t="inlineStr">
        <is>
          <t>10024XXX</t>
        </is>
      </c>
      <c r="B1529" s="246" t="inlineStr">
        <is>
          <t>TAVERNITI JOGGING</t>
        </is>
      </c>
      <c r="C1529" s="88" t="n">
        <v>68200</v>
      </c>
      <c r="D1529" s="22" t="n"/>
      <c r="E1529" s="22" t="n"/>
      <c r="F1529" s="22" t="n"/>
      <c r="G1529" s="22" t="n"/>
      <c r="H1529" s="22" t="n"/>
      <c r="I1529" s="22" t="n"/>
      <c r="J1529" s="22" t="n"/>
      <c r="K1529" s="219" t="n"/>
      <c r="L1529" s="219">
        <f>ROUND((T1529*C1529)/100,0)*100</f>
        <v/>
      </c>
      <c r="M1529" s="219" t="n"/>
      <c r="N1529" s="219" t="n"/>
      <c r="O1529" s="219" t="n"/>
      <c r="P1529" s="219" t="n"/>
      <c r="Q1529" s="219" t="n"/>
      <c r="R1529" s="219" t="n"/>
      <c r="S1529" s="219" t="n"/>
      <c r="T1529" s="94" t="n">
        <v>1.14</v>
      </c>
    </row>
    <row r="1530">
      <c r="A1530" s="128" t="inlineStr">
        <is>
          <t>11620XXX</t>
        </is>
      </c>
      <c r="B1530" s="246" t="inlineStr">
        <is>
          <t>TAVERNITI JOGGING</t>
        </is>
      </c>
      <c r="C1530" s="88" t="n">
        <v>78700</v>
      </c>
      <c r="D1530" s="22" t="n"/>
      <c r="E1530" s="22" t="n"/>
      <c r="F1530" s="22" t="n"/>
      <c r="G1530" s="22" t="n"/>
      <c r="H1530" s="22" t="n"/>
      <c r="I1530" s="22" t="n"/>
      <c r="J1530" s="22" t="n"/>
      <c r="K1530" s="219" t="n"/>
      <c r="L1530" s="219">
        <f>ROUND((T1530*C1530)/100,0)*100</f>
        <v/>
      </c>
      <c r="M1530" s="219" t="n"/>
      <c r="N1530" s="219" t="n"/>
      <c r="O1530" s="219" t="n"/>
      <c r="P1530" s="219" t="n"/>
      <c r="Q1530" s="219" t="n"/>
      <c r="R1530" s="219" t="n"/>
      <c r="S1530" s="219" t="n"/>
      <c r="T1530" s="94" t="n">
        <v>1.14</v>
      </c>
    </row>
    <row r="1531">
      <c r="A1531" s="128" t="inlineStr">
        <is>
          <t>14760XXX</t>
        </is>
      </c>
      <c r="B1531" s="246" t="inlineStr">
        <is>
          <t>TAVERNITI JOGGING</t>
        </is>
      </c>
      <c r="C1531" s="88" t="n">
        <v>69000</v>
      </c>
      <c r="D1531" s="22" t="n"/>
      <c r="E1531" s="22" t="n"/>
      <c r="F1531" s="22" t="n"/>
      <c r="G1531" s="22" t="n"/>
      <c r="H1531" s="22" t="n"/>
      <c r="I1531" s="22" t="n"/>
      <c r="J1531" s="22" t="n"/>
      <c r="K1531" s="219" t="n"/>
      <c r="L1531" s="219">
        <f>ROUND((T1531*C1531)/100,0)*100</f>
        <v/>
      </c>
      <c r="M1531" s="219" t="n"/>
      <c r="N1531" s="219" t="n"/>
      <c r="O1531" s="219" t="n"/>
      <c r="P1531" s="219" t="n"/>
      <c r="Q1531" s="219" t="n"/>
      <c r="R1531" s="219" t="n"/>
      <c r="S1531" s="219" t="n"/>
      <c r="T1531" s="94" t="n">
        <v>1.14</v>
      </c>
    </row>
    <row r="1532">
      <c r="A1532" s="128" t="inlineStr">
        <is>
          <t>14762XXX</t>
        </is>
      </c>
      <c r="B1532" s="246" t="inlineStr">
        <is>
          <t>TAVERNITI JOGGING</t>
        </is>
      </c>
      <c r="C1532" s="88" t="n">
        <v>69600</v>
      </c>
      <c r="D1532" s="22" t="n"/>
      <c r="E1532" s="22" t="n"/>
      <c r="F1532" s="22" t="n"/>
      <c r="G1532" s="22" t="n"/>
      <c r="H1532" s="22" t="n"/>
      <c r="I1532" s="22" t="n"/>
      <c r="J1532" s="22" t="n"/>
      <c r="K1532" s="219" t="n"/>
      <c r="L1532" s="219">
        <f>ROUND((T1532*C1532)/100,0)*100</f>
        <v/>
      </c>
      <c r="M1532" s="219" t="n"/>
      <c r="N1532" s="219" t="n"/>
      <c r="O1532" s="219" t="n"/>
      <c r="P1532" s="219" t="n"/>
      <c r="Q1532" s="219" t="n"/>
      <c r="R1532" s="219" t="n"/>
      <c r="S1532" s="219" t="n"/>
      <c r="T1532" s="94" t="n">
        <v>1.14</v>
      </c>
    </row>
    <row r="1533">
      <c r="A1533" s="134" t="inlineStr">
        <is>
          <t>15058XXX</t>
        </is>
      </c>
      <c r="B1533" s="135" t="inlineStr">
        <is>
          <t>TAVERNITI JOGGING</t>
        </is>
      </c>
      <c r="C1533" s="88" t="n">
        <v>68200</v>
      </c>
      <c r="D1533" s="170" t="n"/>
      <c r="E1533" s="170" t="n"/>
      <c r="F1533" s="170" t="n"/>
      <c r="G1533" s="170" t="n"/>
      <c r="H1533" s="170" t="n"/>
      <c r="I1533" s="170" t="n"/>
      <c r="J1533" s="170" t="n"/>
      <c r="K1533" s="170" t="n"/>
      <c r="L1533" s="88">
        <f>ROUND((T1533*C1533)/100,0)*100</f>
        <v/>
      </c>
      <c r="M1533" s="88" t="n"/>
      <c r="N1533" s="88" t="n"/>
      <c r="O1533" s="88" t="n"/>
      <c r="P1533" s="88" t="n"/>
      <c r="Q1533" s="88" t="n"/>
      <c r="R1533" s="88" t="n"/>
      <c r="S1533" s="88" t="n"/>
      <c r="T1533" s="94" t="n">
        <v>1.14</v>
      </c>
      <c r="U1533" s="30" t="n"/>
      <c r="V1533" s="30" t="n"/>
      <c r="W1533" s="30" t="n"/>
      <c r="X1533" s="30" t="n"/>
      <c r="Y1533" s="30" t="n"/>
      <c r="Z1533" s="30" t="n"/>
      <c r="AA1533" s="30" t="n"/>
      <c r="AB1533" s="30" t="n"/>
      <c r="AC1533" s="30" t="n"/>
      <c r="AD1533" s="30" t="n"/>
      <c r="AE1533" s="30" t="n"/>
      <c r="AF1533" s="30" t="n"/>
      <c r="AG1533" s="30" t="n"/>
      <c r="AH1533" s="30" t="n"/>
      <c r="AI1533" s="30" t="n"/>
      <c r="AJ1533" s="30" t="n"/>
      <c r="AK1533" s="30" t="n"/>
      <c r="AL1533" s="30" t="n"/>
      <c r="AM1533" s="30" t="n"/>
      <c r="AN1533" s="30" t="n"/>
    </row>
    <row r="1534">
      <c r="A1534" s="128" t="inlineStr">
        <is>
          <t>15064XXX</t>
        </is>
      </c>
      <c r="B1534" s="246" t="inlineStr">
        <is>
          <t>TAVERNITI JOGGING</t>
        </is>
      </c>
      <c r="C1534" s="88" t="n">
        <v>77800</v>
      </c>
      <c r="D1534" s="22" t="n"/>
      <c r="E1534" s="22" t="n"/>
      <c r="F1534" s="22" t="n"/>
      <c r="G1534" s="22" t="n"/>
      <c r="H1534" s="22" t="n"/>
      <c r="I1534" s="22" t="n"/>
      <c r="J1534" s="22" t="n"/>
      <c r="K1534" s="219" t="n"/>
      <c r="L1534" s="219">
        <f>ROUND((T1534*C1534)/100,0)*100</f>
        <v/>
      </c>
      <c r="M1534" s="219" t="n"/>
      <c r="N1534" s="219" t="n"/>
      <c r="O1534" s="219" t="n"/>
      <c r="P1534" s="219" t="n"/>
      <c r="Q1534" s="219" t="n"/>
      <c r="R1534" s="219" t="n"/>
      <c r="S1534" s="219" t="n"/>
      <c r="T1534" s="94" t="n">
        <v>1.14</v>
      </c>
    </row>
    <row r="1535">
      <c r="A1535" s="89" t="inlineStr">
        <is>
          <t>15074XXX</t>
        </is>
      </c>
      <c r="B1535" s="135" t="inlineStr">
        <is>
          <t>TAVERNITI JOGGING</t>
        </is>
      </c>
      <c r="C1535" s="88" t="n">
        <v>62800</v>
      </c>
      <c r="D1535" s="170" t="n"/>
      <c r="E1535" s="170" t="n"/>
      <c r="F1535" s="170" t="n"/>
      <c r="G1535" s="170" t="n"/>
      <c r="H1535" s="170" t="n"/>
      <c r="I1535" s="170" t="n"/>
      <c r="J1535" s="170" t="n"/>
      <c r="K1535" s="170" t="n"/>
      <c r="L1535" s="88">
        <f>ROUND((T1535*C1535)/100,0)*100</f>
        <v/>
      </c>
      <c r="M1535" s="88" t="n"/>
      <c r="N1535" s="88" t="n"/>
      <c r="O1535" s="88" t="n"/>
      <c r="P1535" s="88" t="n"/>
      <c r="Q1535" s="88" t="n"/>
      <c r="R1535" s="88" t="n"/>
      <c r="S1535" s="88" t="n"/>
      <c r="T1535" s="94" t="n">
        <v>1.14</v>
      </c>
      <c r="U1535" s="30" t="n"/>
      <c r="V1535" s="30" t="n"/>
      <c r="W1535" s="30" t="n"/>
      <c r="X1535" s="30" t="n"/>
      <c r="Y1535" s="30" t="n"/>
      <c r="Z1535" s="30" t="n"/>
      <c r="AA1535" s="30" t="n"/>
      <c r="AB1535" s="30" t="n"/>
      <c r="AC1535" s="30" t="n"/>
      <c r="AD1535" s="30" t="n"/>
      <c r="AE1535" s="30" t="n"/>
      <c r="AF1535" s="30" t="n"/>
      <c r="AG1535" s="30" t="n"/>
      <c r="AH1535" s="30" t="n"/>
      <c r="AI1535" s="30" t="n"/>
      <c r="AJ1535" s="30" t="n"/>
      <c r="AK1535" s="30" t="n"/>
      <c r="AL1535" s="30" t="n"/>
      <c r="AM1535" s="30" t="n"/>
      <c r="AN1535" s="30" t="n"/>
    </row>
    <row r="1536">
      <c r="A1536" s="134" t="inlineStr">
        <is>
          <t>15076XXX</t>
        </is>
      </c>
      <c r="B1536" s="135" t="inlineStr">
        <is>
          <t>TAVERNITI JOGGING</t>
        </is>
      </c>
      <c r="C1536" s="88" t="n">
        <v>77500</v>
      </c>
      <c r="D1536" s="170" t="n"/>
      <c r="E1536" s="170" t="n"/>
      <c r="F1536" s="170" t="n"/>
      <c r="G1536" s="170" t="n"/>
      <c r="H1536" s="170" t="n"/>
      <c r="I1536" s="170" t="n"/>
      <c r="J1536" s="170" t="n"/>
      <c r="K1536" s="170" t="n"/>
      <c r="L1536" s="88">
        <f>ROUND((T1536*C1536)/100,0)*100</f>
        <v/>
      </c>
      <c r="M1536" s="88" t="n"/>
      <c r="N1536" s="88" t="n"/>
      <c r="O1536" s="88" t="n"/>
      <c r="P1536" s="88" t="n"/>
      <c r="Q1536" s="88" t="n"/>
      <c r="R1536" s="88" t="n"/>
      <c r="S1536" s="88" t="n"/>
      <c r="T1536" s="94" t="n">
        <v>1.14</v>
      </c>
      <c r="U1536" s="30" t="n"/>
      <c r="V1536" s="30" t="n"/>
      <c r="W1536" s="30" t="n"/>
      <c r="X1536" s="30" t="n"/>
      <c r="Y1536" s="30" t="n"/>
      <c r="Z1536" s="30" t="n"/>
      <c r="AA1536" s="30" t="n"/>
      <c r="AB1536" s="30" t="n"/>
      <c r="AC1536" s="30" t="n"/>
      <c r="AD1536" s="30" t="n"/>
      <c r="AE1536" s="30" t="n"/>
      <c r="AF1536" s="30" t="n"/>
      <c r="AG1536" s="30" t="n"/>
      <c r="AH1536" s="30" t="n"/>
      <c r="AI1536" s="30" t="n"/>
      <c r="AJ1536" s="30" t="n"/>
      <c r="AK1536" s="30" t="n"/>
      <c r="AL1536" s="30" t="n"/>
      <c r="AM1536" s="30" t="n"/>
      <c r="AN1536" s="30" t="n"/>
    </row>
    <row r="1537">
      <c r="A1537" s="134" t="inlineStr">
        <is>
          <t>15090XXX</t>
        </is>
      </c>
      <c r="B1537" s="135" t="inlineStr">
        <is>
          <t>TAVERNITI JOGGING</t>
        </is>
      </c>
      <c r="C1537" s="88" t="n">
        <v>69600</v>
      </c>
      <c r="D1537" s="170" t="n"/>
      <c r="E1537" s="170" t="n"/>
      <c r="F1537" s="170" t="n"/>
      <c r="G1537" s="170" t="n"/>
      <c r="H1537" s="170" t="n"/>
      <c r="I1537" s="170" t="n"/>
      <c r="J1537" s="170" t="n"/>
      <c r="K1537" s="170" t="n"/>
      <c r="L1537" s="88">
        <f>ROUND((T1537*C1537)/100,0)*100</f>
        <v/>
      </c>
      <c r="M1537" s="88" t="n"/>
      <c r="N1537" s="88" t="n"/>
      <c r="O1537" s="88" t="n"/>
      <c r="P1537" s="88" t="n"/>
      <c r="Q1537" s="88" t="n"/>
      <c r="R1537" s="88" t="n"/>
      <c r="S1537" s="88" t="n"/>
      <c r="T1537" s="94" t="n">
        <v>1.14</v>
      </c>
      <c r="U1537" s="30" t="n"/>
      <c r="V1537" s="30" t="n"/>
      <c r="W1537" s="30" t="n"/>
      <c r="X1537" s="30" t="n"/>
      <c r="Y1537" s="30" t="n"/>
      <c r="Z1537" s="30" t="n"/>
      <c r="AA1537" s="30" t="n"/>
      <c r="AB1537" s="30" t="n"/>
      <c r="AC1537" s="30" t="n"/>
      <c r="AD1537" s="30" t="n"/>
      <c r="AE1537" s="30" t="n"/>
      <c r="AF1537" s="30" t="n"/>
      <c r="AG1537" s="30" t="n"/>
      <c r="AH1537" s="30" t="n"/>
      <c r="AI1537" s="30" t="n"/>
      <c r="AJ1537" s="30" t="n"/>
      <c r="AK1537" s="30" t="n"/>
      <c r="AL1537" s="30" t="n"/>
      <c r="AM1537" s="30" t="n"/>
      <c r="AN1537" s="30" t="n"/>
    </row>
    <row r="1538">
      <c r="A1538" s="134" t="inlineStr">
        <is>
          <t>15112XXX</t>
        </is>
      </c>
      <c r="B1538" s="135" t="inlineStr">
        <is>
          <t>TApaAVERNITI JOGGING</t>
        </is>
      </c>
      <c r="C1538" s="88" t="n">
        <v>61900</v>
      </c>
      <c r="D1538" s="170" t="n"/>
      <c r="E1538" s="170" t="n"/>
      <c r="F1538" s="170" t="n"/>
      <c r="G1538" s="170" t="n"/>
      <c r="H1538" s="170" t="n"/>
      <c r="I1538" s="170" t="n"/>
      <c r="J1538" s="170" t="n"/>
      <c r="K1538" s="170" t="n"/>
      <c r="L1538" s="88">
        <f>ROUND((T1538*C1538)/100,0)*100</f>
        <v/>
      </c>
      <c r="M1538" s="88" t="n"/>
      <c r="N1538" s="88" t="n"/>
      <c r="O1538" s="88" t="n"/>
      <c r="P1538" s="88" t="n"/>
      <c r="Q1538" s="88" t="n"/>
      <c r="R1538" s="88" t="n"/>
      <c r="S1538" s="88" t="n"/>
      <c r="T1538" s="94" t="n">
        <v>1.14</v>
      </c>
      <c r="U1538" s="30" t="n"/>
      <c r="V1538" s="30" t="n"/>
      <c r="W1538" s="30" t="n"/>
      <c r="X1538" s="30" t="n"/>
      <c r="Y1538" s="30" t="n"/>
      <c r="Z1538" s="30" t="n"/>
      <c r="AA1538" s="30" t="n"/>
      <c r="AB1538" s="30" t="n"/>
      <c r="AC1538" s="30" t="n"/>
      <c r="AD1538" s="30" t="n"/>
      <c r="AE1538" s="30" t="n"/>
      <c r="AF1538" s="30" t="n"/>
      <c r="AG1538" s="30" t="n"/>
      <c r="AH1538" s="30" t="n"/>
      <c r="AI1538" s="30" t="n"/>
      <c r="AJ1538" s="30" t="n"/>
      <c r="AK1538" s="30" t="n"/>
      <c r="AL1538" s="30" t="n"/>
      <c r="AM1538" s="30" t="n"/>
      <c r="AN1538" s="30" t="n"/>
    </row>
    <row r="1539">
      <c r="A1539" s="134" t="inlineStr">
        <is>
          <t>15114XXX</t>
        </is>
      </c>
      <c r="B1539" s="135" t="inlineStr">
        <is>
          <t>TAVERNITI JOGGING</t>
        </is>
      </c>
      <c r="C1539" s="88" t="n">
        <v>66800</v>
      </c>
      <c r="D1539" s="170" t="n"/>
      <c r="E1539" s="170" t="n"/>
      <c r="F1539" s="170" t="n"/>
      <c r="G1539" s="170" t="n"/>
      <c r="H1539" s="170" t="n"/>
      <c r="I1539" s="170" t="n"/>
      <c r="J1539" s="170" t="n"/>
      <c r="K1539" s="170" t="n"/>
      <c r="L1539" s="88">
        <f>ROUND((T1539*C1539)/100,0)*100</f>
        <v/>
      </c>
      <c r="M1539" s="88" t="n"/>
      <c r="N1539" s="88" t="n"/>
      <c r="O1539" s="88" t="n"/>
      <c r="P1539" s="88" t="n"/>
      <c r="Q1539" s="88" t="n"/>
      <c r="R1539" s="88" t="n"/>
      <c r="S1539" s="88" t="n"/>
      <c r="T1539" s="94" t="n">
        <v>1.14</v>
      </c>
      <c r="U1539" s="30" t="n"/>
      <c r="V1539" s="30" t="n"/>
      <c r="W1539" s="30" t="n"/>
      <c r="X1539" s="30" t="n"/>
      <c r="Y1539" s="30" t="n"/>
      <c r="Z1539" s="30" t="n"/>
      <c r="AA1539" s="30" t="n"/>
      <c r="AB1539" s="30" t="n"/>
      <c r="AC1539" s="30" t="n"/>
      <c r="AD1539" s="30" t="n"/>
      <c r="AE1539" s="30" t="n"/>
      <c r="AF1539" s="30" t="n"/>
      <c r="AG1539" s="30" t="n"/>
      <c r="AH1539" s="30" t="n"/>
      <c r="AI1539" s="30" t="n"/>
      <c r="AJ1539" s="30" t="n"/>
      <c r="AK1539" s="30" t="n"/>
      <c r="AL1539" s="30" t="n"/>
      <c r="AM1539" s="30" t="n"/>
      <c r="AN1539" s="30" t="n"/>
    </row>
    <row r="1540">
      <c r="A1540" s="128" t="inlineStr">
        <is>
          <t>15398XXX</t>
        </is>
      </c>
      <c r="B1540" s="246" t="inlineStr">
        <is>
          <t>TAVERNITI JOGGING</t>
        </is>
      </c>
      <c r="C1540" s="88" t="n">
        <v>71700</v>
      </c>
      <c r="D1540" s="22" t="n"/>
      <c r="E1540" s="22" t="n"/>
      <c r="F1540" s="22" t="n"/>
      <c r="G1540" s="22" t="n"/>
      <c r="H1540" s="22" t="n"/>
      <c r="I1540" s="22" t="n"/>
      <c r="J1540" s="22" t="n"/>
      <c r="K1540" s="219" t="n"/>
      <c r="L1540" s="219">
        <f>ROUND((T1540*C1540)/100,0)*100</f>
        <v/>
      </c>
      <c r="M1540" s="219" t="n"/>
      <c r="N1540" s="219" t="n"/>
      <c r="O1540" s="219" t="n"/>
      <c r="P1540" s="219" t="n"/>
      <c r="Q1540" s="219" t="n"/>
      <c r="R1540" s="219" t="n"/>
      <c r="S1540" s="219" t="n"/>
      <c r="T1540" s="94" t="n">
        <v>1.14</v>
      </c>
    </row>
    <row r="1541">
      <c r="A1541" s="177" t="inlineStr">
        <is>
          <t>17176XXX</t>
        </is>
      </c>
      <c r="B1541" s="246" t="inlineStr">
        <is>
          <t>TAVERNITI JOGGING</t>
        </is>
      </c>
      <c r="C1541" s="22" t="n">
        <v>59300</v>
      </c>
      <c r="D1541" s="22" t="n"/>
      <c r="E1541" s="22" t="n"/>
      <c r="F1541" s="22" t="n"/>
      <c r="G1541" s="22" t="n"/>
      <c r="H1541" s="22" t="n"/>
      <c r="I1541" s="22" t="n"/>
      <c r="J1541" s="22" t="n"/>
      <c r="K1541" s="227" t="n"/>
      <c r="L1541" s="219">
        <f>ROUND((T1541*C1541)/100,0)*100</f>
        <v/>
      </c>
      <c r="M1541" s="219" t="n"/>
      <c r="N1541" s="219" t="n"/>
      <c r="O1541" s="219" t="n"/>
      <c r="P1541" s="219" t="n"/>
      <c r="Q1541" s="219" t="n"/>
      <c r="R1541" s="219" t="n"/>
      <c r="S1541" s="219" t="n"/>
      <c r="T1541" s="94" t="n">
        <v>1.14</v>
      </c>
      <c r="AB1541" s="137" t="n"/>
      <c r="AC1541" s="137" t="n"/>
      <c r="AD1541" s="137" t="n"/>
      <c r="AE1541" s="137" t="n"/>
      <c r="AF1541" s="137" t="n"/>
      <c r="AG1541" s="137" t="n"/>
      <c r="AH1541" s="137" t="n"/>
      <c r="AI1541" s="137" t="n"/>
      <c r="AJ1541" s="137" t="n"/>
      <c r="AK1541" s="137" t="n"/>
      <c r="AL1541" s="137" t="n"/>
      <c r="AM1541" s="137" t="n"/>
      <c r="AN1541" s="137" t="n"/>
    </row>
    <row r="1542">
      <c r="A1542" s="177" t="inlineStr">
        <is>
          <t>17178XXX</t>
        </is>
      </c>
      <c r="B1542" s="246" t="inlineStr">
        <is>
          <t>TAVERNITI JOGGING</t>
        </is>
      </c>
      <c r="C1542" s="22" t="n">
        <v>59200</v>
      </c>
      <c r="D1542" s="22" t="n"/>
      <c r="E1542" s="22" t="n"/>
      <c r="F1542" s="22" t="n"/>
      <c r="G1542" s="22" t="n"/>
      <c r="H1542" s="22" t="n"/>
      <c r="I1542" s="22" t="n"/>
      <c r="J1542" s="22" t="n"/>
      <c r="K1542" s="227" t="n"/>
      <c r="L1542" s="219">
        <f>ROUND((T1542*C1542)/100,0)*100</f>
        <v/>
      </c>
      <c r="M1542" s="219" t="n"/>
      <c r="N1542" s="219" t="n"/>
      <c r="O1542" s="219" t="n"/>
      <c r="P1542" s="219" t="n"/>
      <c r="Q1542" s="219" t="n"/>
      <c r="R1542" s="219" t="n"/>
      <c r="S1542" s="219" t="n"/>
      <c r="T1542" s="94" t="n">
        <v>1.14</v>
      </c>
      <c r="AB1542" s="137" t="n"/>
      <c r="AC1542" s="137" t="n"/>
      <c r="AD1542" s="137" t="n"/>
      <c r="AE1542" s="137" t="n"/>
      <c r="AF1542" s="137" t="n"/>
      <c r="AG1542" s="137" t="n"/>
      <c r="AH1542" s="137" t="n"/>
      <c r="AI1542" s="137" t="n"/>
      <c r="AJ1542" s="137" t="n"/>
      <c r="AK1542" s="137" t="n"/>
      <c r="AL1542" s="137" t="n"/>
      <c r="AM1542" s="137" t="n"/>
      <c r="AN1542" s="137" t="n"/>
    </row>
    <row r="1543">
      <c r="A1543" s="177" t="inlineStr">
        <is>
          <t>17280XXX</t>
        </is>
      </c>
      <c r="B1543" s="246" t="inlineStr">
        <is>
          <t>TAVERNITI JOGGING S/F</t>
        </is>
      </c>
      <c r="C1543" s="22" t="n">
        <v>69500</v>
      </c>
      <c r="D1543" s="22" t="n"/>
      <c r="E1543" s="22" t="n"/>
      <c r="F1543" s="22" t="n"/>
      <c r="G1543" s="22" t="n"/>
      <c r="H1543" s="22" t="n"/>
      <c r="I1543" s="22" t="n"/>
      <c r="J1543" s="22" t="n"/>
      <c r="K1543" s="227" t="n"/>
      <c r="L1543" s="219">
        <f>ROUND((T1543*C1543)/100,0)*100</f>
        <v/>
      </c>
      <c r="M1543" s="219" t="n"/>
      <c r="N1543" s="219" t="n"/>
      <c r="O1543" s="219" t="n"/>
      <c r="P1543" s="219" t="n"/>
      <c r="Q1543" s="219" t="n"/>
      <c r="R1543" s="219" t="n"/>
      <c r="S1543" s="219" t="n"/>
      <c r="T1543" s="94" t="n">
        <v>1.14</v>
      </c>
      <c r="AB1543" s="137" t="n"/>
      <c r="AC1543" s="137" t="n"/>
      <c r="AD1543" s="137" t="n"/>
      <c r="AE1543" s="137" t="n"/>
      <c r="AF1543" s="137" t="n"/>
      <c r="AG1543" s="137" t="n"/>
      <c r="AH1543" s="137" t="n"/>
      <c r="AI1543" s="137" t="n"/>
      <c r="AJ1543" s="137" t="n"/>
      <c r="AK1543" s="137" t="n"/>
      <c r="AL1543" s="137" t="n"/>
      <c r="AM1543" s="137" t="n"/>
      <c r="AN1543" s="137" t="n"/>
    </row>
    <row r="1544">
      <c r="A1544" s="177" t="inlineStr">
        <is>
          <t>17368XXX</t>
        </is>
      </c>
      <c r="B1544" s="246" t="inlineStr">
        <is>
          <t>TAVERNITI JOGGING S/F</t>
        </is>
      </c>
      <c r="C1544" s="22" t="n">
        <v>59200</v>
      </c>
      <c r="D1544" s="22" t="n"/>
      <c r="E1544" s="22" t="n"/>
      <c r="F1544" s="22" t="n"/>
      <c r="G1544" s="22" t="n"/>
      <c r="H1544" s="22" t="n"/>
      <c r="I1544" s="22" t="n"/>
      <c r="J1544" s="22" t="n"/>
      <c r="K1544" s="227" t="n"/>
      <c r="L1544" s="219">
        <f>ROUND((T1544*C1544)/100,0)*100</f>
        <v/>
      </c>
      <c r="M1544" s="219" t="n"/>
      <c r="N1544" s="219" t="n"/>
      <c r="O1544" s="219" t="n"/>
      <c r="P1544" s="219" t="n"/>
      <c r="Q1544" s="219" t="n"/>
      <c r="R1544" s="219" t="n"/>
      <c r="S1544" s="219" t="n"/>
      <c r="T1544" s="94" t="n">
        <v>1.14</v>
      </c>
      <c r="AB1544" s="137" t="n"/>
      <c r="AC1544" s="137" t="n"/>
      <c r="AD1544" s="137" t="n"/>
      <c r="AE1544" s="137" t="n"/>
      <c r="AF1544" s="137" t="n"/>
      <c r="AG1544" s="137" t="n"/>
      <c r="AH1544" s="137" t="n"/>
      <c r="AI1544" s="137" t="n"/>
      <c r="AJ1544" s="137" t="n"/>
      <c r="AK1544" s="137" t="n"/>
      <c r="AL1544" s="137" t="n"/>
      <c r="AM1544" s="137" t="n"/>
      <c r="AN1544" s="137" t="n"/>
    </row>
    <row r="1545">
      <c r="A1545" s="177" t="inlineStr">
        <is>
          <t>17370XXX</t>
        </is>
      </c>
      <c r="B1545" s="246" t="inlineStr">
        <is>
          <t>TAVERNITI JOGGING S/F</t>
        </is>
      </c>
      <c r="C1545" s="22" t="n">
        <v>59200</v>
      </c>
      <c r="D1545" s="22" t="n"/>
      <c r="E1545" s="22" t="n"/>
      <c r="F1545" s="22" t="n"/>
      <c r="G1545" s="22" t="n"/>
      <c r="H1545" s="22" t="n"/>
      <c r="I1545" s="22" t="n"/>
      <c r="J1545" s="22" t="n"/>
      <c r="K1545" s="227" t="n"/>
      <c r="L1545" s="219">
        <f>ROUND((T1545*C1545)/100,0)*100</f>
        <v/>
      </c>
      <c r="M1545" s="219" t="n"/>
      <c r="N1545" s="219" t="n"/>
      <c r="O1545" s="219" t="n"/>
      <c r="P1545" s="219" t="n"/>
      <c r="Q1545" s="219" t="n"/>
      <c r="R1545" s="219" t="n"/>
      <c r="S1545" s="219" t="n"/>
      <c r="T1545" s="94" t="n">
        <v>1.14</v>
      </c>
      <c r="AB1545" s="137" t="n"/>
      <c r="AC1545" s="137" t="n"/>
      <c r="AD1545" s="137" t="n"/>
      <c r="AE1545" s="137" t="n"/>
      <c r="AF1545" s="137" t="n"/>
      <c r="AG1545" s="137" t="n"/>
      <c r="AH1545" s="137" t="n"/>
      <c r="AI1545" s="137" t="n"/>
      <c r="AJ1545" s="137" t="n"/>
      <c r="AK1545" s="137" t="n"/>
      <c r="AL1545" s="137" t="n"/>
      <c r="AM1545" s="137" t="n"/>
      <c r="AN1545" s="137" t="n"/>
    </row>
    <row r="1546">
      <c r="A1546" s="177" t="inlineStr">
        <is>
          <t>17860XXX</t>
        </is>
      </c>
      <c r="B1546" s="246" t="inlineStr">
        <is>
          <t>TAVERNITI JOGGING S/F</t>
        </is>
      </c>
      <c r="C1546" s="22" t="n">
        <v>78700</v>
      </c>
      <c r="D1546" s="22" t="n"/>
      <c r="E1546" s="22" t="n"/>
      <c r="F1546" s="22" t="n"/>
      <c r="G1546" s="22" t="n"/>
      <c r="H1546" s="22" t="n"/>
      <c r="I1546" s="22" t="n"/>
      <c r="J1546" s="22" t="n"/>
      <c r="K1546" s="227" t="n"/>
      <c r="L1546" s="219">
        <f>ROUND((T1546*C1546)/100,0)*100</f>
        <v/>
      </c>
      <c r="M1546" s="219" t="n"/>
      <c r="N1546" s="219" t="n"/>
      <c r="O1546" s="219" t="n"/>
      <c r="P1546" s="219" t="n"/>
      <c r="Q1546" s="219" t="n"/>
      <c r="R1546" s="219" t="n"/>
      <c r="S1546" s="219" t="n"/>
      <c r="T1546" s="94" t="n">
        <v>1.14</v>
      </c>
      <c r="AB1546" s="137" t="n"/>
      <c r="AC1546" s="137" t="n"/>
      <c r="AD1546" s="137" t="n"/>
      <c r="AE1546" s="137" t="n"/>
      <c r="AF1546" s="137" t="n"/>
      <c r="AG1546" s="137" t="n"/>
      <c r="AH1546" s="137" t="n"/>
      <c r="AI1546" s="137" t="n"/>
      <c r="AJ1546" s="137" t="n"/>
      <c r="AK1546" s="137" t="n"/>
      <c r="AL1546" s="137" t="n"/>
      <c r="AM1546" s="137" t="n"/>
      <c r="AN1546" s="137" t="n"/>
    </row>
    <row r="1547">
      <c r="A1547" s="177" t="inlineStr">
        <is>
          <t>17862XXX</t>
        </is>
      </c>
      <c r="B1547" s="246" t="inlineStr">
        <is>
          <t>TAVERNITI JOGGING S/F</t>
        </is>
      </c>
      <c r="C1547" s="22" t="n">
        <v>63600</v>
      </c>
      <c r="D1547" s="22" t="n"/>
      <c r="E1547" s="22" t="n"/>
      <c r="F1547" s="22" t="n"/>
      <c r="G1547" s="22" t="n"/>
      <c r="H1547" s="22" t="n"/>
      <c r="I1547" s="22" t="n"/>
      <c r="J1547" s="22" t="n"/>
      <c r="K1547" s="227" t="n"/>
      <c r="L1547" s="219">
        <f>ROUND((T1547*C1547)/100,0)*100</f>
        <v/>
      </c>
      <c r="M1547" s="219" t="n"/>
      <c r="N1547" s="219" t="n"/>
      <c r="O1547" s="219" t="n"/>
      <c r="P1547" s="219" t="n"/>
      <c r="Q1547" s="219" t="n"/>
      <c r="R1547" s="219" t="n"/>
      <c r="S1547" s="219" t="n"/>
      <c r="T1547" s="94" t="n">
        <v>1.14</v>
      </c>
      <c r="AB1547" s="137" t="n"/>
      <c r="AC1547" s="137" t="n"/>
      <c r="AD1547" s="137" t="n"/>
      <c r="AE1547" s="137" t="n"/>
      <c r="AF1547" s="137" t="n"/>
      <c r="AG1547" s="137" t="n"/>
      <c r="AH1547" s="137" t="n"/>
      <c r="AI1547" s="137" t="n"/>
      <c r="AJ1547" s="137" t="n"/>
      <c r="AK1547" s="137" t="n"/>
      <c r="AL1547" s="137" t="n"/>
      <c r="AM1547" s="137" t="n"/>
      <c r="AN1547" s="137" t="n"/>
    </row>
    <row r="1548">
      <c r="A1548" s="177" t="inlineStr">
        <is>
          <t>18926XXX</t>
        </is>
      </c>
      <c r="B1548" s="246" t="inlineStr">
        <is>
          <t>TAVERNITI JOGGING S/F</t>
        </is>
      </c>
      <c r="C1548" s="22" t="n">
        <v>71700</v>
      </c>
      <c r="D1548" s="22" t="n"/>
      <c r="E1548" s="22" t="n"/>
      <c r="F1548" s="22" t="n"/>
      <c r="G1548" s="22" t="n"/>
      <c r="H1548" s="22" t="n"/>
      <c r="I1548" s="22" t="n"/>
      <c r="J1548" s="22" t="n"/>
      <c r="K1548" s="227" t="n"/>
      <c r="L1548" s="219">
        <f>ROUND((T1548*C1548)/100,0)*100</f>
        <v/>
      </c>
      <c r="M1548" s="219" t="n"/>
      <c r="N1548" s="219" t="n"/>
      <c r="O1548" s="219" t="n"/>
      <c r="P1548" s="219" t="n"/>
      <c r="Q1548" s="219" t="n"/>
      <c r="R1548" s="219" t="n"/>
      <c r="S1548" s="219" t="n"/>
      <c r="T1548" s="94" t="n">
        <v>1.14</v>
      </c>
      <c r="AB1548" s="137" t="n"/>
      <c r="AC1548" s="137" t="n"/>
      <c r="AD1548" s="137" t="n"/>
      <c r="AE1548" s="137" t="n"/>
      <c r="AF1548" s="137" t="n"/>
      <c r="AG1548" s="137" t="n"/>
      <c r="AH1548" s="137" t="n"/>
      <c r="AI1548" s="137" t="n"/>
      <c r="AJ1548" s="137" t="n"/>
      <c r="AK1548" s="137" t="n"/>
      <c r="AL1548" s="137" t="n"/>
      <c r="AM1548" s="137" t="n"/>
      <c r="AN1548" s="137" t="n"/>
    </row>
    <row r="1549">
      <c r="A1549" s="177" t="inlineStr">
        <is>
          <t>18928XXX</t>
        </is>
      </c>
      <c r="B1549" s="246" t="inlineStr">
        <is>
          <t>TAVERNITI JOGGING S/F</t>
        </is>
      </c>
      <c r="C1549" s="22" t="n">
        <v>76200</v>
      </c>
      <c r="D1549" s="22" t="n"/>
      <c r="E1549" s="22" t="n"/>
      <c r="F1549" s="22" t="n"/>
      <c r="G1549" s="22" t="n"/>
      <c r="H1549" s="22" t="n"/>
      <c r="I1549" s="22" t="n"/>
      <c r="J1549" s="22" t="n"/>
      <c r="K1549" s="227" t="n"/>
      <c r="L1549" s="219">
        <f>ROUND((T1549*C1549)/100,0)*100</f>
        <v/>
      </c>
      <c r="M1549" s="219" t="n"/>
      <c r="N1549" s="219" t="n"/>
      <c r="O1549" s="219" t="n"/>
      <c r="P1549" s="219" t="n"/>
      <c r="Q1549" s="219" t="n"/>
      <c r="R1549" s="219" t="n"/>
      <c r="S1549" s="219" t="n"/>
      <c r="T1549" s="94" t="n">
        <v>1.14</v>
      </c>
      <c r="AB1549" s="137" t="n"/>
      <c r="AC1549" s="137" t="n"/>
      <c r="AD1549" s="137" t="n"/>
      <c r="AE1549" s="137" t="n"/>
      <c r="AF1549" s="137" t="n"/>
      <c r="AG1549" s="137" t="n"/>
      <c r="AH1549" s="137" t="n"/>
      <c r="AI1549" s="137" t="n"/>
      <c r="AJ1549" s="137" t="n"/>
      <c r="AK1549" s="137" t="n"/>
      <c r="AL1549" s="137" t="n"/>
      <c r="AM1549" s="137" t="n"/>
      <c r="AN1549" s="137" t="n"/>
    </row>
    <row r="1550">
      <c r="A1550" s="177" t="inlineStr">
        <is>
          <t>18930XXX</t>
        </is>
      </c>
      <c r="B1550" s="246" t="inlineStr">
        <is>
          <t>TAVERNITI JOGGING S/F</t>
        </is>
      </c>
      <c r="C1550" s="22" t="n">
        <v>64800</v>
      </c>
      <c r="D1550" s="22" t="n"/>
      <c r="E1550" s="22" t="n"/>
      <c r="F1550" s="22" t="n"/>
      <c r="G1550" s="22" t="n"/>
      <c r="H1550" s="22" t="n"/>
      <c r="I1550" s="22" t="n"/>
      <c r="J1550" s="22" t="n"/>
      <c r="K1550" s="227" t="n"/>
      <c r="L1550" s="219">
        <f>ROUND((T1550*C1550)/100,0)*100</f>
        <v/>
      </c>
      <c r="M1550" s="219" t="n"/>
      <c r="N1550" s="219" t="n"/>
      <c r="O1550" s="219" t="n"/>
      <c r="P1550" s="219" t="n"/>
      <c r="Q1550" s="219" t="n"/>
      <c r="R1550" s="219" t="n"/>
      <c r="S1550" s="219" t="n"/>
      <c r="T1550" s="94" t="n">
        <v>1.14</v>
      </c>
      <c r="AB1550" s="137" t="n"/>
      <c r="AC1550" s="137" t="n"/>
      <c r="AD1550" s="137" t="n"/>
      <c r="AE1550" s="137" t="n"/>
      <c r="AF1550" s="137" t="n"/>
      <c r="AG1550" s="137" t="n"/>
      <c r="AH1550" s="137" t="n"/>
      <c r="AI1550" s="137" t="n"/>
      <c r="AJ1550" s="137" t="n"/>
      <c r="AK1550" s="137" t="n"/>
      <c r="AL1550" s="137" t="n"/>
      <c r="AM1550" s="137" t="n"/>
      <c r="AN1550" s="137" t="n"/>
    </row>
    <row r="1551">
      <c r="A1551" s="177" t="n"/>
      <c r="B1551" s="139" t="n"/>
      <c r="C1551" s="227" t="n"/>
      <c r="D1551" s="227" t="n"/>
      <c r="E1551" s="227" t="n"/>
      <c r="F1551" s="227" t="n"/>
      <c r="G1551" s="227" t="n"/>
      <c r="H1551" s="227" t="n"/>
      <c r="I1551" s="227" t="n"/>
      <c r="J1551" s="227" t="n"/>
      <c r="K1551" s="227" t="n"/>
      <c r="L1551" s="227" t="n"/>
      <c r="M1551" s="227" t="n"/>
      <c r="O1551" s="137" t="n"/>
      <c r="P1551" s="141" t="n"/>
      <c r="Q1551" s="137" t="n"/>
      <c r="R1551" s="141" t="n"/>
      <c r="S1551" s="137" t="n"/>
      <c r="T1551" s="117" t="n"/>
      <c r="AB1551" s="137" t="n"/>
      <c r="AC1551" s="137" t="n"/>
      <c r="AD1551" s="137" t="n"/>
      <c r="AE1551" s="137" t="n"/>
      <c r="AF1551" s="137" t="n"/>
      <c r="AG1551" s="137" t="n"/>
      <c r="AH1551" s="137" t="n"/>
      <c r="AI1551" s="137" t="n"/>
      <c r="AJ1551" s="137" t="n"/>
      <c r="AK1551" s="137" t="n"/>
      <c r="AL1551" s="137" t="n"/>
      <c r="AM1551" s="137" t="n"/>
      <c r="AN1551" s="137" t="n"/>
    </row>
    <row r="1552">
      <c r="A1552" s="80" t="n"/>
      <c r="B1552" s="81" t="inlineStr">
        <is>
          <t>PIJAMA HOMBRE</t>
        </is>
      </c>
      <c r="C1552" s="142" t="inlineStr">
        <is>
          <t>1 al 4</t>
        </is>
      </c>
      <c r="D1552" s="142" t="inlineStr">
        <is>
          <t>5 / XXL</t>
        </is>
      </c>
      <c r="E1552" s="142" t="n">
        <v>52</v>
      </c>
      <c r="F1552" s="142" t="n">
        <v>54</v>
      </c>
      <c r="G1552" s="142" t="n">
        <v>56</v>
      </c>
      <c r="H1552" s="83" t="n">
        <v>60</v>
      </c>
      <c r="I1552" s="83" t="n"/>
      <c r="J1552" s="83" t="n"/>
      <c r="K1552" s="83" t="n"/>
      <c r="L1552" s="83" t="n"/>
      <c r="M1552" s="80" t="inlineStr">
        <is>
          <t>04/25</t>
        </is>
      </c>
      <c r="O1552" s="137" t="n"/>
      <c r="P1552" s="84" t="n"/>
      <c r="Q1552" s="85" t="n"/>
      <c r="R1552" s="84" t="n"/>
      <c r="S1552" s="85" t="n"/>
      <c r="T1552" s="84" t="n"/>
      <c r="U1552" s="85" t="n"/>
      <c r="V1552" s="85" t="n"/>
      <c r="W1552" s="85" t="n"/>
      <c r="X1552" s="85" t="n"/>
      <c r="Y1552" s="85" t="n"/>
      <c r="Z1552" s="85" t="n"/>
      <c r="AA1552" s="85" t="n"/>
      <c r="AB1552" s="85" t="n"/>
      <c r="AC1552" s="85" t="n"/>
      <c r="AD1552" s="85" t="n"/>
      <c r="AE1552" s="85" t="n"/>
      <c r="AF1552" s="85" t="n"/>
      <c r="AG1552" s="85" t="n"/>
      <c r="AH1552" s="85" t="n"/>
      <c r="AI1552" s="85" t="n"/>
      <c r="AJ1552" s="85" t="n"/>
      <c r="AK1552" s="85" t="n"/>
      <c r="AL1552" s="85" t="n"/>
      <c r="AM1552" s="85" t="n"/>
      <c r="AN1552" s="85" t="n"/>
    </row>
    <row r="1553">
      <c r="A1553" s="89" t="inlineStr">
        <is>
          <t>301/825ñ</t>
        </is>
      </c>
      <c r="B1553" s="248" t="inlineStr">
        <is>
          <t>MAXIME ALGODÓN</t>
        </is>
      </c>
      <c r="C1553" s="146" t="n">
        <v>47000</v>
      </c>
      <c r="D1553" s="88">
        <f>ROUND((C1553*1.06)/100,0)*100</f>
        <v/>
      </c>
      <c r="E1553" s="88">
        <f>ROUND((C1553*1.15)/100,0)*100</f>
        <v/>
      </c>
      <c r="F1553" s="88">
        <f>ROUND((C1553*1.23)/100,0)*100</f>
        <v/>
      </c>
      <c r="G1553" s="88">
        <f>ROUND((C1553*1.29)/100,0)*100</f>
        <v/>
      </c>
      <c r="H1553" s="88">
        <f>ROUND((C1553*1.35)/100,0)*100</f>
        <v/>
      </c>
      <c r="I1553" s="22" t="n"/>
      <c r="J1553" s="88" t="n"/>
      <c r="K1553" s="88" t="n"/>
      <c r="L1553" s="88" t="n"/>
      <c r="M1553" s="88" t="n"/>
      <c r="O1553" s="137">
        <f>P1553*C1553</f>
        <v/>
      </c>
      <c r="P1553" s="117" t="n">
        <v>1.25</v>
      </c>
      <c r="R1553" s="117" t="n"/>
      <c r="T1553" s="117" t="n"/>
    </row>
    <row r="1554">
      <c r="A1554" s="89" t="inlineStr">
        <is>
          <t>302</t>
        </is>
      </c>
      <c r="B1554" s="248" t="inlineStr">
        <is>
          <t>MAXIME CON BOTONES</t>
        </is>
      </c>
      <c r="C1554" s="146" t="n">
        <v>64400</v>
      </c>
      <c r="D1554" s="88">
        <f>ROUND((C1554*1.06)/100,0)*100</f>
        <v/>
      </c>
      <c r="E1554" s="88">
        <f>ROUND((C1554*1.15)/100,0)*100</f>
        <v/>
      </c>
      <c r="F1554" s="88">
        <f>ROUND((C1554*1.23)/100,0)*100</f>
        <v/>
      </c>
      <c r="G1554" s="88">
        <f>ROUND((C1554*1.29)/100,0)*100</f>
        <v/>
      </c>
      <c r="H1554" s="88">
        <f>ROUND((C1554*1.35)/100,0)*100</f>
        <v/>
      </c>
      <c r="I1554" s="22" t="n"/>
      <c r="J1554" s="88" t="n"/>
      <c r="K1554" s="88" t="n"/>
      <c r="L1554" s="88" t="n"/>
      <c r="M1554" s="88" t="n"/>
      <c r="O1554" s="137">
        <f>P1554*C1554</f>
        <v/>
      </c>
      <c r="P1554" s="117" t="n">
        <v>1.25</v>
      </c>
      <c r="R1554" s="117" t="n"/>
      <c r="T1554" s="117" t="n"/>
    </row>
    <row r="1555">
      <c r="A1555" s="89" t="inlineStr">
        <is>
          <t>000527</t>
        </is>
      </c>
      <c r="B1555" s="248" t="inlineStr">
        <is>
          <t xml:space="preserve">TIPICO ALGODON m/CORTA </t>
        </is>
      </c>
      <c r="C1555" s="146" t="n">
        <v>62000</v>
      </c>
      <c r="D1555" s="88">
        <f>ROUND((C1555*1.06)/100,0)*100</f>
        <v/>
      </c>
      <c r="E1555" s="88">
        <f>ROUND((C1555*1.15)/100,0)*100</f>
        <v/>
      </c>
      <c r="F1555" s="88">
        <f>ROUND((C1555*1.23)/100,0)*100</f>
        <v/>
      </c>
      <c r="G1555" s="88">
        <f>ROUND((C1555*1.29)/100,0)*100</f>
        <v/>
      </c>
      <c r="H1555" s="88">
        <f>ROUND((C1555*1.35)/100,0)*100</f>
        <v/>
      </c>
      <c r="I1555" s="88" t="n"/>
      <c r="J1555" s="170" t="n"/>
      <c r="K1555" s="88" t="n"/>
      <c r="L1555" s="88" t="n"/>
      <c r="M1555" s="88" t="n"/>
      <c r="N1555" s="96" t="n"/>
      <c r="O1555" s="137">
        <f>P1555*C1555</f>
        <v/>
      </c>
      <c r="P1555" s="117" t="n">
        <v>1.25</v>
      </c>
      <c r="R1555" s="117" t="n"/>
      <c r="T1555" s="117" t="n"/>
      <c r="V1555" s="30" t="n"/>
      <c r="W1555" s="30" t="n"/>
      <c r="X1555" s="30" t="n"/>
      <c r="Y1555" s="30" t="n"/>
      <c r="Z1555" s="30" t="n"/>
      <c r="AA1555" s="30" t="n"/>
      <c r="AB1555" s="30" t="n"/>
      <c r="AC1555" s="30" t="n"/>
      <c r="AD1555" s="30" t="n"/>
      <c r="AE1555" s="30" t="n"/>
      <c r="AF1555" s="30" t="n"/>
      <c r="AG1555" s="30" t="n"/>
      <c r="AH1555" s="30" t="n"/>
      <c r="AI1555" s="30" t="n"/>
      <c r="AJ1555" s="30" t="n"/>
      <c r="AK1555" s="30" t="n"/>
      <c r="AL1555" s="30" t="n"/>
      <c r="AM1555" s="30" t="n"/>
      <c r="AN1555" s="30" t="n"/>
    </row>
    <row r="1556">
      <c r="A1556" s="89" t="inlineStr">
        <is>
          <t>000528</t>
        </is>
      </c>
      <c r="B1556" s="248" t="inlineStr">
        <is>
          <t xml:space="preserve">TIPICO ALGODON m/CORTA </t>
        </is>
      </c>
      <c r="C1556" s="146" t="n">
        <v>62000</v>
      </c>
      <c r="D1556" s="88">
        <f>ROUND((C1556*1.06)/100,0)*100</f>
        <v/>
      </c>
      <c r="E1556" s="88">
        <f>ROUND((C1556*1.15)/100,0)*100</f>
        <v/>
      </c>
      <c r="F1556" s="88">
        <f>ROUND((C1556*1.23)/100,0)*100</f>
        <v/>
      </c>
      <c r="G1556" s="88">
        <f>ROUND((C1556*1.29)/100,0)*100</f>
        <v/>
      </c>
      <c r="H1556" s="88">
        <f>ROUND((C1556*1.35)/100,0)*100</f>
        <v/>
      </c>
      <c r="I1556" s="170" t="n"/>
      <c r="J1556" s="170" t="n"/>
      <c r="K1556" s="88" t="n"/>
      <c r="L1556" s="88" t="n"/>
      <c r="M1556" s="88" t="n"/>
      <c r="N1556" s="96" t="n"/>
      <c r="O1556" s="137">
        <f>P1556*C1556</f>
        <v/>
      </c>
      <c r="P1556" s="117" t="n">
        <v>1.25</v>
      </c>
      <c r="R1556" s="117" t="n"/>
      <c r="T1556" s="117" t="n"/>
      <c r="V1556" s="30" t="n"/>
      <c r="W1556" s="30" t="n"/>
      <c r="X1556" s="30" t="n"/>
      <c r="Y1556" s="30" t="n"/>
      <c r="Z1556" s="30" t="n"/>
      <c r="AA1556" s="30" t="n"/>
      <c r="AB1556" s="30" t="n"/>
      <c r="AC1556" s="30" t="n"/>
      <c r="AD1556" s="30" t="n"/>
      <c r="AE1556" s="30" t="n"/>
      <c r="AF1556" s="30" t="n"/>
      <c r="AG1556" s="30" t="n"/>
      <c r="AH1556" s="30" t="n"/>
      <c r="AI1556" s="30" t="n"/>
      <c r="AJ1556" s="30" t="n"/>
      <c r="AK1556" s="30" t="n"/>
      <c r="AL1556" s="30" t="n"/>
      <c r="AM1556" s="30" t="n"/>
      <c r="AN1556" s="30" t="n"/>
    </row>
    <row r="1557">
      <c r="A1557" s="89" t="inlineStr">
        <is>
          <t>000732</t>
        </is>
      </c>
      <c r="B1557" s="248" t="inlineStr">
        <is>
          <t>TIPICO JERSEY RAY. ANCHAS V</t>
        </is>
      </c>
      <c r="C1557" s="146" t="n">
        <v>60600</v>
      </c>
      <c r="D1557" s="88">
        <f>ROUND((C1557*1.06)/100,0)*100</f>
        <v/>
      </c>
      <c r="E1557" s="88">
        <f>ROUND((C1557*1.15)/100,0)*100</f>
        <v/>
      </c>
      <c r="F1557" s="88">
        <f>ROUND((C1557*1.23)/100,0)*100</f>
        <v/>
      </c>
      <c r="G1557" s="88">
        <f>ROUND((C1557*1.29)/100,0)*100</f>
        <v/>
      </c>
      <c r="H1557" s="88">
        <f>ROUND((C1557*1.35)/100,0)*100</f>
        <v/>
      </c>
      <c r="I1557" s="22" t="n"/>
      <c r="J1557" s="88" t="n"/>
      <c r="K1557" s="88" t="n"/>
      <c r="L1557" s="88" t="n"/>
      <c r="M1557" s="88" t="n"/>
      <c r="O1557" s="137">
        <f>P1557*C1557</f>
        <v/>
      </c>
      <c r="P1557" s="117" t="n">
        <v>1.25</v>
      </c>
      <c r="R1557" s="117" t="n"/>
      <c r="T1557" s="117" t="n"/>
    </row>
    <row r="1558">
      <c r="A1558" s="89" t="inlineStr">
        <is>
          <t>000750</t>
        </is>
      </c>
      <c r="B1558" s="248" t="inlineStr">
        <is>
          <t>TIPICO JERSEY RAY. V</t>
        </is>
      </c>
      <c r="C1558" s="146" t="n">
        <v>60600</v>
      </c>
      <c r="D1558" s="88">
        <f>ROUND((C1558*1.06)/100,0)*100</f>
        <v/>
      </c>
      <c r="E1558" s="88">
        <f>ROUND((C1558*1.15)/100,0)*100</f>
        <v/>
      </c>
      <c r="F1558" s="88">
        <f>ROUND((C1558*1.23)/100,0)*100</f>
        <v/>
      </c>
      <c r="G1558" s="88">
        <f>ROUND((C1558*1.29)/100,0)*100</f>
        <v/>
      </c>
      <c r="H1558" s="88">
        <f>ROUND((C1558*1.35)/100,0)*100</f>
        <v/>
      </c>
      <c r="I1558" s="22" t="n"/>
      <c r="J1558" s="88" t="n"/>
      <c r="K1558" s="88" t="n"/>
      <c r="L1558" s="88" t="n"/>
      <c r="M1558" s="88" t="n"/>
      <c r="O1558" s="137">
        <f>P1558*C1558</f>
        <v/>
      </c>
      <c r="P1558" s="117" t="n">
        <v>1.25</v>
      </c>
      <c r="R1558" s="117" t="n"/>
      <c r="T1558" s="117" t="n"/>
    </row>
    <row r="1559">
      <c r="A1559" s="89" t="inlineStr">
        <is>
          <t>000772</t>
        </is>
      </c>
      <c r="B1559" s="248" t="inlineStr">
        <is>
          <t>TIPICO BATA</t>
        </is>
      </c>
      <c r="C1559" s="146" t="n">
        <v>81700</v>
      </c>
      <c r="D1559" s="88">
        <f>ROUND((C1559*1.06)/100,0)*100</f>
        <v/>
      </c>
      <c r="E1559" s="88">
        <f>ROUND((C1559*1.15)/100,0)*100</f>
        <v/>
      </c>
      <c r="F1559" s="88">
        <f>ROUND((C1559*1.23)/100,0)*100</f>
        <v/>
      </c>
      <c r="G1559" s="88">
        <f>ROUND((C1559*1.29)/100,0)*100</f>
        <v/>
      </c>
      <c r="H1559" s="88">
        <f>ROUND((C1559*1.35)/100,0)*100</f>
        <v/>
      </c>
      <c r="I1559" s="22" t="n"/>
      <c r="J1559" s="88" t="n"/>
      <c r="K1559" s="88" t="n"/>
      <c r="L1559" s="88" t="n"/>
      <c r="M1559" s="88" t="n"/>
      <c r="O1559" s="137">
        <f>P1559*C1559</f>
        <v/>
      </c>
      <c r="P1559" s="117" t="n">
        <v>1.25</v>
      </c>
      <c r="R1559" s="117" t="n"/>
      <c r="T1559" s="117" t="n"/>
    </row>
    <row r="1560">
      <c r="A1560" s="89" t="inlineStr">
        <is>
          <t>000788</t>
        </is>
      </c>
      <c r="B1560" s="248" t="inlineStr">
        <is>
          <t xml:space="preserve">TIPICO JERSEY MELANGE </t>
        </is>
      </c>
      <c r="C1560" s="146" t="n">
        <v>58600</v>
      </c>
      <c r="D1560" s="88">
        <f>ROUND((C1560*1.06)/100,0)*100</f>
        <v/>
      </c>
      <c r="E1560" s="88">
        <f>ROUND((C1560*1.15)/100,0)*100</f>
        <v/>
      </c>
      <c r="F1560" s="88">
        <f>ROUND((C1560*1.23)/100,0)*100</f>
        <v/>
      </c>
      <c r="G1560" s="88">
        <f>ROUND((C1560*1.29)/100,0)*100</f>
        <v/>
      </c>
      <c r="H1560" s="88">
        <f>ROUND((C1560*1.35)/100,0)*100</f>
        <v/>
      </c>
      <c r="I1560" s="22" t="n"/>
      <c r="J1560" s="88" t="n"/>
      <c r="K1560" s="88" t="n"/>
      <c r="L1560" s="88" t="n"/>
      <c r="M1560" s="88" t="n"/>
      <c r="O1560" s="137">
        <f>P1560*C1560</f>
        <v/>
      </c>
      <c r="P1560" s="117" t="n">
        <v>1.25</v>
      </c>
      <c r="R1560" s="117" t="n"/>
      <c r="T1560" s="117" t="n"/>
    </row>
    <row r="1561">
      <c r="A1561" s="145" t="inlineStr">
        <is>
          <t>000866</t>
        </is>
      </c>
      <c r="B1561" s="248" t="inlineStr">
        <is>
          <t>Pijama rústico combinado, escote en V.</t>
        </is>
      </c>
      <c r="C1561" s="146" t="n">
        <v>65500</v>
      </c>
      <c r="D1561" s="88">
        <f>ROUND((C1561*1.06)/100,0)*100</f>
        <v/>
      </c>
      <c r="E1561" s="88">
        <f>ROUND((C1561*1.15)/100,0)*100</f>
        <v/>
      </c>
      <c r="F1561" s="88">
        <f>ROUND((C1561*1.23)/100,0)*100</f>
        <v/>
      </c>
      <c r="G1561" s="88">
        <f>ROUND((C1561*1.29)/100,0)*100</f>
        <v/>
      </c>
      <c r="H1561" s="88">
        <f>ROUND((C1561*1.35)/100,0)*100</f>
        <v/>
      </c>
      <c r="I1561" s="22" t="n"/>
      <c r="J1561" s="88" t="n"/>
      <c r="K1561" s="88" t="n"/>
      <c r="L1561" s="88" t="n"/>
      <c r="M1561" s="88" t="n"/>
      <c r="O1561" s="137">
        <f>P1561*C1561</f>
        <v/>
      </c>
      <c r="P1561" s="117" t="n">
        <v>1.25</v>
      </c>
      <c r="R1561" s="117" t="n"/>
      <c r="T1561" s="117" t="n"/>
    </row>
    <row r="1562">
      <c r="A1562" s="145" t="inlineStr">
        <is>
          <t>000867</t>
        </is>
      </c>
      <c r="B1562" s="248" t="inlineStr">
        <is>
          <t>Pijama rústico combinado, escote en V.</t>
        </is>
      </c>
      <c r="C1562" s="146" t="n">
        <v>65500</v>
      </c>
      <c r="D1562" s="88">
        <f>ROUND((C1562*1.06)/100,0)*100</f>
        <v/>
      </c>
      <c r="E1562" s="88">
        <f>ROUND((C1562*1.15)/100,0)*100</f>
        <v/>
      </c>
      <c r="F1562" s="88">
        <f>ROUND((C1562*1.23)/100,0)*100</f>
        <v/>
      </c>
      <c r="G1562" s="88">
        <f>ROUND((C1562*1.29)/100,0)*100</f>
        <v/>
      </c>
      <c r="H1562" s="88">
        <f>ROUND((C1562*1.35)/100,0)*100</f>
        <v/>
      </c>
      <c r="I1562" s="22" t="n"/>
      <c r="J1562" s="88" t="n"/>
      <c r="K1562" s="88" t="n"/>
      <c r="L1562" s="88" t="n"/>
      <c r="M1562" s="88" t="n"/>
      <c r="O1562" s="137">
        <f>P1562*C1562</f>
        <v/>
      </c>
      <c r="P1562" s="117" t="n">
        <v>1.25</v>
      </c>
      <c r="R1562" s="117" t="n"/>
      <c r="T1562" s="117" t="n"/>
    </row>
    <row r="1563">
      <c r="A1563" s="89" t="inlineStr">
        <is>
          <t>00</t>
        </is>
      </c>
      <c r="B1563" s="248" t="inlineStr">
        <is>
          <t>Pijama de jersey jaspeado combinado, pantalón con bolsillos</t>
        </is>
      </c>
      <c r="C1563" s="146" t="n">
        <v>65500</v>
      </c>
      <c r="D1563" s="88">
        <f>ROUND((C1563*1.06)/100,0)*100</f>
        <v/>
      </c>
      <c r="E1563" s="88">
        <f>ROUND((C1563*1.15)/100,0)*100</f>
        <v/>
      </c>
      <c r="F1563" s="88">
        <f>ROUND((C1563*1.23)/100,0)*100</f>
        <v/>
      </c>
      <c r="G1563" s="88">
        <f>ROUND((C1563*1.29)/100,0)*100</f>
        <v/>
      </c>
      <c r="H1563" s="88">
        <f>ROUND((C1563*1.35)/100,0)*100</f>
        <v/>
      </c>
      <c r="I1563" s="22" t="n"/>
      <c r="J1563" s="88" t="n"/>
      <c r="K1563" s="88" t="n"/>
      <c r="L1563" s="88" t="n"/>
      <c r="M1563" s="88" t="n"/>
      <c r="O1563" s="137">
        <f>P1563*C1563</f>
        <v/>
      </c>
      <c r="P1563" s="117" t="n">
        <v>1.25</v>
      </c>
      <c r="R1563" s="117" t="n"/>
      <c r="T1563" s="117" t="n"/>
    </row>
    <row r="1564">
      <c r="A1564" s="89" t="inlineStr">
        <is>
          <t>4892</t>
        </is>
      </c>
      <c r="B1564" s="248" t="inlineStr">
        <is>
          <t>ROKOS CON BOTON ABIERTO</t>
        </is>
      </c>
      <c r="C1564" s="146" t="n">
        <v>60400</v>
      </c>
      <c r="D1564" s="88">
        <f>ROUND((C1564*1.06)/100,0)*100</f>
        <v/>
      </c>
      <c r="E1564" s="88">
        <f>ROUND((C1564*1.15)/100,0)*100</f>
        <v/>
      </c>
      <c r="F1564" s="88">
        <f>ROUND((C1564*1.23)/100,0)*100</f>
        <v/>
      </c>
      <c r="G1564" s="88">
        <f>ROUND((C1564*1.29)/100,0)*100</f>
        <v/>
      </c>
      <c r="H1564" s="88">
        <f>ROUND((C1564*1.35)/100,0)*100</f>
        <v/>
      </c>
      <c r="I1564" s="88" t="n"/>
      <c r="J1564" s="88" t="n"/>
      <c r="K1564" s="88" t="n"/>
      <c r="L1564" s="88" t="n"/>
      <c r="M1564" s="88" t="n"/>
      <c r="O1564" s="137">
        <f>P1564*C1564</f>
        <v/>
      </c>
      <c r="P1564" s="117" t="n">
        <v>1.25</v>
      </c>
      <c r="R1564" s="117" t="n"/>
      <c r="T1564" s="117" t="n"/>
    </row>
    <row r="1565">
      <c r="A1565" s="89" t="inlineStr">
        <is>
          <t>5898</t>
        </is>
      </c>
      <c r="B1565" s="248" t="inlineStr">
        <is>
          <t>ROKOS CON BOTON</t>
        </is>
      </c>
      <c r="C1565" s="146" t="n">
        <v>61200</v>
      </c>
      <c r="D1565" s="88" t="inlineStr">
        <is>
          <t>jeans</t>
        </is>
      </c>
      <c r="E1565" s="88">
        <f>ROUND((C1565*1.15)/100,0)*100</f>
        <v/>
      </c>
      <c r="F1565" s="88">
        <f>ROUND((C1565*1.23)/100,0)*100</f>
        <v/>
      </c>
      <c r="G1565" s="88">
        <f>ROUND((C1565*1.29)/100,0)*100</f>
        <v/>
      </c>
      <c r="H1565" s="88">
        <f>ROUND((C1565*1.35)/100,0)*100</f>
        <v/>
      </c>
      <c r="I1565" s="22" t="n"/>
      <c r="J1565" s="88" t="n"/>
      <c r="K1565" s="88" t="n"/>
      <c r="L1565" s="88" t="n"/>
      <c r="M1565" s="88" t="n"/>
      <c r="O1565" s="137">
        <f>P1565*C1565</f>
        <v/>
      </c>
      <c r="P1565" s="117" t="n">
        <v>1.25</v>
      </c>
      <c r="R1565" s="117" t="n"/>
      <c r="T1565" s="117" t="n"/>
    </row>
    <row r="1566">
      <c r="A1566" s="89" t="inlineStr">
        <is>
          <t>648</t>
        </is>
      </c>
      <c r="B1566" s="248" t="inlineStr">
        <is>
          <t>GINO POLACCHI</t>
        </is>
      </c>
      <c r="C1566" s="146" t="n">
        <v>48000</v>
      </c>
      <c r="D1566" s="88">
        <f>ROUND((C1566*1.06)/100,0)*100</f>
        <v/>
      </c>
      <c r="E1566" s="88">
        <f>ROUND((C1566*1.15)/100,0)*100</f>
        <v/>
      </c>
      <c r="F1566" s="88">
        <f>ROUND((C1566*1.23)/100,0)*100</f>
        <v/>
      </c>
      <c r="G1566" s="88">
        <f>ROUND((C1566*1.29)/100,0)*100</f>
        <v/>
      </c>
      <c r="H1566" s="88">
        <f>ROUND((C1566*1.35)/100,0)*100</f>
        <v/>
      </c>
      <c r="I1566" s="22" t="n"/>
      <c r="J1566" s="88" t="n"/>
      <c r="K1566" s="88" t="n"/>
      <c r="L1566" s="88" t="n"/>
      <c r="M1566" s="88" t="n"/>
      <c r="O1566" s="137">
        <f>P1566*C1566</f>
        <v/>
      </c>
      <c r="P1566" s="117" t="n">
        <v>1.25</v>
      </c>
      <c r="R1566" s="117" t="n"/>
      <c r="T1566" s="117" t="n"/>
    </row>
    <row r="1567">
      <c r="A1567" s="89" t="inlineStr">
        <is>
          <t>3001</t>
        </is>
      </c>
      <c r="B1567" s="248" t="inlineStr">
        <is>
          <t>MAXIME JACKARD</t>
        </is>
      </c>
      <c r="C1567" s="146" t="n">
        <v>39000</v>
      </c>
      <c r="D1567" s="88">
        <f>ROUND((C1567*1.06)/100,0)*100</f>
        <v/>
      </c>
      <c r="E1567" s="88">
        <f>ROUND((C1567*1.15)/100,0)*100</f>
        <v/>
      </c>
      <c r="F1567" s="88">
        <f>ROUND((C1567*1.23)/100,0)*100</f>
        <v/>
      </c>
      <c r="G1567" s="88">
        <f>ROUND((C1567*1.29)/100,0)*100</f>
        <v/>
      </c>
      <c r="H1567" s="88">
        <f>ROUND((C1567*1.35)/100,0)*100</f>
        <v/>
      </c>
      <c r="I1567" s="22" t="n"/>
      <c r="J1567" s="88" t="n"/>
      <c r="K1567" s="88" t="n"/>
      <c r="L1567" s="88" t="n"/>
      <c r="M1567" s="88" t="n"/>
      <c r="O1567" s="137">
        <f>P1567*C1567</f>
        <v/>
      </c>
      <c r="P1567" s="117" t="n">
        <v>1.25</v>
      </c>
      <c r="R1567" s="117" t="n"/>
      <c r="T1567" s="117" t="n"/>
    </row>
    <row r="1568">
      <c r="A1568" s="89" t="n"/>
      <c r="B1568" s="248" t="n"/>
      <c r="C1568" s="88" t="n"/>
      <c r="D1568" s="88">
        <f>C1568*1.06</f>
        <v/>
      </c>
      <c r="E1568" s="88">
        <f>C1568*1.15</f>
        <v/>
      </c>
      <c r="F1568" s="88">
        <f>C1568*1.23</f>
        <v/>
      </c>
      <c r="G1568" s="88">
        <f>C1568*1.29</f>
        <v/>
      </c>
      <c r="H1568" s="88">
        <f>C1568*1.35</f>
        <v/>
      </c>
      <c r="I1568" s="88" t="n"/>
      <c r="J1568" s="88" t="n"/>
      <c r="K1568" s="88" t="n"/>
      <c r="L1568" s="88" t="n"/>
      <c r="M1568" s="88" t="n"/>
      <c r="O1568" s="137" t="n"/>
      <c r="P1568" s="117" t="n"/>
      <c r="R1568" s="117" t="n"/>
      <c r="T1568" s="117" t="n"/>
    </row>
    <row r="1569">
      <c r="A1569" s="80" t="n"/>
      <c r="B1569" s="81" t="inlineStr">
        <is>
          <t>POLERAS Y 1/2 POLERAS TEJIDAS</t>
        </is>
      </c>
      <c r="C1569" s="83" t="inlineStr">
        <is>
          <t>S-XL 1-4</t>
        </is>
      </c>
      <c r="D1569" s="142" t="inlineStr">
        <is>
          <t>5 / XXL</t>
        </is>
      </c>
      <c r="E1569" s="83" t="n">
        <v>6</v>
      </c>
      <c r="F1569" s="83" t="n">
        <v>7</v>
      </c>
      <c r="G1569" s="83" t="n">
        <v>8</v>
      </c>
      <c r="H1569" s="83" t="n">
        <v>9</v>
      </c>
      <c r="I1569" s="83" t="n">
        <v>10</v>
      </c>
      <c r="J1569" s="83" t="n">
        <v>12</v>
      </c>
      <c r="K1569" s="83" t="n">
        <v>14</v>
      </c>
      <c r="L1569" s="83" t="n"/>
      <c r="M1569" s="80" t="inlineStr">
        <is>
          <t>04/25</t>
        </is>
      </c>
      <c r="O1569" s="137" t="n"/>
      <c r="P1569" s="84" t="n"/>
      <c r="Q1569" s="85" t="n"/>
      <c r="R1569" s="84" t="n"/>
      <c r="S1569" s="85" t="n"/>
      <c r="T1569" s="84" t="n"/>
      <c r="U1569" s="85" t="n"/>
      <c r="V1569" s="85" t="n"/>
      <c r="W1569" s="85" t="n"/>
      <c r="X1569" s="85" t="n"/>
      <c r="Y1569" s="85" t="n"/>
      <c r="Z1569" s="85" t="n"/>
      <c r="AA1569" s="85" t="n"/>
      <c r="AB1569" s="85" t="n"/>
      <c r="AC1569" s="85" t="n"/>
      <c r="AD1569" s="85" t="n"/>
      <c r="AE1569" s="85" t="n"/>
      <c r="AF1569" s="85" t="n"/>
      <c r="AG1569" s="85" t="n"/>
      <c r="AH1569" s="85" t="n"/>
      <c r="AI1569" s="85" t="n"/>
      <c r="AJ1569" s="85" t="n"/>
      <c r="AK1569" s="85" t="n"/>
      <c r="AL1569" s="85" t="n"/>
      <c r="AM1569" s="85" t="n"/>
      <c r="AN1569" s="85" t="n"/>
    </row>
    <row r="1570">
      <c r="A1570" s="89" t="inlineStr">
        <is>
          <t>903</t>
        </is>
      </c>
      <c r="B1570" s="248" t="inlineStr">
        <is>
          <t>POLERA TEJIDA AERO FINA</t>
        </is>
      </c>
      <c r="C1570" s="88" t="n">
        <v>20300</v>
      </c>
      <c r="D1570" s="88">
        <f>ROUND((C1570*1.06)/100,0)*100</f>
        <v/>
      </c>
      <c r="E1570" s="88">
        <f>ROUND((C1570*1.15)/100,0)*100</f>
        <v/>
      </c>
      <c r="F1570" s="88">
        <f>ROUND((C1570*1.23)/100,0)*100</f>
        <v/>
      </c>
      <c r="G1570" s="88">
        <f>ROUND((C1570*1.29)/100,0)*100</f>
        <v/>
      </c>
      <c r="H1570" s="88">
        <f>ROUND((C1570*1.35)/100,0)*100</f>
        <v/>
      </c>
      <c r="I1570" s="88">
        <f>ROUND((C1570*1.39)/100,0)*100</f>
        <v/>
      </c>
      <c r="J1570" s="88">
        <f>ROUND((C1570*1.43)/100,0)*100</f>
        <v/>
      </c>
      <c r="K1570" s="88" t="n"/>
      <c r="L1570" s="88">
        <f>ROUND((C1570*M1570)/100,0)*100</f>
        <v/>
      </c>
      <c r="M1570" s="118" t="n">
        <v>1.25</v>
      </c>
      <c r="O1570" s="137" t="n"/>
      <c r="P1570" s="117" t="n"/>
      <c r="R1570" s="117" t="n"/>
      <c r="T1570" s="117" t="n"/>
    </row>
    <row r="1571">
      <c r="A1571" s="89" t="inlineStr">
        <is>
          <t>920</t>
        </is>
      </c>
      <c r="B1571" s="248" t="inlineStr">
        <is>
          <t>POLERA TEJIDA AERO GRUESA</t>
        </is>
      </c>
      <c r="C1571" s="88" t="n">
        <v>26400</v>
      </c>
      <c r="D1571" s="88">
        <f>ROUND((C1571*1.06)/100,0)*100</f>
        <v/>
      </c>
      <c r="E1571" s="88">
        <f>ROUND((C1571*1.15)/100,0)*100</f>
        <v/>
      </c>
      <c r="F1571" s="88">
        <f>ROUND((C1571*1.23)/100,0)*100</f>
        <v/>
      </c>
      <c r="G1571" s="88">
        <f>ROUND((C1571*1.29)/100,0)*100</f>
        <v/>
      </c>
      <c r="H1571" s="88">
        <f>ROUND((C1571*1.35)/100,0)*100</f>
        <v/>
      </c>
      <c r="I1571" s="88">
        <f>ROUND((C1571*1.39)/100,0)*100</f>
        <v/>
      </c>
      <c r="J1571" s="88">
        <f>ROUND((C1571*1.43)/100,0)*100</f>
        <v/>
      </c>
      <c r="K1571" s="88" t="n"/>
      <c r="L1571" s="88">
        <f>ROUND((C1571*M1571)/100,0)*100</f>
        <v/>
      </c>
      <c r="M1571" s="118" t="n">
        <v>1.25</v>
      </c>
      <c r="O1571" s="137" t="n"/>
      <c r="P1571" s="117" t="n"/>
      <c r="R1571" s="117" t="n"/>
      <c r="T1571" s="117" t="n"/>
    </row>
    <row r="1572">
      <c r="A1572" s="89" t="inlineStr">
        <is>
          <t>2001</t>
        </is>
      </c>
      <c r="B1572" s="248" t="inlineStr">
        <is>
          <t xml:space="preserve"> 1/2 POL. ALGODÓN LISA</t>
        </is>
      </c>
      <c r="C1572" s="88" t="n">
        <v>21300</v>
      </c>
      <c r="D1572" s="88">
        <f>ROUND((C1572*1.06)/100,0)*100</f>
        <v/>
      </c>
      <c r="E1572" s="88">
        <f>ROUND((C1572*1.15)/100,0)*100</f>
        <v/>
      </c>
      <c r="F1572" s="88">
        <f>ROUND((C1572*1.23)/100,0)*100</f>
        <v/>
      </c>
      <c r="G1572" s="88">
        <f>ROUND((C1572*1.29)/100,0)*100</f>
        <v/>
      </c>
      <c r="H1572" s="88">
        <f>ROUND((C1572*1.35)/100,0)*100</f>
        <v/>
      </c>
      <c r="I1572" s="88">
        <f>ROUND((C1572*1.39)/100,0)*100</f>
        <v/>
      </c>
      <c r="J1572" s="88">
        <f>ROUND((C1572*1.43)/100,0)*100</f>
        <v/>
      </c>
      <c r="K1572" s="88" t="n"/>
      <c r="L1572" s="88">
        <f>ROUND((C1572*M1572)/100,0)*100</f>
        <v/>
      </c>
      <c r="M1572" s="118" t="n">
        <v>1.25</v>
      </c>
      <c r="O1572" s="137" t="n"/>
      <c r="P1572" s="117" t="n"/>
      <c r="R1572" s="117" t="n"/>
      <c r="T1572" s="117" t="n"/>
    </row>
    <row r="1573">
      <c r="A1573" s="89" t="inlineStr">
        <is>
          <t>2002</t>
        </is>
      </c>
      <c r="B1573" s="248" t="inlineStr">
        <is>
          <t>POLO SANTA FE POLERA</t>
        </is>
      </c>
      <c r="C1573" s="88" t="n">
        <v>16200</v>
      </c>
      <c r="D1573" s="88">
        <f>ROUND((C1573*1.06)/100,0)*100</f>
        <v/>
      </c>
      <c r="E1573" s="88">
        <f>ROUND((C1573*1.15)/100,0)*100</f>
        <v/>
      </c>
      <c r="F1573" s="88">
        <f>ROUND((C1573*1.23)/100,0)*100</f>
        <v/>
      </c>
      <c r="G1573" s="88">
        <f>ROUND((C1573*1.29)/100,0)*100</f>
        <v/>
      </c>
      <c r="H1573" s="88">
        <f>ROUND((C1573*1.35)/100,0)*100</f>
        <v/>
      </c>
      <c r="I1573" s="88">
        <f>ROUND((C1573*1.39)/100,0)*100</f>
        <v/>
      </c>
      <c r="J1573" s="88">
        <f>ROUND((C1573*1.43)/100,0)*100</f>
        <v/>
      </c>
      <c r="K1573" s="88" t="inlineStr">
        <is>
          <t>G</t>
        </is>
      </c>
      <c r="L1573" s="88">
        <f>ROUND((C1573*M1573)/100,0)*100</f>
        <v/>
      </c>
      <c r="M1573" s="118" t="n">
        <v>1.25</v>
      </c>
      <c r="O1573" s="137" t="n"/>
      <c r="P1573" s="117" t="n"/>
      <c r="R1573" s="117" t="n"/>
      <c r="T1573" s="117" t="n"/>
    </row>
    <row r="1574">
      <c r="A1574" s="89" t="inlineStr">
        <is>
          <t>2003</t>
        </is>
      </c>
      <c r="B1574" s="248" t="inlineStr">
        <is>
          <t>BUCKINGAM/AERO POLERA ALGODÓN LISA</t>
        </is>
      </c>
      <c r="C1574" s="88" t="n">
        <v>23600</v>
      </c>
      <c r="D1574" s="88">
        <f>ROUND((C1574*1.06)/100,0)*100</f>
        <v/>
      </c>
      <c r="E1574" s="88">
        <f>ROUND((C1574*1.15)/100,0)*100</f>
        <v/>
      </c>
      <c r="F1574" s="88">
        <f>ROUND((C1574*1.23)/100,0)*100</f>
        <v/>
      </c>
      <c r="G1574" s="88">
        <f>ROUND((C1574*1.29)/100,0)*100</f>
        <v/>
      </c>
      <c r="H1574" s="88">
        <f>ROUND((C1574*1.35)/100,0)*100</f>
        <v/>
      </c>
      <c r="I1574" s="88">
        <f>ROUND((C1574*1.39)/100,0)*100</f>
        <v/>
      </c>
      <c r="J1574" s="88">
        <f>ROUND((C1574*1.43)/100,0)*100</f>
        <v/>
      </c>
      <c r="K1574" s="88" t="n"/>
      <c r="L1574" s="88">
        <f>ROUND((C1574*M1574)/100,0)*100</f>
        <v/>
      </c>
      <c r="M1574" s="118" t="n">
        <v>1.25</v>
      </c>
      <c r="O1574" s="137" t="n"/>
      <c r="P1574" s="117" t="n"/>
      <c r="R1574" s="117" t="n"/>
      <c r="T1574" s="117" t="n"/>
    </row>
    <row r="1575">
      <c r="A1575" s="89" t="inlineStr">
        <is>
          <t>2050</t>
        </is>
      </c>
      <c r="B1575" s="248" t="inlineStr">
        <is>
          <t>POLERA TEJIDA GRUESA</t>
        </is>
      </c>
      <c r="C1575" s="22" t="n">
        <v>32000</v>
      </c>
      <c r="D1575" s="88">
        <f>ROUND((C1575*1.06)/100,0)*100</f>
        <v/>
      </c>
      <c r="E1575" s="88">
        <f>ROUND((C1575*1.15)/100,0)*100</f>
        <v/>
      </c>
      <c r="F1575" s="88">
        <f>ROUND((C1575*1.23)/100,0)*100</f>
        <v/>
      </c>
      <c r="G1575" s="88">
        <f>ROUND((C1575*1.29)/100,0)*100</f>
        <v/>
      </c>
      <c r="H1575" s="88">
        <f>ROUND((C1575*1.35)/100,0)*100</f>
        <v/>
      </c>
      <c r="I1575" s="88">
        <f>ROUND((C1575*1.39)/100,0)*100</f>
        <v/>
      </c>
      <c r="J1575" s="88">
        <f>ROUND((C1575*1.43)/100,0)*100</f>
        <v/>
      </c>
      <c r="K1575" s="88" t="n"/>
      <c r="L1575" s="88">
        <f>ROUND((C1575*M1575)/100,0)*100</f>
        <v/>
      </c>
      <c r="M1575" s="118" t="n">
        <v>1.25</v>
      </c>
      <c r="O1575" s="137" t="n"/>
      <c r="P1575" s="117" t="n"/>
      <c r="R1575" s="117" t="n"/>
      <c r="T1575" s="117" t="n"/>
    </row>
    <row r="1576">
      <c r="A1576" s="89" t="inlineStr">
        <is>
          <t>2700</t>
        </is>
      </c>
      <c r="B1576" s="248" t="inlineStr">
        <is>
          <t>AERO</t>
        </is>
      </c>
      <c r="C1576" s="88" t="n">
        <v>23600</v>
      </c>
      <c r="D1576" s="88">
        <f>ROUND((C1576*1.06)/100,0)*100</f>
        <v/>
      </c>
      <c r="E1576" s="88">
        <f>ROUND((C1576*1.15)/100,0)*100</f>
        <v/>
      </c>
      <c r="F1576" s="88">
        <f>ROUND((C1576*1.23)/100,0)*100</f>
        <v/>
      </c>
      <c r="G1576" s="88">
        <f>ROUND((C1576*1.29)/100,0)*100</f>
        <v/>
      </c>
      <c r="H1576" s="88">
        <f>ROUND((C1576*1.35)/100,0)*100</f>
        <v/>
      </c>
      <c r="I1576" s="88">
        <f>ROUND((C1576*1.39)/100,0)*100</f>
        <v/>
      </c>
      <c r="J1576" s="88">
        <f>ROUND((C1576*1.43)/100,0)*100</f>
        <v/>
      </c>
      <c r="K1576" s="88" t="n"/>
      <c r="L1576" s="88">
        <f>ROUND((C1576*M1576)/100,0)*100</f>
        <v/>
      </c>
      <c r="M1576" s="118" t="n">
        <v>1.25</v>
      </c>
      <c r="O1576" s="137" t="n"/>
      <c r="P1576" s="117" t="n"/>
      <c r="R1576" s="117" t="n"/>
      <c r="T1576" s="117" t="n"/>
    </row>
    <row r="1577">
      <c r="A1577" s="89" t="inlineStr">
        <is>
          <t>4529</t>
        </is>
      </c>
      <c r="B1577" s="248" t="inlineStr">
        <is>
          <t>DIFTER POLERA TEJIDA</t>
        </is>
      </c>
      <c r="C1577" s="88" t="n">
        <v>26900</v>
      </c>
      <c r="D1577" s="88">
        <f>ROUND((C1577*1.06)/100,0)*100</f>
        <v/>
      </c>
      <c r="E1577" s="88">
        <f>ROUND((C1577*1.15)/100,0)*100</f>
        <v/>
      </c>
      <c r="F1577" s="88">
        <f>ROUND((C1577*1.23)/100,0)*100</f>
        <v/>
      </c>
      <c r="G1577" s="88">
        <f>ROUND((C1577*1.29)/100,0)*100</f>
        <v/>
      </c>
      <c r="H1577" s="88">
        <f>ROUND((C1577*1.35)/100,0)*100</f>
        <v/>
      </c>
      <c r="I1577" s="88">
        <f>ROUND((C1577*1.39)/100,0)*100</f>
        <v/>
      </c>
      <c r="J1577" s="88">
        <f>ROUND((C1577*1.43)/100,0)*100</f>
        <v/>
      </c>
      <c r="K1577" s="88" t="n"/>
      <c r="L1577" s="88">
        <f>ROUND((C1577*M1577)/100,0)*100</f>
        <v/>
      </c>
      <c r="M1577" s="118" t="n">
        <v>1.25</v>
      </c>
      <c r="O1577" s="137" t="n"/>
      <c r="P1577" s="117" t="n"/>
      <c r="R1577" s="117" t="n"/>
      <c r="T1577" s="117" t="n"/>
    </row>
    <row r="1578">
      <c r="A1578" s="89" t="inlineStr">
        <is>
          <t>5857</t>
        </is>
      </c>
      <c r="B1578" s="248" t="inlineStr">
        <is>
          <t>LAKOS POLERA</t>
        </is>
      </c>
      <c r="C1578" s="88" t="n">
        <v>18000</v>
      </c>
      <c r="D1578" s="88">
        <f>ROUND((C1578*1.06)/100,0)*100</f>
        <v/>
      </c>
      <c r="E1578" s="88">
        <f>ROUND((C1578*1.15)/100,0)*100</f>
        <v/>
      </c>
      <c r="F1578" s="88">
        <f>ROUND((C1578*1.23)/100,0)*100</f>
        <v/>
      </c>
      <c r="G1578" s="88">
        <f>ROUND((C1578*1.29)/100,0)*100</f>
        <v/>
      </c>
      <c r="H1578" s="88">
        <f>ROUND((C1578*1.35)/100,0)*100</f>
        <v/>
      </c>
      <c r="I1578" s="88">
        <f>ROUND((C1578*1.39)/100,0)*100</f>
        <v/>
      </c>
      <c r="J1578" s="88">
        <f>ROUND((C1578*1.43)/100,0)*100</f>
        <v/>
      </c>
      <c r="K1578" s="88" t="inlineStr">
        <is>
          <t>G</t>
        </is>
      </c>
      <c r="L1578" s="88">
        <f>ROUND((C1578*M1578)/100,0)*100</f>
        <v/>
      </c>
      <c r="M1578" s="118" t="n">
        <v>1.25</v>
      </c>
      <c r="O1578" s="137" t="n"/>
      <c r="P1578" s="117" t="n"/>
      <c r="R1578" s="117" t="n"/>
      <c r="T1578" s="117" t="n"/>
    </row>
    <row r="1579">
      <c r="A1579" s="89" t="inlineStr">
        <is>
          <t>14002XXX</t>
        </is>
      </c>
      <c r="B1579" s="248" t="inlineStr">
        <is>
          <t>POLERA TAVERNITI</t>
        </is>
      </c>
      <c r="C1579" s="88" t="n">
        <v>41100</v>
      </c>
      <c r="D1579" s="88" t="n"/>
      <c r="E1579" s="88" t="n"/>
      <c r="F1579" s="88" t="n"/>
      <c r="G1579" s="88" t="n"/>
      <c r="H1579" s="88" t="n"/>
      <c r="I1579" s="88" t="n"/>
      <c r="J1579" s="88" t="n"/>
      <c r="K1579" s="88" t="n"/>
      <c r="L1579" s="88">
        <f>ROUND((C1579*M1579)/100,0)*100</f>
        <v/>
      </c>
      <c r="M1579" s="118" t="n">
        <v>1.25</v>
      </c>
      <c r="O1579" s="137" t="n"/>
      <c r="P1579" s="117" t="n"/>
      <c r="R1579" s="117" t="n"/>
      <c r="T1579" s="117" t="n"/>
    </row>
    <row r="1580">
      <c r="A1580" s="89" t="n"/>
      <c r="B1580" s="248" t="n"/>
      <c r="C1580" s="88" t="n"/>
      <c r="D1580" s="88" t="n"/>
      <c r="E1580" s="88" t="n"/>
      <c r="F1580" s="88" t="n"/>
      <c r="G1580" s="88" t="n"/>
      <c r="H1580" s="88" t="n"/>
      <c r="I1580" s="88" t="n"/>
      <c r="J1580" s="88" t="n"/>
      <c r="K1580" s="88" t="n"/>
      <c r="L1580" s="88" t="n"/>
      <c r="M1580" s="88" t="n"/>
      <c r="O1580" s="137" t="n"/>
      <c r="P1580" s="117" t="n"/>
      <c r="R1580" s="117" t="n"/>
      <c r="T1580" s="117" t="n"/>
    </row>
    <row r="1581">
      <c r="A1581" s="80" t="n"/>
      <c r="B1581" s="81" t="inlineStr">
        <is>
          <t>REMERAS M LARGA</t>
        </is>
      </c>
      <c r="C1581" s="83" t="inlineStr">
        <is>
          <t>S-XL 1-</t>
        </is>
      </c>
      <c r="D1581" s="142" t="inlineStr">
        <is>
          <t>5 / XXL</t>
        </is>
      </c>
      <c r="E1581" s="83" t="inlineStr">
        <is>
          <t>3XL-6</t>
        </is>
      </c>
      <c r="F1581" s="83" t="n">
        <v>7</v>
      </c>
      <c r="G1581" s="83" t="n">
        <v>8</v>
      </c>
      <c r="H1581" s="83" t="n">
        <v>9</v>
      </c>
      <c r="I1581" s="83" t="n">
        <v>10</v>
      </c>
      <c r="J1581" s="83" t="n">
        <v>12</v>
      </c>
      <c r="K1581" s="83" t="n">
        <v>14</v>
      </c>
      <c r="L1581" s="83" t="n"/>
      <c r="M1581" s="80" t="inlineStr">
        <is>
          <t>04/25</t>
        </is>
      </c>
      <c r="O1581" s="137" t="n"/>
      <c r="P1581" s="84" t="n"/>
      <c r="Q1581" s="85" t="n"/>
      <c r="R1581" s="84" t="n"/>
      <c r="S1581" s="85" t="n"/>
      <c r="T1581" s="84" t="n"/>
      <c r="U1581" s="85" t="n"/>
      <c r="V1581" s="85" t="n"/>
      <c r="W1581" s="85" t="n"/>
      <c r="X1581" s="85" t="n"/>
      <c r="Y1581" s="85" t="n"/>
      <c r="Z1581" s="85" t="n"/>
      <c r="AA1581" s="85" t="n"/>
      <c r="AB1581" s="85" t="n"/>
      <c r="AC1581" s="85" t="n"/>
      <c r="AD1581" s="85" t="n"/>
      <c r="AE1581" s="85" t="n"/>
      <c r="AF1581" s="85" t="n"/>
      <c r="AG1581" s="85" t="n"/>
      <c r="AH1581" s="85" t="n"/>
      <c r="AI1581" s="85" t="n"/>
      <c r="AJ1581" s="85" t="n"/>
      <c r="AK1581" s="85" t="n"/>
      <c r="AL1581" s="85" t="n"/>
      <c r="AM1581" s="85" t="n"/>
      <c r="AN1581" s="85" t="n"/>
    </row>
    <row r="1582">
      <c r="A1582" s="89" t="inlineStr">
        <is>
          <t>4216XXX</t>
        </is>
      </c>
      <c r="B1582" s="248" t="inlineStr">
        <is>
          <t>TAVERNITI M/LARGA</t>
        </is>
      </c>
      <c r="C1582" s="88" t="n">
        <v>46600</v>
      </c>
      <c r="D1582" s="22" t="n"/>
      <c r="E1582" s="22" t="n"/>
      <c r="F1582" s="22" t="n"/>
      <c r="G1582" s="22" t="n"/>
      <c r="H1582" s="22" t="n"/>
      <c r="I1582" s="22" t="n"/>
      <c r="J1582" s="22" t="n"/>
      <c r="K1582" s="22">
        <f>ROUND((C1582*L1582)/100,0)*100</f>
        <v/>
      </c>
      <c r="L1582" s="96" t="n">
        <v>1.45</v>
      </c>
      <c r="M1582" s="88" t="n"/>
      <c r="N1582" s="125" t="n"/>
      <c r="O1582" s="137" t="n"/>
      <c r="P1582" s="117" t="n"/>
      <c r="R1582" s="117" t="n"/>
      <c r="T1582" s="117" t="n"/>
    </row>
    <row r="1583">
      <c r="A1583" s="89" t="inlineStr">
        <is>
          <t>42637</t>
        </is>
      </c>
      <c r="B1583" s="248" t="inlineStr">
        <is>
          <t>TAVERNITI M/LARGA</t>
        </is>
      </c>
      <c r="C1583" s="88" t="n">
        <v>48400</v>
      </c>
      <c r="D1583" s="22" t="n"/>
      <c r="E1583" s="22" t="n"/>
      <c r="F1583" s="22" t="n"/>
      <c r="G1583" s="22" t="n"/>
      <c r="H1583" s="22" t="n"/>
      <c r="I1583" s="22" t="n"/>
      <c r="J1583" s="22" t="n"/>
      <c r="K1583" s="22">
        <f>ROUND((C1583*L1583)/100,0)*100</f>
        <v/>
      </c>
      <c r="L1583" s="96" t="n">
        <v>1.45</v>
      </c>
      <c r="M1583" s="88" t="n"/>
      <c r="O1583" s="137" t="n"/>
      <c r="P1583" s="117" t="n"/>
      <c r="R1583" s="117" t="n"/>
      <c r="T1583" s="117" t="n"/>
    </row>
    <row r="1584">
      <c r="A1584" s="89" t="inlineStr">
        <is>
          <t>4220XXX</t>
        </is>
      </c>
      <c r="B1584" s="248" t="inlineStr">
        <is>
          <t>TAVERNITI M/LARGA</t>
        </is>
      </c>
      <c r="C1584" s="88" t="n">
        <v>50100</v>
      </c>
      <c r="D1584" s="22" t="n"/>
      <c r="E1584" s="22" t="n"/>
      <c r="F1584" s="22" t="n"/>
      <c r="G1584" s="22" t="n"/>
      <c r="H1584" s="22" t="n"/>
      <c r="I1584" s="22" t="n"/>
      <c r="J1584" s="22" t="n"/>
      <c r="K1584" s="22">
        <f>ROUND((C1584*L1584)/100,0)*100</f>
        <v/>
      </c>
      <c r="L1584" s="96" t="n">
        <v>1.45</v>
      </c>
      <c r="M1584" s="88" t="n"/>
      <c r="O1584" s="137" t="n"/>
      <c r="P1584" s="117" t="n"/>
      <c r="R1584" s="117" t="n"/>
      <c r="T1584" s="117" t="n"/>
    </row>
    <row r="1585">
      <c r="A1585" s="89" t="inlineStr">
        <is>
          <t>4222XXX</t>
        </is>
      </c>
      <c r="B1585" s="248" t="inlineStr">
        <is>
          <t>TAVERNITI M/LARGA</t>
        </is>
      </c>
      <c r="C1585" s="88" t="n">
        <v>46600</v>
      </c>
      <c r="D1585" s="22" t="n"/>
      <c r="E1585" s="22" t="n"/>
      <c r="F1585" s="22" t="n"/>
      <c r="G1585" s="22" t="n"/>
      <c r="H1585" s="22" t="n"/>
      <c r="I1585" s="22" t="n"/>
      <c r="J1585" s="22" t="n"/>
      <c r="K1585" s="22">
        <f>ROUND((C1585*L1585)/100,0)*100</f>
        <v/>
      </c>
      <c r="L1585" s="96" t="n">
        <v>1.45</v>
      </c>
      <c r="M1585" s="88" t="n"/>
      <c r="O1585" s="137" t="n"/>
      <c r="P1585" s="117" t="n"/>
      <c r="R1585" s="117" t="n"/>
      <c r="T1585" s="117" t="n"/>
    </row>
    <row r="1586">
      <c r="A1586" s="89" t="inlineStr">
        <is>
          <t>4224</t>
        </is>
      </c>
      <c r="B1586" s="248" t="inlineStr">
        <is>
          <t>TAVERNITI M/LARGA</t>
        </is>
      </c>
      <c r="C1586" s="88" t="n">
        <v>52200</v>
      </c>
      <c r="D1586" s="22" t="n"/>
      <c r="E1586" s="22" t="n"/>
      <c r="F1586" s="22" t="n"/>
      <c r="G1586" s="22" t="n"/>
      <c r="H1586" s="22" t="n"/>
      <c r="I1586" s="22" t="n"/>
      <c r="J1586" s="22" t="n"/>
      <c r="K1586" s="22">
        <f>ROUND((C1586*L1586)/100,0)*100</f>
        <v/>
      </c>
      <c r="L1586" s="96" t="n">
        <v>1.45</v>
      </c>
      <c r="M1586" s="88" t="n"/>
      <c r="O1586" s="137" t="n"/>
      <c r="P1586" s="117" t="n"/>
      <c r="R1586" s="117" t="n"/>
      <c r="T1586" s="117" t="n"/>
    </row>
    <row r="1587">
      <c r="A1587" s="89" t="inlineStr">
        <is>
          <t>4226</t>
        </is>
      </c>
      <c r="B1587" s="248" t="inlineStr">
        <is>
          <t>TAVERNITI M/LARGA</t>
        </is>
      </c>
      <c r="C1587" s="88" t="n">
        <v>50100</v>
      </c>
      <c r="D1587" s="22" t="n"/>
      <c r="E1587" s="22" t="n"/>
      <c r="F1587" s="22" t="n"/>
      <c r="G1587" s="22" t="n"/>
      <c r="H1587" s="22" t="n"/>
      <c r="I1587" s="22" t="n"/>
      <c r="J1587" s="22" t="n"/>
      <c r="K1587" s="22">
        <f>ROUND((C1587*L1587)/100,0)*100</f>
        <v/>
      </c>
      <c r="L1587" s="96" t="n">
        <v>1.45</v>
      </c>
      <c r="M1587" s="88" t="n"/>
      <c r="O1587" s="137" t="n"/>
      <c r="P1587" s="117" t="n"/>
      <c r="R1587" s="117" t="n"/>
      <c r="T1587" s="117" t="n"/>
    </row>
    <row r="1588">
      <c r="A1588" s="134" t="inlineStr">
        <is>
          <t>4276</t>
        </is>
      </c>
      <c r="B1588" s="248" t="inlineStr">
        <is>
          <t>TAVERNITI M/LARGA</t>
        </is>
      </c>
      <c r="C1588" s="88" t="n">
        <v>36700</v>
      </c>
      <c r="D1588" s="22" t="n"/>
      <c r="E1588" s="22" t="n"/>
      <c r="F1588" s="22" t="n"/>
      <c r="G1588" s="22" t="n"/>
      <c r="H1588" s="22" t="n"/>
      <c r="I1588" s="22" t="n"/>
      <c r="J1588" s="22" t="n"/>
      <c r="K1588" s="22">
        <f>ROUND((C1588*L1588)/100,0)*100</f>
        <v/>
      </c>
      <c r="L1588" s="96" t="n">
        <v>1.45</v>
      </c>
      <c r="M1588" s="219" t="n"/>
      <c r="O1588" s="137" t="n"/>
      <c r="P1588" s="117" t="n"/>
      <c r="R1588" s="117" t="n"/>
      <c r="T1588" s="117" t="n"/>
    </row>
    <row r="1589">
      <c r="A1589" s="89" t="inlineStr">
        <is>
          <t>4306</t>
        </is>
      </c>
      <c r="B1589" s="248" t="inlineStr">
        <is>
          <t>TAVERNITI M/LARGA</t>
        </is>
      </c>
      <c r="C1589" s="88" t="n">
        <v>52200</v>
      </c>
      <c r="D1589" s="22" t="n"/>
      <c r="E1589" s="22" t="n"/>
      <c r="F1589" s="22" t="n"/>
      <c r="G1589" s="22" t="n"/>
      <c r="H1589" s="22" t="n"/>
      <c r="I1589" s="22" t="n"/>
      <c r="J1589" s="22" t="n"/>
      <c r="K1589" s="22">
        <f>ROUND((C1589*L1589)/100,0)*100</f>
        <v/>
      </c>
      <c r="L1589" s="96" t="n">
        <v>1.45</v>
      </c>
      <c r="M1589" s="88" t="n"/>
      <c r="O1589" s="137" t="n"/>
      <c r="P1589" s="117" t="n"/>
      <c r="R1589" s="117" t="n"/>
      <c r="T1589" s="117" t="n"/>
    </row>
    <row r="1590">
      <c r="A1590" s="89" t="inlineStr">
        <is>
          <t>4310XXX</t>
        </is>
      </c>
      <c r="B1590" s="248" t="inlineStr">
        <is>
          <t>TAVERNITI M/LARGA</t>
        </is>
      </c>
      <c r="C1590" s="88" t="n">
        <v>50100</v>
      </c>
      <c r="D1590" s="22" t="n"/>
      <c r="E1590" s="22" t="n"/>
      <c r="F1590" s="22" t="n"/>
      <c r="G1590" s="22" t="n"/>
      <c r="H1590" s="22" t="n"/>
      <c r="I1590" s="22" t="n"/>
      <c r="J1590" s="22" t="n"/>
      <c r="K1590" s="22">
        <f>ROUND((C1590*L1590)/100,0)*100</f>
        <v/>
      </c>
      <c r="L1590" s="96" t="n">
        <v>1.45</v>
      </c>
      <c r="M1590" s="88" t="n"/>
      <c r="O1590" s="137" t="n"/>
      <c r="P1590" s="117" t="n"/>
      <c r="R1590" s="117" t="n"/>
      <c r="T1590" s="117" t="n"/>
    </row>
    <row r="1591">
      <c r="A1591" s="89" t="inlineStr">
        <is>
          <t>4312XXX</t>
        </is>
      </c>
      <c r="B1591" s="248" t="inlineStr">
        <is>
          <t>TAVERNITI M/LARGA</t>
        </is>
      </c>
      <c r="C1591" s="88" t="n">
        <v>50100</v>
      </c>
      <c r="D1591" s="22" t="n"/>
      <c r="E1591" s="22" t="n"/>
      <c r="F1591" s="22" t="n"/>
      <c r="G1591" s="22" t="n"/>
      <c r="H1591" s="22" t="n"/>
      <c r="I1591" s="22" t="n"/>
      <c r="J1591" s="22" t="n"/>
      <c r="K1591" s="22">
        <f>ROUND((C1591*L1591)/100,0)*100</f>
        <v/>
      </c>
      <c r="L1591" s="96" t="n">
        <v>1.45</v>
      </c>
      <c r="M1591" s="88" t="n"/>
      <c r="O1591" s="137" t="n"/>
      <c r="P1591" s="117" t="n"/>
      <c r="R1591" s="117" t="n"/>
      <c r="T1591" s="117" t="n"/>
    </row>
    <row r="1592">
      <c r="A1592" s="89" t="inlineStr">
        <is>
          <t>4316</t>
        </is>
      </c>
      <c r="B1592" s="248" t="inlineStr">
        <is>
          <t>TAVERNITI M/LARGA</t>
        </is>
      </c>
      <c r="C1592" s="88" t="n">
        <v>43000</v>
      </c>
      <c r="D1592" s="22" t="n"/>
      <c r="E1592" s="22" t="n"/>
      <c r="F1592" s="22" t="n"/>
      <c r="G1592" s="22" t="n"/>
      <c r="H1592" s="22" t="n"/>
      <c r="I1592" s="22" t="n"/>
      <c r="J1592" s="22" t="n"/>
      <c r="K1592" s="22">
        <f>ROUND((C1592*L1592)/100,0)*100</f>
        <v/>
      </c>
      <c r="L1592" s="96" t="n">
        <v>1.45</v>
      </c>
      <c r="M1592" s="88" t="n"/>
      <c r="O1592" s="137" t="n"/>
      <c r="P1592" s="117" t="n"/>
      <c r="R1592" s="117" t="n"/>
      <c r="T1592" s="117" t="n"/>
    </row>
    <row r="1593">
      <c r="A1593" s="89" t="inlineStr">
        <is>
          <t>4828</t>
        </is>
      </c>
      <c r="B1593" s="248" t="inlineStr">
        <is>
          <t>TAVERNITI M/LARGA</t>
        </is>
      </c>
      <c r="C1593" s="88" t="n">
        <v>52200</v>
      </c>
      <c r="D1593" s="22" t="n"/>
      <c r="E1593" s="22" t="n"/>
      <c r="F1593" s="22" t="n"/>
      <c r="G1593" s="22" t="n"/>
      <c r="H1593" s="22" t="n"/>
      <c r="I1593" s="22" t="n"/>
      <c r="J1593" s="22" t="n"/>
      <c r="K1593" s="22">
        <f>ROUND((C1593*L1593)/100,0)*100</f>
        <v/>
      </c>
      <c r="L1593" s="96" t="n">
        <v>1.45</v>
      </c>
      <c r="M1593" s="88" t="n"/>
      <c r="O1593" s="137" t="n"/>
      <c r="P1593" s="117" t="n"/>
      <c r="R1593" s="117" t="n"/>
      <c r="T1593" s="117" t="n"/>
    </row>
    <row r="1594">
      <c r="A1594" s="89" t="inlineStr">
        <is>
          <t>4916</t>
        </is>
      </c>
      <c r="B1594" s="248" t="inlineStr">
        <is>
          <t>TAVERNITI M/LARGA</t>
        </is>
      </c>
      <c r="C1594" s="88" t="n">
        <v>52200</v>
      </c>
      <c r="D1594" s="22" t="n"/>
      <c r="E1594" s="22" t="n"/>
      <c r="F1594" s="22" t="n"/>
      <c r="G1594" s="22" t="n"/>
      <c r="H1594" s="22" t="n"/>
      <c r="I1594" s="22" t="n"/>
      <c r="J1594" s="22" t="n"/>
      <c r="K1594" s="22">
        <f>ROUND((C1594*L1594)/100,0)*100</f>
        <v/>
      </c>
      <c r="L1594" s="96" t="n">
        <v>1.45</v>
      </c>
      <c r="M1594" s="88" t="n"/>
      <c r="O1594" s="137" t="n"/>
      <c r="P1594" s="117" t="n"/>
      <c r="R1594" s="117" t="n"/>
      <c r="T1594" s="117" t="n"/>
    </row>
    <row r="1595">
      <c r="A1595" s="89" t="inlineStr">
        <is>
          <t>4922</t>
        </is>
      </c>
      <c r="B1595" s="248" t="inlineStr">
        <is>
          <t>TAVERNITI M/LARGA</t>
        </is>
      </c>
      <c r="C1595" s="88" t="n">
        <v>52200</v>
      </c>
      <c r="D1595" s="22" t="n"/>
      <c r="E1595" s="22" t="n"/>
      <c r="F1595" s="22" t="n"/>
      <c r="G1595" s="22" t="n"/>
      <c r="H1595" s="22" t="n"/>
      <c r="I1595" s="22" t="n"/>
      <c r="J1595" s="22" t="n"/>
      <c r="K1595" s="22">
        <f>ROUND((C1595*L1595)/100,0)*100</f>
        <v/>
      </c>
      <c r="L1595" s="96" t="n">
        <v>1.45</v>
      </c>
      <c r="M1595" s="88" t="n"/>
      <c r="O1595" s="137" t="n"/>
      <c r="P1595" s="117" t="n"/>
      <c r="R1595" s="117" t="n"/>
      <c r="T1595" s="117" t="n"/>
    </row>
    <row r="1596">
      <c r="A1596" s="89" t="inlineStr">
        <is>
          <t>4926</t>
        </is>
      </c>
      <c r="B1596" s="248" t="inlineStr">
        <is>
          <t>TAVERNITI M/LARGA</t>
        </is>
      </c>
      <c r="C1596" s="88" t="n">
        <v>50500</v>
      </c>
      <c r="D1596" s="22" t="n"/>
      <c r="E1596" s="22" t="n"/>
      <c r="F1596" s="22" t="n"/>
      <c r="G1596" s="22" t="n"/>
      <c r="H1596" s="22" t="n"/>
      <c r="I1596" s="22" t="n"/>
      <c r="J1596" s="22" t="n"/>
      <c r="K1596" s="22">
        <f>ROUND((C1596*L1596)/100,0)*100</f>
        <v/>
      </c>
      <c r="L1596" s="96" t="n">
        <v>1.45</v>
      </c>
      <c r="M1596" s="88" t="n"/>
      <c r="O1596" s="137" t="n"/>
      <c r="P1596" s="117" t="n"/>
      <c r="R1596" s="117" t="n"/>
      <c r="T1596" s="117" t="n"/>
    </row>
    <row r="1597">
      <c r="A1597" s="89" t="inlineStr">
        <is>
          <t>4928</t>
        </is>
      </c>
      <c r="B1597" s="248" t="inlineStr">
        <is>
          <t>TAVERNITI M/LARGA</t>
        </is>
      </c>
      <c r="C1597" s="88" t="n">
        <v>50800</v>
      </c>
      <c r="D1597" s="22" t="n"/>
      <c r="E1597" s="22" t="n"/>
      <c r="F1597" s="22" t="n"/>
      <c r="G1597" s="22" t="n"/>
      <c r="H1597" s="22" t="n"/>
      <c r="I1597" s="22" t="n"/>
      <c r="J1597" s="22" t="n"/>
      <c r="K1597" s="22">
        <f>ROUND((C1597*L1597)/100,0)*100</f>
        <v/>
      </c>
      <c r="L1597" s="96" t="n">
        <v>1.45</v>
      </c>
      <c r="M1597" s="88" t="n"/>
      <c r="O1597" s="137" t="n"/>
      <c r="P1597" s="117" t="n"/>
      <c r="R1597" s="117" t="n"/>
      <c r="T1597" s="117" t="n"/>
    </row>
    <row r="1598">
      <c r="A1598" s="89" t="inlineStr">
        <is>
          <t>4934</t>
        </is>
      </c>
      <c r="B1598" s="248" t="inlineStr">
        <is>
          <t>TAVERNITI M/LARGA</t>
        </is>
      </c>
      <c r="C1598" s="88" t="n">
        <v>52200</v>
      </c>
      <c r="D1598" s="22" t="n"/>
      <c r="E1598" s="22" t="n"/>
      <c r="F1598" s="22" t="n"/>
      <c r="G1598" s="22" t="n"/>
      <c r="H1598" s="22" t="n"/>
      <c r="I1598" s="22" t="n"/>
      <c r="J1598" s="22" t="n"/>
      <c r="K1598" s="22">
        <f>ROUND((C1598*L1598)/100,0)*100</f>
        <v/>
      </c>
      <c r="L1598" s="96" t="n">
        <v>1.45</v>
      </c>
      <c r="M1598" s="88" t="n"/>
      <c r="O1598" s="137" t="n"/>
      <c r="P1598" s="117" t="n"/>
      <c r="R1598" s="117" t="n"/>
      <c r="T1598" s="117" t="n"/>
    </row>
    <row r="1599">
      <c r="A1599" s="89" t="inlineStr">
        <is>
          <t>53XXX</t>
        </is>
      </c>
      <c r="B1599" s="248" t="inlineStr">
        <is>
          <t>TAVERNITI M/LARGA</t>
        </is>
      </c>
      <c r="C1599" s="88" t="n">
        <v>64900</v>
      </c>
      <c r="D1599" s="170" t="n"/>
      <c r="E1599" s="170" t="n"/>
      <c r="F1599" s="170" t="n"/>
      <c r="G1599" s="170" t="n"/>
      <c r="H1599" s="170" t="n"/>
      <c r="I1599" s="170" t="n"/>
      <c r="J1599" s="170" t="n"/>
      <c r="K1599" s="88">
        <f>ROUND((C1599*L1599)/100,0)*100</f>
        <v/>
      </c>
      <c r="L1599" s="96" t="n">
        <v>1.45</v>
      </c>
      <c r="M1599" s="170" t="n"/>
      <c r="N1599" s="30" t="n"/>
      <c r="O1599" s="78" t="n"/>
      <c r="P1599" s="170" t="n"/>
      <c r="Q1599" s="30" t="n"/>
      <c r="R1599" s="170" t="n"/>
      <c r="S1599" s="30" t="n"/>
      <c r="T1599" s="170" t="n"/>
      <c r="U1599" s="30" t="n"/>
      <c r="V1599" s="30" t="n"/>
      <c r="W1599" s="30" t="n"/>
      <c r="X1599" s="30" t="n"/>
      <c r="Y1599" s="30" t="n"/>
      <c r="Z1599" s="30" t="n"/>
      <c r="AA1599" s="30" t="n"/>
      <c r="AB1599" s="30" t="n"/>
      <c r="AC1599" s="30" t="n"/>
      <c r="AD1599" s="30" t="n"/>
      <c r="AE1599" s="30" t="n"/>
      <c r="AF1599" s="30" t="n"/>
      <c r="AG1599" s="30" t="n"/>
      <c r="AH1599" s="30" t="n"/>
      <c r="AI1599" s="30" t="n"/>
      <c r="AJ1599" s="30" t="n"/>
      <c r="AK1599" s="30" t="n"/>
      <c r="AL1599" s="30" t="n"/>
      <c r="AM1599" s="30" t="n"/>
      <c r="AN1599" s="30" t="n"/>
    </row>
    <row r="1600">
      <c r="A1600" s="89" t="inlineStr">
        <is>
          <t>5326XXX</t>
        </is>
      </c>
      <c r="B1600" s="248" t="inlineStr">
        <is>
          <t>TAVERNITI M/LARGA</t>
        </is>
      </c>
      <c r="C1600" s="88" t="n">
        <v>63200</v>
      </c>
      <c r="D1600" s="170" t="n"/>
      <c r="E1600" s="170" t="n"/>
      <c r="F1600" s="170" t="n"/>
      <c r="G1600" s="170" t="n"/>
      <c r="H1600" s="170" t="n"/>
      <c r="I1600" s="170" t="n"/>
      <c r="J1600" s="170" t="n"/>
      <c r="K1600" s="88">
        <f>ROUND((C1600*L1600)/100,0)*100</f>
        <v/>
      </c>
      <c r="L1600" s="96" t="n">
        <v>1.45</v>
      </c>
      <c r="M1600" s="170" t="n"/>
      <c r="N1600" s="30" t="n"/>
      <c r="O1600" s="78" t="n"/>
      <c r="P1600" s="170" t="n"/>
      <c r="Q1600" s="30" t="n"/>
      <c r="R1600" s="170" t="n"/>
      <c r="S1600" s="30" t="n"/>
      <c r="T1600" s="170" t="n"/>
      <c r="U1600" s="30" t="n"/>
      <c r="V1600" s="30" t="n"/>
      <c r="W1600" s="30" t="n"/>
      <c r="X1600" s="30" t="n"/>
      <c r="Y1600" s="30" t="n"/>
      <c r="Z1600" s="30" t="n"/>
      <c r="AA1600" s="30" t="n"/>
      <c r="AB1600" s="30" t="n"/>
      <c r="AC1600" s="30" t="n"/>
      <c r="AD1600" s="30" t="n"/>
      <c r="AE1600" s="30" t="n"/>
      <c r="AF1600" s="30" t="n"/>
      <c r="AG1600" s="30" t="n"/>
      <c r="AH1600" s="30" t="n"/>
      <c r="AI1600" s="30" t="n"/>
      <c r="AJ1600" s="30" t="n"/>
      <c r="AK1600" s="30" t="n"/>
      <c r="AL1600" s="30" t="n"/>
      <c r="AM1600" s="30" t="n"/>
      <c r="AN1600" s="30" t="n"/>
    </row>
    <row r="1601">
      <c r="A1601" s="89" t="inlineStr">
        <is>
          <t>5328XXX</t>
        </is>
      </c>
      <c r="B1601" s="248" t="inlineStr">
        <is>
          <t>TAVERNITI M/LARGA</t>
        </is>
      </c>
      <c r="C1601" s="88" t="n">
        <v>63200</v>
      </c>
      <c r="D1601" s="170" t="n"/>
      <c r="E1601" s="170" t="n"/>
      <c r="F1601" s="170" t="n"/>
      <c r="G1601" s="170" t="n"/>
      <c r="H1601" s="170" t="n"/>
      <c r="I1601" s="170" t="n"/>
      <c r="J1601" s="170" t="n"/>
      <c r="K1601" s="88">
        <f>ROUND((C1601*L1601)/100,0)*100</f>
        <v/>
      </c>
      <c r="L1601" s="96" t="n">
        <v>1.45</v>
      </c>
      <c r="M1601" s="170" t="n"/>
      <c r="N1601" s="30" t="n"/>
      <c r="O1601" s="78" t="n"/>
      <c r="P1601" s="170" t="n"/>
      <c r="Q1601" s="30" t="n"/>
      <c r="R1601" s="170" t="n"/>
      <c r="S1601" s="30" t="n"/>
      <c r="T1601" s="170" t="n"/>
      <c r="U1601" s="30" t="n"/>
      <c r="V1601" s="30" t="n"/>
      <c r="W1601" s="30" t="n"/>
      <c r="X1601" s="30" t="n"/>
      <c r="Y1601" s="30" t="n"/>
      <c r="Z1601" s="30" t="n"/>
      <c r="AA1601" s="30" t="n"/>
      <c r="AB1601" s="30" t="n"/>
      <c r="AC1601" s="30" t="n"/>
      <c r="AD1601" s="30" t="n"/>
      <c r="AE1601" s="30" t="n"/>
      <c r="AF1601" s="30" t="n"/>
      <c r="AG1601" s="30" t="n"/>
      <c r="AH1601" s="30" t="n"/>
      <c r="AI1601" s="30" t="n"/>
      <c r="AJ1601" s="30" t="n"/>
      <c r="AK1601" s="30" t="n"/>
      <c r="AL1601" s="30" t="n"/>
      <c r="AM1601" s="30" t="n"/>
      <c r="AN1601" s="30" t="n"/>
    </row>
    <row r="1602">
      <c r="A1602" s="89" t="inlineStr">
        <is>
          <t>5332XXX</t>
        </is>
      </c>
      <c r="B1602" s="248" t="inlineStr">
        <is>
          <t>TAVERNITI M/LARGA</t>
        </is>
      </c>
      <c r="C1602" s="88" t="n">
        <v>63200</v>
      </c>
      <c r="D1602" s="170" t="n"/>
      <c r="E1602" s="170" t="n"/>
      <c r="F1602" s="170" t="n"/>
      <c r="G1602" s="170" t="n"/>
      <c r="H1602" s="170" t="n"/>
      <c r="I1602" s="170" t="n"/>
      <c r="J1602" s="170" t="n"/>
      <c r="K1602" s="88">
        <f>ROUND((C1602*L1602)/100,0)*100</f>
        <v/>
      </c>
      <c r="L1602" s="96" t="n">
        <v>1.45</v>
      </c>
      <c r="M1602" s="170" t="n"/>
      <c r="N1602" s="30" t="n"/>
      <c r="O1602" s="78" t="n"/>
      <c r="P1602" s="170" t="n"/>
      <c r="Q1602" s="30" t="n"/>
      <c r="R1602" s="170" t="n"/>
      <c r="S1602" s="30" t="n"/>
      <c r="T1602" s="170" t="n"/>
      <c r="U1602" s="30" t="n"/>
      <c r="V1602" s="30" t="n"/>
      <c r="W1602" s="30" t="n"/>
      <c r="X1602" s="30" t="n"/>
      <c r="Y1602" s="30" t="n"/>
      <c r="Z1602" s="30" t="n"/>
      <c r="AA1602" s="30" t="n"/>
      <c r="AB1602" s="30" t="n"/>
      <c r="AC1602" s="30" t="n"/>
      <c r="AD1602" s="30" t="n"/>
      <c r="AE1602" s="30" t="n"/>
      <c r="AF1602" s="30" t="n"/>
      <c r="AG1602" s="30" t="n"/>
      <c r="AH1602" s="30" t="n"/>
      <c r="AI1602" s="30" t="n"/>
      <c r="AJ1602" s="30" t="n"/>
      <c r="AK1602" s="30" t="n"/>
      <c r="AL1602" s="30" t="n"/>
      <c r="AM1602" s="30" t="n"/>
      <c r="AN1602" s="30" t="n"/>
    </row>
    <row r="1603">
      <c r="A1603" s="89" t="inlineStr">
        <is>
          <t>5442XXX</t>
        </is>
      </c>
      <c r="B1603" s="248" t="inlineStr">
        <is>
          <t>TAVERNITI M/LARGA</t>
        </is>
      </c>
      <c r="C1603" s="88" t="n">
        <v>45200</v>
      </c>
      <c r="D1603" s="170" t="n"/>
      <c r="E1603" s="170" t="n"/>
      <c r="F1603" s="170" t="n"/>
      <c r="G1603" s="170" t="n"/>
      <c r="H1603" s="170" t="n"/>
      <c r="I1603" s="170" t="n"/>
      <c r="J1603" s="170" t="n"/>
      <c r="K1603" s="88">
        <f>ROUND((C1603*L1603)/100,0)*100</f>
        <v/>
      </c>
      <c r="L1603" s="96" t="n">
        <v>1.45</v>
      </c>
      <c r="M1603" s="170" t="n"/>
      <c r="N1603" s="30" t="n"/>
      <c r="O1603" s="78" t="n"/>
      <c r="P1603" s="170" t="n"/>
      <c r="Q1603" s="30" t="n"/>
      <c r="R1603" s="170" t="n"/>
      <c r="S1603" s="30" t="n"/>
      <c r="T1603" s="170" t="n"/>
      <c r="U1603" s="30" t="n"/>
      <c r="V1603" s="30" t="n"/>
      <c r="W1603" s="30" t="n"/>
      <c r="X1603" s="30" t="n"/>
      <c r="Y1603" s="30" t="n"/>
      <c r="Z1603" s="30" t="n"/>
      <c r="AA1603" s="30" t="n"/>
      <c r="AB1603" s="30" t="n"/>
      <c r="AC1603" s="30" t="n"/>
      <c r="AD1603" s="30" t="n"/>
      <c r="AE1603" s="30" t="n"/>
      <c r="AF1603" s="30" t="n"/>
      <c r="AG1603" s="30" t="n"/>
      <c r="AH1603" s="30" t="n"/>
      <c r="AI1603" s="30" t="n"/>
      <c r="AJ1603" s="30" t="n"/>
      <c r="AK1603" s="30" t="n"/>
      <c r="AL1603" s="30" t="n"/>
      <c r="AM1603" s="30" t="n"/>
      <c r="AN1603" s="30" t="n"/>
    </row>
    <row r="1604">
      <c r="A1604" s="89" t="inlineStr">
        <is>
          <t>5458XXX</t>
        </is>
      </c>
      <c r="B1604" s="248" t="inlineStr">
        <is>
          <t>TAVERNITI M/LARGA</t>
        </is>
      </c>
      <c r="C1604" s="88" t="n">
        <v>45200</v>
      </c>
      <c r="D1604" s="170" t="n"/>
      <c r="E1604" s="170" t="n"/>
      <c r="F1604" s="170" t="n"/>
      <c r="G1604" s="170" t="n"/>
      <c r="H1604" s="170" t="n"/>
      <c r="I1604" s="170" t="n"/>
      <c r="J1604" s="170" t="n"/>
      <c r="K1604" s="88">
        <f>ROUND((C1604*L1604)/100,0)*100</f>
        <v/>
      </c>
      <c r="L1604" s="96" t="n">
        <v>1.45</v>
      </c>
      <c r="M1604" s="170" t="n"/>
      <c r="N1604" s="30" t="n"/>
      <c r="O1604" s="78" t="n"/>
      <c r="P1604" s="170" t="n"/>
      <c r="Q1604" s="30" t="n"/>
      <c r="R1604" s="170" t="n"/>
      <c r="S1604" s="30" t="n"/>
      <c r="T1604" s="170" t="n"/>
      <c r="U1604" s="30" t="n"/>
      <c r="V1604" s="30" t="n"/>
      <c r="W1604" s="30" t="n"/>
      <c r="X1604" s="30" t="n"/>
      <c r="Y1604" s="30" t="n"/>
      <c r="Z1604" s="30" t="n"/>
      <c r="AA1604" s="30" t="n"/>
      <c r="AB1604" s="30" t="n"/>
      <c r="AC1604" s="30" t="n"/>
      <c r="AD1604" s="30" t="n"/>
      <c r="AE1604" s="30" t="n"/>
      <c r="AF1604" s="30" t="n"/>
      <c r="AG1604" s="30" t="n"/>
      <c r="AH1604" s="30" t="n"/>
      <c r="AI1604" s="30" t="n"/>
      <c r="AJ1604" s="30" t="n"/>
      <c r="AK1604" s="30" t="n"/>
      <c r="AL1604" s="30" t="n"/>
      <c r="AM1604" s="30" t="n"/>
      <c r="AN1604" s="30" t="n"/>
    </row>
    <row r="1605">
      <c r="A1605" s="89" t="inlineStr">
        <is>
          <t>5802XXX</t>
        </is>
      </c>
      <c r="B1605" s="248" t="inlineStr">
        <is>
          <t>TAVERNITI M/LARGA</t>
        </is>
      </c>
      <c r="C1605" s="88" t="n">
        <v>45200</v>
      </c>
      <c r="D1605" s="170" t="n"/>
      <c r="E1605" s="170" t="n"/>
      <c r="F1605" s="170" t="n"/>
      <c r="G1605" s="170" t="n"/>
      <c r="H1605" s="170" t="n"/>
      <c r="I1605" s="170" t="n"/>
      <c r="J1605" s="170" t="n"/>
      <c r="K1605" s="88">
        <f>ROUND((C1605*L1605)/100,0)*100</f>
        <v/>
      </c>
      <c r="L1605" s="96" t="n">
        <v>1.45</v>
      </c>
      <c r="M1605" s="170" t="n"/>
      <c r="N1605" s="30" t="n"/>
      <c r="O1605" s="78" t="n"/>
      <c r="P1605" s="170" t="n"/>
      <c r="Q1605" s="30" t="n"/>
      <c r="R1605" s="170" t="n"/>
      <c r="S1605" s="30" t="n"/>
      <c r="T1605" s="170" t="n"/>
      <c r="U1605" s="30" t="n"/>
      <c r="V1605" s="30" t="n"/>
      <c r="W1605" s="30" t="n"/>
      <c r="X1605" s="30" t="n"/>
      <c r="Y1605" s="30" t="n"/>
      <c r="Z1605" s="30" t="n"/>
      <c r="AA1605" s="30" t="n"/>
      <c r="AB1605" s="30" t="n"/>
      <c r="AC1605" s="30" t="n"/>
      <c r="AD1605" s="30" t="n"/>
      <c r="AE1605" s="30" t="n"/>
      <c r="AF1605" s="30" t="n"/>
      <c r="AG1605" s="30" t="n"/>
      <c r="AH1605" s="30" t="n"/>
      <c r="AI1605" s="30" t="n"/>
      <c r="AJ1605" s="30" t="n"/>
      <c r="AK1605" s="30" t="n"/>
      <c r="AL1605" s="30" t="n"/>
      <c r="AM1605" s="30" t="n"/>
      <c r="AN1605" s="30" t="n"/>
    </row>
    <row r="1606">
      <c r="A1606" s="89" t="inlineStr">
        <is>
          <t>5806XXX</t>
        </is>
      </c>
      <c r="B1606" s="248" t="inlineStr">
        <is>
          <t>TAVERNITI M/LARGA</t>
        </is>
      </c>
      <c r="C1606" s="88" t="n">
        <v>45200</v>
      </c>
      <c r="D1606" s="170" t="n"/>
      <c r="E1606" s="170" t="n"/>
      <c r="F1606" s="170" t="n"/>
      <c r="G1606" s="170" t="n"/>
      <c r="H1606" s="170" t="n"/>
      <c r="I1606" s="170" t="n"/>
      <c r="J1606" s="170" t="n"/>
      <c r="K1606" s="88">
        <f>ROUND((C1606*L1606)/100,0)*100</f>
        <v/>
      </c>
      <c r="L1606" s="96" t="n">
        <v>1.45</v>
      </c>
      <c r="M1606" s="170" t="n"/>
      <c r="N1606" s="30" t="n"/>
      <c r="O1606" s="78" t="n"/>
      <c r="P1606" s="170" t="n"/>
      <c r="Q1606" s="30" t="n"/>
      <c r="R1606" s="170" t="n"/>
      <c r="S1606" s="30" t="n"/>
      <c r="T1606" s="170" t="n"/>
      <c r="U1606" s="30" t="n"/>
      <c r="V1606" s="30" t="n"/>
      <c r="W1606" s="30" t="n"/>
      <c r="X1606" s="30" t="n"/>
      <c r="Y1606" s="30" t="n"/>
      <c r="Z1606" s="30" t="n"/>
      <c r="AA1606" s="30" t="n"/>
      <c r="AB1606" s="30" t="n"/>
      <c r="AC1606" s="30" t="n"/>
      <c r="AD1606" s="30" t="n"/>
      <c r="AE1606" s="30" t="n"/>
      <c r="AF1606" s="30" t="n"/>
      <c r="AG1606" s="30" t="n"/>
      <c r="AH1606" s="30" t="n"/>
      <c r="AI1606" s="30" t="n"/>
      <c r="AJ1606" s="30" t="n"/>
      <c r="AK1606" s="30" t="n"/>
      <c r="AL1606" s="30" t="n"/>
      <c r="AM1606" s="30" t="n"/>
      <c r="AN1606" s="30" t="n"/>
    </row>
    <row r="1607">
      <c r="A1607" s="89" t="inlineStr">
        <is>
          <t>5830XXX</t>
        </is>
      </c>
      <c r="B1607" s="248" t="inlineStr">
        <is>
          <t>TAVERNITI M/LARGA</t>
        </is>
      </c>
      <c r="C1607" s="88" t="n">
        <v>67200</v>
      </c>
      <c r="D1607" s="170" t="n"/>
      <c r="E1607" s="170" t="n"/>
      <c r="F1607" s="170" t="n"/>
      <c r="G1607" s="170" t="n"/>
      <c r="H1607" s="170" t="n"/>
      <c r="I1607" s="170" t="n"/>
      <c r="J1607" s="170" t="n"/>
      <c r="K1607" s="88">
        <f>ROUND((C1607*L1607)/100,0)*100</f>
        <v/>
      </c>
      <c r="L1607" s="96" t="n">
        <v>1.45</v>
      </c>
      <c r="M1607" s="170" t="n"/>
      <c r="N1607" s="30" t="n"/>
      <c r="O1607" s="78" t="n"/>
      <c r="P1607" s="170" t="n"/>
      <c r="Q1607" s="30" t="n"/>
      <c r="R1607" s="170" t="n"/>
      <c r="S1607" s="30" t="n"/>
      <c r="T1607" s="170" t="n"/>
      <c r="U1607" s="30" t="n"/>
      <c r="V1607" s="30" t="n"/>
      <c r="W1607" s="30" t="n"/>
      <c r="X1607" s="30" t="n"/>
      <c r="Y1607" s="30" t="n"/>
      <c r="Z1607" s="30" t="n"/>
      <c r="AA1607" s="30" t="n"/>
      <c r="AB1607" s="30" t="n"/>
      <c r="AC1607" s="30" t="n"/>
      <c r="AD1607" s="30" t="n"/>
      <c r="AE1607" s="30" t="n"/>
      <c r="AF1607" s="30" t="n"/>
      <c r="AG1607" s="30" t="n"/>
      <c r="AH1607" s="30" t="n"/>
      <c r="AI1607" s="30" t="n"/>
      <c r="AJ1607" s="30" t="n"/>
      <c r="AK1607" s="30" t="n"/>
      <c r="AL1607" s="30" t="n"/>
      <c r="AM1607" s="30" t="n"/>
      <c r="AN1607" s="30" t="n"/>
    </row>
    <row r="1608">
      <c r="A1608" s="89" t="inlineStr">
        <is>
          <t>5876XXX</t>
        </is>
      </c>
      <c r="B1608" s="248" t="inlineStr">
        <is>
          <t>TAVERNITI M/LARGA</t>
        </is>
      </c>
      <c r="C1608" s="88" t="n">
        <v>48700</v>
      </c>
      <c r="D1608" s="170" t="n"/>
      <c r="E1608" s="170" t="n"/>
      <c r="F1608" s="170" t="n"/>
      <c r="G1608" s="170" t="n"/>
      <c r="H1608" s="170" t="n"/>
      <c r="I1608" s="170" t="n"/>
      <c r="J1608" s="170" t="n"/>
      <c r="K1608" s="88">
        <f>ROUND((C1608*L1608)/100,0)*100</f>
        <v/>
      </c>
      <c r="L1608" s="96" t="n">
        <v>1.45</v>
      </c>
      <c r="M1608" s="170" t="n"/>
      <c r="N1608" s="30" t="n"/>
      <c r="O1608" s="78" t="n"/>
      <c r="P1608" s="170" t="n"/>
      <c r="Q1608" s="30" t="n"/>
      <c r="R1608" s="170" t="n"/>
      <c r="S1608" s="30" t="n"/>
      <c r="T1608" s="170" t="n"/>
      <c r="U1608" s="30" t="n"/>
      <c r="V1608" s="30" t="n"/>
      <c r="W1608" s="30" t="n"/>
      <c r="X1608" s="30" t="n"/>
      <c r="Y1608" s="30" t="n"/>
      <c r="Z1608" s="30" t="n"/>
      <c r="AA1608" s="30" t="n"/>
      <c r="AB1608" s="30" t="n"/>
      <c r="AC1608" s="30" t="n"/>
      <c r="AD1608" s="30" t="n"/>
      <c r="AE1608" s="30" t="n"/>
      <c r="AF1608" s="30" t="n"/>
      <c r="AG1608" s="30" t="n"/>
      <c r="AH1608" s="30" t="n"/>
      <c r="AI1608" s="30" t="n"/>
      <c r="AJ1608" s="30" t="n"/>
      <c r="AK1608" s="30" t="n"/>
      <c r="AL1608" s="30" t="n"/>
      <c r="AM1608" s="30" t="n"/>
      <c r="AN1608" s="30" t="n"/>
    </row>
    <row r="1609">
      <c r="A1609" s="89" t="inlineStr">
        <is>
          <t>5878XXX</t>
        </is>
      </c>
      <c r="B1609" s="248" t="inlineStr">
        <is>
          <t>TAVERNITI M/LARGA</t>
        </is>
      </c>
      <c r="C1609" s="88" t="n">
        <v>51000</v>
      </c>
      <c r="D1609" s="170" t="n"/>
      <c r="E1609" s="170" t="n"/>
      <c r="F1609" s="170" t="n"/>
      <c r="G1609" s="170" t="n"/>
      <c r="H1609" s="170" t="n"/>
      <c r="I1609" s="170" t="n"/>
      <c r="J1609" s="170" t="n"/>
      <c r="K1609" s="88">
        <f>ROUND((C1609*L1609)/100,0)*100</f>
        <v/>
      </c>
      <c r="L1609" s="96" t="n">
        <v>1.45</v>
      </c>
      <c r="M1609" s="170" t="n"/>
      <c r="N1609" s="30" t="n"/>
      <c r="O1609" s="78" t="n"/>
      <c r="P1609" s="170" t="n"/>
      <c r="Q1609" s="30" t="n"/>
      <c r="R1609" s="170" t="n"/>
      <c r="S1609" s="30" t="n"/>
      <c r="T1609" s="170" t="n"/>
      <c r="U1609" s="30" t="n"/>
      <c r="V1609" s="30" t="n"/>
      <c r="W1609" s="30" t="n"/>
      <c r="X1609" s="30" t="n"/>
      <c r="Y1609" s="30" t="n"/>
      <c r="Z1609" s="30" t="n"/>
      <c r="AA1609" s="30" t="n"/>
      <c r="AB1609" s="30" t="n"/>
      <c r="AC1609" s="30" t="n"/>
      <c r="AD1609" s="30" t="n"/>
      <c r="AE1609" s="30" t="n"/>
      <c r="AF1609" s="30" t="n"/>
      <c r="AG1609" s="30" t="n"/>
      <c r="AH1609" s="30" t="n"/>
      <c r="AI1609" s="30" t="n"/>
      <c r="AJ1609" s="30" t="n"/>
      <c r="AK1609" s="30" t="n"/>
      <c r="AL1609" s="30" t="n"/>
      <c r="AM1609" s="30" t="n"/>
      <c r="AN1609" s="30" t="n"/>
    </row>
    <row r="1610">
      <c r="A1610" s="89" t="inlineStr">
        <is>
          <t>5880XXX</t>
        </is>
      </c>
      <c r="B1610" s="248" t="inlineStr">
        <is>
          <t>TAVERNITI M/LARGA</t>
        </is>
      </c>
      <c r="C1610" s="88" t="n">
        <v>47600</v>
      </c>
      <c r="D1610" s="170" t="n"/>
      <c r="E1610" s="170" t="n"/>
      <c r="F1610" s="170" t="n"/>
      <c r="G1610" s="170" t="n"/>
      <c r="H1610" s="170" t="n"/>
      <c r="I1610" s="170" t="n"/>
      <c r="J1610" s="170" t="n"/>
      <c r="K1610" s="88">
        <f>ROUND((C1610*L1610)/100,0)*100</f>
        <v/>
      </c>
      <c r="L1610" s="96" t="n">
        <v>1.45</v>
      </c>
      <c r="M1610" s="170" t="n"/>
      <c r="N1610" s="30" t="n"/>
      <c r="O1610" s="78" t="n"/>
      <c r="P1610" s="170" t="n"/>
      <c r="Q1610" s="30" t="n"/>
      <c r="R1610" s="170" t="n"/>
      <c r="S1610" s="30" t="n"/>
      <c r="T1610" s="170" t="n"/>
      <c r="U1610" s="30" t="n"/>
      <c r="V1610" s="30" t="n"/>
      <c r="W1610" s="30" t="n"/>
      <c r="X1610" s="30" t="n"/>
      <c r="Y1610" s="30" t="n"/>
      <c r="Z1610" s="30" t="n"/>
      <c r="AA1610" s="30" t="n"/>
      <c r="AB1610" s="30" t="n"/>
      <c r="AC1610" s="30" t="n"/>
      <c r="AD1610" s="30" t="n"/>
      <c r="AE1610" s="30" t="n"/>
      <c r="AF1610" s="30" t="n"/>
      <c r="AG1610" s="30" t="n"/>
      <c r="AH1610" s="30" t="n"/>
      <c r="AI1610" s="30" t="n"/>
      <c r="AJ1610" s="30" t="n"/>
      <c r="AK1610" s="30" t="n"/>
      <c r="AL1610" s="30" t="n"/>
      <c r="AM1610" s="30" t="n"/>
      <c r="AN1610" s="30" t="n"/>
    </row>
    <row r="1611">
      <c r="A1611" s="89" t="inlineStr">
        <is>
          <t>5882XXX</t>
        </is>
      </c>
      <c r="B1611" s="248" t="inlineStr">
        <is>
          <t>TAVERNITI M/LARGA</t>
        </is>
      </c>
      <c r="C1611" s="88" t="n">
        <v>47600</v>
      </c>
      <c r="D1611" s="170" t="n"/>
      <c r="E1611" s="170" t="n"/>
      <c r="F1611" s="170" t="n"/>
      <c r="G1611" s="170" t="n"/>
      <c r="H1611" s="170" t="n"/>
      <c r="I1611" s="170" t="n"/>
      <c r="J1611" s="170" t="n"/>
      <c r="K1611" s="88">
        <f>ROUND((C1611*L1611)/100,0)*100</f>
        <v/>
      </c>
      <c r="L1611" s="96" t="n">
        <v>1.45</v>
      </c>
      <c r="M1611" s="170" t="n"/>
      <c r="N1611" s="30" t="n"/>
      <c r="O1611" s="78" t="n"/>
      <c r="P1611" s="170" t="n"/>
      <c r="Q1611" s="30" t="n"/>
      <c r="R1611" s="170" t="n"/>
      <c r="S1611" s="30" t="n"/>
      <c r="T1611" s="170" t="n"/>
      <c r="U1611" s="30" t="n"/>
      <c r="V1611" s="30" t="n"/>
      <c r="W1611" s="30" t="n"/>
      <c r="X1611" s="30" t="n"/>
      <c r="Y1611" s="30" t="n"/>
      <c r="Z1611" s="30" t="n"/>
      <c r="AA1611" s="30" t="n"/>
      <c r="AB1611" s="30" t="n"/>
      <c r="AC1611" s="30" t="n"/>
      <c r="AD1611" s="30" t="n"/>
      <c r="AE1611" s="30" t="n"/>
      <c r="AF1611" s="30" t="n"/>
      <c r="AG1611" s="30" t="n"/>
      <c r="AH1611" s="30" t="n"/>
      <c r="AI1611" s="30" t="n"/>
      <c r="AJ1611" s="30" t="n"/>
      <c r="AK1611" s="30" t="n"/>
      <c r="AL1611" s="30" t="n"/>
      <c r="AM1611" s="30" t="n"/>
      <c r="AN1611" s="30" t="n"/>
    </row>
    <row r="1612">
      <c r="A1612" s="89" t="inlineStr">
        <is>
          <t>5884XXX</t>
        </is>
      </c>
      <c r="B1612" s="248" t="inlineStr">
        <is>
          <t>TAVERNITI M/LARGA</t>
        </is>
      </c>
      <c r="C1612" s="88" t="n">
        <v>47600</v>
      </c>
      <c r="D1612" s="170" t="n"/>
      <c r="E1612" s="170" t="n"/>
      <c r="F1612" s="170" t="n"/>
      <c r="G1612" s="170" t="n"/>
      <c r="H1612" s="170" t="n"/>
      <c r="I1612" s="170" t="n"/>
      <c r="J1612" s="170" t="n"/>
      <c r="K1612" s="88">
        <f>ROUND((C1612*L1612)/100,0)*100</f>
        <v/>
      </c>
      <c r="L1612" s="96" t="n">
        <v>1.45</v>
      </c>
      <c r="M1612" s="170" t="n"/>
      <c r="N1612" s="30" t="n"/>
      <c r="O1612" s="78" t="n"/>
      <c r="P1612" s="170" t="n"/>
      <c r="Q1612" s="30" t="n"/>
      <c r="R1612" s="170" t="n"/>
      <c r="S1612" s="30" t="n"/>
      <c r="T1612" s="170" t="n"/>
      <c r="U1612" s="30" t="n"/>
      <c r="V1612" s="30" t="n"/>
      <c r="W1612" s="30" t="n"/>
      <c r="X1612" s="30" t="n"/>
      <c r="Y1612" s="30" t="n"/>
      <c r="Z1612" s="30" t="n"/>
      <c r="AA1612" s="30" t="n"/>
      <c r="AB1612" s="30" t="n"/>
      <c r="AC1612" s="30" t="n"/>
      <c r="AD1612" s="30" t="n"/>
      <c r="AE1612" s="30" t="n"/>
      <c r="AF1612" s="30" t="n"/>
      <c r="AG1612" s="30" t="n"/>
      <c r="AH1612" s="30" t="n"/>
      <c r="AI1612" s="30" t="n"/>
      <c r="AJ1612" s="30" t="n"/>
      <c r="AK1612" s="30" t="n"/>
      <c r="AL1612" s="30" t="n"/>
      <c r="AM1612" s="30" t="n"/>
      <c r="AN1612" s="30" t="n"/>
    </row>
    <row r="1613">
      <c r="A1613" s="89" t="inlineStr">
        <is>
          <t>5886XXX</t>
        </is>
      </c>
      <c r="B1613" s="248" t="inlineStr">
        <is>
          <t>TAVERNITI M/LARGA</t>
        </is>
      </c>
      <c r="C1613" s="88" t="n">
        <v>47600</v>
      </c>
      <c r="D1613" s="170" t="n"/>
      <c r="E1613" s="170" t="n"/>
      <c r="F1613" s="170" t="n"/>
      <c r="G1613" s="170" t="n"/>
      <c r="H1613" s="170" t="n"/>
      <c r="I1613" s="170" t="n"/>
      <c r="J1613" s="170" t="n"/>
      <c r="K1613" s="88">
        <f>ROUND((C1613*L1613)/100,0)*100</f>
        <v/>
      </c>
      <c r="L1613" s="96" t="n">
        <v>1.45</v>
      </c>
      <c r="M1613" s="170" t="n"/>
      <c r="N1613" s="30" t="n"/>
      <c r="O1613" s="78" t="n"/>
      <c r="P1613" s="170" t="n"/>
      <c r="Q1613" s="30" t="n"/>
      <c r="R1613" s="170" t="n"/>
      <c r="S1613" s="30" t="n"/>
      <c r="T1613" s="170" t="n"/>
      <c r="U1613" s="30" t="n"/>
      <c r="V1613" s="30" t="n"/>
      <c r="W1613" s="30" t="n"/>
      <c r="X1613" s="30" t="n"/>
      <c r="Y1613" s="30" t="n"/>
      <c r="Z1613" s="30" t="n"/>
      <c r="AA1613" s="30" t="n"/>
      <c r="AB1613" s="30" t="n"/>
      <c r="AC1613" s="30" t="n"/>
      <c r="AD1613" s="30" t="n"/>
      <c r="AE1613" s="30" t="n"/>
      <c r="AF1613" s="30" t="n"/>
      <c r="AG1613" s="30" t="n"/>
      <c r="AH1613" s="30" t="n"/>
      <c r="AI1613" s="30" t="n"/>
      <c r="AJ1613" s="30" t="n"/>
      <c r="AK1613" s="30" t="n"/>
      <c r="AL1613" s="30" t="n"/>
      <c r="AM1613" s="30" t="n"/>
      <c r="AN1613" s="30" t="n"/>
    </row>
    <row r="1614">
      <c r="A1614" s="134" t="inlineStr">
        <is>
          <t>6136XXX</t>
        </is>
      </c>
      <c r="B1614" s="248" t="inlineStr">
        <is>
          <t>TAVERNITI M/LARGA</t>
        </is>
      </c>
      <c r="C1614" s="88" t="n">
        <v>64900</v>
      </c>
      <c r="D1614" s="22" t="n"/>
      <c r="E1614" s="22" t="n"/>
      <c r="F1614" s="22" t="n"/>
      <c r="G1614" s="22" t="n"/>
      <c r="H1614" s="22" t="n"/>
      <c r="I1614" s="22" t="n"/>
      <c r="J1614" s="22" t="n"/>
      <c r="K1614" s="22">
        <f>ROUND((C1614*L1614)/100,0)*100</f>
        <v/>
      </c>
      <c r="L1614" s="96" t="n">
        <v>1.45</v>
      </c>
      <c r="M1614" s="219" t="n"/>
      <c r="O1614" s="137" t="n"/>
      <c r="P1614" s="117" t="n"/>
      <c r="R1614" s="117" t="n"/>
      <c r="T1614" s="117" t="n"/>
    </row>
    <row r="1615">
      <c r="A1615" s="134" t="inlineStr">
        <is>
          <t>6254XXX</t>
        </is>
      </c>
      <c r="B1615" s="248" t="inlineStr">
        <is>
          <t>TAVERNITI M/LARGA</t>
        </is>
      </c>
      <c r="C1615" s="88" t="n">
        <v>50000</v>
      </c>
      <c r="D1615" s="22" t="n"/>
      <c r="E1615" s="22" t="n"/>
      <c r="F1615" s="22" t="n"/>
      <c r="G1615" s="22" t="n"/>
      <c r="H1615" s="22" t="n"/>
      <c r="I1615" s="22" t="n"/>
      <c r="J1615" s="22" t="n"/>
      <c r="K1615" s="22">
        <f>ROUND((C1615*L1615)/100,0)*100</f>
        <v/>
      </c>
      <c r="L1615" s="96" t="n">
        <v>1.45</v>
      </c>
      <c r="M1615" s="219" t="n"/>
      <c r="O1615" s="137" t="n"/>
      <c r="P1615" s="117" t="n"/>
      <c r="R1615" s="117" t="n"/>
      <c r="T1615" s="117" t="n"/>
    </row>
    <row r="1616">
      <c r="A1616" s="134" t="inlineStr">
        <is>
          <t>6264XXX</t>
        </is>
      </c>
      <c r="B1616" s="248" t="inlineStr">
        <is>
          <t>TAVERNITI M/LARGA</t>
        </is>
      </c>
      <c r="C1616" s="88" t="n">
        <v>52200</v>
      </c>
      <c r="D1616" s="22" t="n"/>
      <c r="E1616" s="22" t="n"/>
      <c r="F1616" s="22" t="n"/>
      <c r="G1616" s="22" t="n"/>
      <c r="H1616" s="22" t="n"/>
      <c r="I1616" s="22" t="n"/>
      <c r="J1616" s="22" t="n"/>
      <c r="K1616" s="22">
        <f>ROUND((C1616*L1616)/100,0)*100</f>
        <v/>
      </c>
      <c r="L1616" s="96" t="n">
        <v>1.45</v>
      </c>
      <c r="M1616" s="219" t="n"/>
      <c r="O1616" s="137" t="n"/>
      <c r="P1616" s="117" t="n"/>
      <c r="R1616" s="117" t="n"/>
      <c r="T1616" s="117" t="n"/>
    </row>
    <row r="1617">
      <c r="A1617" s="134" t="inlineStr">
        <is>
          <t>6266XXX</t>
        </is>
      </c>
      <c r="B1617" s="248" t="inlineStr">
        <is>
          <t>TAVERNITI M/LARGA</t>
        </is>
      </c>
      <c r="C1617" s="88" t="n">
        <v>59800</v>
      </c>
      <c r="D1617" s="22" t="n"/>
      <c r="E1617" s="22" t="n"/>
      <c r="F1617" s="22" t="n"/>
      <c r="G1617" s="22" t="n"/>
      <c r="H1617" s="22" t="n"/>
      <c r="I1617" s="22" t="n"/>
      <c r="J1617" s="22" t="n"/>
      <c r="K1617" s="22">
        <f>ROUND((C1617*L1617)/100,0)*100</f>
        <v/>
      </c>
      <c r="L1617" s="96" t="n">
        <v>1.45</v>
      </c>
      <c r="M1617" s="219" t="n"/>
      <c r="O1617" s="137" t="n"/>
      <c r="P1617" s="117" t="n"/>
      <c r="R1617" s="117" t="n"/>
      <c r="T1617" s="117" t="n"/>
    </row>
    <row r="1618">
      <c r="A1618" s="134" t="inlineStr">
        <is>
          <t>6346XXX</t>
        </is>
      </c>
      <c r="B1618" s="248" t="inlineStr">
        <is>
          <t>TAVERNITI M/LARGA</t>
        </is>
      </c>
      <c r="C1618" s="88" t="n">
        <v>52100</v>
      </c>
      <c r="D1618" s="22" t="n"/>
      <c r="E1618" s="22" t="n"/>
      <c r="F1618" s="22" t="n"/>
      <c r="G1618" s="22" t="n"/>
      <c r="H1618" s="22" t="n"/>
      <c r="I1618" s="22" t="n"/>
      <c r="J1618" s="22" t="n"/>
      <c r="K1618" s="22">
        <f>ROUND((C1618*L1618)/100,0)*100</f>
        <v/>
      </c>
      <c r="L1618" s="96" t="n">
        <v>1.45</v>
      </c>
      <c r="M1618" s="219" t="n"/>
      <c r="O1618" s="137" t="n"/>
      <c r="P1618" s="117" t="n"/>
      <c r="R1618" s="117" t="n"/>
      <c r="T1618" s="117" t="n"/>
    </row>
    <row r="1619">
      <c r="A1619" s="134" t="inlineStr">
        <is>
          <t>6348XXX</t>
        </is>
      </c>
      <c r="B1619" s="248" t="inlineStr">
        <is>
          <t>TAVERNITI M/LARGA</t>
        </is>
      </c>
      <c r="C1619" s="88" t="n">
        <v>52100</v>
      </c>
      <c r="D1619" s="22" t="n"/>
      <c r="E1619" s="22" t="n"/>
      <c r="F1619" s="22" t="n"/>
      <c r="G1619" s="22" t="n"/>
      <c r="H1619" s="22" t="n"/>
      <c r="I1619" s="22" t="n"/>
      <c r="J1619" s="22" t="n"/>
      <c r="K1619" s="22">
        <f>ROUND((C1619*L1619)/100,0)*100</f>
        <v/>
      </c>
      <c r="L1619" s="96" t="n">
        <v>1.45</v>
      </c>
      <c r="M1619" s="219" t="n"/>
      <c r="O1619" s="137" t="n"/>
      <c r="P1619" s="117" t="n"/>
      <c r="R1619" s="117" t="n"/>
      <c r="T1619" s="117" t="n"/>
    </row>
    <row r="1620">
      <c r="A1620" s="134" t="inlineStr">
        <is>
          <t>6352XXX</t>
        </is>
      </c>
      <c r="B1620" s="248" t="inlineStr">
        <is>
          <t>TAVERNITI M/LARGA</t>
        </is>
      </c>
      <c r="C1620" s="88" t="n">
        <v>52100</v>
      </c>
      <c r="D1620" s="22" t="n"/>
      <c r="E1620" s="22" t="n"/>
      <c r="F1620" s="22" t="n"/>
      <c r="G1620" s="22" t="n"/>
      <c r="H1620" s="22" t="n"/>
      <c r="I1620" s="22" t="n"/>
      <c r="J1620" s="22" t="n"/>
      <c r="K1620" s="22">
        <f>ROUND((C1620*L1620)/100,0)*100</f>
        <v/>
      </c>
      <c r="L1620" s="96" t="n">
        <v>1.45</v>
      </c>
      <c r="M1620" s="219" t="n"/>
      <c r="O1620" s="137" t="n"/>
      <c r="P1620" s="117" t="n"/>
      <c r="R1620" s="117" t="n"/>
      <c r="T1620" s="117" t="n"/>
    </row>
    <row r="1621">
      <c r="A1621" s="134" t="inlineStr">
        <is>
          <t>06874XXX</t>
        </is>
      </c>
      <c r="B1621" s="248" t="inlineStr">
        <is>
          <t>TAVERNITI M/LARGA</t>
        </is>
      </c>
      <c r="C1621" s="88" t="n">
        <v>39900</v>
      </c>
      <c r="D1621" s="22" t="n"/>
      <c r="E1621" s="22" t="n"/>
      <c r="F1621" s="22" t="n"/>
      <c r="G1621" s="22" t="n"/>
      <c r="H1621" s="22" t="n"/>
      <c r="I1621" s="22" t="n"/>
      <c r="J1621" s="22" t="n"/>
      <c r="K1621" s="22">
        <f>ROUND((C1621*L1621)/100,0)*100</f>
        <v/>
      </c>
      <c r="L1621" s="96" t="n">
        <v>1.45</v>
      </c>
      <c r="M1621" s="219" t="n"/>
      <c r="O1621" s="137" t="n"/>
      <c r="P1621" s="117" t="n"/>
      <c r="R1621" s="117" t="n"/>
      <c r="T1621" s="117" t="n"/>
    </row>
    <row r="1622">
      <c r="A1622" s="134" t="inlineStr">
        <is>
          <t>4949XXX</t>
        </is>
      </c>
      <c r="B1622" s="248" t="inlineStr">
        <is>
          <t>TAVERNITI M/LARGA</t>
        </is>
      </c>
      <c r="C1622" s="88" t="n">
        <v>43500</v>
      </c>
      <c r="D1622" s="22" t="n"/>
      <c r="E1622" s="22" t="n"/>
      <c r="F1622" s="22" t="n"/>
      <c r="G1622" s="22" t="n"/>
      <c r="H1622" s="22" t="n"/>
      <c r="I1622" s="22" t="n"/>
      <c r="J1622" s="22" t="n"/>
      <c r="K1622" s="22">
        <f>ROUND((C1622*L1622)/100,0)*100</f>
        <v/>
      </c>
      <c r="L1622" s="96" t="n">
        <v>1.45</v>
      </c>
      <c r="M1622" s="219" t="n"/>
      <c r="O1622" s="137" t="n"/>
      <c r="P1622" s="117" t="n"/>
      <c r="R1622" s="117" t="n"/>
      <c r="T1622" s="117" t="n"/>
    </row>
    <row r="1623">
      <c r="A1623" s="134" t="inlineStr">
        <is>
          <t>7508XXX</t>
        </is>
      </c>
      <c r="B1623" s="248" t="inlineStr">
        <is>
          <t>TAVERNITI M/LARGA</t>
        </is>
      </c>
      <c r="C1623" s="88" t="n">
        <v>44800</v>
      </c>
      <c r="D1623" s="22" t="n"/>
      <c r="E1623" s="22" t="n"/>
      <c r="F1623" s="22" t="n"/>
      <c r="G1623" s="22" t="n"/>
      <c r="H1623" s="22" t="n"/>
      <c r="I1623" s="22" t="n"/>
      <c r="J1623" s="22" t="n"/>
      <c r="K1623" s="22">
        <f>ROUND((C1623*L1623)/100,0)*100</f>
        <v/>
      </c>
      <c r="L1623" s="96" t="n">
        <v>1.45</v>
      </c>
      <c r="M1623" s="219" t="n"/>
      <c r="O1623" s="137" t="n"/>
      <c r="P1623" s="117" t="n"/>
      <c r="R1623" s="117" t="n"/>
      <c r="T1623" s="117" t="n"/>
    </row>
    <row r="1624">
      <c r="A1624" s="134" t="inlineStr">
        <is>
          <t>14500</t>
        </is>
      </c>
      <c r="B1624" s="248" t="inlineStr">
        <is>
          <t>TAVERNITI M/LARGA</t>
        </is>
      </c>
      <c r="C1624" s="88" t="n">
        <v>53400</v>
      </c>
      <c r="D1624" s="22" t="n"/>
      <c r="E1624" s="22" t="n"/>
      <c r="F1624" s="22" t="n"/>
      <c r="G1624" s="22" t="n"/>
      <c r="H1624" s="22" t="n"/>
      <c r="I1624" s="22" t="n"/>
      <c r="J1624" s="22" t="n"/>
      <c r="K1624" s="22">
        <f>ROUND((C1624*L1624)/100,0)*100</f>
        <v/>
      </c>
      <c r="L1624" s="96" t="n">
        <v>1.45</v>
      </c>
      <c r="M1624" s="219" t="n"/>
      <c r="O1624" s="137" t="n"/>
      <c r="P1624" s="117" t="n"/>
      <c r="R1624" s="117" t="n"/>
      <c r="T1624" s="117" t="n"/>
    </row>
    <row r="1625">
      <c r="A1625" s="134" t="inlineStr">
        <is>
          <t>14504</t>
        </is>
      </c>
      <c r="B1625" s="248" t="inlineStr">
        <is>
          <t>TAVERNITI M/LARGA</t>
        </is>
      </c>
      <c r="C1625" s="88" t="n">
        <v>52200</v>
      </c>
      <c r="D1625" s="22" t="n"/>
      <c r="E1625" s="22" t="n"/>
      <c r="F1625" s="22" t="n"/>
      <c r="G1625" s="22" t="n"/>
      <c r="H1625" s="22" t="n"/>
      <c r="I1625" s="22" t="n"/>
      <c r="J1625" s="22" t="n"/>
      <c r="K1625" s="22">
        <f>ROUND((C1625*L1625)/100,0)*100</f>
        <v/>
      </c>
      <c r="L1625" s="96" t="n">
        <v>1.45</v>
      </c>
      <c r="M1625" s="219" t="n"/>
      <c r="O1625" s="137" t="n"/>
      <c r="P1625" s="117" t="n"/>
      <c r="R1625" s="117" t="n"/>
      <c r="T1625" s="117" t="n"/>
    </row>
    <row r="1626">
      <c r="A1626" s="134" t="inlineStr">
        <is>
          <t>14506</t>
        </is>
      </c>
      <c r="B1626" s="248" t="inlineStr">
        <is>
          <t>TAVERNITI M/LARGA</t>
        </is>
      </c>
      <c r="C1626" s="88" t="n">
        <v>52200</v>
      </c>
      <c r="D1626" s="22" t="n"/>
      <c r="E1626" s="22" t="n"/>
      <c r="F1626" s="22" t="n"/>
      <c r="G1626" s="22" t="n"/>
      <c r="H1626" s="22" t="n"/>
      <c r="I1626" s="22" t="n"/>
      <c r="J1626" s="22" t="n"/>
      <c r="K1626" s="22">
        <f>ROUND((C1626*L1626)/100,0)*100</f>
        <v/>
      </c>
      <c r="L1626" s="96" t="n">
        <v>1.45</v>
      </c>
      <c r="M1626" s="219" t="n"/>
      <c r="O1626" s="137" t="n"/>
      <c r="P1626" s="117" t="n"/>
      <c r="R1626" s="117" t="n"/>
      <c r="T1626" s="117" t="n"/>
    </row>
    <row r="1627">
      <c r="A1627" s="134" t="inlineStr">
        <is>
          <t>14508</t>
        </is>
      </c>
      <c r="B1627" s="248" t="inlineStr">
        <is>
          <t>TAVERNITI M/LARGA</t>
        </is>
      </c>
      <c r="C1627" s="88" t="n">
        <v>52200</v>
      </c>
      <c r="D1627" s="22" t="n"/>
      <c r="E1627" s="22" t="n"/>
      <c r="F1627" s="22" t="n"/>
      <c r="G1627" s="22" t="n"/>
      <c r="H1627" s="22" t="n"/>
      <c r="I1627" s="22" t="n"/>
      <c r="J1627" s="22" t="n"/>
      <c r="K1627" s="22">
        <f>ROUND((C1627*L1627)/100,0)*100</f>
        <v/>
      </c>
      <c r="L1627" s="96" t="n">
        <v>1.45</v>
      </c>
      <c r="M1627" s="219" t="n"/>
      <c r="O1627" s="137" t="n"/>
      <c r="P1627" s="117" t="n"/>
      <c r="R1627" s="117" t="n"/>
      <c r="T1627" s="117" t="n"/>
    </row>
    <row r="1628">
      <c r="A1628" s="134" t="inlineStr">
        <is>
          <t>14510</t>
        </is>
      </c>
      <c r="B1628" s="248" t="inlineStr">
        <is>
          <t>TAVERNITI M/LARGA</t>
        </is>
      </c>
      <c r="C1628" s="88" t="n">
        <v>52200</v>
      </c>
      <c r="D1628" s="22" t="n"/>
      <c r="E1628" s="22" t="n"/>
      <c r="F1628" s="22" t="n"/>
      <c r="G1628" s="22" t="n"/>
      <c r="H1628" s="22" t="n"/>
      <c r="I1628" s="22" t="n"/>
      <c r="J1628" s="22" t="n"/>
      <c r="K1628" s="22">
        <f>ROUND((C1628*L1628)/100,0)*100</f>
        <v/>
      </c>
      <c r="L1628" s="96" t="n">
        <v>1.45</v>
      </c>
      <c r="M1628" s="219" t="n"/>
      <c r="O1628" s="137" t="n"/>
      <c r="P1628" s="117" t="n"/>
      <c r="R1628" s="117" t="n"/>
      <c r="T1628" s="117" t="n"/>
    </row>
    <row r="1629">
      <c r="A1629" s="134" t="inlineStr">
        <is>
          <t>14512</t>
        </is>
      </c>
      <c r="B1629" s="248" t="inlineStr">
        <is>
          <t>TAVERNITI M/LARGA</t>
        </is>
      </c>
      <c r="C1629" s="88" t="n">
        <v>52200</v>
      </c>
      <c r="D1629" s="22" t="n"/>
      <c r="E1629" s="22" t="n"/>
      <c r="F1629" s="22" t="n"/>
      <c r="G1629" s="22" t="n"/>
      <c r="H1629" s="22" t="n"/>
      <c r="I1629" s="22" t="n"/>
      <c r="J1629" s="22" t="n"/>
      <c r="K1629" s="22">
        <f>ROUND((C1629*L1629)/100,0)*100</f>
        <v/>
      </c>
      <c r="L1629" s="96" t="n">
        <v>1.45</v>
      </c>
      <c r="M1629" s="219" t="n"/>
      <c r="O1629" s="137" t="n"/>
      <c r="P1629" s="117" t="n"/>
      <c r="R1629" s="117" t="n"/>
      <c r="T1629" s="117" t="n"/>
    </row>
    <row r="1630">
      <c r="A1630" s="134" t="inlineStr">
        <is>
          <t>14514</t>
        </is>
      </c>
      <c r="B1630" s="248" t="inlineStr">
        <is>
          <t>TAVERNITI M/LARGA</t>
        </is>
      </c>
      <c r="C1630" s="88" t="n">
        <v>50500</v>
      </c>
      <c r="D1630" s="22" t="n"/>
      <c r="E1630" s="22" t="n"/>
      <c r="F1630" s="22" t="n"/>
      <c r="G1630" s="22" t="n"/>
      <c r="H1630" s="22" t="n"/>
      <c r="I1630" s="22" t="n"/>
      <c r="J1630" s="22" t="n"/>
      <c r="K1630" s="22">
        <f>ROUND((C1630*L1630)/100,0)*100</f>
        <v/>
      </c>
      <c r="L1630" s="96" t="n">
        <v>1.45</v>
      </c>
      <c r="M1630" s="219" t="n"/>
      <c r="O1630" s="137" t="n"/>
      <c r="P1630" s="117" t="n"/>
      <c r="R1630" s="117" t="n"/>
      <c r="T1630" s="117" t="n"/>
    </row>
    <row r="1631">
      <c r="A1631" s="134" t="inlineStr">
        <is>
          <t>14516</t>
        </is>
      </c>
      <c r="B1631" s="248" t="inlineStr">
        <is>
          <t>TAVERNITI M/LARGA</t>
        </is>
      </c>
      <c r="C1631" s="88" t="n">
        <v>51900</v>
      </c>
      <c r="D1631" s="22" t="n"/>
      <c r="E1631" s="22" t="n"/>
      <c r="F1631" s="22" t="n"/>
      <c r="G1631" s="22" t="n"/>
      <c r="H1631" s="22" t="n"/>
      <c r="I1631" s="22" t="n"/>
      <c r="J1631" s="22" t="n"/>
      <c r="K1631" s="22">
        <f>ROUND((C1631*L1631)/100,0)*100</f>
        <v/>
      </c>
      <c r="L1631" s="96" t="n">
        <v>1.45</v>
      </c>
      <c r="M1631" s="219" t="n"/>
      <c r="O1631" s="137" t="n"/>
      <c r="P1631" s="117" t="n"/>
      <c r="R1631" s="117" t="n"/>
      <c r="T1631" s="117" t="n"/>
    </row>
    <row r="1632">
      <c r="A1632" s="134" t="inlineStr">
        <is>
          <t>14520</t>
        </is>
      </c>
      <c r="B1632" s="248" t="inlineStr">
        <is>
          <t>TAVERNITI M/LARGA</t>
        </is>
      </c>
      <c r="C1632" s="88" t="n">
        <v>50500</v>
      </c>
      <c r="D1632" s="22" t="n"/>
      <c r="E1632" s="22" t="n"/>
      <c r="F1632" s="22" t="n"/>
      <c r="G1632" s="22" t="n"/>
      <c r="H1632" s="22" t="n"/>
      <c r="I1632" s="22" t="n"/>
      <c r="J1632" s="22" t="n"/>
      <c r="K1632" s="22">
        <f>ROUND((C1632*L1632)/100,0)*100</f>
        <v/>
      </c>
      <c r="L1632" s="96" t="n">
        <v>1.45</v>
      </c>
      <c r="M1632" s="219" t="n"/>
      <c r="O1632" s="137" t="n"/>
      <c r="P1632" s="117" t="n"/>
      <c r="R1632" s="117" t="n"/>
      <c r="T1632" s="117" t="n"/>
    </row>
    <row r="1633">
      <c r="A1633" s="134" t="inlineStr">
        <is>
          <t>1452XXX</t>
        </is>
      </c>
      <c r="B1633" s="248" t="inlineStr">
        <is>
          <t>TAVERNITI M/LARGA</t>
        </is>
      </c>
      <c r="C1633" s="88" t="n">
        <v>53400</v>
      </c>
      <c r="D1633" s="22" t="n"/>
      <c r="E1633" s="22" t="n"/>
      <c r="F1633" s="22" t="n"/>
      <c r="G1633" s="22" t="n"/>
      <c r="H1633" s="22" t="n"/>
      <c r="I1633" s="22" t="n"/>
      <c r="J1633" s="22" t="n"/>
      <c r="K1633" s="22">
        <f>ROUND((C1633*L1633)/100,0)*100</f>
        <v/>
      </c>
      <c r="L1633" s="96" t="n">
        <v>1.45</v>
      </c>
      <c r="M1633" s="219" t="n"/>
      <c r="O1633" s="137" t="n"/>
      <c r="P1633" s="117" t="n"/>
      <c r="R1633" s="117" t="n"/>
      <c r="T1633" s="117" t="n"/>
    </row>
    <row r="1634">
      <c r="A1634" s="134" t="inlineStr">
        <is>
          <t>14528</t>
        </is>
      </c>
      <c r="B1634" s="248" t="inlineStr">
        <is>
          <t>TAVERNITI M/LARGA</t>
        </is>
      </c>
      <c r="C1634" s="88" t="n">
        <v>52200</v>
      </c>
      <c r="D1634" s="22" t="n"/>
      <c r="E1634" s="22" t="n"/>
      <c r="F1634" s="22" t="n"/>
      <c r="G1634" s="22" t="n"/>
      <c r="H1634" s="22" t="n"/>
      <c r="I1634" s="22" t="n"/>
      <c r="J1634" s="22" t="n"/>
      <c r="K1634" s="22">
        <f>ROUND((C1634*L1634)/100,0)*100</f>
        <v/>
      </c>
      <c r="L1634" s="96" t="n">
        <v>1.45</v>
      </c>
      <c r="M1634" s="219" t="n"/>
      <c r="O1634" s="137" t="n"/>
      <c r="P1634" s="117" t="n"/>
      <c r="R1634" s="117" t="n"/>
      <c r="T1634" s="117" t="n"/>
    </row>
    <row r="1635">
      <c r="A1635" s="134" t="inlineStr">
        <is>
          <t>14532</t>
        </is>
      </c>
      <c r="B1635" s="248" t="inlineStr">
        <is>
          <t>TAVERNITI M/LARGA</t>
        </is>
      </c>
      <c r="C1635" s="88" t="n">
        <v>52200</v>
      </c>
      <c r="D1635" s="22" t="n"/>
      <c r="E1635" s="22" t="n"/>
      <c r="F1635" s="22" t="n"/>
      <c r="G1635" s="22" t="n"/>
      <c r="H1635" s="22" t="n"/>
      <c r="I1635" s="22" t="n"/>
      <c r="J1635" s="22" t="n"/>
      <c r="K1635" s="22">
        <f>ROUND((C1635*L1635)/100,0)*100</f>
        <v/>
      </c>
      <c r="L1635" s="96" t="n">
        <v>1.45</v>
      </c>
      <c r="M1635" s="219" t="n"/>
      <c r="O1635" s="137" t="n"/>
      <c r="P1635" s="117" t="n"/>
      <c r="R1635" s="117" t="n"/>
      <c r="T1635" s="117" t="n"/>
    </row>
    <row r="1636">
      <c r="A1636" s="134" t="inlineStr">
        <is>
          <t>14556</t>
        </is>
      </c>
      <c r="B1636" s="248" t="inlineStr">
        <is>
          <t>TAVERNITI M/LARGA</t>
        </is>
      </c>
      <c r="C1636" s="88" t="n">
        <v>60800</v>
      </c>
      <c r="D1636" s="22" t="n"/>
      <c r="E1636" s="22" t="n"/>
      <c r="F1636" s="22" t="n"/>
      <c r="G1636" s="22" t="n"/>
      <c r="H1636" s="22" t="n"/>
      <c r="I1636" s="22" t="n"/>
      <c r="J1636" s="22" t="n"/>
      <c r="K1636" s="22">
        <f>ROUND((C1636*L1636)/100,0)*100</f>
        <v/>
      </c>
      <c r="L1636" s="96" t="n">
        <v>1.45</v>
      </c>
      <c r="M1636" s="219" t="n"/>
      <c r="O1636" s="137" t="n"/>
      <c r="P1636" s="117" t="n"/>
      <c r="R1636" s="117" t="n"/>
      <c r="T1636" s="117" t="n"/>
    </row>
    <row r="1637">
      <c r="A1637" s="134" t="inlineStr">
        <is>
          <t>14562</t>
        </is>
      </c>
      <c r="B1637" s="248" t="inlineStr">
        <is>
          <t>TAVERNITI M/LARGA</t>
        </is>
      </c>
      <c r="C1637" s="88" t="n">
        <v>54100</v>
      </c>
      <c r="D1637" s="22" t="n"/>
      <c r="E1637" s="22" t="n"/>
      <c r="F1637" s="22" t="n"/>
      <c r="G1637" s="22" t="n"/>
      <c r="H1637" s="22" t="n"/>
      <c r="I1637" s="22" t="n"/>
      <c r="J1637" s="22" t="n"/>
      <c r="K1637" s="22">
        <f>ROUND((C1637*L1637)/100,0)*100</f>
        <v/>
      </c>
      <c r="L1637" s="96" t="n">
        <v>1.45</v>
      </c>
      <c r="M1637" s="219" t="n"/>
      <c r="O1637" s="137" t="n"/>
      <c r="P1637" s="117" t="n"/>
      <c r="R1637" s="117" t="n"/>
      <c r="T1637" s="117" t="n"/>
    </row>
    <row r="1638">
      <c r="A1638" s="134" t="inlineStr">
        <is>
          <t>14572</t>
        </is>
      </c>
      <c r="B1638" s="248" t="inlineStr">
        <is>
          <t>TAVERNITI M/LARGA</t>
        </is>
      </c>
      <c r="C1638" s="88" t="n">
        <v>60800</v>
      </c>
      <c r="D1638" s="22" t="n"/>
      <c r="E1638" s="22" t="n"/>
      <c r="F1638" s="22" t="n"/>
      <c r="G1638" s="22" t="n"/>
      <c r="H1638" s="22" t="n"/>
      <c r="I1638" s="22" t="n"/>
      <c r="J1638" s="22" t="n"/>
      <c r="K1638" s="22">
        <f>ROUND((C1638*L1638)/100,0)*100</f>
        <v/>
      </c>
      <c r="L1638" s="96" t="n">
        <v>1.45</v>
      </c>
      <c r="M1638" s="219" t="n"/>
      <c r="O1638" s="137" t="n"/>
      <c r="P1638" s="117" t="n"/>
      <c r="R1638" s="117" t="n"/>
      <c r="T1638" s="117" t="n"/>
    </row>
    <row r="1639">
      <c r="A1639" s="134" t="inlineStr">
        <is>
          <t>14576</t>
        </is>
      </c>
      <c r="B1639" s="248" t="inlineStr">
        <is>
          <t>TAVERNITI M/LARGA</t>
        </is>
      </c>
      <c r="C1639" s="88" t="n">
        <v>62400</v>
      </c>
      <c r="D1639" s="22" t="n"/>
      <c r="E1639" s="22" t="n"/>
      <c r="F1639" s="22" t="n"/>
      <c r="G1639" s="22" t="n"/>
      <c r="H1639" s="22" t="n"/>
      <c r="I1639" s="22" t="n"/>
      <c r="J1639" s="22" t="n"/>
      <c r="K1639" s="22">
        <f>ROUND((C1639*L1639)/100,0)*100</f>
        <v/>
      </c>
      <c r="L1639" s="96" t="n">
        <v>1.45</v>
      </c>
      <c r="M1639" s="219" t="n"/>
      <c r="O1639" s="137" t="n"/>
      <c r="P1639" s="117" t="n"/>
      <c r="R1639" s="117" t="n"/>
      <c r="T1639" s="117" t="n"/>
    </row>
    <row r="1640">
      <c r="A1640" s="134" t="inlineStr">
        <is>
          <t>14582</t>
        </is>
      </c>
      <c r="B1640" s="248" t="inlineStr">
        <is>
          <t>TAVERNITI M/LARGA</t>
        </is>
      </c>
      <c r="C1640" s="88" t="n">
        <v>62400</v>
      </c>
      <c r="D1640" s="22" t="n"/>
      <c r="E1640" s="22" t="n"/>
      <c r="F1640" s="22" t="n"/>
      <c r="G1640" s="22" t="n"/>
      <c r="H1640" s="22" t="n"/>
      <c r="I1640" s="22" t="n"/>
      <c r="J1640" s="22" t="n"/>
      <c r="K1640" s="22">
        <f>ROUND((C1640*L1640)/100,0)*100</f>
        <v/>
      </c>
      <c r="L1640" s="96" t="n">
        <v>1.45</v>
      </c>
      <c r="M1640" s="219" t="n"/>
      <c r="O1640" s="137" t="n"/>
      <c r="P1640" s="117" t="n"/>
      <c r="R1640" s="117" t="n"/>
      <c r="T1640" s="117" t="n"/>
    </row>
    <row r="1641">
      <c r="A1641" s="134" t="inlineStr">
        <is>
          <t>14584</t>
        </is>
      </c>
      <c r="B1641" s="248" t="inlineStr">
        <is>
          <t>TAVERNITI M/LARGA</t>
        </is>
      </c>
      <c r="C1641" s="88" t="n">
        <v>62400</v>
      </c>
      <c r="D1641" s="22" t="n"/>
      <c r="E1641" s="22" t="n"/>
      <c r="F1641" s="22" t="n"/>
      <c r="G1641" s="22" t="n"/>
      <c r="H1641" s="22" t="n"/>
      <c r="I1641" s="22" t="n"/>
      <c r="J1641" s="22" t="n"/>
      <c r="K1641" s="22">
        <f>ROUND((C1641*L1641)/100,0)*100</f>
        <v/>
      </c>
      <c r="L1641" s="96" t="n">
        <v>1.45</v>
      </c>
      <c r="M1641" s="219" t="n"/>
      <c r="O1641" s="137" t="n"/>
      <c r="P1641" s="117" t="n"/>
      <c r="R1641" s="117" t="n"/>
      <c r="T1641" s="117" t="n"/>
    </row>
    <row r="1642">
      <c r="A1642" s="89" t="inlineStr">
        <is>
          <t>15100XXX</t>
        </is>
      </c>
      <c r="B1642" s="248" t="inlineStr">
        <is>
          <t>TAVERNITI M/LARGA</t>
        </is>
      </c>
      <c r="C1642" s="88" t="n">
        <v>47100</v>
      </c>
      <c r="D1642" s="22" t="n"/>
      <c r="E1642" s="22" t="n"/>
      <c r="F1642" s="22" t="n"/>
      <c r="G1642" s="22" t="n"/>
      <c r="H1642" s="22" t="n"/>
      <c r="I1642" s="22" t="n"/>
      <c r="J1642" s="22" t="n"/>
      <c r="K1642" s="22">
        <f>ROUND((C1642*L1642)/100,0)*100</f>
        <v/>
      </c>
      <c r="L1642" s="96" t="n">
        <v>1.45</v>
      </c>
      <c r="M1642" s="88" t="n"/>
      <c r="O1642" s="137" t="n"/>
      <c r="P1642" s="117" t="n"/>
      <c r="R1642" s="117" t="n"/>
      <c r="T1642" s="117" t="n"/>
    </row>
    <row r="1643">
      <c r="A1643" s="89" t="inlineStr">
        <is>
          <t>15110XXX</t>
        </is>
      </c>
      <c r="B1643" s="248" t="inlineStr">
        <is>
          <t>TAVERNITI M/LARGA</t>
        </is>
      </c>
      <c r="C1643" s="88" t="n">
        <v>47100</v>
      </c>
      <c r="D1643" s="22" t="n"/>
      <c r="E1643" s="22" t="n"/>
      <c r="F1643" s="22" t="n"/>
      <c r="G1643" s="22" t="n"/>
      <c r="H1643" s="22" t="n"/>
      <c r="I1643" s="22" t="n"/>
      <c r="J1643" s="22" t="n"/>
      <c r="K1643" s="22">
        <f>ROUND((C1643*L1643)/100,0)*100</f>
        <v/>
      </c>
      <c r="L1643" s="96" t="n">
        <v>1.45</v>
      </c>
      <c r="M1643" s="88" t="n"/>
      <c r="O1643" s="137" t="n"/>
      <c r="P1643" s="117" t="n"/>
      <c r="R1643" s="117" t="n"/>
      <c r="T1643" s="117" t="n"/>
    </row>
    <row r="1644">
      <c r="A1644" s="89" t="inlineStr">
        <is>
          <t>15120XXX</t>
        </is>
      </c>
      <c r="B1644" s="248" t="inlineStr">
        <is>
          <t>TAVERNITI M/LARGA</t>
        </is>
      </c>
      <c r="C1644" s="88" t="n">
        <v>48800</v>
      </c>
      <c r="D1644" s="22" t="n"/>
      <c r="E1644" s="22" t="n"/>
      <c r="F1644" s="22" t="n"/>
      <c r="G1644" s="22" t="n"/>
      <c r="H1644" s="22" t="n"/>
      <c r="I1644" s="22" t="n"/>
      <c r="J1644" s="22" t="n"/>
      <c r="K1644" s="22">
        <f>ROUND((C1644*L1644)/100,0)*100</f>
        <v/>
      </c>
      <c r="L1644" s="96" t="n">
        <v>1.45</v>
      </c>
      <c r="M1644" s="88" t="n"/>
      <c r="O1644" s="137" t="n"/>
      <c r="P1644" s="117" t="n"/>
      <c r="R1644" s="117" t="n"/>
      <c r="T1644" s="117" t="n"/>
    </row>
    <row r="1645">
      <c r="A1645" s="89" t="inlineStr">
        <is>
          <t>15146XXX</t>
        </is>
      </c>
      <c r="B1645" s="248" t="inlineStr">
        <is>
          <t>TAVERNITI M/LARGA</t>
        </is>
      </c>
      <c r="C1645" s="88" t="n">
        <v>51000</v>
      </c>
      <c r="D1645" s="22" t="n"/>
      <c r="E1645" s="22" t="n"/>
      <c r="F1645" s="22" t="n"/>
      <c r="G1645" s="22" t="n"/>
      <c r="H1645" s="22" t="n"/>
      <c r="I1645" s="22" t="n"/>
      <c r="J1645" s="22" t="n"/>
      <c r="K1645" s="22">
        <f>ROUND((C1645*L1645)/100,0)*100</f>
        <v/>
      </c>
      <c r="L1645" s="96" t="n">
        <v>1.45</v>
      </c>
      <c r="M1645" s="88" t="n"/>
      <c r="O1645" s="137" t="n"/>
      <c r="P1645" s="117" t="n"/>
      <c r="R1645" s="117" t="n"/>
      <c r="T1645" s="117" t="n"/>
    </row>
    <row r="1646">
      <c r="A1646" s="89" t="inlineStr">
        <is>
          <t>15152XXX</t>
        </is>
      </c>
      <c r="B1646" s="248" t="inlineStr">
        <is>
          <t>TAVERNITI M/LARGA</t>
        </is>
      </c>
      <c r="C1646" s="88" t="n">
        <v>51000</v>
      </c>
      <c r="D1646" s="22" t="n"/>
      <c r="E1646" s="22" t="n"/>
      <c r="F1646" s="22" t="n"/>
      <c r="G1646" s="22" t="n"/>
      <c r="H1646" s="22" t="n"/>
      <c r="I1646" s="22" t="n"/>
      <c r="J1646" s="22" t="n"/>
      <c r="K1646" s="22">
        <f>ROUND((C1646*L1646)/100,0)*100</f>
        <v/>
      </c>
      <c r="L1646" s="96" t="n">
        <v>1.45</v>
      </c>
      <c r="M1646" s="88" t="n"/>
      <c r="O1646" s="137" t="n"/>
      <c r="P1646" s="117" t="n"/>
      <c r="R1646" s="117" t="n"/>
      <c r="T1646" s="117" t="n"/>
    </row>
    <row r="1647">
      <c r="A1647" s="89" t="inlineStr">
        <is>
          <t>15158XXX</t>
        </is>
      </c>
      <c r="B1647" s="248" t="inlineStr">
        <is>
          <t>TAVERNITI M/LARGA</t>
        </is>
      </c>
      <c r="C1647" s="88" t="n">
        <v>51000</v>
      </c>
      <c r="D1647" s="22" t="n"/>
      <c r="E1647" s="22" t="n"/>
      <c r="F1647" s="22" t="n"/>
      <c r="G1647" s="22" t="n"/>
      <c r="H1647" s="22" t="n"/>
      <c r="I1647" s="22" t="n"/>
      <c r="J1647" s="22" t="n"/>
      <c r="K1647" s="22">
        <f>ROUND((C1647*L1647)/100,0)*100</f>
        <v/>
      </c>
      <c r="L1647" s="96" t="n">
        <v>1.45</v>
      </c>
      <c r="M1647" s="88" t="n"/>
      <c r="O1647" s="137" t="n"/>
      <c r="P1647" s="117" t="n"/>
      <c r="R1647" s="117" t="n"/>
      <c r="T1647" s="117" t="n"/>
    </row>
    <row r="1648">
      <c r="A1648" s="89" t="inlineStr">
        <is>
          <t>15164XXX</t>
        </is>
      </c>
      <c r="B1648" s="248" t="inlineStr">
        <is>
          <t>TAVERNITI M/LARGA</t>
        </is>
      </c>
      <c r="C1648" s="88" t="n">
        <v>51000</v>
      </c>
      <c r="D1648" s="22" t="n"/>
      <c r="E1648" s="22" t="n"/>
      <c r="F1648" s="22" t="n"/>
      <c r="G1648" s="22" t="n"/>
      <c r="H1648" s="22" t="n"/>
      <c r="I1648" s="22" t="n"/>
      <c r="J1648" s="22" t="n"/>
      <c r="K1648" s="22">
        <f>ROUND((C1648*L1648)/100,0)*100</f>
        <v/>
      </c>
      <c r="L1648" s="96" t="n">
        <v>1.45</v>
      </c>
      <c r="M1648" s="88" t="n"/>
      <c r="O1648" s="137" t="n"/>
      <c r="P1648" s="117" t="n"/>
      <c r="R1648" s="117" t="n"/>
      <c r="T1648" s="117" t="n"/>
    </row>
    <row r="1649">
      <c r="A1649" s="89" t="inlineStr">
        <is>
          <t>15198XXX</t>
        </is>
      </c>
      <c r="B1649" s="248" t="inlineStr">
        <is>
          <t>TAVERNITI M/LARGA</t>
        </is>
      </c>
      <c r="C1649" s="88" t="n">
        <v>51100</v>
      </c>
      <c r="D1649" s="170" t="n"/>
      <c r="E1649" s="170" t="n"/>
      <c r="F1649" s="170" t="n"/>
      <c r="G1649" s="170" t="n"/>
      <c r="H1649" s="170" t="n"/>
      <c r="I1649" s="170" t="n"/>
      <c r="J1649" s="170" t="n"/>
      <c r="K1649" s="88">
        <f>ROUND((C1649*L1649)/100,0)*100</f>
        <v/>
      </c>
      <c r="L1649" s="96" t="n">
        <v>1.45</v>
      </c>
      <c r="M1649" s="170" t="n"/>
      <c r="N1649" s="30" t="n"/>
      <c r="O1649" s="78" t="n"/>
      <c r="P1649" s="170" t="n"/>
      <c r="Q1649" s="30" t="n"/>
      <c r="R1649" s="170" t="n"/>
      <c r="S1649" s="30" t="n"/>
      <c r="T1649" s="170" t="n"/>
      <c r="U1649" s="30" t="n"/>
      <c r="V1649" s="30" t="n"/>
      <c r="W1649" s="30" t="n"/>
      <c r="X1649" s="30" t="n"/>
      <c r="Y1649" s="30" t="n"/>
      <c r="Z1649" s="30" t="n"/>
      <c r="AA1649" s="30" t="n"/>
      <c r="AB1649" s="30" t="n"/>
      <c r="AC1649" s="30" t="n"/>
      <c r="AD1649" s="30" t="n"/>
      <c r="AE1649" s="30" t="n"/>
      <c r="AF1649" s="30" t="n"/>
      <c r="AG1649" s="30" t="n"/>
      <c r="AH1649" s="30" t="n"/>
      <c r="AI1649" s="30" t="n"/>
      <c r="AJ1649" s="30" t="n"/>
      <c r="AK1649" s="30" t="n"/>
      <c r="AL1649" s="30" t="n"/>
      <c r="AM1649" s="30" t="n"/>
      <c r="AN1649" s="30" t="n"/>
    </row>
    <row r="1650">
      <c r="A1650" s="89" t="inlineStr">
        <is>
          <t>15206XXX</t>
        </is>
      </c>
      <c r="B1650" s="248" t="inlineStr">
        <is>
          <t>TAVERNITI M/LARGA</t>
        </is>
      </c>
      <c r="C1650" s="88" t="n">
        <v>51100</v>
      </c>
      <c r="D1650" s="170" t="n"/>
      <c r="E1650" s="170" t="n"/>
      <c r="F1650" s="170" t="n"/>
      <c r="G1650" s="170" t="n"/>
      <c r="H1650" s="170" t="n"/>
      <c r="I1650" s="170" t="n"/>
      <c r="J1650" s="170" t="n"/>
      <c r="K1650" s="88">
        <f>ROUND((C1650*L1650)/100,0)*100</f>
        <v/>
      </c>
      <c r="L1650" s="96" t="n">
        <v>1.45</v>
      </c>
      <c r="M1650" s="170" t="n"/>
      <c r="N1650" s="30" t="n"/>
      <c r="O1650" s="78" t="n"/>
      <c r="P1650" s="170" t="n"/>
      <c r="Q1650" s="30" t="n"/>
      <c r="R1650" s="170" t="n"/>
      <c r="S1650" s="30" t="n"/>
      <c r="T1650" s="170" t="n"/>
      <c r="U1650" s="30" t="n"/>
      <c r="V1650" s="30" t="n"/>
      <c r="W1650" s="30" t="n"/>
      <c r="X1650" s="30" t="n"/>
      <c r="Y1650" s="30" t="n"/>
      <c r="Z1650" s="30" t="n"/>
      <c r="AA1650" s="30" t="n"/>
      <c r="AB1650" s="30" t="n"/>
      <c r="AC1650" s="30" t="n"/>
      <c r="AD1650" s="30" t="n"/>
      <c r="AE1650" s="30" t="n"/>
      <c r="AF1650" s="30" t="n"/>
      <c r="AG1650" s="30" t="n"/>
      <c r="AH1650" s="30" t="n"/>
      <c r="AI1650" s="30" t="n"/>
      <c r="AJ1650" s="30" t="n"/>
      <c r="AK1650" s="30" t="n"/>
      <c r="AL1650" s="30" t="n"/>
      <c r="AM1650" s="30" t="n"/>
      <c r="AN1650" s="30" t="n"/>
    </row>
    <row r="1651">
      <c r="A1651" s="89" t="inlineStr">
        <is>
          <t>15210XXX</t>
        </is>
      </c>
      <c r="B1651" s="248" t="inlineStr">
        <is>
          <t>TAVERNITI M/LARGA</t>
        </is>
      </c>
      <c r="C1651" s="88" t="n">
        <v>52000</v>
      </c>
      <c r="D1651" s="170" t="n"/>
      <c r="E1651" s="170" t="n"/>
      <c r="F1651" s="170" t="n"/>
      <c r="G1651" s="170" t="n"/>
      <c r="H1651" s="170" t="n"/>
      <c r="I1651" s="170" t="n"/>
      <c r="J1651" s="170" t="n"/>
      <c r="K1651" s="88">
        <f>ROUND((C1651*L1651)/100,0)*100</f>
        <v/>
      </c>
      <c r="L1651" s="96" t="n">
        <v>1.45</v>
      </c>
      <c r="M1651" s="170" t="n"/>
      <c r="N1651" s="30" t="n"/>
      <c r="O1651" s="78" t="n"/>
      <c r="P1651" s="170" t="n"/>
      <c r="Q1651" s="30" t="n"/>
      <c r="R1651" s="170" t="n"/>
      <c r="S1651" s="30" t="n"/>
      <c r="T1651" s="170" t="n"/>
      <c r="U1651" s="30" t="n"/>
      <c r="V1651" s="30" t="n"/>
      <c r="W1651" s="30" t="n"/>
      <c r="X1651" s="30" t="n"/>
      <c r="Y1651" s="30" t="n"/>
      <c r="Z1651" s="30" t="n"/>
      <c r="AA1651" s="30" t="n"/>
      <c r="AB1651" s="30" t="n"/>
      <c r="AC1651" s="30" t="n"/>
      <c r="AD1651" s="30" t="n"/>
      <c r="AE1651" s="30" t="n"/>
      <c r="AF1651" s="30" t="n"/>
      <c r="AG1651" s="30" t="n"/>
      <c r="AH1651" s="30" t="n"/>
      <c r="AI1651" s="30" t="n"/>
      <c r="AJ1651" s="30" t="n"/>
      <c r="AK1651" s="30" t="n"/>
      <c r="AL1651" s="30" t="n"/>
      <c r="AM1651" s="30" t="n"/>
      <c r="AN1651" s="30" t="n"/>
    </row>
    <row r="1652">
      <c r="A1652" s="89" t="inlineStr">
        <is>
          <t>15216XXX</t>
        </is>
      </c>
      <c r="B1652" s="248" t="inlineStr">
        <is>
          <t>TAVERNITI M/LARGA</t>
        </is>
      </c>
      <c r="C1652" s="88" t="n">
        <v>61100</v>
      </c>
      <c r="D1652" s="170" t="n"/>
      <c r="E1652" s="170" t="n"/>
      <c r="F1652" s="170" t="n"/>
      <c r="G1652" s="170" t="n"/>
      <c r="H1652" s="170" t="n"/>
      <c r="I1652" s="170" t="n"/>
      <c r="J1652" s="170" t="n"/>
      <c r="K1652" s="88">
        <f>ROUND((C1652*L1652)/100,0)*100</f>
        <v/>
      </c>
      <c r="L1652" s="96" t="n">
        <v>1.45</v>
      </c>
      <c r="M1652" s="170" t="n"/>
      <c r="N1652" s="30" t="n"/>
      <c r="O1652" s="78" t="n"/>
      <c r="P1652" s="170" t="n"/>
      <c r="Q1652" s="30" t="n"/>
      <c r="R1652" s="170" t="n"/>
      <c r="S1652" s="30" t="n"/>
      <c r="T1652" s="170" t="n"/>
      <c r="U1652" s="30" t="n"/>
      <c r="V1652" s="30" t="n"/>
      <c r="W1652" s="30" t="n"/>
      <c r="X1652" s="30" t="n"/>
      <c r="Y1652" s="30" t="n"/>
      <c r="Z1652" s="30" t="n"/>
      <c r="AA1652" s="30" t="n"/>
      <c r="AB1652" s="30" t="n"/>
      <c r="AC1652" s="30" t="n"/>
      <c r="AD1652" s="30" t="n"/>
      <c r="AE1652" s="30" t="n"/>
      <c r="AF1652" s="30" t="n"/>
      <c r="AG1652" s="30" t="n"/>
      <c r="AH1652" s="30" t="n"/>
      <c r="AI1652" s="30" t="n"/>
      <c r="AJ1652" s="30" t="n"/>
      <c r="AK1652" s="30" t="n"/>
      <c r="AL1652" s="30" t="n"/>
      <c r="AM1652" s="30" t="n"/>
      <c r="AN1652" s="30" t="n"/>
    </row>
    <row r="1653">
      <c r="A1653" s="89" t="inlineStr">
        <is>
          <t>15220XXX</t>
        </is>
      </c>
      <c r="B1653" s="248" t="inlineStr">
        <is>
          <t>TAVERNITI M/LARGA</t>
        </is>
      </c>
      <c r="C1653" s="88" t="n">
        <v>61100</v>
      </c>
      <c r="D1653" s="170" t="n"/>
      <c r="E1653" s="170" t="n"/>
      <c r="F1653" s="170" t="n"/>
      <c r="G1653" s="170" t="n"/>
      <c r="H1653" s="170" t="n"/>
      <c r="I1653" s="170" t="n"/>
      <c r="J1653" s="170" t="n"/>
      <c r="K1653" s="88">
        <f>ROUND((C1653*L1653)/100,0)*100</f>
        <v/>
      </c>
      <c r="L1653" s="96" t="n">
        <v>1.45</v>
      </c>
      <c r="M1653" s="170" t="n"/>
      <c r="N1653" s="30" t="n"/>
      <c r="O1653" s="78" t="n"/>
      <c r="P1653" s="170" t="n"/>
      <c r="Q1653" s="30" t="n"/>
      <c r="R1653" s="170" t="n"/>
      <c r="S1653" s="30" t="n"/>
      <c r="T1653" s="170" t="n"/>
      <c r="U1653" s="30" t="n"/>
      <c r="V1653" s="30" t="n"/>
      <c r="W1653" s="30" t="n"/>
      <c r="X1653" s="30" t="n"/>
      <c r="Y1653" s="30" t="n"/>
      <c r="Z1653" s="30" t="n"/>
      <c r="AA1653" s="30" t="n"/>
      <c r="AB1653" s="30" t="n"/>
      <c r="AC1653" s="30" t="n"/>
      <c r="AD1653" s="30" t="n"/>
      <c r="AE1653" s="30" t="n"/>
      <c r="AF1653" s="30" t="n"/>
      <c r="AG1653" s="30" t="n"/>
      <c r="AH1653" s="30" t="n"/>
      <c r="AI1653" s="30" t="n"/>
      <c r="AJ1653" s="30" t="n"/>
      <c r="AK1653" s="30" t="n"/>
      <c r="AL1653" s="30" t="n"/>
      <c r="AM1653" s="30" t="n"/>
      <c r="AN1653" s="30" t="n"/>
    </row>
    <row r="1654">
      <c r="A1654" s="89" t="inlineStr">
        <is>
          <t>15222XXX</t>
        </is>
      </c>
      <c r="B1654" s="248" t="inlineStr">
        <is>
          <t>TAVERNITI M/LARGA</t>
        </is>
      </c>
      <c r="C1654" s="88" t="n">
        <v>61100</v>
      </c>
      <c r="D1654" s="170" t="n"/>
      <c r="E1654" s="170" t="n"/>
      <c r="F1654" s="170" t="n"/>
      <c r="G1654" s="170" t="n"/>
      <c r="H1654" s="170" t="n"/>
      <c r="I1654" s="170" t="n"/>
      <c r="J1654" s="170" t="n"/>
      <c r="K1654" s="88">
        <f>ROUND((C1654*L1654)/100,0)*100</f>
        <v/>
      </c>
      <c r="L1654" s="96" t="n">
        <v>1.45</v>
      </c>
      <c r="M1654" s="170" t="n"/>
      <c r="N1654" s="30" t="n"/>
      <c r="O1654" s="78" t="n"/>
      <c r="P1654" s="170" t="n"/>
      <c r="Q1654" s="30" t="n"/>
      <c r="R1654" s="170" t="n"/>
      <c r="S1654" s="30" t="n"/>
      <c r="T1654" s="170" t="n"/>
      <c r="U1654" s="30" t="n"/>
      <c r="V1654" s="30" t="n"/>
      <c r="W1654" s="30" t="n"/>
      <c r="X1654" s="30" t="n"/>
      <c r="Y1654" s="30" t="n"/>
      <c r="Z1654" s="30" t="n"/>
      <c r="AA1654" s="30" t="n"/>
      <c r="AB1654" s="30" t="n"/>
      <c r="AC1654" s="30" t="n"/>
      <c r="AD1654" s="30" t="n"/>
      <c r="AE1654" s="30" t="n"/>
      <c r="AF1654" s="30" t="n"/>
      <c r="AG1654" s="30" t="n"/>
      <c r="AH1654" s="30" t="n"/>
      <c r="AI1654" s="30" t="n"/>
      <c r="AJ1654" s="30" t="n"/>
      <c r="AK1654" s="30" t="n"/>
      <c r="AL1654" s="30" t="n"/>
      <c r="AM1654" s="30" t="n"/>
      <c r="AN1654" s="30" t="n"/>
    </row>
    <row r="1655">
      <c r="A1655" s="89" t="inlineStr">
        <is>
          <t>15224XXX</t>
        </is>
      </c>
      <c r="B1655" s="248" t="inlineStr">
        <is>
          <t>TAVERNITI M/LARGA</t>
        </is>
      </c>
      <c r="C1655" s="88" t="n">
        <v>69600</v>
      </c>
      <c r="D1655" s="170" t="n"/>
      <c r="E1655" s="170" t="n"/>
      <c r="F1655" s="170" t="n"/>
      <c r="G1655" s="170" t="n"/>
      <c r="H1655" s="170" t="n"/>
      <c r="I1655" s="170" t="n"/>
      <c r="J1655" s="170" t="n"/>
      <c r="K1655" s="88">
        <f>ROUND((C1655*L1655)/100,0)*100</f>
        <v/>
      </c>
      <c r="L1655" s="96" t="n">
        <v>1.45</v>
      </c>
      <c r="M1655" s="170" t="n"/>
      <c r="N1655" s="30" t="n"/>
      <c r="O1655" s="78" t="n"/>
      <c r="P1655" s="170" t="n"/>
      <c r="Q1655" s="30" t="n"/>
      <c r="R1655" s="170" t="n"/>
      <c r="S1655" s="30" t="n"/>
      <c r="T1655" s="170" t="n"/>
      <c r="U1655" s="30" t="n"/>
      <c r="V1655" s="30" t="n"/>
      <c r="W1655" s="30" t="n"/>
      <c r="X1655" s="30" t="n"/>
      <c r="Y1655" s="30" t="n"/>
      <c r="Z1655" s="30" t="n"/>
      <c r="AA1655" s="30" t="n"/>
      <c r="AB1655" s="30" t="n"/>
      <c r="AC1655" s="30" t="n"/>
      <c r="AD1655" s="30" t="n"/>
      <c r="AE1655" s="30" t="n"/>
      <c r="AF1655" s="30" t="n"/>
      <c r="AG1655" s="30" t="n"/>
      <c r="AH1655" s="30" t="n"/>
      <c r="AI1655" s="30" t="n"/>
      <c r="AJ1655" s="30" t="n"/>
      <c r="AK1655" s="30" t="n"/>
      <c r="AL1655" s="30" t="n"/>
      <c r="AM1655" s="30" t="n"/>
      <c r="AN1655" s="30" t="n"/>
    </row>
    <row r="1656">
      <c r="A1656" s="89" t="inlineStr">
        <is>
          <t>15226XXX</t>
        </is>
      </c>
      <c r="B1656" s="248" t="inlineStr">
        <is>
          <t>TAVERNITI M/LARGA</t>
        </is>
      </c>
      <c r="C1656" s="88" t="n">
        <v>69600</v>
      </c>
      <c r="D1656" s="170" t="n"/>
      <c r="E1656" s="170" t="n"/>
      <c r="F1656" s="170" t="n"/>
      <c r="G1656" s="170" t="n"/>
      <c r="H1656" s="170" t="n"/>
      <c r="I1656" s="170" t="n"/>
      <c r="J1656" s="170" t="n"/>
      <c r="K1656" s="88">
        <f>ROUND((C1656*L1656)/100,0)*100</f>
        <v/>
      </c>
      <c r="L1656" s="96" t="n">
        <v>1.45</v>
      </c>
      <c r="M1656" s="170" t="n"/>
      <c r="N1656" s="30" t="n"/>
      <c r="O1656" s="78" t="n"/>
      <c r="P1656" s="170" t="n"/>
      <c r="Q1656" s="30" t="n"/>
      <c r="R1656" s="170" t="n"/>
      <c r="S1656" s="30" t="n"/>
      <c r="T1656" s="170" t="n"/>
      <c r="U1656" s="30" t="n"/>
      <c r="V1656" s="30" t="n"/>
      <c r="W1656" s="30" t="n"/>
      <c r="X1656" s="30" t="n"/>
      <c r="Y1656" s="30" t="n"/>
      <c r="Z1656" s="30" t="n"/>
      <c r="AA1656" s="30" t="n"/>
      <c r="AB1656" s="30" t="n"/>
      <c r="AC1656" s="30" t="n"/>
      <c r="AD1656" s="30" t="n"/>
      <c r="AE1656" s="30" t="n"/>
      <c r="AF1656" s="30" t="n"/>
      <c r="AG1656" s="30" t="n"/>
      <c r="AH1656" s="30" t="n"/>
      <c r="AI1656" s="30" t="n"/>
      <c r="AJ1656" s="30" t="n"/>
      <c r="AK1656" s="30" t="n"/>
      <c r="AL1656" s="30" t="n"/>
      <c r="AM1656" s="30" t="n"/>
      <c r="AN1656" s="30" t="n"/>
    </row>
    <row r="1657">
      <c r="A1657" s="89" t="inlineStr">
        <is>
          <t>15228XXX</t>
        </is>
      </c>
      <c r="B1657" s="248" t="inlineStr">
        <is>
          <t>TAVERNITI M/LARGA</t>
        </is>
      </c>
      <c r="C1657" s="88" t="n">
        <v>69600</v>
      </c>
      <c r="D1657" s="170" t="n"/>
      <c r="E1657" s="170" t="n"/>
      <c r="F1657" s="170" t="n"/>
      <c r="G1657" s="170" t="n"/>
      <c r="H1657" s="170" t="n"/>
      <c r="I1657" s="170" t="n"/>
      <c r="J1657" s="170" t="n"/>
      <c r="K1657" s="88">
        <f>ROUND((C1657*L1657)/100,0)*100</f>
        <v/>
      </c>
      <c r="L1657" s="96" t="n">
        <v>1.45</v>
      </c>
      <c r="M1657" s="170" t="n"/>
      <c r="N1657" s="30" t="n"/>
      <c r="O1657" s="78" t="n"/>
      <c r="P1657" s="170" t="n"/>
      <c r="Q1657" s="30" t="n"/>
      <c r="R1657" s="170" t="n"/>
      <c r="S1657" s="30" t="n"/>
      <c r="T1657" s="170" t="n"/>
      <c r="U1657" s="30" t="n"/>
      <c r="V1657" s="30" t="n"/>
      <c r="W1657" s="30" t="n"/>
      <c r="X1657" s="30" t="n"/>
      <c r="Y1657" s="30" t="n"/>
      <c r="Z1657" s="30" t="n"/>
      <c r="AA1657" s="30" t="n"/>
      <c r="AB1657" s="30" t="n"/>
      <c r="AC1657" s="30" t="n"/>
      <c r="AD1657" s="30" t="n"/>
      <c r="AE1657" s="30" t="n"/>
      <c r="AF1657" s="30" t="n"/>
      <c r="AG1657" s="30" t="n"/>
      <c r="AH1657" s="30" t="n"/>
      <c r="AI1657" s="30" t="n"/>
      <c r="AJ1657" s="30" t="n"/>
      <c r="AK1657" s="30" t="n"/>
      <c r="AL1657" s="30" t="n"/>
      <c r="AM1657" s="30" t="n"/>
      <c r="AN1657" s="30" t="n"/>
    </row>
    <row r="1658">
      <c r="A1658" s="89" t="inlineStr">
        <is>
          <t>15250XXX</t>
        </is>
      </c>
      <c r="B1658" s="248" t="inlineStr">
        <is>
          <t>TAVERNITI M/LARGA</t>
        </is>
      </c>
      <c r="C1658" s="88" t="n">
        <v>53600</v>
      </c>
      <c r="D1658" s="170" t="n"/>
      <c r="E1658" s="170" t="n"/>
      <c r="F1658" s="170" t="n"/>
      <c r="G1658" s="170" t="n"/>
      <c r="H1658" s="170" t="n"/>
      <c r="I1658" s="170" t="n"/>
      <c r="J1658" s="170" t="n"/>
      <c r="K1658" s="88">
        <f>ROUND((C1658*L1658)/100,0)*100</f>
        <v/>
      </c>
      <c r="L1658" s="96" t="n">
        <v>1.45</v>
      </c>
      <c r="M1658" s="170" t="n"/>
      <c r="N1658" s="30" t="n"/>
      <c r="O1658" s="78" t="n"/>
      <c r="P1658" s="170" t="n"/>
      <c r="Q1658" s="30" t="n"/>
      <c r="R1658" s="170" t="n"/>
      <c r="S1658" s="30" t="n"/>
      <c r="T1658" s="170" t="n"/>
      <c r="U1658" s="30" t="n"/>
      <c r="V1658" s="30" t="n"/>
      <c r="W1658" s="30" t="n"/>
      <c r="X1658" s="30" t="n"/>
      <c r="Y1658" s="30" t="n"/>
      <c r="Z1658" s="30" t="n"/>
      <c r="AA1658" s="30" t="n"/>
      <c r="AB1658" s="30" t="n"/>
      <c r="AC1658" s="30" t="n"/>
      <c r="AD1658" s="30" t="n"/>
      <c r="AE1658" s="30" t="n"/>
      <c r="AF1658" s="30" t="n"/>
      <c r="AG1658" s="30" t="n"/>
      <c r="AH1658" s="30" t="n"/>
      <c r="AI1658" s="30" t="n"/>
      <c r="AJ1658" s="30" t="n"/>
      <c r="AK1658" s="30" t="n"/>
      <c r="AL1658" s="30" t="n"/>
      <c r="AM1658" s="30" t="n"/>
      <c r="AN1658" s="30" t="n"/>
    </row>
    <row r="1659">
      <c r="A1659" s="89" t="inlineStr">
        <is>
          <t>15252XXX</t>
        </is>
      </c>
      <c r="B1659" s="248" t="inlineStr">
        <is>
          <t>TAVERNITI M/LARGA</t>
        </is>
      </c>
      <c r="C1659" s="88" t="n">
        <v>53600</v>
      </c>
      <c r="D1659" s="170" t="n"/>
      <c r="E1659" s="170" t="n"/>
      <c r="F1659" s="170" t="n"/>
      <c r="G1659" s="170" t="n"/>
      <c r="H1659" s="170" t="n"/>
      <c r="I1659" s="170" t="n"/>
      <c r="J1659" s="170" t="n"/>
      <c r="K1659" s="88">
        <f>ROUND((C1659*L1659)/100,0)*100</f>
        <v/>
      </c>
      <c r="L1659" s="96" t="n">
        <v>1.45</v>
      </c>
      <c r="M1659" s="170" t="n"/>
      <c r="N1659" s="30" t="n"/>
      <c r="O1659" s="78" t="n"/>
      <c r="P1659" s="170" t="n"/>
      <c r="Q1659" s="30" t="n"/>
      <c r="R1659" s="170" t="n"/>
      <c r="S1659" s="30" t="n"/>
      <c r="T1659" s="170" t="n"/>
      <c r="U1659" s="30" t="n"/>
      <c r="V1659" s="30" t="n"/>
      <c r="W1659" s="30" t="n"/>
      <c r="X1659" s="30" t="n"/>
      <c r="Y1659" s="30" t="n"/>
      <c r="Z1659" s="30" t="n"/>
      <c r="AA1659" s="30" t="n"/>
      <c r="AB1659" s="30" t="n"/>
      <c r="AC1659" s="30" t="n"/>
      <c r="AD1659" s="30" t="n"/>
      <c r="AE1659" s="30" t="n"/>
      <c r="AF1659" s="30" t="n"/>
      <c r="AG1659" s="30" t="n"/>
      <c r="AH1659" s="30" t="n"/>
      <c r="AI1659" s="30" t="n"/>
      <c r="AJ1659" s="30" t="n"/>
      <c r="AK1659" s="30" t="n"/>
      <c r="AL1659" s="30" t="n"/>
      <c r="AM1659" s="30" t="n"/>
      <c r="AN1659" s="30" t="n"/>
    </row>
    <row r="1660">
      <c r="A1660" s="89" t="inlineStr">
        <is>
          <t>15264XXX</t>
        </is>
      </c>
      <c r="B1660" s="248" t="inlineStr">
        <is>
          <t>TAVERNITI M/LARGA</t>
        </is>
      </c>
      <c r="C1660" s="88" t="n">
        <v>43200</v>
      </c>
      <c r="D1660" s="170" t="n"/>
      <c r="E1660" s="170" t="n"/>
      <c r="F1660" s="170" t="n"/>
      <c r="G1660" s="170" t="n"/>
      <c r="H1660" s="170" t="n"/>
      <c r="I1660" s="170" t="n"/>
      <c r="J1660" s="170" t="n"/>
      <c r="K1660" s="88">
        <f>ROUND((C1660*L1660)/100,0)*100</f>
        <v/>
      </c>
      <c r="L1660" s="96" t="n">
        <v>1.45</v>
      </c>
      <c r="M1660" s="170" t="n"/>
      <c r="N1660" s="30" t="n"/>
      <c r="O1660" s="78" t="n"/>
      <c r="P1660" s="170" t="n"/>
      <c r="Q1660" s="30" t="n"/>
      <c r="R1660" s="170" t="n"/>
      <c r="S1660" s="30" t="n"/>
      <c r="T1660" s="170" t="n"/>
      <c r="U1660" s="30" t="n"/>
      <c r="V1660" s="30" t="n"/>
      <c r="W1660" s="30" t="n"/>
      <c r="X1660" s="30" t="n"/>
      <c r="Y1660" s="30" t="n"/>
      <c r="Z1660" s="30" t="n"/>
      <c r="AA1660" s="30" t="n"/>
      <c r="AB1660" s="30" t="n"/>
      <c r="AC1660" s="30" t="n"/>
      <c r="AD1660" s="30" t="n"/>
      <c r="AE1660" s="30" t="n"/>
      <c r="AF1660" s="30" t="n"/>
      <c r="AG1660" s="30" t="n"/>
      <c r="AH1660" s="30" t="n"/>
      <c r="AI1660" s="30" t="n"/>
      <c r="AJ1660" s="30" t="n"/>
      <c r="AK1660" s="30" t="n"/>
      <c r="AL1660" s="30" t="n"/>
      <c r="AM1660" s="30" t="n"/>
      <c r="AN1660" s="30" t="n"/>
      <c r="AO1660" s="30" t="n"/>
    </row>
    <row r="1661">
      <c r="A1661" s="89" t="inlineStr">
        <is>
          <t>15270XXX</t>
        </is>
      </c>
      <c r="B1661" s="248" t="inlineStr">
        <is>
          <t>TAVERNITI M/LARGA</t>
        </is>
      </c>
      <c r="C1661" s="88" t="n">
        <v>52400</v>
      </c>
      <c r="D1661" s="170" t="n"/>
      <c r="E1661" s="170" t="n"/>
      <c r="F1661" s="170" t="n"/>
      <c r="G1661" s="170" t="n"/>
      <c r="H1661" s="170" t="n"/>
      <c r="I1661" s="170" t="n"/>
      <c r="J1661" s="170" t="n"/>
      <c r="K1661" s="88">
        <f>ROUND((C1661*L1661)/100,0)*100</f>
        <v/>
      </c>
      <c r="L1661" s="96" t="n">
        <v>1.45</v>
      </c>
      <c r="M1661" s="170" t="n"/>
      <c r="N1661" s="30" t="n"/>
      <c r="O1661" s="78" t="n"/>
      <c r="P1661" s="170" t="n"/>
      <c r="Q1661" s="30" t="n"/>
      <c r="R1661" s="170" t="n"/>
      <c r="S1661" s="30" t="n"/>
      <c r="T1661" s="170" t="n"/>
      <c r="U1661" s="30" t="n"/>
      <c r="V1661" s="30" t="n"/>
      <c r="W1661" s="30" t="n"/>
      <c r="X1661" s="30" t="n"/>
      <c r="Y1661" s="30" t="n"/>
      <c r="Z1661" s="30" t="n"/>
      <c r="AA1661" s="30" t="n"/>
      <c r="AB1661" s="30" t="n"/>
      <c r="AC1661" s="30" t="n"/>
      <c r="AD1661" s="30" t="n"/>
      <c r="AE1661" s="30" t="n"/>
      <c r="AF1661" s="30" t="n"/>
      <c r="AG1661" s="30" t="n"/>
      <c r="AH1661" s="30" t="n"/>
      <c r="AI1661" s="30" t="n"/>
      <c r="AJ1661" s="30" t="n"/>
      <c r="AK1661" s="30" t="n"/>
      <c r="AL1661" s="30" t="n"/>
      <c r="AM1661" s="30" t="n"/>
      <c r="AN1661" s="30" t="n"/>
    </row>
    <row r="1662">
      <c r="A1662" s="89" t="inlineStr">
        <is>
          <t>15272XXX</t>
        </is>
      </c>
      <c r="B1662" s="248" t="inlineStr">
        <is>
          <t>TAVERNITI M/LARGA</t>
        </is>
      </c>
      <c r="C1662" s="88" t="n">
        <v>52400</v>
      </c>
      <c r="D1662" s="170" t="n"/>
      <c r="E1662" s="170" t="n"/>
      <c r="F1662" s="170" t="n"/>
      <c r="G1662" s="170" t="n"/>
      <c r="H1662" s="170" t="n"/>
      <c r="I1662" s="170" t="n"/>
      <c r="J1662" s="170" t="n"/>
      <c r="K1662" s="88">
        <f>ROUND((C1662*L1662)/100,0)*100</f>
        <v/>
      </c>
      <c r="L1662" s="96" t="n">
        <v>1.45</v>
      </c>
      <c r="M1662" s="170" t="n"/>
      <c r="N1662" s="30" t="n"/>
      <c r="O1662" s="78" t="n"/>
      <c r="P1662" s="170" t="n"/>
      <c r="Q1662" s="30" t="n"/>
      <c r="R1662" s="170" t="n"/>
      <c r="S1662" s="30" t="n"/>
      <c r="T1662" s="170" t="n"/>
      <c r="U1662" s="30" t="n"/>
      <c r="V1662" s="30" t="n"/>
      <c r="W1662" s="30" t="n"/>
      <c r="X1662" s="30" t="n"/>
      <c r="Y1662" s="30" t="n"/>
      <c r="Z1662" s="30" t="n"/>
      <c r="AA1662" s="30" t="n"/>
      <c r="AB1662" s="30" t="n"/>
      <c r="AC1662" s="30" t="n"/>
      <c r="AD1662" s="30" t="n"/>
      <c r="AE1662" s="30" t="n"/>
      <c r="AF1662" s="30" t="n"/>
      <c r="AG1662" s="30" t="n"/>
      <c r="AH1662" s="30" t="n"/>
      <c r="AI1662" s="30" t="n"/>
      <c r="AJ1662" s="30" t="n"/>
      <c r="AK1662" s="30" t="n"/>
      <c r="AL1662" s="30" t="n"/>
      <c r="AM1662" s="30" t="n"/>
      <c r="AN1662" s="30" t="n"/>
    </row>
    <row r="1663">
      <c r="A1663" s="89" t="inlineStr">
        <is>
          <t>15274XXX</t>
        </is>
      </c>
      <c r="B1663" s="248" t="inlineStr">
        <is>
          <t>TAVERNITI M/LARGA</t>
        </is>
      </c>
      <c r="C1663" s="88" t="n">
        <v>52400</v>
      </c>
      <c r="D1663" s="170" t="n"/>
      <c r="E1663" s="170" t="n"/>
      <c r="F1663" s="170" t="n"/>
      <c r="G1663" s="170" t="n"/>
      <c r="H1663" s="170" t="n"/>
      <c r="I1663" s="170" t="n"/>
      <c r="J1663" s="170" t="n"/>
      <c r="K1663" s="88">
        <f>ROUND((C1663*L1663)/100,0)*100</f>
        <v/>
      </c>
      <c r="L1663" s="96" t="n">
        <v>1.45</v>
      </c>
      <c r="M1663" s="170" t="n"/>
      <c r="N1663" s="30" t="n"/>
      <c r="O1663" s="78" t="n"/>
      <c r="P1663" s="170" t="n"/>
      <c r="Q1663" s="30" t="n"/>
      <c r="R1663" s="170" t="n"/>
      <c r="S1663" s="30" t="n"/>
      <c r="T1663" s="170" t="n"/>
      <c r="U1663" s="30" t="n"/>
      <c r="V1663" s="30" t="n"/>
      <c r="W1663" s="30" t="n"/>
      <c r="X1663" s="30" t="n"/>
      <c r="Y1663" s="30" t="n"/>
      <c r="Z1663" s="30" t="n"/>
      <c r="AA1663" s="30" t="n"/>
      <c r="AB1663" s="30" t="n"/>
      <c r="AC1663" s="30" t="n"/>
      <c r="AD1663" s="30" t="n"/>
      <c r="AE1663" s="30" t="n"/>
      <c r="AF1663" s="30" t="n"/>
      <c r="AG1663" s="30" t="n"/>
      <c r="AH1663" s="30" t="n"/>
      <c r="AI1663" s="30" t="n"/>
      <c r="AJ1663" s="30" t="n"/>
      <c r="AK1663" s="30" t="n"/>
      <c r="AL1663" s="30" t="n"/>
      <c r="AM1663" s="30" t="n"/>
      <c r="AN1663" s="30" t="n"/>
    </row>
    <row r="1664">
      <c r="A1664" s="89" t="inlineStr">
        <is>
          <t>15276XXX</t>
        </is>
      </c>
      <c r="B1664" s="248" t="inlineStr">
        <is>
          <t>TAVERNITI M/LARGA</t>
        </is>
      </c>
      <c r="C1664" s="88" t="n">
        <v>52400</v>
      </c>
      <c r="D1664" s="170" t="n"/>
      <c r="E1664" s="170" t="n"/>
      <c r="F1664" s="170" t="n"/>
      <c r="G1664" s="170" t="n"/>
      <c r="H1664" s="170" t="n"/>
      <c r="I1664" s="170" t="n"/>
      <c r="J1664" s="170" t="n"/>
      <c r="K1664" s="88">
        <f>ROUND((C1664*L1664)/100,0)*100</f>
        <v/>
      </c>
      <c r="L1664" s="96" t="n">
        <v>1.45</v>
      </c>
      <c r="M1664" s="170" t="n"/>
      <c r="N1664" s="30" t="n"/>
      <c r="O1664" s="78" t="n"/>
      <c r="P1664" s="170" t="n"/>
      <c r="Q1664" s="30" t="n"/>
      <c r="R1664" s="170" t="n"/>
      <c r="S1664" s="30" t="n"/>
      <c r="T1664" s="170" t="n"/>
      <c r="U1664" s="30" t="n"/>
      <c r="V1664" s="30" t="n"/>
      <c r="W1664" s="30" t="n"/>
      <c r="X1664" s="30" t="n"/>
      <c r="Y1664" s="30" t="n"/>
      <c r="Z1664" s="30" t="n"/>
      <c r="AA1664" s="30" t="n"/>
      <c r="AB1664" s="30" t="n"/>
      <c r="AC1664" s="30" t="n"/>
      <c r="AD1664" s="30" t="n"/>
      <c r="AE1664" s="30" t="n"/>
      <c r="AF1664" s="30" t="n"/>
      <c r="AG1664" s="30" t="n"/>
      <c r="AH1664" s="30" t="n"/>
      <c r="AI1664" s="30" t="n"/>
      <c r="AJ1664" s="30" t="n"/>
      <c r="AK1664" s="30" t="n"/>
      <c r="AL1664" s="30" t="n"/>
      <c r="AM1664" s="30" t="n"/>
      <c r="AN1664" s="30" t="n"/>
    </row>
    <row r="1665">
      <c r="A1665" s="89" t="inlineStr">
        <is>
          <t>15280XXX</t>
        </is>
      </c>
      <c r="B1665" s="248" t="inlineStr">
        <is>
          <t>TAVERNITI M/LARGA</t>
        </is>
      </c>
      <c r="C1665" s="88" t="n">
        <v>52400</v>
      </c>
      <c r="D1665" s="170" t="n"/>
      <c r="E1665" s="170" t="n"/>
      <c r="F1665" s="170" t="n"/>
      <c r="G1665" s="170" t="n"/>
      <c r="H1665" s="170" t="n"/>
      <c r="I1665" s="170" t="n"/>
      <c r="J1665" s="170" t="n"/>
      <c r="K1665" s="88">
        <f>ROUND((C1665*L1665)/100,0)*100</f>
        <v/>
      </c>
      <c r="L1665" s="96" t="n">
        <v>1.45</v>
      </c>
      <c r="M1665" s="170" t="n"/>
      <c r="N1665" s="30" t="n"/>
      <c r="O1665" s="78" t="n"/>
      <c r="P1665" s="170" t="n"/>
      <c r="Q1665" s="30" t="n"/>
      <c r="R1665" s="170" t="n"/>
      <c r="S1665" s="30" t="n"/>
      <c r="T1665" s="170" t="n"/>
      <c r="U1665" s="30" t="n"/>
      <c r="V1665" s="30" t="n"/>
      <c r="W1665" s="30" t="n"/>
      <c r="X1665" s="30" t="n"/>
      <c r="Y1665" s="30" t="n"/>
      <c r="Z1665" s="30" t="n"/>
      <c r="AA1665" s="30" t="n"/>
      <c r="AB1665" s="30" t="n"/>
      <c r="AC1665" s="30" t="n"/>
      <c r="AD1665" s="30" t="n"/>
      <c r="AE1665" s="30" t="n"/>
      <c r="AF1665" s="30" t="n"/>
      <c r="AG1665" s="30" t="n"/>
      <c r="AH1665" s="30" t="n"/>
      <c r="AI1665" s="30" t="n"/>
      <c r="AJ1665" s="30" t="n"/>
      <c r="AK1665" s="30" t="n"/>
      <c r="AL1665" s="30" t="n"/>
      <c r="AM1665" s="30" t="n"/>
      <c r="AN1665" s="30" t="n"/>
    </row>
    <row r="1666">
      <c r="A1666" s="89" t="inlineStr">
        <is>
          <t>15284XXX</t>
        </is>
      </c>
      <c r="B1666" s="248" t="inlineStr">
        <is>
          <t>TAVERNITI M/LARGA</t>
        </is>
      </c>
      <c r="C1666" s="88" t="n">
        <v>42500</v>
      </c>
      <c r="D1666" s="170" t="n"/>
      <c r="E1666" s="170" t="n"/>
      <c r="F1666" s="170" t="n"/>
      <c r="G1666" s="170" t="n"/>
      <c r="H1666" s="170" t="n"/>
      <c r="I1666" s="170" t="n"/>
      <c r="J1666" s="170" t="n"/>
      <c r="K1666" s="88">
        <f>ROUND((C1666*L1666)/100,0)*100</f>
        <v/>
      </c>
      <c r="L1666" s="96" t="n">
        <v>1.45</v>
      </c>
      <c r="M1666" s="170" t="n"/>
      <c r="N1666" s="30" t="n"/>
      <c r="O1666" s="78" t="n"/>
      <c r="P1666" s="170" t="n"/>
      <c r="Q1666" s="30" t="n"/>
      <c r="R1666" s="170" t="n"/>
      <c r="S1666" s="30" t="n"/>
      <c r="T1666" s="170" t="n"/>
      <c r="U1666" s="30" t="n"/>
      <c r="V1666" s="30" t="n"/>
      <c r="W1666" s="30" t="n"/>
      <c r="X1666" s="30" t="n"/>
      <c r="Y1666" s="30" t="n"/>
      <c r="Z1666" s="30" t="n"/>
      <c r="AA1666" s="30" t="n"/>
      <c r="AB1666" s="30" t="n"/>
      <c r="AC1666" s="30" t="n"/>
      <c r="AD1666" s="30" t="n"/>
      <c r="AE1666" s="30" t="n"/>
      <c r="AF1666" s="30" t="n"/>
      <c r="AG1666" s="30" t="n"/>
      <c r="AH1666" s="30" t="n"/>
      <c r="AI1666" s="30" t="n"/>
      <c r="AJ1666" s="30" t="n"/>
      <c r="AK1666" s="30" t="n"/>
      <c r="AL1666" s="30" t="n"/>
      <c r="AM1666" s="30" t="n"/>
      <c r="AN1666" s="30" t="n"/>
    </row>
    <row r="1667">
      <c r="A1667" s="89" t="inlineStr">
        <is>
          <t>15288XXX</t>
        </is>
      </c>
      <c r="B1667" s="248" t="inlineStr">
        <is>
          <t>TAVERNITI M/LARGA</t>
        </is>
      </c>
      <c r="C1667" s="88" t="n">
        <v>42500</v>
      </c>
      <c r="D1667" s="170" t="n"/>
      <c r="E1667" s="170" t="n"/>
      <c r="F1667" s="170" t="n"/>
      <c r="G1667" s="170" t="n"/>
      <c r="H1667" s="170" t="n"/>
      <c r="I1667" s="170" t="n"/>
      <c r="J1667" s="170" t="n"/>
      <c r="K1667" s="88">
        <f>ROUND((C1667*L1667)/100,0)*100</f>
        <v/>
      </c>
      <c r="L1667" s="96" t="n">
        <v>1.45</v>
      </c>
      <c r="M1667" s="170" t="n"/>
      <c r="N1667" s="30" t="n"/>
      <c r="O1667" s="78" t="n"/>
      <c r="P1667" s="170" t="n"/>
      <c r="Q1667" s="30" t="n"/>
      <c r="R1667" s="170" t="n"/>
      <c r="S1667" s="30" t="n"/>
      <c r="T1667" s="170" t="n"/>
      <c r="U1667" s="30" t="n"/>
      <c r="V1667" s="30" t="n"/>
      <c r="W1667" s="30" t="n"/>
      <c r="X1667" s="30" t="n"/>
      <c r="Y1667" s="30" t="n"/>
      <c r="Z1667" s="30" t="n"/>
      <c r="AA1667" s="30" t="n"/>
      <c r="AB1667" s="30" t="n"/>
      <c r="AC1667" s="30" t="n"/>
      <c r="AD1667" s="30" t="n"/>
      <c r="AE1667" s="30" t="n"/>
      <c r="AF1667" s="30" t="n"/>
      <c r="AG1667" s="30" t="n"/>
      <c r="AH1667" s="30" t="n"/>
      <c r="AI1667" s="30" t="n"/>
      <c r="AJ1667" s="30" t="n"/>
      <c r="AK1667" s="30" t="n"/>
      <c r="AL1667" s="30" t="n"/>
      <c r="AM1667" s="30" t="n"/>
      <c r="AN1667" s="30" t="n"/>
    </row>
    <row r="1668">
      <c r="A1668" s="89" t="inlineStr">
        <is>
          <t>15290XXX</t>
        </is>
      </c>
      <c r="B1668" s="248" t="inlineStr">
        <is>
          <t>TAVERNITI M/LARGA</t>
        </is>
      </c>
      <c r="C1668" s="88" t="n">
        <v>64500</v>
      </c>
      <c r="D1668" s="170" t="n"/>
      <c r="E1668" s="170" t="n"/>
      <c r="F1668" s="170" t="n"/>
      <c r="G1668" s="170" t="n"/>
      <c r="H1668" s="170" t="n"/>
      <c r="I1668" s="170" t="n"/>
      <c r="J1668" s="170" t="n"/>
      <c r="K1668" s="88">
        <f>ROUND((C1668*L1668)/100,0)*100</f>
        <v/>
      </c>
      <c r="L1668" s="96" t="n">
        <v>1.45</v>
      </c>
      <c r="M1668" s="170" t="n"/>
      <c r="N1668" s="30" t="n"/>
      <c r="O1668" s="78" t="n"/>
      <c r="P1668" s="170" t="n"/>
      <c r="Q1668" s="30" t="n"/>
      <c r="R1668" s="170" t="n"/>
      <c r="S1668" s="30" t="n"/>
      <c r="T1668" s="170" t="n"/>
      <c r="U1668" s="30" t="n"/>
      <c r="V1668" s="30" t="n"/>
      <c r="W1668" s="30" t="n"/>
      <c r="X1668" s="30" t="n"/>
      <c r="Y1668" s="30" t="n"/>
      <c r="Z1668" s="30" t="n"/>
      <c r="AA1668" s="30" t="n"/>
      <c r="AB1668" s="30" t="n"/>
      <c r="AC1668" s="30" t="n"/>
      <c r="AD1668" s="30" t="n"/>
      <c r="AE1668" s="30" t="n"/>
      <c r="AF1668" s="30" t="n"/>
      <c r="AG1668" s="30" t="n"/>
      <c r="AH1668" s="30" t="n"/>
      <c r="AI1668" s="30" t="n"/>
      <c r="AJ1668" s="30" t="n"/>
      <c r="AK1668" s="30" t="n"/>
      <c r="AL1668" s="30" t="n"/>
      <c r="AM1668" s="30" t="n"/>
      <c r="AN1668" s="30" t="n"/>
    </row>
    <row r="1669">
      <c r="A1669" s="89" t="inlineStr">
        <is>
          <t>15460XXX</t>
        </is>
      </c>
      <c r="B1669" s="248" t="inlineStr">
        <is>
          <t>TAVERNITI M/LARGA</t>
        </is>
      </c>
      <c r="C1669" s="88" t="n">
        <v>51000</v>
      </c>
      <c r="D1669" s="170" t="n"/>
      <c r="E1669" s="170" t="n"/>
      <c r="F1669" s="170" t="n"/>
      <c r="G1669" s="170" t="n"/>
      <c r="H1669" s="170" t="n"/>
      <c r="I1669" s="170" t="n"/>
      <c r="J1669" s="170" t="n"/>
      <c r="K1669" s="88">
        <f>ROUND((C1669*L1669)/100,0)*100</f>
        <v/>
      </c>
      <c r="L1669" s="96" t="n">
        <v>1.45</v>
      </c>
      <c r="M1669" s="170" t="n"/>
      <c r="N1669" s="30" t="n"/>
      <c r="O1669" s="78" t="n"/>
      <c r="P1669" s="170" t="n"/>
      <c r="Q1669" s="30" t="n"/>
      <c r="R1669" s="170" t="n"/>
      <c r="S1669" s="30" t="n"/>
      <c r="T1669" s="170" t="n"/>
      <c r="U1669" s="30" t="n"/>
      <c r="V1669" s="30" t="n"/>
      <c r="W1669" s="30" t="n"/>
      <c r="X1669" s="30" t="n"/>
      <c r="Y1669" s="30" t="n"/>
      <c r="Z1669" s="30" t="n"/>
      <c r="AA1669" s="30" t="n"/>
      <c r="AB1669" s="30" t="n"/>
      <c r="AC1669" s="30" t="n"/>
      <c r="AD1669" s="30" t="n"/>
      <c r="AE1669" s="30" t="n"/>
      <c r="AF1669" s="30" t="n"/>
      <c r="AG1669" s="30" t="n"/>
      <c r="AH1669" s="30" t="n"/>
      <c r="AI1669" s="30" t="n"/>
      <c r="AJ1669" s="30" t="n"/>
      <c r="AK1669" s="30" t="n"/>
      <c r="AL1669" s="30" t="n"/>
      <c r="AM1669" s="30" t="n"/>
      <c r="AN1669" s="30" t="n"/>
    </row>
    <row r="1670">
      <c r="A1670" s="89" t="inlineStr">
        <is>
          <t>15462XXX</t>
        </is>
      </c>
      <c r="B1670" s="248" t="inlineStr">
        <is>
          <t>TAVERNITI M/LARGA</t>
        </is>
      </c>
      <c r="C1670" s="88" t="n">
        <v>51000</v>
      </c>
      <c r="D1670" s="170" t="n"/>
      <c r="E1670" s="170" t="n"/>
      <c r="F1670" s="170" t="n"/>
      <c r="G1670" s="170" t="n"/>
      <c r="H1670" s="170" t="n"/>
      <c r="I1670" s="170" t="n"/>
      <c r="J1670" s="170" t="n"/>
      <c r="K1670" s="88">
        <f>ROUND((C1670*L1670)/100,0)*100</f>
        <v/>
      </c>
      <c r="L1670" s="96" t="n">
        <v>1.45</v>
      </c>
      <c r="M1670" s="170" t="n"/>
      <c r="N1670" s="30" t="n"/>
      <c r="O1670" s="78" t="n"/>
      <c r="P1670" s="170" t="n"/>
      <c r="Q1670" s="30" t="n"/>
      <c r="R1670" s="170" t="n"/>
      <c r="S1670" s="30" t="n"/>
      <c r="T1670" s="170" t="n"/>
      <c r="U1670" s="30" t="n"/>
      <c r="V1670" s="30" t="n"/>
      <c r="W1670" s="30" t="n"/>
      <c r="X1670" s="30" t="n"/>
      <c r="Y1670" s="30" t="n"/>
      <c r="Z1670" s="30" t="n"/>
      <c r="AA1670" s="30" t="n"/>
      <c r="AB1670" s="30" t="n"/>
      <c r="AC1670" s="30" t="n"/>
      <c r="AD1670" s="30" t="n"/>
      <c r="AE1670" s="30" t="n"/>
      <c r="AF1670" s="30" t="n"/>
      <c r="AG1670" s="30" t="n"/>
      <c r="AH1670" s="30" t="n"/>
      <c r="AI1670" s="30" t="n"/>
      <c r="AJ1670" s="30" t="n"/>
      <c r="AK1670" s="30" t="n"/>
      <c r="AL1670" s="30" t="n"/>
      <c r="AM1670" s="30" t="n"/>
      <c r="AN1670" s="30" t="n"/>
    </row>
    <row r="1671">
      <c r="A1671" s="89" t="inlineStr">
        <is>
          <t>16600XXX</t>
        </is>
      </c>
      <c r="B1671" s="248" t="inlineStr">
        <is>
          <t>TAVERNITI M/LARGA</t>
        </is>
      </c>
      <c r="C1671" s="88" t="n">
        <v>51000</v>
      </c>
      <c r="D1671" s="22" t="n"/>
      <c r="E1671" s="22" t="n"/>
      <c r="F1671" s="22" t="n"/>
      <c r="G1671" s="22" t="n"/>
      <c r="H1671" s="22" t="n"/>
      <c r="I1671" s="22" t="n"/>
      <c r="J1671" s="22" t="n"/>
      <c r="K1671" s="22">
        <f>ROUND((C1671*L1671)/100,0)*100</f>
        <v/>
      </c>
      <c r="L1671" s="96" t="n">
        <v>1.45</v>
      </c>
      <c r="M1671" s="88" t="n"/>
      <c r="O1671" s="137" t="n"/>
      <c r="P1671" s="117" t="n"/>
      <c r="R1671" s="117" t="n"/>
      <c r="T1671" s="117" t="n"/>
    </row>
    <row r="1672">
      <c r="A1672" s="89" t="inlineStr">
        <is>
          <t>16608XXX</t>
        </is>
      </c>
      <c r="B1672" s="248" t="inlineStr">
        <is>
          <t>TAVERNITI M/LARGA</t>
        </is>
      </c>
      <c r="C1672" s="88" t="n">
        <v>43200</v>
      </c>
      <c r="D1672" s="22" t="n"/>
      <c r="E1672" s="22" t="n"/>
      <c r="F1672" s="22" t="n"/>
      <c r="G1672" s="22" t="n"/>
      <c r="H1672" s="22" t="n"/>
      <c r="I1672" s="22" t="n"/>
      <c r="J1672" s="22" t="n"/>
      <c r="K1672" s="22">
        <f>ROUND((C1672*L1672)/100,0)*100</f>
        <v/>
      </c>
      <c r="L1672" s="96" t="n">
        <v>1.45</v>
      </c>
      <c r="M1672" s="88" t="n"/>
      <c r="O1672" s="137" t="n"/>
      <c r="P1672" s="117" t="n"/>
      <c r="R1672" s="117" t="n"/>
      <c r="T1672" s="117" t="n"/>
    </row>
    <row r="1673">
      <c r="A1673" s="89" t="inlineStr">
        <is>
          <t>16646XXX</t>
        </is>
      </c>
      <c r="B1673" s="248" t="inlineStr">
        <is>
          <t>TAVERNITI M/LARGA</t>
        </is>
      </c>
      <c r="C1673" s="88" t="n">
        <v>54300</v>
      </c>
      <c r="D1673" s="22" t="n"/>
      <c r="E1673" s="22" t="n"/>
      <c r="F1673" s="22" t="n"/>
      <c r="G1673" s="22" t="n"/>
      <c r="H1673" s="22" t="n"/>
      <c r="I1673" s="22" t="n"/>
      <c r="J1673" s="22" t="n"/>
      <c r="K1673" s="22">
        <f>ROUND((C1673*L1673)/100,0)*100</f>
        <v/>
      </c>
      <c r="L1673" s="96" t="n">
        <v>1.45</v>
      </c>
      <c r="M1673" s="88" t="n"/>
      <c r="O1673" s="137" t="n"/>
      <c r="P1673" s="117" t="n"/>
      <c r="R1673" s="117" t="n"/>
      <c r="T1673" s="117" t="n"/>
    </row>
    <row r="1674">
      <c r="A1674" s="89" t="inlineStr">
        <is>
          <t>16732XXX</t>
        </is>
      </c>
      <c r="B1674" s="248" t="inlineStr">
        <is>
          <t>TAVERNITI M/LARGA</t>
        </is>
      </c>
      <c r="C1674" s="88" t="n">
        <v>54300</v>
      </c>
      <c r="D1674" s="22" t="n"/>
      <c r="E1674" s="22" t="n"/>
      <c r="F1674" s="22" t="n"/>
      <c r="G1674" s="22" t="n"/>
      <c r="H1674" s="22" t="n"/>
      <c r="I1674" s="22" t="n"/>
      <c r="J1674" s="22" t="n"/>
      <c r="K1674" s="22">
        <f>ROUND((C1674*L1674)/100,0)*100</f>
        <v/>
      </c>
      <c r="L1674" s="96" t="n">
        <v>1.45</v>
      </c>
      <c r="M1674" s="88" t="n"/>
      <c r="O1674" s="137" t="n"/>
      <c r="P1674" s="117" t="n"/>
      <c r="R1674" s="117" t="n"/>
      <c r="T1674" s="117" t="n"/>
    </row>
    <row r="1675">
      <c r="A1675" s="134" t="inlineStr">
        <is>
          <t>17046XXX</t>
        </is>
      </c>
      <c r="B1675" s="248" t="inlineStr">
        <is>
          <t>TAVERNITI M/LARGA</t>
        </is>
      </c>
      <c r="C1675" s="88" t="n">
        <v>38100</v>
      </c>
      <c r="D1675" s="22" t="n"/>
      <c r="E1675" s="22" t="n"/>
      <c r="F1675" s="22" t="n"/>
      <c r="G1675" s="219" t="n"/>
      <c r="H1675" s="219" t="n"/>
      <c r="I1675" s="219" t="n"/>
      <c r="J1675" s="219" t="n"/>
      <c r="K1675" s="248">
        <f>ROUND((C1675*L1675)/100,0)*100</f>
        <v/>
      </c>
      <c r="L1675" s="96" t="n">
        <v>1.45</v>
      </c>
      <c r="M1675" s="219" t="n"/>
      <c r="P1675" s="117" t="n"/>
      <c r="R1675" s="117" t="n"/>
      <c r="T1675" s="117" t="n"/>
    </row>
    <row r="1676">
      <c r="A1676" s="134" t="inlineStr">
        <is>
          <t>17054XXX</t>
        </is>
      </c>
      <c r="B1676" s="248" t="inlineStr">
        <is>
          <t>TAVERNITI M/LARGA</t>
        </is>
      </c>
      <c r="C1676" s="88" t="n">
        <v>34500</v>
      </c>
      <c r="D1676" s="22" t="n"/>
      <c r="E1676" s="22" t="n"/>
      <c r="F1676" s="22" t="n"/>
      <c r="G1676" s="219" t="n"/>
      <c r="H1676" s="219" t="n"/>
      <c r="I1676" s="219" t="n"/>
      <c r="J1676" s="219" t="n"/>
      <c r="K1676" s="248">
        <f>ROUND((C1676*L1676)/100,0)*100</f>
        <v/>
      </c>
      <c r="L1676" s="96" t="n">
        <v>1.45</v>
      </c>
      <c r="M1676" s="219" t="n"/>
      <c r="P1676" s="117" t="n"/>
      <c r="R1676" s="117" t="n"/>
      <c r="T1676" s="117" t="n"/>
    </row>
    <row r="1677">
      <c r="A1677" s="134" t="inlineStr">
        <is>
          <t>17060XXX</t>
        </is>
      </c>
      <c r="B1677" s="248" t="inlineStr">
        <is>
          <t>TAVERNITI M/LARGA</t>
        </is>
      </c>
      <c r="C1677" s="88" t="n">
        <v>33400</v>
      </c>
      <c r="D1677" s="22" t="n"/>
      <c r="E1677" s="22" t="n"/>
      <c r="F1677" s="22" t="n"/>
      <c r="G1677" s="219" t="n"/>
      <c r="H1677" s="219" t="n"/>
      <c r="I1677" s="219" t="n"/>
      <c r="J1677" s="219" t="n"/>
      <c r="K1677" s="248">
        <f>ROUND((C1677*L1677)/100,0)*100</f>
        <v/>
      </c>
      <c r="L1677" s="96" t="n">
        <v>1.45</v>
      </c>
      <c r="M1677" s="219" t="n"/>
      <c r="P1677" s="117" t="n"/>
      <c r="R1677" s="117" t="n"/>
      <c r="T1677" s="117" t="n"/>
    </row>
    <row r="1678">
      <c r="A1678" s="134" t="inlineStr">
        <is>
          <t>17062XXX</t>
        </is>
      </c>
      <c r="B1678" s="248" t="inlineStr">
        <is>
          <t>TAVERNITI M/LARGA</t>
        </is>
      </c>
      <c r="C1678" s="88" t="n">
        <v>34500</v>
      </c>
      <c r="D1678" s="22" t="n"/>
      <c r="E1678" s="22" t="n"/>
      <c r="F1678" s="22" t="n"/>
      <c r="G1678" s="219" t="n"/>
      <c r="H1678" s="219" t="n"/>
      <c r="I1678" s="219" t="n"/>
      <c r="J1678" s="219" t="n"/>
      <c r="K1678" s="248">
        <f>ROUND((C1678*L1678)/100,0)*100</f>
        <v/>
      </c>
      <c r="L1678" s="96" t="n">
        <v>1.45</v>
      </c>
      <c r="M1678" s="219" t="n"/>
      <c r="P1678" s="117" t="n"/>
      <c r="R1678" s="117" t="n"/>
      <c r="T1678" s="117" t="n"/>
    </row>
    <row r="1679">
      <c r="A1679" s="134" t="inlineStr">
        <is>
          <t>17152XXX</t>
        </is>
      </c>
      <c r="B1679" s="248" t="inlineStr">
        <is>
          <t>TAVERNITI M/LARGA</t>
        </is>
      </c>
      <c r="C1679" s="88" t="n">
        <v>38900</v>
      </c>
      <c r="D1679" s="22" t="n"/>
      <c r="E1679" s="22" t="n"/>
      <c r="F1679" s="22" t="n"/>
      <c r="G1679" s="219" t="n"/>
      <c r="H1679" s="219" t="n"/>
      <c r="I1679" s="219" t="n"/>
      <c r="J1679" s="219" t="n"/>
      <c r="K1679" s="248">
        <f>ROUND((C1679*L1679)/100,0)*100</f>
        <v/>
      </c>
      <c r="L1679" s="96" t="n">
        <v>1.45</v>
      </c>
      <c r="M1679" s="219" t="n"/>
      <c r="P1679" s="117" t="n"/>
      <c r="R1679" s="117" t="n"/>
      <c r="T1679" s="117" t="n"/>
    </row>
    <row r="1680">
      <c r="A1680" s="134" t="inlineStr">
        <is>
          <t>17204XXX</t>
        </is>
      </c>
      <c r="B1680" s="248" t="inlineStr">
        <is>
          <t>TAVERNITI M/LARGA</t>
        </is>
      </c>
      <c r="C1680" s="88" t="n">
        <v>48900</v>
      </c>
      <c r="D1680" s="22" t="n"/>
      <c r="E1680" s="22" t="n"/>
      <c r="F1680" s="22" t="n"/>
      <c r="G1680" s="219" t="n"/>
      <c r="H1680" s="219" t="n"/>
      <c r="I1680" s="219" t="n"/>
      <c r="J1680" s="219" t="n"/>
      <c r="K1680" s="248">
        <f>ROUND((C1680*L1680)/100,0)*100</f>
        <v/>
      </c>
      <c r="L1680" s="96" t="n">
        <v>1.45</v>
      </c>
      <c r="M1680" s="219" t="n"/>
      <c r="P1680" s="117" t="n"/>
      <c r="R1680" s="117" t="n"/>
      <c r="T1680" s="117" t="n"/>
    </row>
    <row r="1681">
      <c r="A1681" s="134" t="inlineStr">
        <is>
          <t>17204XXX</t>
        </is>
      </c>
      <c r="B1681" s="248" t="inlineStr">
        <is>
          <t>TAVERNITI M/LARGA</t>
        </is>
      </c>
      <c r="C1681" s="88" t="n">
        <v>48900</v>
      </c>
      <c r="D1681" s="22" t="n"/>
      <c r="E1681" s="22" t="n"/>
      <c r="F1681" s="22" t="n"/>
      <c r="G1681" s="219" t="n"/>
      <c r="H1681" s="219" t="n"/>
      <c r="I1681" s="219" t="n"/>
      <c r="J1681" s="219" t="n"/>
      <c r="K1681" s="248">
        <f>ROUND((C1681*L1681)/100,0)*100</f>
        <v/>
      </c>
      <c r="L1681" s="96" t="n">
        <v>1.45</v>
      </c>
      <c r="M1681" s="219" t="n"/>
      <c r="P1681" s="117" t="n"/>
      <c r="R1681" s="117" t="n"/>
      <c r="T1681" s="117" t="n"/>
    </row>
    <row r="1682" ht="16.5" customHeight="1" s="253">
      <c r="A1682" s="134" t="inlineStr">
        <is>
          <t>17596XXX</t>
        </is>
      </c>
      <c r="B1682" s="248" t="inlineStr">
        <is>
          <t>TAVERNITI M/LARGA</t>
        </is>
      </c>
      <c r="C1682" s="88" t="n">
        <v>34500</v>
      </c>
      <c r="D1682" s="22" t="n"/>
      <c r="E1682" s="22" t="n"/>
      <c r="F1682" s="22" t="n"/>
      <c r="G1682" s="219" t="n"/>
      <c r="H1682" s="219" t="n"/>
      <c r="I1682" s="219" t="n"/>
      <c r="J1682" s="219" t="n"/>
      <c r="K1682" s="248">
        <f>ROUND((C1682*L1682)/100,0)*100</f>
        <v/>
      </c>
      <c r="L1682" s="96" t="n">
        <v>1.45</v>
      </c>
      <c r="M1682" s="219" t="n"/>
      <c r="P1682" s="117" t="n"/>
      <c r="R1682" s="117" t="n"/>
      <c r="T1682" s="117" t="n"/>
    </row>
    <row r="1683">
      <c r="A1683" s="134" t="inlineStr">
        <is>
          <t>17600XXX</t>
        </is>
      </c>
      <c r="B1683" s="248" t="inlineStr">
        <is>
          <t>TAVERNITI M/LARGA</t>
        </is>
      </c>
      <c r="C1683" s="88" t="n">
        <v>48900</v>
      </c>
      <c r="D1683" s="22" t="n"/>
      <c r="E1683" s="22" t="n"/>
      <c r="F1683" s="22" t="n"/>
      <c r="G1683" s="219" t="n"/>
      <c r="H1683" s="219" t="n"/>
      <c r="I1683" s="219" t="n"/>
      <c r="J1683" s="219" t="n"/>
      <c r="K1683" s="248">
        <f>ROUND((C1683*L1683)/100,0)*100</f>
        <v/>
      </c>
      <c r="L1683" s="96" t="n">
        <v>1.45</v>
      </c>
      <c r="M1683" s="219" t="n"/>
      <c r="P1683" s="117" t="n"/>
      <c r="R1683" s="117" t="n"/>
      <c r="T1683" s="117" t="n"/>
    </row>
    <row r="1684">
      <c r="A1684" s="134" t="inlineStr">
        <is>
          <t>17632XXX</t>
        </is>
      </c>
      <c r="B1684" s="248" t="inlineStr">
        <is>
          <t>TAVERNITI M/LARGA</t>
        </is>
      </c>
      <c r="C1684" s="88" t="n">
        <v>41300</v>
      </c>
      <c r="D1684" s="22" t="n"/>
      <c r="E1684" s="22" t="n"/>
      <c r="F1684" s="22" t="n"/>
      <c r="G1684" s="219" t="n"/>
      <c r="H1684" s="219" t="n"/>
      <c r="I1684" s="219" t="n"/>
      <c r="J1684" s="219" t="n"/>
      <c r="K1684" s="248">
        <f>ROUND((C1684*L1684)/100,0)*100</f>
        <v/>
      </c>
      <c r="L1684" s="96" t="n">
        <v>1.45</v>
      </c>
      <c r="M1684" s="219" t="n"/>
      <c r="P1684" s="117" t="n"/>
      <c r="R1684" s="117" t="n"/>
      <c r="T1684" s="117" t="n"/>
    </row>
    <row r="1685">
      <c r="A1685" s="134" t="inlineStr">
        <is>
          <t>17634XXX</t>
        </is>
      </c>
      <c r="B1685" s="248" t="inlineStr">
        <is>
          <t>TAVERNITI M/LARGA</t>
        </is>
      </c>
      <c r="C1685" s="88" t="n">
        <v>48900</v>
      </c>
      <c r="D1685" s="22" t="n"/>
      <c r="E1685" s="22" t="n"/>
      <c r="F1685" s="22" t="n"/>
      <c r="G1685" s="219" t="n"/>
      <c r="H1685" s="219" t="n"/>
      <c r="I1685" s="219" t="n"/>
      <c r="J1685" s="219" t="n"/>
      <c r="K1685" s="248">
        <f>ROUND((C1685*L1685)/100,0)*100</f>
        <v/>
      </c>
      <c r="L1685" s="96" t="n">
        <v>1.45</v>
      </c>
      <c r="M1685" s="219" t="n"/>
      <c r="P1685" s="117" t="n"/>
      <c r="R1685" s="117" t="n"/>
      <c r="T1685" s="117" t="n"/>
    </row>
    <row r="1686">
      <c r="A1686" s="134" t="inlineStr">
        <is>
          <t>17636XXX</t>
        </is>
      </c>
      <c r="B1686" s="248" t="inlineStr">
        <is>
          <t>TAVERNITI M/LARGA</t>
        </is>
      </c>
      <c r="C1686" s="88" t="n">
        <v>48900</v>
      </c>
      <c r="D1686" s="22" t="n"/>
      <c r="E1686" s="22" t="n"/>
      <c r="F1686" s="22" t="n"/>
      <c r="G1686" s="219" t="n"/>
      <c r="H1686" s="219" t="n"/>
      <c r="I1686" s="219" t="n"/>
      <c r="J1686" s="219" t="n"/>
      <c r="K1686" s="248">
        <f>ROUND((C1686*L1686)/100,0)*100</f>
        <v/>
      </c>
      <c r="L1686" s="96" t="n">
        <v>1.45</v>
      </c>
      <c r="M1686" s="219" t="n"/>
      <c r="P1686" s="117" t="n"/>
      <c r="R1686" s="117" t="n"/>
      <c r="T1686" s="117" t="n"/>
    </row>
    <row r="1687">
      <c r="A1687" s="134" t="inlineStr">
        <is>
          <t>17642XXX</t>
        </is>
      </c>
      <c r="B1687" s="248" t="inlineStr">
        <is>
          <t>TAVERNITI M/LARGA</t>
        </is>
      </c>
      <c r="C1687" s="88" t="n">
        <v>48900</v>
      </c>
      <c r="D1687" s="22" t="n"/>
      <c r="E1687" s="22" t="n"/>
      <c r="F1687" s="22" t="n"/>
      <c r="G1687" s="219" t="n"/>
      <c r="H1687" s="219" t="n"/>
      <c r="I1687" s="219" t="n"/>
      <c r="J1687" s="219" t="n"/>
      <c r="K1687" s="248">
        <f>ROUND((C1687*L1687)/100,0)*100</f>
        <v/>
      </c>
      <c r="L1687" s="96" t="n">
        <v>1.45</v>
      </c>
      <c r="M1687" s="219" t="n"/>
      <c r="P1687" s="117" t="n"/>
      <c r="R1687" s="117" t="n"/>
      <c r="T1687" s="117" t="n"/>
    </row>
    <row r="1688">
      <c r="A1688" s="134" t="inlineStr">
        <is>
          <t>17664XXX</t>
        </is>
      </c>
      <c r="B1688" s="248" t="inlineStr">
        <is>
          <t>TAVERNITI M/LARGA</t>
        </is>
      </c>
      <c r="C1688" s="88" t="n">
        <v>44100</v>
      </c>
      <c r="D1688" s="22" t="n"/>
      <c r="E1688" s="22" t="n"/>
      <c r="F1688" s="22" t="n"/>
      <c r="G1688" s="219" t="n"/>
      <c r="H1688" s="219" t="n"/>
      <c r="I1688" s="219" t="n"/>
      <c r="J1688" s="219" t="n"/>
      <c r="K1688" s="248">
        <f>ROUND((C1688*L1688)/100,0)*100</f>
        <v/>
      </c>
      <c r="L1688" s="96" t="n">
        <v>1.45</v>
      </c>
      <c r="M1688" s="219" t="n"/>
      <c r="P1688" s="117" t="n"/>
      <c r="R1688" s="117" t="n"/>
      <c r="T1688" s="117" t="n"/>
    </row>
    <row r="1689">
      <c r="A1689" s="134" t="inlineStr">
        <is>
          <t>17666XXX</t>
        </is>
      </c>
      <c r="B1689" s="248" t="inlineStr">
        <is>
          <t>TAVERNITI M/LARGA</t>
        </is>
      </c>
      <c r="C1689" s="88" t="n">
        <v>44100</v>
      </c>
      <c r="D1689" s="22" t="n"/>
      <c r="E1689" s="22" t="n"/>
      <c r="F1689" s="22" t="n"/>
      <c r="G1689" s="219" t="n"/>
      <c r="H1689" s="219" t="n"/>
      <c r="I1689" s="219" t="n"/>
      <c r="J1689" s="219" t="n"/>
      <c r="K1689" s="248">
        <f>ROUND((C1689*L1689)/100,0)*100</f>
        <v/>
      </c>
      <c r="L1689" s="96" t="n">
        <v>1.45</v>
      </c>
      <c r="M1689" s="219" t="n"/>
      <c r="P1689" s="117" t="n"/>
      <c r="R1689" s="117" t="n"/>
      <c r="T1689" s="117" t="n"/>
    </row>
    <row r="1690">
      <c r="A1690" s="134" t="inlineStr">
        <is>
          <t>17670XXX</t>
        </is>
      </c>
      <c r="B1690" s="248" t="inlineStr">
        <is>
          <t>TAVERNITI M/LARGA</t>
        </is>
      </c>
      <c r="C1690" s="88" t="n">
        <v>44100</v>
      </c>
      <c r="D1690" s="22" t="n"/>
      <c r="E1690" s="22" t="n"/>
      <c r="F1690" s="22" t="n"/>
      <c r="G1690" s="219" t="n"/>
      <c r="H1690" s="219" t="n"/>
      <c r="I1690" s="219" t="n"/>
      <c r="J1690" s="219" t="n"/>
      <c r="K1690" s="248">
        <f>ROUND((C1690*L1690)/100,0)*100</f>
        <v/>
      </c>
      <c r="L1690" s="96" t="n">
        <v>1.45</v>
      </c>
      <c r="M1690" s="219" t="n"/>
      <c r="P1690" s="117" t="n"/>
      <c r="R1690" s="117" t="n"/>
      <c r="T1690" s="117" t="n"/>
    </row>
    <row r="1691">
      <c r="A1691" s="134" t="inlineStr">
        <is>
          <t>17672XXX</t>
        </is>
      </c>
      <c r="B1691" s="248" t="inlineStr">
        <is>
          <t>TAVERNITI M/LARGA</t>
        </is>
      </c>
      <c r="C1691" s="88" t="n">
        <v>44100</v>
      </c>
      <c r="D1691" s="22" t="n"/>
      <c r="E1691" s="22" t="n"/>
      <c r="F1691" s="22" t="n"/>
      <c r="G1691" s="219" t="n"/>
      <c r="H1691" s="219" t="n"/>
      <c r="I1691" s="219" t="n"/>
      <c r="J1691" s="219" t="n"/>
      <c r="K1691" s="248">
        <f>ROUND((C1691*L1691)/100,0)*100</f>
        <v/>
      </c>
      <c r="L1691" s="96" t="n">
        <v>1.45</v>
      </c>
      <c r="M1691" s="219" t="n"/>
      <c r="P1691" s="117" t="n"/>
      <c r="R1691" s="117" t="n"/>
      <c r="T1691" s="117" t="n"/>
    </row>
    <row r="1692">
      <c r="A1692" s="134" t="inlineStr">
        <is>
          <t>17674XXX</t>
        </is>
      </c>
      <c r="B1692" s="248" t="inlineStr">
        <is>
          <t>TAVERNITI M/LARGA</t>
        </is>
      </c>
      <c r="C1692" s="88" t="n">
        <v>44100</v>
      </c>
      <c r="D1692" s="22" t="n"/>
      <c r="E1692" s="22" t="n"/>
      <c r="F1692" s="22" t="n"/>
      <c r="G1692" s="219" t="n"/>
      <c r="H1692" s="219" t="n"/>
      <c r="I1692" s="219" t="n"/>
      <c r="J1692" s="219" t="n"/>
      <c r="K1692" s="248">
        <f>ROUND((C1692*L1692)/100,0)*100</f>
        <v/>
      </c>
      <c r="L1692" s="96" t="n">
        <v>1.45</v>
      </c>
      <c r="M1692" s="219" t="n"/>
      <c r="P1692" s="117" t="n"/>
      <c r="R1692" s="117" t="n"/>
      <c r="T1692" s="117" t="n"/>
    </row>
    <row r="1693">
      <c r="A1693" s="89" t="inlineStr">
        <is>
          <t>17684XXX</t>
        </is>
      </c>
      <c r="B1693" s="248" t="inlineStr">
        <is>
          <t>TAVERNITI M/LARGA</t>
        </is>
      </c>
      <c r="C1693" s="88" t="n">
        <v>34700</v>
      </c>
      <c r="D1693" s="170" t="n"/>
      <c r="E1693" s="170" t="n"/>
      <c r="F1693" s="170" t="n"/>
      <c r="G1693" s="170" t="n"/>
      <c r="H1693" s="170" t="n"/>
      <c r="I1693" s="170" t="n"/>
      <c r="J1693" s="170" t="n"/>
      <c r="K1693" s="96">
        <f>ROUND((C1693*L1693)/100,0)*100</f>
        <v/>
      </c>
      <c r="L1693" s="96" t="n">
        <v>1.45</v>
      </c>
      <c r="M1693" s="170" t="n"/>
      <c r="P1693" s="170" t="n"/>
      <c r="Q1693" s="30" t="n"/>
      <c r="R1693" s="170" t="n"/>
      <c r="S1693" s="30" t="n"/>
      <c r="T1693" s="170" t="n"/>
      <c r="U1693" s="30" t="n"/>
      <c r="V1693" s="30" t="n"/>
      <c r="W1693" s="30" t="n"/>
      <c r="X1693" s="30" t="n"/>
      <c r="Y1693" s="30" t="n"/>
      <c r="Z1693" s="30" t="n"/>
      <c r="AA1693" s="30" t="n"/>
      <c r="AB1693" s="30" t="n"/>
      <c r="AC1693" s="30" t="n"/>
      <c r="AD1693" s="30" t="n"/>
      <c r="AE1693" s="30" t="n"/>
      <c r="AF1693" s="30" t="n"/>
      <c r="AG1693" s="30" t="n"/>
      <c r="AH1693" s="30" t="n"/>
      <c r="AI1693" s="30" t="n"/>
      <c r="AJ1693" s="30" t="n"/>
      <c r="AK1693" s="30" t="n"/>
      <c r="AL1693" s="30" t="n"/>
      <c r="AM1693" s="30" t="n"/>
      <c r="AN1693" s="30" t="n"/>
    </row>
    <row r="1694">
      <c r="A1694" s="89" t="inlineStr">
        <is>
          <t>17694XXX</t>
        </is>
      </c>
      <c r="B1694" s="248" t="inlineStr">
        <is>
          <t>TAVERNITI M/LARGA</t>
        </is>
      </c>
      <c r="C1694" s="88" t="n">
        <v>36700</v>
      </c>
      <c r="D1694" s="170" t="n"/>
      <c r="E1694" s="170" t="n"/>
      <c r="F1694" s="170" t="n"/>
      <c r="G1694" s="170" t="n"/>
      <c r="H1694" s="170" t="n"/>
      <c r="I1694" s="170" t="n"/>
      <c r="J1694" s="170" t="n"/>
      <c r="K1694" s="96">
        <f>ROUND((C1694*L1694)/100,0)*100</f>
        <v/>
      </c>
      <c r="L1694" s="96" t="n">
        <v>1.45</v>
      </c>
      <c r="M1694" s="170" t="n"/>
      <c r="P1694" s="170" t="n"/>
      <c r="Q1694" s="30" t="n"/>
      <c r="R1694" s="170" t="n"/>
      <c r="S1694" s="30" t="n"/>
      <c r="T1694" s="170" t="n"/>
      <c r="U1694" s="30" t="n"/>
      <c r="V1694" s="30" t="n"/>
      <c r="W1694" s="30" t="n"/>
      <c r="X1694" s="30" t="n"/>
      <c r="Y1694" s="30" t="n"/>
      <c r="Z1694" s="30" t="n"/>
      <c r="AA1694" s="30" t="n"/>
      <c r="AB1694" s="30" t="n"/>
      <c r="AC1694" s="30" t="n"/>
      <c r="AD1694" s="30" t="n"/>
      <c r="AE1694" s="30" t="n"/>
      <c r="AF1694" s="30" t="n"/>
      <c r="AG1694" s="30" t="n"/>
      <c r="AH1694" s="30" t="n"/>
      <c r="AI1694" s="30" t="n"/>
      <c r="AJ1694" s="30" t="n"/>
      <c r="AK1694" s="30" t="n"/>
      <c r="AL1694" s="30" t="n"/>
      <c r="AM1694" s="30" t="n"/>
      <c r="AN1694" s="30" t="n"/>
    </row>
    <row r="1695">
      <c r="A1695" s="89" t="inlineStr">
        <is>
          <t>17696XXX</t>
        </is>
      </c>
      <c r="B1695" s="248" t="inlineStr">
        <is>
          <t>TAVERNITI M/LARGA</t>
        </is>
      </c>
      <c r="C1695" s="88" t="n">
        <v>49800</v>
      </c>
      <c r="D1695" s="170" t="n"/>
      <c r="E1695" s="170" t="n"/>
      <c r="F1695" s="170" t="n"/>
      <c r="G1695" s="170" t="n"/>
      <c r="H1695" s="170" t="n"/>
      <c r="I1695" s="170" t="n"/>
      <c r="J1695" s="170" t="n"/>
      <c r="K1695" s="96">
        <f>ROUND((C1695*L1695)/100,0)*100</f>
        <v/>
      </c>
      <c r="L1695" s="96" t="n">
        <v>1.45</v>
      </c>
      <c r="M1695" s="170" t="n"/>
      <c r="P1695" s="170" t="n"/>
      <c r="Q1695" s="30" t="n"/>
      <c r="R1695" s="170" t="n"/>
      <c r="S1695" s="30" t="n"/>
      <c r="T1695" s="170" t="n"/>
      <c r="U1695" s="30" t="n"/>
      <c r="V1695" s="30" t="n"/>
      <c r="W1695" s="30" t="n"/>
      <c r="X1695" s="30" t="n"/>
      <c r="Y1695" s="30" t="n"/>
      <c r="Z1695" s="30" t="n"/>
      <c r="AA1695" s="30" t="n"/>
      <c r="AB1695" s="30" t="n"/>
      <c r="AC1695" s="30" t="n"/>
      <c r="AD1695" s="30" t="n"/>
      <c r="AE1695" s="30" t="n"/>
      <c r="AF1695" s="30" t="n"/>
      <c r="AG1695" s="30" t="n"/>
      <c r="AH1695" s="30" t="n"/>
      <c r="AI1695" s="30" t="n"/>
      <c r="AJ1695" s="30" t="n"/>
      <c r="AK1695" s="30" t="n"/>
      <c r="AL1695" s="30" t="n"/>
      <c r="AM1695" s="30" t="n"/>
      <c r="AN1695" s="30" t="n"/>
    </row>
    <row r="1696">
      <c r="A1696" s="134" t="inlineStr">
        <is>
          <t>17698XXX</t>
        </is>
      </c>
      <c r="B1696" s="248" t="inlineStr">
        <is>
          <t>TAVERNITI M/LARGA</t>
        </is>
      </c>
      <c r="C1696" s="88" t="n">
        <v>35600</v>
      </c>
      <c r="D1696" s="22" t="n"/>
      <c r="E1696" s="22" t="n"/>
      <c r="F1696" s="22" t="n"/>
      <c r="G1696" s="219" t="n"/>
      <c r="H1696" s="219" t="n"/>
      <c r="I1696" s="219" t="n"/>
      <c r="J1696" s="219" t="n"/>
      <c r="K1696" s="248">
        <f>ROUND((C1696*L1696)/100,0)*100</f>
        <v/>
      </c>
      <c r="L1696" s="96" t="n">
        <v>1.45</v>
      </c>
      <c r="M1696" s="219" t="n"/>
      <c r="P1696" s="117" t="n"/>
      <c r="R1696" s="117" t="n"/>
      <c r="T1696" s="117" t="n"/>
    </row>
    <row r="1697">
      <c r="A1697" s="134" t="inlineStr">
        <is>
          <t>17924XXX</t>
        </is>
      </c>
      <c r="B1697" s="248" t="inlineStr">
        <is>
          <t>TAVERNITI M/LARGA</t>
        </is>
      </c>
      <c r="C1697" s="88" t="n">
        <v>41300</v>
      </c>
      <c r="D1697" s="22" t="n"/>
      <c r="E1697" s="22" t="n"/>
      <c r="F1697" s="22" t="n"/>
      <c r="G1697" s="219" t="n"/>
      <c r="H1697" s="219" t="n"/>
      <c r="I1697" s="219" t="n"/>
      <c r="J1697" s="219" t="n"/>
      <c r="K1697" s="248">
        <f>ROUND((C1697*L1697)/100,0)*100</f>
        <v/>
      </c>
      <c r="L1697" s="96" t="n">
        <v>1.45</v>
      </c>
      <c r="M1697" s="219" t="n"/>
      <c r="P1697" s="117" t="n"/>
      <c r="R1697" s="117" t="n"/>
      <c r="T1697" s="117" t="n"/>
    </row>
    <row r="1698">
      <c r="A1698" s="134" t="inlineStr">
        <is>
          <t>17926XXX</t>
        </is>
      </c>
      <c r="B1698" s="248" t="inlineStr">
        <is>
          <t>TAVERNITI M/LARGA</t>
        </is>
      </c>
      <c r="C1698" s="88" t="n">
        <v>41300</v>
      </c>
      <c r="D1698" s="22" t="n"/>
      <c r="E1698" s="22" t="n"/>
      <c r="F1698" s="22" t="n"/>
      <c r="G1698" s="219" t="n"/>
      <c r="H1698" s="219" t="n"/>
      <c r="I1698" s="219" t="n"/>
      <c r="J1698" s="219" t="n"/>
      <c r="K1698" s="248">
        <f>ROUND((C1698*L1698)/100,0)*100</f>
        <v/>
      </c>
      <c r="L1698" s="96" t="n">
        <v>1.45</v>
      </c>
      <c r="M1698" s="219" t="n"/>
      <c r="P1698" s="117" t="n"/>
      <c r="R1698" s="117" t="n"/>
      <c r="T1698" s="117" t="n"/>
    </row>
    <row r="1699">
      <c r="A1699" s="89" t="inlineStr">
        <is>
          <t>20434XXX</t>
        </is>
      </c>
      <c r="B1699" s="248" t="inlineStr">
        <is>
          <t>TAVERNITI M/LARGA</t>
        </is>
      </c>
      <c r="C1699" s="88" t="n">
        <v>50600</v>
      </c>
      <c r="D1699" s="170" t="n"/>
      <c r="E1699" s="170" t="n"/>
      <c r="F1699" s="170" t="n"/>
      <c r="G1699" s="170" t="n"/>
      <c r="H1699" s="170" t="n"/>
      <c r="I1699" s="170" t="n"/>
      <c r="J1699" s="170" t="n"/>
      <c r="K1699" s="96">
        <f>ROUND((C1699*L1699)/100,0)*100</f>
        <v/>
      </c>
      <c r="L1699" s="96" t="n">
        <v>1.45</v>
      </c>
      <c r="M1699" s="170" t="n"/>
      <c r="N1699" s="30" t="n"/>
      <c r="O1699" s="30" t="n"/>
      <c r="P1699" s="170" t="n"/>
      <c r="Q1699" s="30" t="n"/>
      <c r="R1699" s="170" t="n"/>
      <c r="S1699" s="30" t="n"/>
      <c r="T1699" s="170" t="n"/>
      <c r="U1699" s="30" t="n"/>
      <c r="V1699" s="30" t="n"/>
      <c r="W1699" s="30" t="n"/>
      <c r="X1699" s="30" t="n"/>
      <c r="Y1699" s="30" t="n"/>
      <c r="Z1699" s="30" t="n"/>
      <c r="AA1699" s="30" t="n"/>
      <c r="AB1699" s="30" t="n"/>
      <c r="AC1699" s="30" t="n"/>
      <c r="AD1699" s="30" t="n"/>
      <c r="AE1699" s="30" t="n"/>
      <c r="AF1699" s="30" t="n"/>
      <c r="AG1699" s="30" t="n"/>
      <c r="AH1699" s="30" t="n"/>
      <c r="AI1699" s="30" t="n"/>
      <c r="AJ1699" s="30" t="n"/>
      <c r="AK1699" s="30" t="n"/>
      <c r="AL1699" s="30" t="n"/>
      <c r="AM1699" s="30" t="n"/>
      <c r="AN1699" s="30" t="n"/>
      <c r="AO1699" s="30" t="n"/>
    </row>
    <row r="1700">
      <c r="A1700" s="89" t="inlineStr">
        <is>
          <t>20440XXX</t>
        </is>
      </c>
      <c r="B1700" s="248" t="inlineStr">
        <is>
          <t>TAVERNITI M/LARGA</t>
        </is>
      </c>
      <c r="C1700" s="88" t="n">
        <v>47800</v>
      </c>
      <c r="D1700" s="170" t="n"/>
      <c r="E1700" s="170" t="n"/>
      <c r="F1700" s="170" t="n"/>
      <c r="G1700" s="170" t="n"/>
      <c r="H1700" s="170" t="n"/>
      <c r="I1700" s="170" t="n"/>
      <c r="J1700" s="170" t="n"/>
      <c r="K1700" s="96">
        <f>ROUND((C1700*L1700)/100,0)*100</f>
        <v/>
      </c>
      <c r="L1700" s="96" t="n">
        <v>1.45</v>
      </c>
      <c r="M1700" s="170" t="n"/>
      <c r="N1700" s="30" t="n"/>
      <c r="O1700" s="30" t="n"/>
      <c r="P1700" s="170" t="n"/>
      <c r="Q1700" s="30" t="n"/>
      <c r="R1700" s="170" t="n"/>
      <c r="S1700" s="30" t="n"/>
      <c r="T1700" s="170" t="n"/>
      <c r="U1700" s="30" t="n"/>
      <c r="V1700" s="30" t="n"/>
      <c r="W1700" s="30" t="n"/>
      <c r="X1700" s="30" t="n"/>
      <c r="Y1700" s="30" t="n"/>
      <c r="Z1700" s="30" t="n"/>
      <c r="AA1700" s="30" t="n"/>
      <c r="AB1700" s="30" t="n"/>
      <c r="AC1700" s="30" t="n"/>
      <c r="AD1700" s="30" t="n"/>
      <c r="AE1700" s="30" t="n"/>
      <c r="AF1700" s="30" t="n"/>
      <c r="AG1700" s="30" t="n"/>
      <c r="AH1700" s="30" t="n"/>
      <c r="AI1700" s="30" t="n"/>
      <c r="AJ1700" s="30" t="n"/>
      <c r="AK1700" s="30" t="n"/>
      <c r="AL1700" s="30" t="n"/>
      <c r="AM1700" s="30" t="n"/>
      <c r="AN1700" s="30" t="n"/>
      <c r="AO1700" s="30" t="n"/>
    </row>
    <row r="1701">
      <c r="A1701" s="89" t="inlineStr">
        <is>
          <t>20442XXX</t>
        </is>
      </c>
      <c r="B1701" s="248" t="inlineStr">
        <is>
          <t>TAVERNITI M/LARGA</t>
        </is>
      </c>
      <c r="C1701" s="88" t="n">
        <v>47800</v>
      </c>
      <c r="D1701" s="170" t="n"/>
      <c r="E1701" s="170" t="n"/>
      <c r="F1701" s="170" t="n"/>
      <c r="G1701" s="170" t="n"/>
      <c r="H1701" s="170" t="n"/>
      <c r="I1701" s="170" t="n"/>
      <c r="J1701" s="170" t="n"/>
      <c r="K1701" s="96">
        <f>ROUND((C1701*L1701)/100,0)*100</f>
        <v/>
      </c>
      <c r="L1701" s="96" t="n">
        <v>1.45</v>
      </c>
      <c r="M1701" s="170" t="n"/>
      <c r="N1701" s="30" t="n"/>
      <c r="O1701" s="30" t="n"/>
      <c r="P1701" s="170" t="n"/>
      <c r="Q1701" s="30" t="n"/>
      <c r="R1701" s="170" t="n"/>
      <c r="S1701" s="30" t="n"/>
      <c r="T1701" s="170" t="n"/>
      <c r="U1701" s="30" t="n"/>
      <c r="V1701" s="30" t="n"/>
      <c r="W1701" s="30" t="n"/>
      <c r="X1701" s="30" t="n"/>
      <c r="Y1701" s="30" t="n"/>
      <c r="Z1701" s="30" t="n"/>
      <c r="AA1701" s="30" t="n"/>
      <c r="AB1701" s="30" t="n"/>
      <c r="AC1701" s="30" t="n"/>
      <c r="AD1701" s="30" t="n"/>
      <c r="AE1701" s="30" t="n"/>
      <c r="AF1701" s="30" t="n"/>
      <c r="AG1701" s="30" t="n"/>
      <c r="AH1701" s="30" t="n"/>
      <c r="AI1701" s="30" t="n"/>
      <c r="AJ1701" s="30" t="n"/>
      <c r="AK1701" s="30" t="n"/>
      <c r="AL1701" s="30" t="n"/>
      <c r="AM1701" s="30" t="n"/>
      <c r="AN1701" s="30" t="n"/>
      <c r="AO1701" s="30" t="n"/>
    </row>
    <row r="1702">
      <c r="A1702" s="89" t="inlineStr">
        <is>
          <t>20444XXX</t>
        </is>
      </c>
      <c r="B1702" s="248" t="inlineStr">
        <is>
          <t>TAVERNITI M/LARGA</t>
        </is>
      </c>
      <c r="C1702" s="88" t="n">
        <v>47800</v>
      </c>
      <c r="D1702" s="170" t="n"/>
      <c r="E1702" s="170" t="n"/>
      <c r="F1702" s="170" t="n"/>
      <c r="G1702" s="170" t="n"/>
      <c r="H1702" s="170" t="n"/>
      <c r="I1702" s="170" t="n"/>
      <c r="J1702" s="170" t="n"/>
      <c r="K1702" s="96">
        <f>ROUND((C1702*L1702)/100,0)*100</f>
        <v/>
      </c>
      <c r="L1702" s="96" t="n">
        <v>1.45</v>
      </c>
      <c r="M1702" s="170" t="n"/>
      <c r="N1702" s="30" t="n"/>
      <c r="O1702" s="30" t="n"/>
      <c r="P1702" s="170" t="n"/>
      <c r="Q1702" s="30" t="n"/>
      <c r="R1702" s="170" t="n"/>
      <c r="S1702" s="30" t="n"/>
      <c r="T1702" s="170" t="n"/>
      <c r="U1702" s="30" t="n"/>
      <c r="V1702" s="30" t="n"/>
      <c r="W1702" s="30" t="n"/>
      <c r="X1702" s="30" t="n"/>
      <c r="Y1702" s="30" t="n"/>
      <c r="Z1702" s="30" t="n"/>
      <c r="AA1702" s="30" t="n"/>
      <c r="AB1702" s="30" t="n"/>
      <c r="AC1702" s="30" t="n"/>
      <c r="AD1702" s="30" t="n"/>
      <c r="AE1702" s="30" t="n"/>
      <c r="AF1702" s="30" t="n"/>
      <c r="AG1702" s="30" t="n"/>
      <c r="AH1702" s="30" t="n"/>
      <c r="AI1702" s="30" t="n"/>
      <c r="AJ1702" s="30" t="n"/>
      <c r="AK1702" s="30" t="n"/>
      <c r="AL1702" s="30" t="n"/>
      <c r="AM1702" s="30" t="n"/>
      <c r="AN1702" s="30" t="n"/>
      <c r="AO1702" s="30" t="n"/>
    </row>
    <row r="1703">
      <c r="A1703" s="89" t="inlineStr">
        <is>
          <t>20446XXX</t>
        </is>
      </c>
      <c r="B1703" s="248" t="inlineStr">
        <is>
          <t>TAVERNITI M/LARGA</t>
        </is>
      </c>
      <c r="C1703" s="88" t="n">
        <v>47800</v>
      </c>
      <c r="D1703" s="170" t="n"/>
      <c r="E1703" s="170" t="n"/>
      <c r="F1703" s="170" t="n"/>
      <c r="G1703" s="170" t="n"/>
      <c r="H1703" s="170" t="n"/>
      <c r="I1703" s="170" t="n"/>
      <c r="J1703" s="170" t="n"/>
      <c r="K1703" s="96">
        <f>ROUND((C1703*L1703)/100,0)*100</f>
        <v/>
      </c>
      <c r="L1703" s="96" t="n">
        <v>1.45</v>
      </c>
      <c r="M1703" s="170" t="n"/>
      <c r="N1703" s="30" t="n"/>
      <c r="O1703" s="30" t="n"/>
      <c r="P1703" s="170" t="n"/>
      <c r="Q1703" s="30" t="n"/>
      <c r="R1703" s="170" t="n"/>
      <c r="S1703" s="30" t="n"/>
      <c r="T1703" s="170" t="n"/>
      <c r="U1703" s="30" t="n"/>
      <c r="V1703" s="30" t="n"/>
      <c r="W1703" s="30" t="n"/>
      <c r="X1703" s="30" t="n"/>
      <c r="Y1703" s="30" t="n"/>
      <c r="Z1703" s="30" t="n"/>
      <c r="AA1703" s="30" t="n"/>
      <c r="AB1703" s="30" t="n"/>
      <c r="AC1703" s="30" t="n"/>
      <c r="AD1703" s="30" t="n"/>
      <c r="AE1703" s="30" t="n"/>
      <c r="AF1703" s="30" t="n"/>
      <c r="AG1703" s="30" t="n"/>
      <c r="AH1703" s="30" t="n"/>
      <c r="AI1703" s="30" t="n"/>
      <c r="AJ1703" s="30" t="n"/>
      <c r="AK1703" s="30" t="n"/>
      <c r="AL1703" s="30" t="n"/>
      <c r="AM1703" s="30" t="n"/>
      <c r="AN1703" s="30" t="n"/>
      <c r="AO1703" s="30" t="n"/>
    </row>
    <row r="1704">
      <c r="A1704" s="89" t="inlineStr">
        <is>
          <t>20448XXX</t>
        </is>
      </c>
      <c r="B1704" s="248" t="inlineStr">
        <is>
          <t>TAVERNITI M/LARGA</t>
        </is>
      </c>
      <c r="C1704" s="88" t="n">
        <v>47800</v>
      </c>
      <c r="D1704" s="170" t="n"/>
      <c r="E1704" s="170" t="n"/>
      <c r="F1704" s="170" t="n"/>
      <c r="G1704" s="170" t="n"/>
      <c r="H1704" s="170" t="n"/>
      <c r="I1704" s="170" t="n"/>
      <c r="J1704" s="170" t="n"/>
      <c r="K1704" s="96">
        <f>ROUND((C1704*L1704)/100,0)*100</f>
        <v/>
      </c>
      <c r="L1704" s="96" t="n">
        <v>1.45</v>
      </c>
      <c r="M1704" s="170" t="n"/>
      <c r="N1704" s="30" t="n"/>
      <c r="O1704" s="30" t="n"/>
      <c r="P1704" s="170" t="n"/>
      <c r="Q1704" s="30" t="n"/>
      <c r="R1704" s="170" t="n"/>
      <c r="S1704" s="30" t="n"/>
      <c r="T1704" s="170" t="n"/>
      <c r="U1704" s="30" t="n"/>
      <c r="V1704" s="30" t="n"/>
      <c r="W1704" s="30" t="n"/>
      <c r="X1704" s="30" t="n"/>
      <c r="Y1704" s="30" t="n"/>
      <c r="Z1704" s="30" t="n"/>
      <c r="AA1704" s="30" t="n"/>
      <c r="AB1704" s="30" t="n"/>
      <c r="AC1704" s="30" t="n"/>
      <c r="AD1704" s="30" t="n"/>
      <c r="AE1704" s="30" t="n"/>
      <c r="AF1704" s="30" t="n"/>
      <c r="AG1704" s="30" t="n"/>
      <c r="AH1704" s="30" t="n"/>
      <c r="AI1704" s="30" t="n"/>
      <c r="AJ1704" s="30" t="n"/>
      <c r="AK1704" s="30" t="n"/>
      <c r="AL1704" s="30" t="n"/>
      <c r="AM1704" s="30" t="n"/>
      <c r="AN1704" s="30" t="n"/>
      <c r="AO1704" s="30" t="n"/>
    </row>
    <row r="1705">
      <c r="A1705" s="89" t="inlineStr">
        <is>
          <t>20450XXX</t>
        </is>
      </c>
      <c r="B1705" s="248" t="inlineStr">
        <is>
          <t>TAVERNITI M/LARGA</t>
        </is>
      </c>
      <c r="C1705" s="88" t="n">
        <v>47800</v>
      </c>
      <c r="D1705" s="170" t="n"/>
      <c r="E1705" s="170" t="n"/>
      <c r="F1705" s="170" t="n"/>
      <c r="G1705" s="170" t="n"/>
      <c r="H1705" s="170" t="n"/>
      <c r="I1705" s="170" t="n"/>
      <c r="J1705" s="170" t="n"/>
      <c r="K1705" s="96">
        <f>ROUND((C1705*L1705)/100,0)*100</f>
        <v/>
      </c>
      <c r="L1705" s="96" t="n">
        <v>1.45</v>
      </c>
      <c r="M1705" s="170" t="n"/>
      <c r="N1705" s="30" t="n"/>
      <c r="O1705" s="30" t="n"/>
      <c r="P1705" s="170" t="n"/>
      <c r="Q1705" s="30" t="n"/>
      <c r="R1705" s="170" t="n"/>
      <c r="S1705" s="30" t="n"/>
      <c r="T1705" s="170" t="n"/>
      <c r="U1705" s="30" t="n"/>
      <c r="V1705" s="30" t="n"/>
      <c r="W1705" s="30" t="n"/>
      <c r="X1705" s="30" t="n"/>
      <c r="Y1705" s="30" t="n"/>
      <c r="Z1705" s="30" t="n"/>
      <c r="AA1705" s="30" t="n"/>
      <c r="AB1705" s="30" t="n"/>
      <c r="AC1705" s="30" t="n"/>
      <c r="AD1705" s="30" t="n"/>
      <c r="AE1705" s="30" t="n"/>
      <c r="AF1705" s="30" t="n"/>
      <c r="AG1705" s="30" t="n"/>
      <c r="AH1705" s="30" t="n"/>
      <c r="AI1705" s="30" t="n"/>
      <c r="AJ1705" s="30" t="n"/>
      <c r="AK1705" s="30" t="n"/>
      <c r="AL1705" s="30" t="n"/>
      <c r="AM1705" s="30" t="n"/>
      <c r="AN1705" s="30" t="n"/>
      <c r="AO1705" s="30" t="n"/>
    </row>
    <row r="1706">
      <c r="A1706" s="134" t="inlineStr">
        <is>
          <t>20452XXX</t>
        </is>
      </c>
      <c r="B1706" s="248" t="inlineStr">
        <is>
          <t>TAVERNITI M/LARGA</t>
        </is>
      </c>
      <c r="C1706" s="88" t="n">
        <v>49400</v>
      </c>
      <c r="D1706" s="22" t="n"/>
      <c r="E1706" s="22" t="n"/>
      <c r="F1706" s="22" t="n"/>
      <c r="G1706" s="219" t="n"/>
      <c r="H1706" s="219" t="n"/>
      <c r="I1706" s="219" t="n"/>
      <c r="J1706" s="219" t="n"/>
      <c r="K1706" s="248">
        <f>ROUND((C1706*L1706)/100,0)*100</f>
        <v/>
      </c>
      <c r="L1706" s="96" t="n">
        <v>1.45</v>
      </c>
      <c r="M1706" s="219" t="n"/>
      <c r="P1706" s="117" t="n"/>
      <c r="R1706" s="117" t="n"/>
      <c r="T1706" s="117" t="n"/>
    </row>
    <row r="1707">
      <c r="A1707" s="89" t="inlineStr">
        <is>
          <t>20464XXX</t>
        </is>
      </c>
      <c r="B1707" s="248" t="inlineStr">
        <is>
          <t>TAVERNITI M/LARGA</t>
        </is>
      </c>
      <c r="C1707" s="88" t="n">
        <v>60500</v>
      </c>
      <c r="D1707" s="170" t="n"/>
      <c r="E1707" s="170" t="n"/>
      <c r="F1707" s="170" t="n"/>
      <c r="G1707" s="170" t="n"/>
      <c r="H1707" s="170" t="n"/>
      <c r="I1707" s="170" t="n"/>
      <c r="J1707" s="170" t="n"/>
      <c r="K1707" s="96">
        <f>ROUND((C1707*L1707)/100,0)*100</f>
        <v/>
      </c>
      <c r="L1707" s="96" t="n">
        <v>1.45</v>
      </c>
      <c r="M1707" s="170" t="n"/>
      <c r="N1707" s="30" t="n"/>
      <c r="O1707" s="30" t="n"/>
      <c r="P1707" s="170" t="n"/>
      <c r="Q1707" s="30" t="n"/>
      <c r="R1707" s="170" t="n"/>
      <c r="S1707" s="30" t="n"/>
      <c r="T1707" s="170" t="n"/>
      <c r="U1707" s="30" t="n"/>
      <c r="V1707" s="30" t="n"/>
      <c r="W1707" s="30" t="n"/>
      <c r="X1707" s="30" t="n"/>
      <c r="Y1707" s="30" t="n"/>
      <c r="Z1707" s="30" t="n"/>
      <c r="AA1707" s="30" t="n"/>
      <c r="AB1707" s="30" t="n"/>
      <c r="AC1707" s="30" t="n"/>
      <c r="AD1707" s="30" t="n"/>
      <c r="AE1707" s="30" t="n"/>
      <c r="AF1707" s="30" t="n"/>
      <c r="AG1707" s="30" t="n"/>
      <c r="AH1707" s="30" t="n"/>
      <c r="AI1707" s="30" t="n"/>
      <c r="AJ1707" s="30" t="n"/>
      <c r="AK1707" s="30" t="n"/>
      <c r="AL1707" s="30" t="n"/>
      <c r="AM1707" s="30" t="n"/>
      <c r="AN1707" s="30" t="n"/>
      <c r="AO1707" s="30" t="n"/>
    </row>
    <row r="1708">
      <c r="A1708" s="89" t="inlineStr">
        <is>
          <t>20470XXX</t>
        </is>
      </c>
      <c r="B1708" s="248" t="inlineStr">
        <is>
          <t>TAVERNITI M/LARGA</t>
        </is>
      </c>
      <c r="C1708" s="88" t="n">
        <v>60500</v>
      </c>
      <c r="D1708" s="170" t="n"/>
      <c r="E1708" s="170" t="n"/>
      <c r="F1708" s="170" t="n"/>
      <c r="G1708" s="170" t="n"/>
      <c r="H1708" s="170" t="n"/>
      <c r="I1708" s="170" t="n"/>
      <c r="J1708" s="170" t="n"/>
      <c r="K1708" s="96">
        <f>ROUND((C1708*L1708)/100,0)*100</f>
        <v/>
      </c>
      <c r="L1708" s="96" t="n">
        <v>1.45</v>
      </c>
      <c r="M1708" s="170" t="n"/>
      <c r="N1708" s="30" t="n"/>
      <c r="O1708" s="30" t="n"/>
      <c r="P1708" s="170" t="n"/>
      <c r="Q1708" s="30" t="n"/>
      <c r="R1708" s="170" t="n"/>
      <c r="S1708" s="30" t="n"/>
      <c r="T1708" s="170" t="n"/>
      <c r="U1708" s="30" t="n"/>
      <c r="V1708" s="30" t="n"/>
      <c r="W1708" s="30" t="n"/>
      <c r="X1708" s="30" t="n"/>
      <c r="Y1708" s="30" t="n"/>
      <c r="Z1708" s="30" t="n"/>
      <c r="AA1708" s="30" t="n"/>
      <c r="AB1708" s="30" t="n"/>
      <c r="AC1708" s="30" t="n"/>
      <c r="AD1708" s="30" t="n"/>
      <c r="AE1708" s="30" t="n"/>
      <c r="AF1708" s="30" t="n"/>
      <c r="AG1708" s="30" t="n"/>
      <c r="AH1708" s="30" t="n"/>
      <c r="AI1708" s="30" t="n"/>
      <c r="AJ1708" s="30" t="n"/>
      <c r="AK1708" s="30" t="n"/>
      <c r="AL1708" s="30" t="n"/>
      <c r="AM1708" s="30" t="n"/>
      <c r="AN1708" s="30" t="n"/>
      <c r="AO1708" s="30" t="n"/>
    </row>
    <row r="1709">
      <c r="A1709" s="89" t="inlineStr">
        <is>
          <t>20472XXX</t>
        </is>
      </c>
      <c r="B1709" s="248" t="inlineStr">
        <is>
          <t>TAVERNITI M/LARGA</t>
        </is>
      </c>
      <c r="C1709" s="88" t="n">
        <v>60500</v>
      </c>
      <c r="D1709" s="170" t="n"/>
      <c r="E1709" s="170" t="n"/>
      <c r="F1709" s="170" t="n"/>
      <c r="G1709" s="170" t="n"/>
      <c r="H1709" s="170" t="n"/>
      <c r="I1709" s="170" t="n"/>
      <c r="J1709" s="170" t="n"/>
      <c r="K1709" s="96">
        <f>ROUND((C1709*L1709)/100,0)*100</f>
        <v/>
      </c>
      <c r="L1709" s="96" t="n">
        <v>1.45</v>
      </c>
      <c r="M1709" s="170" t="n"/>
      <c r="N1709" s="30" t="n"/>
      <c r="O1709" s="30" t="n"/>
      <c r="P1709" s="170" t="n"/>
      <c r="Q1709" s="30" t="n"/>
      <c r="R1709" s="170" t="n"/>
      <c r="S1709" s="30" t="n"/>
      <c r="T1709" s="170" t="n"/>
      <c r="U1709" s="30" t="n"/>
      <c r="V1709" s="30" t="n"/>
      <c r="W1709" s="30" t="n"/>
      <c r="X1709" s="30" t="n"/>
      <c r="Y1709" s="30" t="n"/>
      <c r="Z1709" s="30" t="n"/>
      <c r="AA1709" s="30" t="n"/>
      <c r="AB1709" s="30" t="n"/>
      <c r="AC1709" s="30" t="n"/>
      <c r="AD1709" s="30" t="n"/>
      <c r="AE1709" s="30" t="n"/>
      <c r="AF1709" s="30" t="n"/>
      <c r="AG1709" s="30" t="n"/>
      <c r="AH1709" s="30" t="n"/>
      <c r="AI1709" s="30" t="n"/>
      <c r="AJ1709" s="30" t="n"/>
      <c r="AK1709" s="30" t="n"/>
      <c r="AL1709" s="30" t="n"/>
      <c r="AM1709" s="30" t="n"/>
      <c r="AN1709" s="30" t="n"/>
      <c r="AO1709" s="30" t="n"/>
    </row>
    <row r="1710">
      <c r="A1710" s="89" t="inlineStr">
        <is>
          <t>20474XXX</t>
        </is>
      </c>
      <c r="B1710" s="248" t="inlineStr">
        <is>
          <t>TAVERNITI M/LARGA</t>
        </is>
      </c>
      <c r="C1710" s="88" t="n">
        <v>60500</v>
      </c>
      <c r="D1710" s="170" t="n"/>
      <c r="E1710" s="170" t="n"/>
      <c r="F1710" s="170" t="n"/>
      <c r="G1710" s="170" t="n"/>
      <c r="H1710" s="170" t="n"/>
      <c r="I1710" s="170" t="n"/>
      <c r="J1710" s="170" t="n"/>
      <c r="K1710" s="96">
        <f>ROUND((C1710*L1710)/100,0)*100</f>
        <v/>
      </c>
      <c r="L1710" s="96" t="n">
        <v>1.45</v>
      </c>
      <c r="M1710" s="170" t="n"/>
      <c r="N1710" s="30" t="n"/>
      <c r="O1710" s="30" t="n"/>
      <c r="P1710" s="170" t="n"/>
      <c r="Q1710" s="30" t="n"/>
      <c r="R1710" s="170" t="n"/>
      <c r="S1710" s="30" t="n"/>
      <c r="T1710" s="170" t="n"/>
      <c r="U1710" s="30" t="n"/>
      <c r="V1710" s="30" t="n"/>
      <c r="W1710" s="30" t="n"/>
      <c r="X1710" s="30" t="n"/>
      <c r="Y1710" s="30" t="n"/>
      <c r="Z1710" s="30" t="n"/>
      <c r="AA1710" s="30" t="n"/>
      <c r="AB1710" s="30" t="n"/>
      <c r="AC1710" s="30" t="n"/>
      <c r="AD1710" s="30" t="n"/>
      <c r="AE1710" s="30" t="n"/>
      <c r="AF1710" s="30" t="n"/>
      <c r="AG1710" s="30" t="n"/>
      <c r="AH1710" s="30" t="n"/>
      <c r="AI1710" s="30" t="n"/>
      <c r="AJ1710" s="30" t="n"/>
      <c r="AK1710" s="30" t="n"/>
      <c r="AL1710" s="30" t="n"/>
      <c r="AM1710" s="30" t="n"/>
      <c r="AN1710" s="30" t="n"/>
      <c r="AO1710" s="30" t="n"/>
    </row>
    <row r="1711">
      <c r="A1711" s="134" t="inlineStr">
        <is>
          <t>20476XXX</t>
        </is>
      </c>
      <c r="B1711" s="248" t="inlineStr">
        <is>
          <t>TAVERNITI M/LARGA</t>
        </is>
      </c>
      <c r="C1711" s="88" t="n">
        <v>49200</v>
      </c>
      <c r="D1711" s="22" t="n"/>
      <c r="E1711" s="22" t="n"/>
      <c r="F1711" s="22" t="n"/>
      <c r="G1711" s="219" t="n"/>
      <c r="H1711" s="219" t="n"/>
      <c r="I1711" s="219" t="n"/>
      <c r="J1711" s="219" t="n"/>
      <c r="K1711" s="248">
        <f>ROUND((C1711*L1711)/100,0)*100</f>
        <v/>
      </c>
      <c r="L1711" s="96" t="n">
        <v>1.45</v>
      </c>
      <c r="M1711" s="219" t="n"/>
      <c r="P1711" s="117" t="n"/>
      <c r="R1711" s="117" t="n"/>
      <c r="T1711" s="117" t="n"/>
    </row>
    <row r="1712">
      <c r="A1712" s="89" t="inlineStr">
        <is>
          <t>20478XXX</t>
        </is>
      </c>
      <c r="B1712" s="248" t="inlineStr">
        <is>
          <t>TAVERNITI M/LARGA</t>
        </is>
      </c>
      <c r="C1712" s="88" t="n">
        <v>60500</v>
      </c>
      <c r="D1712" s="170" t="n"/>
      <c r="E1712" s="170" t="n"/>
      <c r="F1712" s="170" t="n"/>
      <c r="G1712" s="170" t="n"/>
      <c r="H1712" s="170" t="n"/>
      <c r="I1712" s="170" t="n"/>
      <c r="J1712" s="170" t="n"/>
      <c r="K1712" s="96">
        <f>ROUND((C1712*L1712)/100,0)*100</f>
        <v/>
      </c>
      <c r="L1712" s="96" t="n">
        <v>1.45</v>
      </c>
      <c r="M1712" s="170" t="n"/>
      <c r="N1712" s="30" t="n"/>
      <c r="O1712" s="30" t="n"/>
      <c r="P1712" s="170" t="n"/>
      <c r="Q1712" s="30" t="n"/>
      <c r="R1712" s="170" t="n"/>
      <c r="S1712" s="30" t="n"/>
      <c r="T1712" s="170" t="n"/>
      <c r="U1712" s="30" t="n"/>
      <c r="V1712" s="30" t="n"/>
      <c r="W1712" s="30" t="n"/>
      <c r="X1712" s="30" t="n"/>
      <c r="Y1712" s="30" t="n"/>
      <c r="Z1712" s="30" t="n"/>
      <c r="AA1712" s="30" t="n"/>
      <c r="AB1712" s="30" t="n"/>
      <c r="AC1712" s="30" t="n"/>
      <c r="AD1712" s="30" t="n"/>
      <c r="AE1712" s="30" t="n"/>
      <c r="AF1712" s="30" t="n"/>
      <c r="AG1712" s="30" t="n"/>
      <c r="AH1712" s="30" t="n"/>
      <c r="AI1712" s="30" t="n"/>
      <c r="AJ1712" s="30" t="n"/>
      <c r="AK1712" s="30" t="n"/>
      <c r="AL1712" s="30" t="n"/>
      <c r="AM1712" s="30" t="n"/>
      <c r="AN1712" s="30" t="n"/>
      <c r="AO1712" s="30" t="n"/>
    </row>
    <row r="1713">
      <c r="A1713" s="134" t="inlineStr">
        <is>
          <t>20480XXX</t>
        </is>
      </c>
      <c r="B1713" s="248" t="inlineStr">
        <is>
          <t>TAVERNITI M/LARGA</t>
        </is>
      </c>
      <c r="C1713" s="88" t="n">
        <v>60500</v>
      </c>
      <c r="D1713" s="22" t="n"/>
      <c r="E1713" s="22" t="n"/>
      <c r="F1713" s="22" t="n"/>
      <c r="G1713" s="219" t="n"/>
      <c r="H1713" s="219" t="n"/>
      <c r="I1713" s="219" t="n"/>
      <c r="J1713" s="219" t="n"/>
      <c r="K1713" s="248">
        <f>ROUND((C1713*L1713)/100,0)*100</f>
        <v/>
      </c>
      <c r="L1713" s="96" t="n">
        <v>1.45</v>
      </c>
      <c r="M1713" s="219" t="n"/>
      <c r="P1713" s="117" t="n"/>
      <c r="R1713" s="117" t="n"/>
      <c r="T1713" s="117" t="n"/>
    </row>
    <row r="1714">
      <c r="A1714" s="134" t="inlineStr">
        <is>
          <t>20482XXX</t>
        </is>
      </c>
      <c r="B1714" s="248" t="inlineStr">
        <is>
          <t>TAVERNITI M/LARGA</t>
        </is>
      </c>
      <c r="C1714" s="88" t="n">
        <v>60500</v>
      </c>
      <c r="D1714" s="22" t="n"/>
      <c r="E1714" s="22" t="n"/>
      <c r="F1714" s="22" t="n"/>
      <c r="G1714" s="219" t="n"/>
      <c r="H1714" s="219" t="n"/>
      <c r="I1714" s="219" t="n"/>
      <c r="J1714" s="219" t="n"/>
      <c r="K1714" s="248">
        <f>ROUND((C1714*L1714)/100,0)*100</f>
        <v/>
      </c>
      <c r="L1714" s="96" t="n">
        <v>1.45</v>
      </c>
      <c r="M1714" s="219" t="n"/>
      <c r="P1714" s="117" t="n"/>
      <c r="R1714" s="117" t="n"/>
      <c r="T1714" s="117" t="n"/>
    </row>
    <row r="1715">
      <c r="A1715" s="134" t="inlineStr">
        <is>
          <t>20484XXX</t>
        </is>
      </c>
      <c r="B1715" s="248" t="inlineStr">
        <is>
          <t>TAVERNITI M/LARGA</t>
        </is>
      </c>
      <c r="C1715" s="88" t="n">
        <v>66900</v>
      </c>
      <c r="D1715" s="22" t="n"/>
      <c r="E1715" s="22" t="n"/>
      <c r="F1715" s="22" t="n"/>
      <c r="G1715" s="219" t="n"/>
      <c r="H1715" s="219" t="n"/>
      <c r="I1715" s="219" t="n"/>
      <c r="J1715" s="219" t="n"/>
      <c r="K1715" s="248">
        <f>ROUND((C1715*L1715)/100,0)*100</f>
        <v/>
      </c>
      <c r="L1715" s="96" t="n">
        <v>1.45</v>
      </c>
      <c r="M1715" s="219" t="n"/>
      <c r="P1715" s="117" t="n"/>
      <c r="R1715" s="117" t="n"/>
      <c r="T1715" s="117" t="n"/>
    </row>
    <row r="1716">
      <c r="A1716" s="89" t="inlineStr">
        <is>
          <t>20486XXX</t>
        </is>
      </c>
      <c r="B1716" s="248" t="inlineStr">
        <is>
          <t>TAVERNITI M/LARGA</t>
        </is>
      </c>
      <c r="C1716" s="88" t="n">
        <v>66900</v>
      </c>
      <c r="D1716" s="170" t="n"/>
      <c r="E1716" s="170" t="n"/>
      <c r="F1716" s="170" t="n"/>
      <c r="G1716" s="170" t="n"/>
      <c r="H1716" s="170" t="n"/>
      <c r="I1716" s="170" t="n"/>
      <c r="J1716" s="170" t="n"/>
      <c r="K1716" s="96">
        <f>ROUND((C1716*L1716)/100,0)*100</f>
        <v/>
      </c>
      <c r="L1716" s="96" t="n">
        <v>1.45</v>
      </c>
      <c r="M1716" s="170" t="n"/>
      <c r="N1716" s="30" t="n"/>
      <c r="O1716" s="30" t="n"/>
      <c r="P1716" s="170" t="n"/>
      <c r="Q1716" s="30" t="n"/>
      <c r="R1716" s="170" t="n"/>
      <c r="S1716" s="30" t="n"/>
      <c r="T1716" s="170" t="n"/>
      <c r="U1716" s="30" t="n"/>
      <c r="V1716" s="30" t="n"/>
      <c r="W1716" s="30" t="n"/>
      <c r="X1716" s="30" t="n"/>
      <c r="Y1716" s="30" t="n"/>
      <c r="Z1716" s="30" t="n"/>
      <c r="AA1716" s="30" t="n"/>
      <c r="AB1716" s="30" t="n"/>
      <c r="AC1716" s="30" t="n"/>
      <c r="AD1716" s="30" t="n"/>
      <c r="AE1716" s="30" t="n"/>
      <c r="AF1716" s="30" t="n"/>
      <c r="AG1716" s="30" t="n"/>
      <c r="AH1716" s="30" t="n"/>
      <c r="AI1716" s="30" t="n"/>
      <c r="AJ1716" s="30" t="n"/>
      <c r="AK1716" s="30" t="n"/>
      <c r="AL1716" s="30" t="n"/>
      <c r="AM1716" s="30" t="n"/>
      <c r="AN1716" s="30" t="n"/>
      <c r="AO1716" s="30" t="n"/>
    </row>
    <row r="1717">
      <c r="A1717" s="134" t="inlineStr">
        <is>
          <t>20488XXX</t>
        </is>
      </c>
      <c r="B1717" s="248" t="inlineStr">
        <is>
          <t>TAVERNITI M/LARGA</t>
        </is>
      </c>
      <c r="C1717" s="88" t="n">
        <v>57900</v>
      </c>
      <c r="D1717" s="22" t="n"/>
      <c r="E1717" s="22" t="n"/>
      <c r="F1717" s="22" t="n"/>
      <c r="G1717" s="219" t="n"/>
      <c r="H1717" s="219" t="n"/>
      <c r="I1717" s="219" t="n"/>
      <c r="J1717" s="219" t="n"/>
      <c r="K1717" s="248">
        <f>ROUND((C1717*L1717)/100,0)*100</f>
        <v/>
      </c>
      <c r="L1717" s="96" t="n">
        <v>1.45</v>
      </c>
      <c r="M1717" s="219" t="n"/>
      <c r="P1717" s="117" t="n"/>
      <c r="R1717" s="117" t="n"/>
      <c r="T1717" s="117" t="n"/>
    </row>
    <row r="1718">
      <c r="A1718" s="89" t="inlineStr">
        <is>
          <t>20602XXX</t>
        </is>
      </c>
      <c r="B1718" s="248" t="inlineStr">
        <is>
          <t>TAVERNITI M/LARGA</t>
        </is>
      </c>
      <c r="C1718" s="88" t="n">
        <v>66900</v>
      </c>
      <c r="D1718" s="170" t="n"/>
      <c r="E1718" s="170" t="n"/>
      <c r="F1718" s="170" t="n"/>
      <c r="G1718" s="170" t="n"/>
      <c r="H1718" s="170" t="n"/>
      <c r="I1718" s="170" t="n"/>
      <c r="J1718" s="170" t="n"/>
      <c r="K1718" s="96">
        <f>ROUND((C1718*L1718)/100,0)*100</f>
        <v/>
      </c>
      <c r="L1718" s="96" t="n">
        <v>1.45</v>
      </c>
      <c r="M1718" s="170" t="n"/>
      <c r="N1718" s="30" t="n"/>
      <c r="O1718" s="30" t="n"/>
      <c r="P1718" s="170" t="n"/>
      <c r="Q1718" s="30" t="n"/>
      <c r="R1718" s="170" t="n"/>
      <c r="S1718" s="30" t="n"/>
      <c r="T1718" s="170" t="n"/>
      <c r="U1718" s="30" t="n"/>
      <c r="V1718" s="30" t="n"/>
      <c r="W1718" s="30" t="n"/>
      <c r="X1718" s="30" t="n"/>
      <c r="Y1718" s="30" t="n"/>
      <c r="Z1718" s="30" t="n"/>
      <c r="AA1718" s="30" t="n"/>
      <c r="AB1718" s="30" t="n"/>
      <c r="AC1718" s="30" t="n"/>
      <c r="AD1718" s="30" t="n"/>
      <c r="AE1718" s="30" t="n"/>
      <c r="AF1718" s="30" t="n"/>
      <c r="AG1718" s="30" t="n"/>
      <c r="AH1718" s="30" t="n"/>
      <c r="AI1718" s="30" t="n"/>
      <c r="AJ1718" s="30" t="n"/>
      <c r="AK1718" s="30" t="n"/>
      <c r="AL1718" s="30" t="n"/>
      <c r="AM1718" s="30" t="n"/>
      <c r="AN1718" s="30" t="n"/>
      <c r="AO1718" s="30" t="n"/>
    </row>
    <row r="1719">
      <c r="A1719" s="89" t="inlineStr">
        <is>
          <t>20602XXX</t>
        </is>
      </c>
      <c r="B1719" s="248" t="inlineStr">
        <is>
          <t>TAVERNITI M/LARGA</t>
        </is>
      </c>
      <c r="C1719" s="88" t="n">
        <v>66900</v>
      </c>
      <c r="D1719" s="170" t="n"/>
      <c r="E1719" s="170" t="n"/>
      <c r="F1719" s="170" t="n"/>
      <c r="G1719" s="170" t="n"/>
      <c r="H1719" s="170" t="n"/>
      <c r="I1719" s="170" t="n"/>
      <c r="J1719" s="170" t="n"/>
      <c r="K1719" s="96">
        <f>ROUND((C1719*L1719)/100,0)*100</f>
        <v/>
      </c>
      <c r="L1719" s="96" t="n">
        <v>1.45</v>
      </c>
      <c r="M1719" s="170" t="n"/>
      <c r="N1719" s="30" t="n"/>
      <c r="O1719" s="30" t="n"/>
      <c r="P1719" s="170" t="n"/>
      <c r="Q1719" s="30" t="n"/>
      <c r="R1719" s="170" t="n"/>
      <c r="S1719" s="30" t="n"/>
      <c r="T1719" s="170" t="n"/>
      <c r="U1719" s="30" t="n"/>
      <c r="V1719" s="30" t="n"/>
      <c r="W1719" s="30" t="n"/>
      <c r="X1719" s="30" t="n"/>
      <c r="Y1719" s="30" t="n"/>
      <c r="Z1719" s="30" t="n"/>
      <c r="AA1719" s="30" t="n"/>
      <c r="AB1719" s="30" t="n"/>
      <c r="AC1719" s="30" t="n"/>
      <c r="AD1719" s="30" t="n"/>
      <c r="AE1719" s="30" t="n"/>
      <c r="AF1719" s="30" t="n"/>
      <c r="AG1719" s="30" t="n"/>
      <c r="AH1719" s="30" t="n"/>
      <c r="AI1719" s="30" t="n"/>
      <c r="AJ1719" s="30" t="n"/>
      <c r="AK1719" s="30" t="n"/>
      <c r="AL1719" s="30" t="n"/>
      <c r="AM1719" s="30" t="n"/>
      <c r="AN1719" s="30" t="n"/>
      <c r="AO1719" s="30" t="n"/>
    </row>
    <row r="1720">
      <c r="A1720" s="89" t="inlineStr">
        <is>
          <t>20604XXX</t>
        </is>
      </c>
      <c r="B1720" s="248" t="inlineStr">
        <is>
          <t>TAVERNITI M/LARGA</t>
        </is>
      </c>
      <c r="C1720" s="88" t="n">
        <v>49200</v>
      </c>
      <c r="D1720" s="170" t="n"/>
      <c r="E1720" s="170" t="n"/>
      <c r="F1720" s="170" t="n"/>
      <c r="G1720" s="170" t="n"/>
      <c r="H1720" s="170" t="n"/>
      <c r="I1720" s="170" t="n"/>
      <c r="J1720" s="170" t="n"/>
      <c r="K1720" s="96">
        <f>ROUND((C1720*L1720)/100,0)*100</f>
        <v/>
      </c>
      <c r="L1720" s="96" t="n">
        <v>1.45</v>
      </c>
      <c r="M1720" s="170" t="n"/>
      <c r="N1720" s="30" t="n"/>
      <c r="O1720" s="30" t="n"/>
      <c r="P1720" s="170" t="n"/>
      <c r="Q1720" s="30" t="n"/>
      <c r="R1720" s="170" t="n"/>
      <c r="S1720" s="30" t="n"/>
      <c r="T1720" s="170" t="n"/>
      <c r="U1720" s="30" t="n"/>
      <c r="V1720" s="30" t="n"/>
      <c r="W1720" s="30" t="n"/>
      <c r="X1720" s="30" t="n"/>
      <c r="Y1720" s="30" t="n"/>
      <c r="Z1720" s="30" t="n"/>
      <c r="AA1720" s="30" t="n"/>
      <c r="AB1720" s="30" t="n"/>
      <c r="AC1720" s="30" t="n"/>
      <c r="AD1720" s="30" t="n"/>
      <c r="AE1720" s="30" t="n"/>
      <c r="AF1720" s="30" t="n"/>
      <c r="AG1720" s="30" t="n"/>
      <c r="AH1720" s="30" t="n"/>
      <c r="AI1720" s="30" t="n"/>
      <c r="AJ1720" s="30" t="n"/>
      <c r="AK1720" s="30" t="n"/>
      <c r="AL1720" s="30" t="n"/>
      <c r="AM1720" s="30" t="n"/>
      <c r="AN1720" s="30" t="n"/>
      <c r="AO1720" s="30" t="n"/>
    </row>
    <row r="1721">
      <c r="A1721" s="134" t="inlineStr">
        <is>
          <t>20610XXX</t>
        </is>
      </c>
      <c r="B1721" s="248" t="inlineStr">
        <is>
          <t>TAVERNITI M/LARGA</t>
        </is>
      </c>
      <c r="C1721" s="88" t="n">
        <v>60500</v>
      </c>
      <c r="D1721" s="22" t="n"/>
      <c r="E1721" s="22" t="n"/>
      <c r="F1721" s="22" t="n"/>
      <c r="G1721" s="219" t="n"/>
      <c r="H1721" s="219" t="n"/>
      <c r="I1721" s="219" t="n"/>
      <c r="J1721" s="219" t="n"/>
      <c r="K1721" s="248">
        <f>ROUND((C1721*L1721)/100,0)*100</f>
        <v/>
      </c>
      <c r="L1721" s="96" t="n">
        <v>1.45</v>
      </c>
      <c r="M1721" s="219" t="n"/>
      <c r="P1721" s="117" t="n"/>
      <c r="R1721" s="117" t="n"/>
      <c r="T1721" s="117" t="n"/>
    </row>
    <row r="1722">
      <c r="A1722" s="134" t="inlineStr">
        <is>
          <t>20614XXX</t>
        </is>
      </c>
      <c r="B1722" s="248" t="inlineStr">
        <is>
          <t>TAVERNITI M/LARGA</t>
        </is>
      </c>
      <c r="C1722" s="88" t="n">
        <v>60500</v>
      </c>
      <c r="D1722" s="22" t="n"/>
      <c r="E1722" s="22" t="n"/>
      <c r="F1722" s="22" t="n"/>
      <c r="G1722" s="219" t="n"/>
      <c r="H1722" s="219" t="n"/>
      <c r="I1722" s="219" t="n"/>
      <c r="J1722" s="219" t="n"/>
      <c r="K1722" s="248">
        <f>ROUND((C1722*L1722)/100,0)*100</f>
        <v/>
      </c>
      <c r="L1722" s="96" t="n">
        <v>1.45</v>
      </c>
      <c r="M1722" s="219" t="n"/>
      <c r="P1722" s="117" t="n"/>
      <c r="R1722" s="117" t="n"/>
      <c r="T1722" s="117" t="n"/>
    </row>
    <row r="1723">
      <c r="A1723" s="134" t="inlineStr">
        <is>
          <t>20618XXX</t>
        </is>
      </c>
      <c r="B1723" s="248" t="inlineStr">
        <is>
          <t>TAVERNITI M/LARGA</t>
        </is>
      </c>
      <c r="C1723" s="88" t="n">
        <v>60500</v>
      </c>
      <c r="D1723" s="22" t="n"/>
      <c r="E1723" s="22" t="n"/>
      <c r="F1723" s="22" t="n"/>
      <c r="G1723" s="219" t="n"/>
      <c r="H1723" s="219" t="n"/>
      <c r="I1723" s="219" t="n"/>
      <c r="J1723" s="219" t="n"/>
      <c r="K1723" s="248">
        <f>ROUND((C1723*L1723)/100,0)*100</f>
        <v/>
      </c>
      <c r="L1723" s="96" t="n">
        <v>1.45</v>
      </c>
      <c r="M1723" s="219" t="n"/>
      <c r="P1723" s="117" t="n"/>
      <c r="R1723" s="117" t="n"/>
      <c r="T1723" s="117" t="n"/>
    </row>
    <row r="1724">
      <c r="A1724" s="134" t="inlineStr">
        <is>
          <t>20684XXX</t>
        </is>
      </c>
      <c r="B1724" s="248" t="inlineStr">
        <is>
          <t>TAVERNITI M/LARGA</t>
        </is>
      </c>
      <c r="C1724" s="88" t="n">
        <v>60500</v>
      </c>
      <c r="D1724" s="22" t="n"/>
      <c r="E1724" s="22" t="n"/>
      <c r="F1724" s="22" t="n"/>
      <c r="G1724" s="219" t="n"/>
      <c r="H1724" s="219" t="n"/>
      <c r="I1724" s="219" t="n"/>
      <c r="J1724" s="219" t="n"/>
      <c r="K1724" s="248">
        <f>ROUND((C1724*L1724)/100,0)*100</f>
        <v/>
      </c>
      <c r="L1724" s="96" t="n">
        <v>1.45</v>
      </c>
      <c r="M1724" s="219" t="n"/>
      <c r="P1724" s="117" t="n"/>
      <c r="R1724" s="117" t="n"/>
      <c r="T1724" s="117" t="n"/>
    </row>
    <row r="1725">
      <c r="A1725" s="89" t="inlineStr">
        <is>
          <t>20972XXX</t>
        </is>
      </c>
      <c r="B1725" s="248" t="inlineStr">
        <is>
          <t>TAVERNITI M/LARGA</t>
        </is>
      </c>
      <c r="C1725" s="88" t="n">
        <v>57900</v>
      </c>
      <c r="D1725" s="170" t="n"/>
      <c r="E1725" s="170" t="n"/>
      <c r="F1725" s="170" t="n"/>
      <c r="G1725" s="170" t="n"/>
      <c r="H1725" s="170" t="n"/>
      <c r="I1725" s="170" t="n"/>
      <c r="J1725" s="170" t="n"/>
      <c r="K1725" s="96">
        <f>ROUND((C1725*L1725)/100,0)*100</f>
        <v/>
      </c>
      <c r="L1725" s="96" t="n">
        <v>1.45</v>
      </c>
      <c r="M1725" s="170" t="n"/>
      <c r="N1725" s="30" t="n"/>
      <c r="O1725" s="30" t="n"/>
      <c r="P1725" s="170" t="n"/>
      <c r="Q1725" s="30" t="n"/>
      <c r="R1725" s="170" t="n"/>
      <c r="S1725" s="30" t="n"/>
      <c r="T1725" s="170" t="n"/>
      <c r="U1725" s="30" t="n"/>
      <c r="V1725" s="30" t="n"/>
      <c r="W1725" s="30" t="n"/>
      <c r="X1725" s="30" t="n"/>
      <c r="Y1725" s="30" t="n"/>
      <c r="Z1725" s="30" t="n"/>
      <c r="AA1725" s="30" t="n"/>
      <c r="AB1725" s="30" t="n"/>
      <c r="AC1725" s="30" t="n"/>
      <c r="AD1725" s="30" t="n"/>
      <c r="AE1725" s="30" t="n"/>
      <c r="AF1725" s="30" t="n"/>
      <c r="AG1725" s="30" t="n"/>
      <c r="AH1725" s="30" t="n"/>
      <c r="AI1725" s="30" t="n"/>
      <c r="AJ1725" s="30" t="n"/>
      <c r="AK1725" s="30" t="n"/>
      <c r="AL1725" s="30" t="n"/>
      <c r="AM1725" s="30" t="n"/>
      <c r="AN1725" s="30" t="n"/>
      <c r="AO1725" s="30" t="n"/>
    </row>
    <row r="1726">
      <c r="A1726" s="89" t="inlineStr">
        <is>
          <t>20974XXX</t>
        </is>
      </c>
      <c r="B1726" s="248" t="inlineStr">
        <is>
          <t>TAVERNITI M/LARGA</t>
        </is>
      </c>
      <c r="C1726" s="88" t="n">
        <v>57900</v>
      </c>
      <c r="D1726" s="170" t="n"/>
      <c r="E1726" s="170" t="n"/>
      <c r="F1726" s="170" t="n"/>
      <c r="G1726" s="170" t="n"/>
      <c r="H1726" s="170" t="n"/>
      <c r="I1726" s="170" t="n"/>
      <c r="J1726" s="170" t="n"/>
      <c r="K1726" s="96">
        <f>ROUND((C1726*L1726)/100,0)*100</f>
        <v/>
      </c>
      <c r="L1726" s="96" t="n">
        <v>1.45</v>
      </c>
      <c r="M1726" s="170" t="n"/>
      <c r="N1726" s="30" t="n"/>
      <c r="O1726" s="30" t="n"/>
      <c r="P1726" s="170" t="n"/>
      <c r="Q1726" s="30" t="n"/>
      <c r="R1726" s="170" t="n"/>
      <c r="S1726" s="30" t="n"/>
      <c r="T1726" s="170" t="n"/>
      <c r="U1726" s="30" t="n"/>
      <c r="V1726" s="30" t="n"/>
      <c r="W1726" s="30" t="n"/>
      <c r="X1726" s="30" t="n"/>
      <c r="Y1726" s="30" t="n"/>
      <c r="Z1726" s="30" t="n"/>
      <c r="AA1726" s="30" t="n"/>
      <c r="AB1726" s="30" t="n"/>
      <c r="AC1726" s="30" t="n"/>
      <c r="AD1726" s="30" t="n"/>
      <c r="AE1726" s="30" t="n"/>
      <c r="AF1726" s="30" t="n"/>
      <c r="AG1726" s="30" t="n"/>
      <c r="AH1726" s="30" t="n"/>
      <c r="AI1726" s="30" t="n"/>
      <c r="AJ1726" s="30" t="n"/>
      <c r="AK1726" s="30" t="n"/>
      <c r="AL1726" s="30" t="n"/>
      <c r="AM1726" s="30" t="n"/>
      <c r="AN1726" s="30" t="n"/>
      <c r="AO1726" s="30" t="n"/>
    </row>
    <row r="1727">
      <c r="A1727" s="89" t="inlineStr">
        <is>
          <t>20976XXX</t>
        </is>
      </c>
      <c r="B1727" s="248" t="inlineStr">
        <is>
          <t>TAVERNITI M/LARGA</t>
        </is>
      </c>
      <c r="C1727" s="88" t="n">
        <v>57900</v>
      </c>
      <c r="D1727" s="170" t="n"/>
      <c r="E1727" s="170" t="n"/>
      <c r="F1727" s="170" t="n"/>
      <c r="G1727" s="170" t="n"/>
      <c r="H1727" s="170" t="n"/>
      <c r="I1727" s="170" t="n"/>
      <c r="J1727" s="170" t="n"/>
      <c r="K1727" s="96">
        <f>ROUND((C1727*L1727)/100,0)*100</f>
        <v/>
      </c>
      <c r="L1727" s="96" t="n">
        <v>1.45</v>
      </c>
      <c r="M1727" s="170" t="n"/>
      <c r="N1727" s="30" t="n"/>
      <c r="O1727" s="30" t="n"/>
      <c r="P1727" s="170" t="n"/>
      <c r="Q1727" s="30" t="n"/>
      <c r="R1727" s="170" t="n"/>
      <c r="S1727" s="30" t="n"/>
      <c r="T1727" s="170" t="n"/>
      <c r="U1727" s="30" t="n"/>
      <c r="V1727" s="30" t="n"/>
      <c r="W1727" s="30" t="n"/>
      <c r="X1727" s="30" t="n"/>
      <c r="Y1727" s="30" t="n"/>
      <c r="Z1727" s="30" t="n"/>
      <c r="AA1727" s="30" t="n"/>
      <c r="AB1727" s="30" t="n"/>
      <c r="AC1727" s="30" t="n"/>
      <c r="AD1727" s="30" t="n"/>
      <c r="AE1727" s="30" t="n"/>
      <c r="AF1727" s="30" t="n"/>
      <c r="AG1727" s="30" t="n"/>
      <c r="AH1727" s="30" t="n"/>
      <c r="AI1727" s="30" t="n"/>
      <c r="AJ1727" s="30" t="n"/>
      <c r="AK1727" s="30" t="n"/>
      <c r="AL1727" s="30" t="n"/>
      <c r="AM1727" s="30" t="n"/>
      <c r="AN1727" s="30" t="n"/>
      <c r="AO1727" s="30" t="n"/>
    </row>
    <row r="1728">
      <c r="A1728" s="89" t="inlineStr">
        <is>
          <t>20978XXX</t>
        </is>
      </c>
      <c r="B1728" s="248" t="inlineStr">
        <is>
          <t>TAVERNITI M/LARGA</t>
        </is>
      </c>
      <c r="C1728" s="88" t="n">
        <v>57900</v>
      </c>
      <c r="D1728" s="170" t="n"/>
      <c r="E1728" s="170" t="n"/>
      <c r="F1728" s="170" t="n"/>
      <c r="G1728" s="170" t="n"/>
      <c r="H1728" s="170" t="n"/>
      <c r="I1728" s="170" t="n"/>
      <c r="J1728" s="170" t="n"/>
      <c r="K1728" s="96">
        <f>ROUND((C1728*L1728)/100,0)*100</f>
        <v/>
      </c>
      <c r="L1728" s="96" t="n">
        <v>1.45</v>
      </c>
      <c r="M1728" s="170" t="n"/>
      <c r="N1728" s="30" t="n"/>
      <c r="O1728" s="30" t="n"/>
      <c r="P1728" s="170" t="n"/>
      <c r="Q1728" s="30" t="n"/>
      <c r="R1728" s="170" t="n"/>
      <c r="S1728" s="30" t="n"/>
      <c r="T1728" s="170" t="n"/>
      <c r="U1728" s="30" t="n"/>
      <c r="V1728" s="30" t="n"/>
      <c r="W1728" s="30" t="n"/>
      <c r="X1728" s="30" t="n"/>
      <c r="Y1728" s="30" t="n"/>
      <c r="Z1728" s="30" t="n"/>
      <c r="AA1728" s="30" t="n"/>
      <c r="AB1728" s="30" t="n"/>
      <c r="AC1728" s="30" t="n"/>
      <c r="AD1728" s="30" t="n"/>
      <c r="AE1728" s="30" t="n"/>
      <c r="AF1728" s="30" t="n"/>
      <c r="AG1728" s="30" t="n"/>
      <c r="AH1728" s="30" t="n"/>
      <c r="AI1728" s="30" t="n"/>
      <c r="AJ1728" s="30" t="n"/>
      <c r="AK1728" s="30" t="n"/>
      <c r="AL1728" s="30" t="n"/>
      <c r="AM1728" s="30" t="n"/>
      <c r="AN1728" s="30" t="n"/>
      <c r="AO1728" s="30" t="n"/>
    </row>
    <row r="1729">
      <c r="A1729" s="89" t="inlineStr">
        <is>
          <t>20980XXX</t>
        </is>
      </c>
      <c r="B1729" s="248" t="inlineStr">
        <is>
          <t>TAVERNITI M/LARGA</t>
        </is>
      </c>
      <c r="C1729" s="88" t="n">
        <v>57900</v>
      </c>
      <c r="D1729" s="170" t="n"/>
      <c r="E1729" s="170" t="n"/>
      <c r="F1729" s="170" t="n"/>
      <c r="G1729" s="170" t="n"/>
      <c r="H1729" s="170" t="n"/>
      <c r="I1729" s="170" t="n"/>
      <c r="J1729" s="170" t="n"/>
      <c r="K1729" s="96">
        <f>ROUND((C1729*L1729)/100,0)*100</f>
        <v/>
      </c>
      <c r="L1729" s="96" t="n">
        <v>1.45</v>
      </c>
      <c r="M1729" s="170" t="n"/>
      <c r="N1729" s="30" t="n"/>
      <c r="O1729" s="30" t="n"/>
      <c r="P1729" s="170" t="n"/>
      <c r="Q1729" s="30" t="n"/>
      <c r="R1729" s="170" t="n"/>
      <c r="S1729" s="30" t="n"/>
      <c r="T1729" s="170" t="n"/>
      <c r="U1729" s="30" t="n"/>
      <c r="V1729" s="30" t="n"/>
      <c r="W1729" s="30" t="n"/>
      <c r="X1729" s="30" t="n"/>
      <c r="Y1729" s="30" t="n"/>
      <c r="Z1729" s="30" t="n"/>
      <c r="AA1729" s="30" t="n"/>
      <c r="AB1729" s="30" t="n"/>
      <c r="AC1729" s="30" t="n"/>
      <c r="AD1729" s="30" t="n"/>
      <c r="AE1729" s="30" t="n"/>
      <c r="AF1729" s="30" t="n"/>
      <c r="AG1729" s="30" t="n"/>
      <c r="AH1729" s="30" t="n"/>
      <c r="AI1729" s="30" t="n"/>
      <c r="AJ1729" s="30" t="n"/>
      <c r="AK1729" s="30" t="n"/>
      <c r="AL1729" s="30" t="n"/>
      <c r="AM1729" s="30" t="n"/>
      <c r="AN1729" s="30" t="n"/>
      <c r="AO1729" s="30" t="n"/>
    </row>
    <row r="1730">
      <c r="A1730" s="134" t="inlineStr">
        <is>
          <t>20982XXX</t>
        </is>
      </c>
      <c r="B1730" s="248" t="inlineStr">
        <is>
          <t>TAVERNITI M/LARGA</t>
        </is>
      </c>
      <c r="C1730" s="88" t="n">
        <v>57900</v>
      </c>
      <c r="D1730" s="22" t="n"/>
      <c r="E1730" s="22" t="n"/>
      <c r="F1730" s="22" t="n"/>
      <c r="G1730" s="219" t="n"/>
      <c r="H1730" s="219" t="n"/>
      <c r="I1730" s="219" t="n"/>
      <c r="J1730" s="219" t="n"/>
      <c r="K1730" s="248">
        <f>ROUND((C1730*L1730)/100,0)*100</f>
        <v/>
      </c>
      <c r="L1730" s="96" t="n">
        <v>1.45</v>
      </c>
      <c r="M1730" s="219" t="n"/>
      <c r="P1730" s="117" t="n"/>
      <c r="R1730" s="117" t="n"/>
      <c r="T1730" s="117" t="n"/>
    </row>
    <row r="1731">
      <c r="A1731" s="134" t="inlineStr">
        <is>
          <t>20984XXX</t>
        </is>
      </c>
      <c r="B1731" s="248" t="inlineStr">
        <is>
          <t>TAVERNITI M/LARGA</t>
        </is>
      </c>
      <c r="C1731" s="88" t="n">
        <v>53100</v>
      </c>
      <c r="D1731" s="22" t="n"/>
      <c r="E1731" s="22" t="n"/>
      <c r="F1731" s="22" t="n"/>
      <c r="G1731" s="219" t="n"/>
      <c r="H1731" s="219" t="n"/>
      <c r="I1731" s="219" t="n"/>
      <c r="J1731" s="219" t="n"/>
      <c r="K1731" s="248">
        <f>ROUND((C1731*L1731)/100,0)*100</f>
        <v/>
      </c>
      <c r="L1731" s="96" t="n">
        <v>1.45</v>
      </c>
      <c r="M1731" s="219" t="n"/>
      <c r="P1731" s="117" t="n"/>
      <c r="R1731" s="117" t="n"/>
      <c r="T1731" s="117" t="n"/>
    </row>
    <row r="1732">
      <c r="A1732" s="89" t="inlineStr">
        <is>
          <t>21422XXX</t>
        </is>
      </c>
      <c r="B1732" s="248" t="inlineStr">
        <is>
          <t>TAVERNITI M/LARGA</t>
        </is>
      </c>
      <c r="C1732" s="88" t="n">
        <v>53200</v>
      </c>
      <c r="D1732" s="170" t="n"/>
      <c r="E1732" s="170" t="n"/>
      <c r="F1732" s="170" t="n"/>
      <c r="G1732" s="170" t="n"/>
      <c r="H1732" s="170" t="n"/>
      <c r="I1732" s="170" t="n"/>
      <c r="J1732" s="170" t="n"/>
      <c r="K1732" s="96">
        <f>ROUND((C1732*L1732)/100,0)*100</f>
        <v/>
      </c>
      <c r="L1732" s="96" t="n">
        <v>1.45</v>
      </c>
      <c r="M1732" s="170" t="n"/>
      <c r="N1732" s="30" t="n"/>
      <c r="O1732" s="30" t="n"/>
      <c r="P1732" s="170" t="n"/>
      <c r="Q1732" s="30" t="n"/>
      <c r="R1732" s="170" t="n"/>
      <c r="S1732" s="30" t="n"/>
      <c r="T1732" s="170" t="n"/>
      <c r="U1732" s="30" t="n"/>
      <c r="V1732" s="30" t="n"/>
      <c r="W1732" s="30" t="n"/>
      <c r="X1732" s="30" t="n"/>
      <c r="Y1732" s="30" t="n"/>
      <c r="Z1732" s="30" t="n"/>
      <c r="AA1732" s="30" t="n"/>
      <c r="AB1732" s="30" t="n"/>
      <c r="AC1732" s="30" t="n"/>
      <c r="AD1732" s="30" t="n"/>
      <c r="AE1732" s="30" t="n"/>
      <c r="AF1732" s="30" t="n"/>
      <c r="AG1732" s="30" t="n"/>
      <c r="AH1732" s="30" t="n"/>
      <c r="AI1732" s="30" t="n"/>
      <c r="AJ1732" s="30" t="n"/>
      <c r="AK1732" s="30" t="n"/>
      <c r="AL1732" s="30" t="n"/>
      <c r="AM1732" s="30" t="n"/>
      <c r="AN1732" s="30" t="n"/>
      <c r="AO1732" s="30" t="n"/>
    </row>
    <row r="1733">
      <c r="A1733" s="89" t="inlineStr">
        <is>
          <t>21494XXX</t>
        </is>
      </c>
      <c r="B1733" s="248" t="inlineStr">
        <is>
          <t>TAVERNITI M/LARGA</t>
        </is>
      </c>
      <c r="C1733" s="88" t="n">
        <v>53200</v>
      </c>
      <c r="D1733" s="170" t="n"/>
      <c r="E1733" s="170" t="n"/>
      <c r="F1733" s="170" t="n"/>
      <c r="G1733" s="170" t="n"/>
      <c r="H1733" s="170" t="n"/>
      <c r="I1733" s="170" t="n"/>
      <c r="J1733" s="170" t="n"/>
      <c r="K1733" s="96">
        <f>ROUND((C1733*L1733)/100,0)*100</f>
        <v/>
      </c>
      <c r="L1733" s="96" t="n">
        <v>1.45</v>
      </c>
      <c r="M1733" s="170" t="n"/>
      <c r="N1733" s="30" t="n"/>
      <c r="O1733" s="30" t="n"/>
      <c r="P1733" s="170" t="n"/>
      <c r="Q1733" s="30" t="n"/>
      <c r="R1733" s="170" t="n"/>
      <c r="S1733" s="30" t="n"/>
      <c r="T1733" s="170" t="n"/>
      <c r="U1733" s="30" t="n"/>
      <c r="V1733" s="30" t="n"/>
      <c r="W1733" s="30" t="n"/>
      <c r="X1733" s="30" t="n"/>
      <c r="Y1733" s="30" t="n"/>
      <c r="Z1733" s="30" t="n"/>
      <c r="AA1733" s="30" t="n"/>
      <c r="AB1733" s="30" t="n"/>
      <c r="AC1733" s="30" t="n"/>
      <c r="AD1733" s="30" t="n"/>
      <c r="AE1733" s="30" t="n"/>
      <c r="AF1733" s="30" t="n"/>
      <c r="AG1733" s="30" t="n"/>
      <c r="AH1733" s="30" t="n"/>
      <c r="AI1733" s="30" t="n"/>
      <c r="AJ1733" s="30" t="n"/>
      <c r="AK1733" s="30" t="n"/>
      <c r="AL1733" s="30" t="n"/>
      <c r="AM1733" s="30" t="n"/>
      <c r="AN1733" s="30" t="n"/>
      <c r="AO1733" s="30" t="n"/>
    </row>
    <row r="1734">
      <c r="A1734" s="89" t="inlineStr">
        <is>
          <t>21498XXX</t>
        </is>
      </c>
      <c r="B1734" s="248" t="inlineStr">
        <is>
          <t>TAVERNITI M/LARGA</t>
        </is>
      </c>
      <c r="C1734" s="88" t="n">
        <v>57900</v>
      </c>
      <c r="D1734" s="170" t="n"/>
      <c r="E1734" s="170" t="n"/>
      <c r="F1734" s="170" t="n"/>
      <c r="G1734" s="170" t="n"/>
      <c r="H1734" s="170" t="n"/>
      <c r="I1734" s="170" t="n"/>
      <c r="J1734" s="170" t="n"/>
      <c r="K1734" s="96">
        <f>ROUND((C1734*L1734)/100,0)*100</f>
        <v/>
      </c>
      <c r="L1734" s="96" t="n">
        <v>1.45</v>
      </c>
      <c r="M1734" s="170" t="n"/>
      <c r="N1734" s="30" t="n"/>
      <c r="O1734" s="30" t="n"/>
      <c r="P1734" s="170" t="n"/>
      <c r="Q1734" s="30" t="n"/>
      <c r="R1734" s="170" t="n"/>
      <c r="S1734" s="30" t="n"/>
      <c r="T1734" s="170" t="n"/>
      <c r="U1734" s="30" t="n"/>
      <c r="V1734" s="30" t="n"/>
      <c r="W1734" s="30" t="n"/>
      <c r="X1734" s="30" t="n"/>
      <c r="Y1734" s="30" t="n"/>
      <c r="Z1734" s="30" t="n"/>
      <c r="AA1734" s="30" t="n"/>
      <c r="AB1734" s="30" t="n"/>
      <c r="AC1734" s="30" t="n"/>
      <c r="AD1734" s="30" t="n"/>
      <c r="AE1734" s="30" t="n"/>
      <c r="AF1734" s="30" t="n"/>
      <c r="AG1734" s="30" t="n"/>
      <c r="AH1734" s="30" t="n"/>
      <c r="AI1734" s="30" t="n"/>
      <c r="AJ1734" s="30" t="n"/>
      <c r="AK1734" s="30" t="n"/>
      <c r="AL1734" s="30" t="n"/>
      <c r="AM1734" s="30" t="n"/>
      <c r="AN1734" s="30" t="n"/>
      <c r="AO1734" s="30" t="n"/>
    </row>
    <row r="1735">
      <c r="A1735" s="134" t="inlineStr">
        <is>
          <t>21500XXX</t>
        </is>
      </c>
      <c r="B1735" s="248" t="inlineStr">
        <is>
          <t>TAVERNITI M/LARGA</t>
        </is>
      </c>
      <c r="C1735" s="88" t="n">
        <v>57900</v>
      </c>
      <c r="D1735" s="22" t="n"/>
      <c r="E1735" s="22" t="n"/>
      <c r="F1735" s="22" t="n"/>
      <c r="G1735" s="219" t="n"/>
      <c r="H1735" s="219" t="n"/>
      <c r="I1735" s="219" t="n"/>
      <c r="J1735" s="219" t="n"/>
      <c r="K1735" s="248">
        <f>ROUND((C1735*L1735)/100,0)*100</f>
        <v/>
      </c>
      <c r="L1735" s="96" t="n">
        <v>1.45</v>
      </c>
      <c r="M1735" s="219" t="n"/>
      <c r="P1735" s="117" t="n"/>
      <c r="R1735" s="117" t="n"/>
      <c r="T1735" s="117" t="n"/>
    </row>
    <row r="1736">
      <c r="A1736" s="89" t="inlineStr">
        <is>
          <t>351</t>
        </is>
      </c>
      <c r="B1736" s="248" t="inlineStr">
        <is>
          <t>WRGE RAYADA VyO</t>
        </is>
      </c>
      <c r="C1736" s="88" t="n">
        <v>30100</v>
      </c>
      <c r="D1736" s="88" t="n"/>
      <c r="E1736" s="88" t="n"/>
      <c r="F1736" s="22" t="n"/>
      <c r="G1736" s="22" t="n"/>
      <c r="H1736" s="22" t="n"/>
      <c r="I1736" s="22" t="n"/>
      <c r="J1736" s="22" t="n"/>
      <c r="K1736" s="22">
        <f>ROUND((C1736*L1736)/100,0)*100</f>
        <v/>
      </c>
      <c r="L1736" s="96" t="n">
        <v>1.45</v>
      </c>
      <c r="M1736" s="88" t="n"/>
      <c r="O1736" s="137" t="n"/>
      <c r="P1736" s="117" t="n"/>
      <c r="R1736" s="117" t="n"/>
      <c r="T1736" s="117" t="n"/>
    </row>
    <row r="1737">
      <c r="A1737" s="89" t="inlineStr">
        <is>
          <t>3521</t>
        </is>
      </c>
      <c r="B1737" s="248" t="inlineStr">
        <is>
          <t>JOAN DE LA CREU</t>
        </is>
      </c>
      <c r="C1737" s="88" t="n">
        <v>25400</v>
      </c>
      <c r="D1737" s="22" t="n"/>
      <c r="E1737" s="22" t="n"/>
      <c r="F1737" s="22" t="n"/>
      <c r="G1737" s="22" t="n"/>
      <c r="H1737" s="22" t="n"/>
      <c r="I1737" s="22" t="n"/>
      <c r="J1737" s="22" t="n"/>
      <c r="K1737" s="22">
        <f>ROUND((C1737*L1737)/100,0)*100</f>
        <v/>
      </c>
      <c r="L1737" s="96" t="n">
        <v>1.45</v>
      </c>
      <c r="M1737" s="88" t="n"/>
      <c r="O1737" s="137" t="n"/>
      <c r="P1737" s="117" t="n"/>
      <c r="R1737" s="117" t="n"/>
      <c r="T1737" s="117" t="n"/>
    </row>
    <row r="1738">
      <c r="A1738" s="89" t="inlineStr">
        <is>
          <t>360</t>
        </is>
      </c>
      <c r="B1738" s="248" t="inlineStr">
        <is>
          <t>IÑAKI MODELOS VARIOS</t>
        </is>
      </c>
      <c r="C1738" s="88" t="n">
        <v>25400</v>
      </c>
      <c r="D1738" s="22" t="n"/>
      <c r="E1738" s="22" t="n"/>
      <c r="F1738" s="22" t="n"/>
      <c r="G1738" s="22" t="n"/>
      <c r="H1738" s="22" t="n"/>
      <c r="I1738" s="22" t="n"/>
      <c r="J1738" s="22" t="n"/>
      <c r="K1738" s="22">
        <f>ROUND((C1738*L1738)/100,0)*100</f>
        <v/>
      </c>
      <c r="L1738" s="96" t="n">
        <v>1.45</v>
      </c>
      <c r="M1738" s="88" t="n"/>
      <c r="O1738" s="137" t="n"/>
      <c r="P1738" s="117" t="n"/>
      <c r="R1738" s="117" t="n"/>
      <c r="T1738" s="117" t="n"/>
    </row>
    <row r="1739">
      <c r="A1739" s="89" t="inlineStr">
        <is>
          <t>361</t>
        </is>
      </c>
      <c r="B1739" s="248" t="inlineStr">
        <is>
          <t>MANAWIZ ALGODÓN</t>
        </is>
      </c>
      <c r="C1739" s="88" t="n">
        <v>25500</v>
      </c>
      <c r="D1739" s="22" t="n"/>
      <c r="E1739" s="22" t="n"/>
      <c r="F1739" s="22" t="n"/>
      <c r="G1739" s="22" t="n"/>
      <c r="H1739" s="22" t="n"/>
      <c r="I1739" s="22" t="n"/>
      <c r="J1739" s="22" t="n"/>
      <c r="K1739" s="22">
        <f>ROUND((C1739*L1739)/100,0)*100</f>
        <v/>
      </c>
      <c r="L1739" s="96" t="n">
        <v>1.45</v>
      </c>
      <c r="M1739" s="88" t="n"/>
      <c r="O1739" s="137" t="n"/>
      <c r="P1739" s="117" t="n"/>
      <c r="R1739" s="117" t="n"/>
      <c r="T1739" s="117" t="n"/>
    </row>
    <row r="1740">
      <c r="A1740" s="89" t="inlineStr">
        <is>
          <t>362</t>
        </is>
      </c>
      <c r="B1740" s="248" t="inlineStr">
        <is>
          <t>RDK REMERA M/L</t>
        </is>
      </c>
      <c r="C1740" s="88" t="n">
        <v>18800</v>
      </c>
      <c r="D1740" s="22" t="n"/>
      <c r="E1740" s="22" t="n"/>
      <c r="F1740" s="22" t="n"/>
      <c r="G1740" s="22" t="n"/>
      <c r="H1740" s="22" t="n"/>
      <c r="I1740" s="22" t="n"/>
      <c r="J1740" s="22" t="n"/>
      <c r="K1740" s="22">
        <f>ROUND((C1740*L1740)/100,0)*100</f>
        <v/>
      </c>
      <c r="L1740" s="96" t="n">
        <v>1.45</v>
      </c>
      <c r="M1740" s="88" t="n"/>
      <c r="O1740" s="137" t="n"/>
      <c r="P1740" s="117" t="n"/>
      <c r="R1740" s="117" t="n"/>
      <c r="T1740" s="117" t="n"/>
    </row>
    <row r="1741">
      <c r="A1741" s="89" t="inlineStr">
        <is>
          <t>753</t>
        </is>
      </c>
      <c r="B1741" s="248" t="inlineStr">
        <is>
          <t>ALG ESCOTE V</t>
        </is>
      </c>
      <c r="C1741" s="88" t="n">
        <v>28100</v>
      </c>
      <c r="D1741" s="22">
        <f>ROUND((C1741*1.07)/100,0)*100</f>
        <v/>
      </c>
      <c r="E1741" s="22">
        <f>ROUND((C1741*1.15)/100,0)*100</f>
        <v/>
      </c>
      <c r="F1741" s="22">
        <f>ROUND((C1741*1.15)/100,0)*100</f>
        <v/>
      </c>
      <c r="G1741" s="88">
        <f>ROUND((C1741*1.2)/100,0)*100</f>
        <v/>
      </c>
      <c r="H1741" s="88">
        <f>ROUND((C1741*1.25)/100,0)*100</f>
        <v/>
      </c>
      <c r="I1741" s="88">
        <f>ROUND((C1741*1.3)/100,0)*100</f>
        <v/>
      </c>
      <c r="J1741" s="88">
        <f>ROUND((C1741*1.35)/100,0)*100</f>
        <v/>
      </c>
      <c r="K1741" s="22">
        <f>ROUND((C1741*L1741)/100,0)*100</f>
        <v/>
      </c>
      <c r="L1741" s="96" t="n">
        <v>1.45</v>
      </c>
      <c r="M1741" s="88" t="n"/>
      <c r="O1741" s="137" t="n"/>
      <c r="P1741" s="117" t="n"/>
      <c r="R1741" s="117" t="n"/>
      <c r="T1741" s="88" t="n"/>
      <c r="U1741" s="88" t="n"/>
      <c r="V1741" s="88" t="n"/>
      <c r="W1741" s="88" t="n"/>
      <c r="X1741" s="88" t="n"/>
      <c r="Y1741" s="88" t="n"/>
      <c r="Z1741" s="88" t="n"/>
      <c r="AA1741" s="88" t="n"/>
    </row>
    <row r="1742">
      <c r="A1742" s="89" t="inlineStr">
        <is>
          <t>711</t>
        </is>
      </c>
      <c r="B1742" s="248" t="inlineStr">
        <is>
          <t>ALG ESCOTE O</t>
        </is>
      </c>
      <c r="C1742" s="88" t="n">
        <v>28100</v>
      </c>
      <c r="D1742" s="22">
        <f>ROUND((C1742*1.07)/100,0)*100</f>
        <v/>
      </c>
      <c r="E1742" s="22">
        <f>ROUND((C1742*1.15)/100,0)*100</f>
        <v/>
      </c>
      <c r="F1742" s="22">
        <f>ROUND((C1742*1.15)/100,0)*100</f>
        <v/>
      </c>
      <c r="G1742" s="88">
        <f>ROUND((C1742*1.2)/100,0)*100</f>
        <v/>
      </c>
      <c r="H1742" s="88">
        <f>ROUND((C1742*1.25)/100,0)*100</f>
        <v/>
      </c>
      <c r="I1742" s="88">
        <f>ROUND((C1742*1.3)/100,0)*100</f>
        <v/>
      </c>
      <c r="J1742" s="88">
        <f>ROUND((C1742*1.35)/100,0)*100</f>
        <v/>
      </c>
      <c r="K1742" s="22">
        <f>ROUND((C1742*L1742)/100,0)*100</f>
        <v/>
      </c>
      <c r="L1742" s="96" t="n">
        <v>1.45</v>
      </c>
      <c r="M1742" s="88" t="n"/>
      <c r="O1742" s="137" t="n"/>
      <c r="P1742" s="117" t="n"/>
      <c r="R1742" s="117" t="n"/>
      <c r="T1742" s="88" t="n"/>
      <c r="U1742" s="88" t="n"/>
      <c r="V1742" s="88" t="n"/>
      <c r="W1742" s="88" t="n"/>
      <c r="X1742" s="88" t="n"/>
      <c r="Y1742" s="88" t="n"/>
      <c r="Z1742" s="88" t="n"/>
      <c r="AA1742" s="88" t="n"/>
    </row>
    <row r="1743">
      <c r="A1743" s="89" t="inlineStr">
        <is>
          <t>2026</t>
        </is>
      </c>
      <c r="B1743" s="248" t="inlineStr">
        <is>
          <t xml:space="preserve"> ALG V MORLEY</t>
        </is>
      </c>
      <c r="C1743" s="88" t="n">
        <v>35700</v>
      </c>
      <c r="D1743" s="22">
        <f>ROUND((C1743*1.07)/100,0)*100</f>
        <v/>
      </c>
      <c r="E1743" s="22">
        <f>ROUND((C1743*1.15)/100,0)*100</f>
        <v/>
      </c>
      <c r="F1743" s="22">
        <f>ROUND((C1743*1.15)/100,0)*100</f>
        <v/>
      </c>
      <c r="G1743" s="88">
        <f>ROUND((C1743*1.2)/100,0)*100</f>
        <v/>
      </c>
      <c r="H1743" s="88">
        <f>ROUND((C1743*1.25)/100,0)*100</f>
        <v/>
      </c>
      <c r="I1743" s="88">
        <f>ROUND((C1743*1.3)/100,0)*100</f>
        <v/>
      </c>
      <c r="J1743" s="88">
        <f>ROUND((C1743*1.35)/100,0)*100</f>
        <v/>
      </c>
      <c r="K1743" s="22">
        <f>ROUND((C1743*L1743)/100,0)*100</f>
        <v/>
      </c>
      <c r="L1743" s="96" t="n">
        <v>1.45</v>
      </c>
      <c r="M1743" s="88" t="n"/>
      <c r="O1743" s="137" t="n"/>
      <c r="P1743" s="117" t="n"/>
      <c r="R1743" s="117" t="n"/>
      <c r="T1743" s="88" t="n"/>
      <c r="U1743" s="88" t="n"/>
      <c r="V1743" s="88" t="n"/>
      <c r="W1743" s="88" t="n"/>
      <c r="X1743" s="88" t="n"/>
      <c r="Y1743" s="88" t="n"/>
      <c r="Z1743" s="88" t="n"/>
      <c r="AA1743" s="88" t="n"/>
    </row>
    <row r="1744">
      <c r="A1744" s="89" t="inlineStr">
        <is>
          <t>2565</t>
        </is>
      </c>
      <c r="B1744" s="248" t="inlineStr">
        <is>
          <t xml:space="preserve"> ALG CUELLO V</t>
        </is>
      </c>
      <c r="C1744" s="88" t="n">
        <v>35700</v>
      </c>
      <c r="D1744" s="22">
        <f>ROUND((C1744*1.07)/100,0)*100</f>
        <v/>
      </c>
      <c r="E1744" s="22">
        <f>ROUND((C1744*1.15)/100,0)*100</f>
        <v/>
      </c>
      <c r="F1744" s="22">
        <f>ROUND((C1744*1.15)/100,0)*100</f>
        <v/>
      </c>
      <c r="G1744" s="88">
        <f>ROUND((C1744*1.2)/100,0)*100</f>
        <v/>
      </c>
      <c r="H1744" s="88">
        <f>ROUND((C1744*1.25)/100,0)*100</f>
        <v/>
      </c>
      <c r="I1744" s="88">
        <f>ROUND((C1744*1.3)/100,0)*100</f>
        <v/>
      </c>
      <c r="J1744" s="88">
        <f>ROUND((C1744*1.35)/100,0)*100</f>
        <v/>
      </c>
      <c r="K1744" s="22">
        <f>ROUND((C1744*L1744)/100,0)*100</f>
        <v/>
      </c>
      <c r="L1744" s="96" t="n">
        <v>1.45</v>
      </c>
      <c r="M1744" s="88" t="n"/>
      <c r="O1744" s="137" t="n"/>
      <c r="P1744" s="117" t="n"/>
      <c r="R1744" s="117" t="n"/>
      <c r="T1744" s="88" t="n"/>
      <c r="U1744" s="88" t="n"/>
      <c r="V1744" s="88" t="n"/>
      <c r="W1744" s="88" t="n"/>
      <c r="X1744" s="88" t="n"/>
      <c r="Y1744" s="88" t="n"/>
      <c r="Z1744" s="88" t="n"/>
      <c r="AA1744" s="88" t="n"/>
    </row>
    <row r="1745">
      <c r="A1745" s="89" t="inlineStr">
        <is>
          <t>2557</t>
        </is>
      </c>
      <c r="B1745" s="248" t="inlineStr">
        <is>
          <t>AERO</t>
        </is>
      </c>
      <c r="C1745" s="88" t="n">
        <v>35700</v>
      </c>
      <c r="D1745" s="22">
        <f>ROUND((C1745*1.07)/100,0)*100</f>
        <v/>
      </c>
      <c r="E1745" s="22">
        <f>ROUND((C1745*1.15)/100,0)*100</f>
        <v/>
      </c>
      <c r="F1745" s="22">
        <f>ROUND((C1745*1.15)/100,0)*100</f>
        <v/>
      </c>
      <c r="G1745" s="88">
        <f>ROUND((C1745*1.2)/100,0)*100</f>
        <v/>
      </c>
      <c r="H1745" s="88">
        <f>ROUND((C1745*1.25)/100,0)*100</f>
        <v/>
      </c>
      <c r="I1745" s="88">
        <f>ROUND((C1745*1.3)/100,0)*100</f>
        <v/>
      </c>
      <c r="J1745" s="88">
        <f>ROUND((C1745*1.35)/100,0)*100</f>
        <v/>
      </c>
      <c r="K1745" s="22">
        <f>ROUND((C1745*L1745)/100,0)*100</f>
        <v/>
      </c>
      <c r="L1745" s="96" t="n">
        <v>1.45</v>
      </c>
      <c r="M1745" s="88" t="n"/>
      <c r="O1745" s="137" t="n"/>
      <c r="P1745" s="117" t="n"/>
      <c r="R1745" s="117" t="n"/>
      <c r="T1745" s="88" t="n"/>
      <c r="U1745" s="88" t="n"/>
      <c r="V1745" s="88" t="n"/>
      <c r="W1745" s="88" t="n"/>
      <c r="X1745" s="88" t="n"/>
      <c r="Y1745" s="88" t="n"/>
      <c r="Z1745" s="88" t="n"/>
      <c r="AA1745" s="88" t="n"/>
    </row>
    <row r="1746">
      <c r="A1746" s="89" t="inlineStr">
        <is>
          <t>2710</t>
        </is>
      </c>
      <c r="B1746" s="248" t="inlineStr">
        <is>
          <t>AERO</t>
        </is>
      </c>
      <c r="C1746" s="88" t="n">
        <v>35700</v>
      </c>
      <c r="D1746" s="22">
        <f>ROUND((C1746*1.07)/100,0)*100</f>
        <v/>
      </c>
      <c r="E1746" s="22">
        <f>ROUND((C1746*1.15)/100,0)*100</f>
        <v/>
      </c>
      <c r="F1746" s="22">
        <f>ROUND((C1746*1.15)/100,0)*100</f>
        <v/>
      </c>
      <c r="G1746" s="88">
        <f>ROUND((C1746*1.2)/100,0)*100</f>
        <v/>
      </c>
      <c r="H1746" s="88">
        <f>ROUND((C1746*1.25)/100,0)*100</f>
        <v/>
      </c>
      <c r="I1746" s="88">
        <f>ROUND((C1746*1.3)/100,0)*100</f>
        <v/>
      </c>
      <c r="J1746" s="88">
        <f>ROUND((C1746*1.35)/100,0)*100</f>
        <v/>
      </c>
      <c r="K1746" s="22">
        <f>ROUND((C1746*L1746)/100,0)*100</f>
        <v/>
      </c>
      <c r="L1746" s="96" t="n">
        <v>1.45</v>
      </c>
      <c r="M1746" s="88" t="n"/>
      <c r="O1746" s="137" t="n"/>
      <c r="P1746" s="117" t="n"/>
      <c r="R1746" s="117" t="n"/>
      <c r="T1746" s="88" t="n"/>
      <c r="U1746" s="88" t="n"/>
      <c r="V1746" s="88" t="n"/>
      <c r="W1746" s="88" t="n"/>
      <c r="X1746" s="88" t="n"/>
      <c r="Y1746" s="88" t="n"/>
      <c r="Z1746" s="88" t="n"/>
      <c r="AA1746" s="88" t="n"/>
    </row>
    <row r="1747">
      <c r="A1747" s="89" t="inlineStr">
        <is>
          <t>2906</t>
        </is>
      </c>
      <c r="B1747" s="248" t="inlineStr">
        <is>
          <t>AERO</t>
        </is>
      </c>
      <c r="C1747" s="88" t="n">
        <v>35700</v>
      </c>
      <c r="D1747" s="22">
        <f>ROUND((C1747*1.07)/100,0)*100</f>
        <v/>
      </c>
      <c r="E1747" s="22">
        <f>ROUND((C1747*1.15)/100,0)*100</f>
        <v/>
      </c>
      <c r="F1747" s="22">
        <f>ROUND((C1747*1.15)/100,0)*100</f>
        <v/>
      </c>
      <c r="G1747" s="88">
        <f>ROUND((C1747*1.2)/100,0)*100</f>
        <v/>
      </c>
      <c r="H1747" s="88">
        <f>ROUND((C1747*1.25)/100,0)*100</f>
        <v/>
      </c>
      <c r="I1747" s="88">
        <f>ROUND((C1747*1.3)/100,0)*100</f>
        <v/>
      </c>
      <c r="J1747" s="88">
        <f>ROUND((C1747*1.35)/100,0)*100</f>
        <v/>
      </c>
      <c r="K1747" s="22">
        <f>ROUND((C1747*L1747)/100,0)*100</f>
        <v/>
      </c>
      <c r="L1747" s="96" t="n">
        <v>1.45</v>
      </c>
      <c r="M1747" s="88" t="n"/>
      <c r="O1747" s="137" t="n"/>
      <c r="P1747" s="117" t="n"/>
      <c r="R1747" s="117" t="n"/>
      <c r="T1747" s="88" t="n"/>
      <c r="U1747" s="88" t="n"/>
      <c r="V1747" s="88" t="n"/>
      <c r="W1747" s="88" t="n"/>
      <c r="X1747" s="88" t="n"/>
      <c r="Y1747" s="88" t="n"/>
      <c r="Z1747" s="88" t="n"/>
      <c r="AA1747" s="88" t="n"/>
    </row>
    <row r="1748">
      <c r="A1748" s="89" t="inlineStr">
        <is>
          <t>3200</t>
        </is>
      </c>
      <c r="B1748" s="248" t="inlineStr">
        <is>
          <t>AERO BASICA</t>
        </is>
      </c>
      <c r="C1748" s="88" t="n">
        <v>46000</v>
      </c>
      <c r="D1748" s="22">
        <f>ROUND((C1748*1.07)/100,0)*100</f>
        <v/>
      </c>
      <c r="E1748" s="22">
        <f>ROUND((C1748*1.15)/100,0)*100</f>
        <v/>
      </c>
      <c r="F1748" s="22">
        <f>ROUND((C1748*1.15)/100,0)*100</f>
        <v/>
      </c>
      <c r="G1748" s="88">
        <f>ROUND((C1748*1.2)/100,0)*100</f>
        <v/>
      </c>
      <c r="H1748" s="88">
        <f>ROUND((C1748*1.25)/100,0)*100</f>
        <v/>
      </c>
      <c r="I1748" s="88">
        <f>ROUND((C1748*1.3)/100,0)*100</f>
        <v/>
      </c>
      <c r="J1748" s="88">
        <f>ROUND((C1748*1.35)/100,0)*100</f>
        <v/>
      </c>
      <c r="K1748" s="22">
        <f>ROUND((C1748*L1748)/100,0)*100</f>
        <v/>
      </c>
      <c r="L1748" s="96" t="n">
        <v>1.45</v>
      </c>
      <c r="M1748" s="88" t="n"/>
      <c r="O1748" s="137" t="n"/>
      <c r="P1748" s="117" t="n"/>
      <c r="R1748" s="117" t="n"/>
      <c r="T1748" s="88" t="n"/>
      <c r="U1748" s="88" t="n"/>
      <c r="V1748" s="88" t="n"/>
      <c r="W1748" s="88" t="n"/>
      <c r="X1748" s="88" t="n"/>
      <c r="Y1748" s="88" t="n"/>
      <c r="Z1748" s="88" t="n"/>
      <c r="AA1748" s="88" t="n"/>
    </row>
    <row r="1749">
      <c r="A1749" s="89" t="inlineStr">
        <is>
          <t>3210</t>
        </is>
      </c>
      <c r="B1749" s="248" t="inlineStr">
        <is>
          <t>AERO ALG</t>
        </is>
      </c>
      <c r="C1749" s="88" t="n">
        <v>18700</v>
      </c>
      <c r="D1749" s="22">
        <f>ROUND((C1749*1.07)/100,0)*100</f>
        <v/>
      </c>
      <c r="E1749" s="22">
        <f>ROUND((C1749*1.15)/100,0)*100</f>
        <v/>
      </c>
      <c r="F1749" s="22">
        <f>ROUND((C1749*1.15)/100,0)*100</f>
        <v/>
      </c>
      <c r="G1749" s="88">
        <f>ROUND((C1749*1.2)/100,0)*100</f>
        <v/>
      </c>
      <c r="H1749" s="88">
        <f>ROUND((C1749*1.25)/100,0)*100</f>
        <v/>
      </c>
      <c r="I1749" s="88">
        <f>ROUND((C1749*1.3)/100,0)*100</f>
        <v/>
      </c>
      <c r="J1749" s="88">
        <f>ROUND((C1749*1.35)/100,0)*100</f>
        <v/>
      </c>
      <c r="K1749" s="22">
        <f>ROUND((C1749*L1749)/100,0)*100</f>
        <v/>
      </c>
      <c r="L1749" s="96" t="n">
        <v>1.45</v>
      </c>
      <c r="M1749" s="88" t="n"/>
      <c r="O1749" s="137" t="n"/>
      <c r="P1749" s="117" t="n"/>
      <c r="R1749" s="117" t="n"/>
      <c r="T1749" s="88" t="n"/>
      <c r="U1749" s="88" t="n"/>
      <c r="V1749" s="88" t="n"/>
      <c r="W1749" s="88" t="n"/>
      <c r="X1749" s="88" t="n"/>
      <c r="Y1749" s="88" t="n"/>
      <c r="Z1749" s="88" t="n"/>
      <c r="AA1749" s="88" t="n"/>
    </row>
    <row r="1750">
      <c r="A1750" s="89" t="inlineStr">
        <is>
          <t>3260</t>
        </is>
      </c>
      <c r="B1750" s="248" t="inlineStr">
        <is>
          <t>ALG ESCOTE V</t>
        </is>
      </c>
      <c r="C1750" s="88" t="n">
        <v>24100</v>
      </c>
      <c r="D1750" s="22">
        <f>ROUND((C1750*1.07)/100,0)*100</f>
        <v/>
      </c>
      <c r="E1750" s="22">
        <f>ROUND((C1750*1.15)/100,0)*100</f>
        <v/>
      </c>
      <c r="F1750" s="22">
        <f>ROUND((C1750*1.15)/100,0)*100</f>
        <v/>
      </c>
      <c r="G1750" s="88">
        <f>ROUND((C1750*1.2)/100,0)*100</f>
        <v/>
      </c>
      <c r="H1750" s="88">
        <f>ROUND((C1750*1.25)/100,0)*100</f>
        <v/>
      </c>
      <c r="I1750" s="88">
        <f>ROUND((C1750*1.3)/100,0)*100</f>
        <v/>
      </c>
      <c r="J1750" s="88">
        <f>ROUND((C1750*1.35)/100,0)*100</f>
        <v/>
      </c>
      <c r="K1750" s="22">
        <f>ROUND((C1750*L1750)/100,0)*100</f>
        <v/>
      </c>
      <c r="L1750" s="96" t="n">
        <v>1.45</v>
      </c>
      <c r="M1750" s="88" t="n"/>
      <c r="O1750" s="137" t="n"/>
      <c r="P1750" s="117" t="n"/>
      <c r="R1750" s="117" t="n"/>
      <c r="T1750" s="88" t="n"/>
      <c r="U1750" s="88" t="n"/>
      <c r="V1750" s="88" t="n"/>
      <c r="W1750" s="88" t="n"/>
      <c r="X1750" s="88" t="n"/>
      <c r="Y1750" s="88" t="n"/>
      <c r="Z1750" s="88" t="n"/>
      <c r="AA1750" s="88" t="n"/>
    </row>
    <row r="1751">
      <c r="A1751" s="89" t="inlineStr">
        <is>
          <t>3262</t>
        </is>
      </c>
      <c r="B1751" s="248" t="inlineStr">
        <is>
          <t>ALG ESCOTE V</t>
        </is>
      </c>
      <c r="C1751" s="88" t="n">
        <v>24100</v>
      </c>
      <c r="D1751" s="22">
        <f>ROUND((C1751*1.07)/100,0)*100</f>
        <v/>
      </c>
      <c r="E1751" s="22">
        <f>ROUND((C1751*1.15)/100,0)*100</f>
        <v/>
      </c>
      <c r="F1751" s="22">
        <f>ROUND((C1751*1.15)/100,0)*100</f>
        <v/>
      </c>
      <c r="G1751" s="88">
        <f>ROUND((C1751*1.2)/100,0)*100</f>
        <v/>
      </c>
      <c r="H1751" s="88">
        <f>ROUND((C1751*1.25)/100,0)*100</f>
        <v/>
      </c>
      <c r="I1751" s="88">
        <f>ROUND((C1751*1.3)/100,0)*100</f>
        <v/>
      </c>
      <c r="J1751" s="88">
        <f>ROUND((C1751*1.35)/100,0)*100</f>
        <v/>
      </c>
      <c r="K1751" s="22">
        <f>ROUND((C1751*L1751)/100,0)*100</f>
        <v/>
      </c>
      <c r="L1751" s="96" t="n">
        <v>1.45</v>
      </c>
      <c r="M1751" s="88" t="n"/>
      <c r="O1751" s="137" t="n"/>
      <c r="P1751" s="117" t="n"/>
      <c r="R1751" s="117" t="n"/>
      <c r="T1751" s="88" t="n"/>
      <c r="U1751" s="88" t="n"/>
      <c r="V1751" s="88" t="n"/>
      <c r="W1751" s="88" t="n"/>
      <c r="X1751" s="88" t="n"/>
      <c r="Y1751" s="88" t="n"/>
      <c r="Z1751" s="88" t="n"/>
      <c r="AA1751" s="88" t="n"/>
    </row>
    <row r="1752">
      <c r="A1752" s="89" t="inlineStr">
        <is>
          <t>3290</t>
        </is>
      </c>
      <c r="B1752" s="248" t="inlineStr">
        <is>
          <t>AERO V ALG</t>
        </is>
      </c>
      <c r="C1752" s="88" t="n">
        <v>24100</v>
      </c>
      <c r="D1752" s="22">
        <f>ROUND((C1752*1.07)/100,0)*100</f>
        <v/>
      </c>
      <c r="E1752" s="22">
        <f>ROUND((C1752*1.15)/100,0)*100</f>
        <v/>
      </c>
      <c r="F1752" s="22">
        <f>ROUND((C1752*1.15)/100,0)*100</f>
        <v/>
      </c>
      <c r="G1752" s="88">
        <f>ROUND((C1752*1.2)/100,0)*100</f>
        <v/>
      </c>
      <c r="H1752" s="88">
        <f>ROUND((C1752*1.25)/100,0)*100</f>
        <v/>
      </c>
      <c r="I1752" s="88">
        <f>ROUND((C1752*1.3)/100,0)*100</f>
        <v/>
      </c>
      <c r="J1752" s="88">
        <f>ROUND((C1752*1.35)/100,0)*100</f>
        <v/>
      </c>
      <c r="K1752" s="22">
        <f>ROUND((C1752*L1752)/100,0)*100</f>
        <v/>
      </c>
      <c r="L1752" s="96" t="n">
        <v>1.45</v>
      </c>
      <c r="M1752" s="88" t="n"/>
      <c r="O1752" s="137" t="n"/>
      <c r="P1752" s="117" t="n"/>
      <c r="R1752" s="117" t="n"/>
      <c r="T1752" s="88" t="n"/>
      <c r="U1752" s="88" t="n"/>
      <c r="V1752" s="88" t="n"/>
      <c r="W1752" s="88" t="n"/>
      <c r="X1752" s="88" t="n"/>
      <c r="Y1752" s="88" t="n"/>
      <c r="Z1752" s="88" t="n"/>
      <c r="AA1752" s="88" t="n"/>
    </row>
    <row r="1753">
      <c r="A1753" s="89" t="inlineStr">
        <is>
          <t>7347</t>
        </is>
      </c>
      <c r="B1753" s="248" t="inlineStr">
        <is>
          <t>NEW STAR C BOLSILLO</t>
        </is>
      </c>
      <c r="C1753" s="88" t="n">
        <v>20800</v>
      </c>
      <c r="D1753" s="22">
        <f>ROUND((C1753*1.07)/100,0)*100</f>
        <v/>
      </c>
      <c r="E1753" s="22">
        <f>ROUND((C1753*1.15)/100,0)*100</f>
        <v/>
      </c>
      <c r="F1753" s="22">
        <f>ROUND((C1753*1.15)/100,0)*100</f>
        <v/>
      </c>
      <c r="G1753" s="88">
        <f>ROUND((C1753*1.2)/100,0)*100</f>
        <v/>
      </c>
      <c r="H1753" s="88">
        <f>ROUND((C1753*1.25)/100,0)*100</f>
        <v/>
      </c>
      <c r="I1753" s="88">
        <f>ROUND((C1753*1.3)/100,0)*100</f>
        <v/>
      </c>
      <c r="J1753" s="88">
        <f>ROUND((C1753*1.35)/100,0)*100</f>
        <v/>
      </c>
      <c r="K1753" s="22">
        <f>ROUND((C1753*L1753)/100,0)*100</f>
        <v/>
      </c>
      <c r="L1753" s="96" t="n">
        <v>1.45</v>
      </c>
      <c r="M1753" s="88" t="n"/>
      <c r="O1753" s="137" t="n"/>
      <c r="P1753" s="117" t="n"/>
      <c r="R1753" s="117" t="n"/>
      <c r="T1753" s="88" t="n"/>
      <c r="U1753" s="88" t="n"/>
      <c r="V1753" s="88" t="n"/>
      <c r="W1753" s="88" t="n"/>
      <c r="X1753" s="88" t="n"/>
      <c r="Y1753" s="88" t="n"/>
      <c r="Z1753" s="88" t="n"/>
      <c r="AA1753" s="88" t="n"/>
    </row>
    <row r="1754">
      <c r="A1754" s="89" t="inlineStr">
        <is>
          <t>7302/7402</t>
        </is>
      </c>
      <c r="B1754" s="248" t="inlineStr">
        <is>
          <t>REMERA M/L ESTAMPA FOTOCROMIA</t>
        </is>
      </c>
      <c r="C1754" s="88" t="n">
        <v>21500</v>
      </c>
      <c r="D1754" s="22">
        <f>ROUND((C1754*1.07)/100,0)*100</f>
        <v/>
      </c>
      <c r="E1754" s="22">
        <f>ROUND((C1754*1.15)/100,0)*100</f>
        <v/>
      </c>
      <c r="F1754" s="22">
        <f>ROUND((C1754*1.15)/100,0)*100</f>
        <v/>
      </c>
      <c r="G1754" s="88">
        <f>ROUND((C1754*1.2)/100,0)*100</f>
        <v/>
      </c>
      <c r="H1754" s="88">
        <f>ROUND((C1754*1.25)/100,0)*100</f>
        <v/>
      </c>
      <c r="I1754" s="88">
        <f>ROUND((C1754*1.3)/100,0)*100</f>
        <v/>
      </c>
      <c r="J1754" s="88">
        <f>ROUND((C1754*1.35)/100,0)*100</f>
        <v/>
      </c>
      <c r="K1754" s="22">
        <f>ROUND((C1754*L1754)/100,0)*100</f>
        <v/>
      </c>
      <c r="L1754" s="96" t="n">
        <v>1.45</v>
      </c>
      <c r="M1754" s="88" t="n"/>
      <c r="O1754" s="137" t="n"/>
      <c r="P1754" s="117" t="n"/>
      <c r="R1754" s="117" t="n"/>
      <c r="T1754" s="88" t="n"/>
      <c r="U1754" s="88" t="n"/>
      <c r="V1754" s="88" t="n"/>
      <c r="W1754" s="88" t="n"/>
      <c r="X1754" s="88" t="n"/>
      <c r="Y1754" s="88" t="n"/>
      <c r="Z1754" s="88" t="n"/>
      <c r="AA1754" s="88" t="n"/>
    </row>
    <row r="1755">
      <c r="A1755" s="89" t="inlineStr">
        <is>
          <t>7445</t>
        </is>
      </c>
      <c r="B1755" s="248" t="inlineStr">
        <is>
          <t>NEW STAR COMBINADA</t>
        </is>
      </c>
      <c r="C1755" s="88" t="n">
        <v>21500</v>
      </c>
      <c r="D1755" s="22">
        <f>ROUND((C1755*1.07)/100,0)*100</f>
        <v/>
      </c>
      <c r="E1755" s="22">
        <f>ROUND((C1755*1.15)/100,0)*100</f>
        <v/>
      </c>
      <c r="F1755" s="22">
        <f>ROUND((C1755*1.15)/100,0)*100</f>
        <v/>
      </c>
      <c r="G1755" s="88">
        <f>ROUND((C1755*1.2)/100,0)*100</f>
        <v/>
      </c>
      <c r="H1755" s="88">
        <f>ROUND((C1755*1.25)/100,0)*100</f>
        <v/>
      </c>
      <c r="I1755" s="88">
        <f>ROUND((C1755*1.3)/100,0)*100</f>
        <v/>
      </c>
      <c r="J1755" s="88">
        <f>ROUND((C1755*1.35)/100,0)*100</f>
        <v/>
      </c>
      <c r="K1755" s="22">
        <f>ROUND((C1755*L1755)/100,0)*100</f>
        <v/>
      </c>
      <c r="L1755" s="96" t="n">
        <v>1.45</v>
      </c>
      <c r="M1755" s="88" t="n"/>
      <c r="O1755" s="137" t="n"/>
      <c r="P1755" s="117" t="n"/>
      <c r="R1755" s="117" t="n"/>
      <c r="T1755" s="88" t="n"/>
      <c r="U1755" s="88" t="n"/>
      <c r="V1755" s="88" t="n"/>
      <c r="W1755" s="88" t="n"/>
      <c r="X1755" s="88" t="n"/>
      <c r="Y1755" s="88" t="n"/>
      <c r="Z1755" s="88" t="n"/>
      <c r="AA1755" s="88" t="n"/>
    </row>
    <row r="1756">
      <c r="A1756" s="89" t="inlineStr">
        <is>
          <t>7451</t>
        </is>
      </c>
      <c r="B1756" s="248" t="inlineStr">
        <is>
          <t>NEW STAR ALG COMBINADA</t>
        </is>
      </c>
      <c r="C1756" s="88" t="n">
        <v>21500</v>
      </c>
      <c r="D1756" s="22">
        <f>ROUND((C1756*1.07)/100,0)*100</f>
        <v/>
      </c>
      <c r="E1756" s="22">
        <f>ROUND((C1756*1.15)/100,0)*100</f>
        <v/>
      </c>
      <c r="F1756" s="22">
        <f>ROUND((C1756*1.15)/100,0)*100</f>
        <v/>
      </c>
      <c r="G1756" s="88">
        <f>ROUND((C1756*1.2)/100,0)*100</f>
        <v/>
      </c>
      <c r="H1756" s="88">
        <f>ROUND((C1756*1.25)/100,0)*100</f>
        <v/>
      </c>
      <c r="I1756" s="88">
        <f>ROUND((C1756*1.3)/100,0)*100</f>
        <v/>
      </c>
      <c r="J1756" s="88">
        <f>ROUND((C1756*1.35)/100,0)*100</f>
        <v/>
      </c>
      <c r="K1756" s="22">
        <f>ROUND((C1756*L1756)/100,0)*100</f>
        <v/>
      </c>
      <c r="L1756" s="96" t="n">
        <v>1.45</v>
      </c>
      <c r="M1756" s="88" t="n"/>
      <c r="O1756" s="137" t="n"/>
      <c r="P1756" s="117" t="n"/>
      <c r="R1756" s="117" t="n"/>
      <c r="T1756" s="88" t="n"/>
      <c r="U1756" s="88" t="n"/>
      <c r="V1756" s="88" t="n"/>
      <c r="W1756" s="88" t="n"/>
      <c r="X1756" s="88" t="n"/>
      <c r="Y1756" s="88" t="n"/>
      <c r="Z1756" s="88" t="n"/>
      <c r="AA1756" s="88" t="n"/>
    </row>
    <row r="1757">
      <c r="A1757" s="89" t="inlineStr">
        <is>
          <t>31-4210251</t>
        </is>
      </c>
      <c r="B1757" s="248" t="inlineStr">
        <is>
          <t>FUS USA BASICA "CAPITAL"</t>
        </is>
      </c>
      <c r="C1757" s="88" t="n">
        <v>34900</v>
      </c>
      <c r="D1757" s="22">
        <f>ROUND((C1757*1.07)/100,0)*100</f>
        <v/>
      </c>
      <c r="E1757" s="22">
        <f>ROUND((C1757*1.15)/100,0)*100</f>
        <v/>
      </c>
      <c r="F1757" s="22">
        <f>ROUND((C1757*1.15)/100,0)*100</f>
        <v/>
      </c>
      <c r="G1757" s="88">
        <f>ROUND((C1757*1.2)/100,0)*100</f>
        <v/>
      </c>
      <c r="H1757" s="88">
        <f>ROUND((C1757*1.25)/100,0)*100</f>
        <v/>
      </c>
      <c r="I1757" s="88">
        <f>ROUND((C1757*1.3)/100,0)*100</f>
        <v/>
      </c>
      <c r="J1757" s="88">
        <f>ROUND((C1757*1.35)/100,0)*100</f>
        <v/>
      </c>
      <c r="K1757" s="22">
        <f>ROUND((C1757*L1757)/100,0)*100</f>
        <v/>
      </c>
      <c r="L1757" s="96" t="n">
        <v>1.45</v>
      </c>
      <c r="M1757" s="88" t="n"/>
      <c r="O1757" s="137" t="n"/>
      <c r="P1757" s="117" t="n"/>
      <c r="R1757" s="117" t="n"/>
      <c r="T1757" s="88" t="n"/>
      <c r="U1757" s="88" t="n"/>
      <c r="V1757" s="88" t="n"/>
      <c r="W1757" s="88" t="n"/>
      <c r="X1757" s="88" t="n"/>
      <c r="Y1757" s="88" t="n"/>
      <c r="Z1757" s="88" t="n"/>
      <c r="AA1757" s="88" t="n"/>
    </row>
    <row r="1758">
      <c r="A1758" s="89" t="inlineStr">
        <is>
          <t>21210</t>
        </is>
      </c>
      <c r="B1758" s="248" t="inlineStr">
        <is>
          <t>SANGARFINE TERMICA</t>
        </is>
      </c>
      <c r="C1758" s="88" t="n">
        <v>46700</v>
      </c>
      <c r="D1758" s="22">
        <f>ROUND((C1758*1.07)/100,0)*100</f>
        <v/>
      </c>
      <c r="E1758" s="22">
        <f>ROUND((C1758*1.15)/100,0)*100</f>
        <v/>
      </c>
      <c r="F1758" s="22">
        <f>ROUND((C1758*1.15)/100,0)*100</f>
        <v/>
      </c>
      <c r="G1758" s="88">
        <f>ROUND((C1758*1.2)/100,0)*100</f>
        <v/>
      </c>
      <c r="H1758" s="88">
        <f>ROUND((C1758*1.25)/100,0)*100</f>
        <v/>
      </c>
      <c r="I1758" s="88">
        <f>ROUND((C1758*1.3)/100,0)*100</f>
        <v/>
      </c>
      <c r="J1758" s="88">
        <f>ROUND((C1758*1.35)/100,0)*100</f>
        <v/>
      </c>
      <c r="K1758" s="22">
        <f>ROUND((C1758*L1758)/100,0)*100</f>
        <v/>
      </c>
      <c r="L1758" s="96" t="n">
        <v>1.45</v>
      </c>
      <c r="M1758" s="88" t="n"/>
      <c r="O1758" s="137" t="n"/>
      <c r="P1758" s="117" t="n"/>
      <c r="R1758" s="117" t="n"/>
      <c r="T1758" s="117" t="n"/>
    </row>
    <row r="1759">
      <c r="A1759" s="89" t="n"/>
      <c r="B1759" s="248" t="n"/>
      <c r="C1759" s="88" t="n"/>
      <c r="D1759" s="88" t="n"/>
      <c r="E1759" s="88" t="n"/>
      <c r="F1759" s="88" t="n"/>
      <c r="G1759" s="88" t="n"/>
      <c r="H1759" s="88" t="n"/>
      <c r="I1759" s="88" t="n"/>
      <c r="J1759" s="88" t="n"/>
      <c r="K1759" s="88" t="n"/>
      <c r="L1759" s="88" t="n"/>
      <c r="M1759" s="88" t="n"/>
      <c r="O1759" s="137" t="n"/>
      <c r="P1759" s="117" t="n"/>
      <c r="R1759" s="117" t="n"/>
      <c r="T1759" s="117" t="n"/>
    </row>
    <row r="1760">
      <c r="A1760" s="80" t="n"/>
      <c r="B1760" s="81" t="inlineStr">
        <is>
          <t>SWEATERS HOMBRE</t>
        </is>
      </c>
      <c r="C1760" s="83" t="inlineStr">
        <is>
          <t>S-XL 1/4</t>
        </is>
      </c>
      <c r="D1760" s="83" t="inlineStr">
        <is>
          <t>XXL-5</t>
        </is>
      </c>
      <c r="E1760" s="83" t="inlineStr">
        <is>
          <t>3XL-6</t>
        </is>
      </c>
      <c r="F1760" s="83" t="n">
        <v>7</v>
      </c>
      <c r="G1760" s="83" t="n">
        <v>8</v>
      </c>
      <c r="H1760" s="83" t="n">
        <v>9</v>
      </c>
      <c r="I1760" s="83" t="n">
        <v>10</v>
      </c>
      <c r="J1760" s="83" t="n">
        <v>12</v>
      </c>
      <c r="K1760" s="83" t="n">
        <v>14</v>
      </c>
      <c r="L1760" s="83" t="n"/>
      <c r="M1760" s="80" t="inlineStr">
        <is>
          <t>04/25</t>
        </is>
      </c>
      <c r="O1760" s="137" t="n"/>
      <c r="P1760" s="84" t="n"/>
      <c r="Q1760" s="85" t="n"/>
      <c r="R1760" s="84" t="n"/>
      <c r="S1760" s="85" t="n"/>
      <c r="T1760" s="84" t="n"/>
      <c r="U1760" s="85" t="n"/>
      <c r="V1760" s="85" t="n"/>
      <c r="W1760" s="85" t="n"/>
      <c r="X1760" s="85" t="n"/>
      <c r="Y1760" s="85" t="n"/>
      <c r="Z1760" s="85" t="n"/>
      <c r="AA1760" s="85" t="n"/>
      <c r="AB1760" s="85" t="n"/>
      <c r="AC1760" s="85" t="n"/>
      <c r="AD1760" s="85" t="n"/>
      <c r="AE1760" s="85" t="n"/>
      <c r="AF1760" s="85" t="n"/>
      <c r="AG1760" s="85" t="n"/>
      <c r="AH1760" s="85" t="n"/>
      <c r="AI1760" s="85" t="n"/>
      <c r="AJ1760" s="85" t="n"/>
      <c r="AK1760" s="85" t="n"/>
      <c r="AL1760" s="85" t="n"/>
      <c r="AM1760" s="85" t="n"/>
      <c r="AN1760" s="85" t="n"/>
    </row>
    <row r="1761">
      <c r="A1761" s="89" t="inlineStr">
        <is>
          <t>19784644</t>
        </is>
      </c>
      <c r="B1761" s="248" t="inlineStr">
        <is>
          <t>TAVERNITI-</t>
        </is>
      </c>
      <c r="C1761" s="88" t="n">
        <v>55200</v>
      </c>
      <c r="D1761" s="22" t="n"/>
      <c r="E1761" s="22" t="n"/>
      <c r="F1761" s="22" t="n"/>
      <c r="G1761" s="22" t="n"/>
      <c r="H1761" s="22" t="n"/>
      <c r="I1761" s="22" t="n"/>
      <c r="J1761" s="88" t="n"/>
      <c r="K1761" s="88" t="n"/>
      <c r="L1761" s="88" t="n"/>
      <c r="M1761" s="88" t="n"/>
      <c r="O1761" s="117">
        <f>C1761*P1761</f>
        <v/>
      </c>
      <c r="P1761" s="117" t="n">
        <v>1.15</v>
      </c>
      <c r="R1761" s="147" t="n"/>
      <c r="T1761" s="117" t="n"/>
    </row>
    <row r="1762">
      <c r="A1762" s="89" t="inlineStr">
        <is>
          <t>19786609</t>
        </is>
      </c>
      <c r="B1762" s="248" t="inlineStr">
        <is>
          <t>TAVERNITI-</t>
        </is>
      </c>
      <c r="C1762" s="88" t="n">
        <v>55200</v>
      </c>
      <c r="D1762" s="22" t="n"/>
      <c r="E1762" s="22" t="n"/>
      <c r="F1762" s="22" t="n"/>
      <c r="G1762" s="22" t="n"/>
      <c r="H1762" s="22" t="n"/>
      <c r="I1762" s="22" t="n"/>
      <c r="J1762" s="88" t="n"/>
      <c r="K1762" s="88" t="n"/>
      <c r="L1762" s="88" t="n"/>
      <c r="M1762" s="88" t="n"/>
      <c r="O1762" s="117">
        <f>C1762*P1762</f>
        <v/>
      </c>
      <c r="P1762" s="117" t="n">
        <v>1.15</v>
      </c>
      <c r="R1762" s="117" t="n"/>
      <c r="T1762" s="117" t="n"/>
    </row>
    <row r="1763">
      <c r="A1763" s="89" t="inlineStr">
        <is>
          <t>87341</t>
        </is>
      </c>
      <c r="B1763" s="248" t="inlineStr">
        <is>
          <t xml:space="preserve">SWEATER PRINGLES ALGODÓN </t>
        </is>
      </c>
      <c r="C1763" s="88" t="n">
        <v>54000</v>
      </c>
      <c r="D1763" s="22" t="n"/>
      <c r="E1763" s="22" t="n"/>
      <c r="F1763" s="22" t="n"/>
      <c r="G1763" s="22" t="n"/>
      <c r="H1763" s="22" t="n"/>
      <c r="I1763" s="22" t="n"/>
      <c r="J1763" s="88" t="n"/>
      <c r="K1763" s="88" t="n"/>
      <c r="L1763" s="88" t="n"/>
      <c r="M1763" s="88" t="n"/>
      <c r="O1763" s="117">
        <f>C1763*P1763</f>
        <v/>
      </c>
      <c r="P1763" s="117" t="n">
        <v>1.15</v>
      </c>
      <c r="R1763" s="117" t="n"/>
      <c r="T1763" s="117" t="n"/>
    </row>
    <row r="1764">
      <c r="A1764" s="89" t="inlineStr">
        <is>
          <t>3</t>
        </is>
      </c>
      <c r="B1764" s="248" t="inlineStr">
        <is>
          <t>SWEATER PRINGLES VISCOSA</t>
        </is>
      </c>
      <c r="C1764" s="88" t="n">
        <v>59000</v>
      </c>
      <c r="D1764" s="22" t="n"/>
      <c r="E1764" s="22" t="n"/>
      <c r="F1764" s="22" t="n"/>
      <c r="G1764" s="22" t="n"/>
      <c r="H1764" s="22" t="n"/>
      <c r="I1764" s="22" t="n"/>
      <c r="J1764" s="88" t="n"/>
      <c r="K1764" s="88" t="n"/>
      <c r="L1764" s="88" t="n"/>
      <c r="M1764" s="88" t="n"/>
      <c r="O1764" s="117">
        <f>C1764*P1764</f>
        <v/>
      </c>
      <c r="P1764" s="117" t="n">
        <v>1.15</v>
      </c>
      <c r="R1764" s="117" t="n"/>
      <c r="T1764" s="117" t="n"/>
    </row>
    <row r="1765">
      <c r="A1765" s="89" t="inlineStr">
        <is>
          <t>87343</t>
        </is>
      </c>
      <c r="B1765" s="248" t="inlineStr">
        <is>
          <t xml:space="preserve">SWEATER PRINGLES FANTASÍA </t>
        </is>
      </c>
      <c r="C1765" s="88" t="n">
        <v>79000</v>
      </c>
      <c r="D1765" s="22" t="n"/>
      <c r="E1765" s="22" t="n"/>
      <c r="F1765" s="22" t="n"/>
      <c r="G1765" s="22" t="n"/>
      <c r="H1765" s="22" t="n"/>
      <c r="I1765" s="22" t="n"/>
      <c r="J1765" s="88" t="n"/>
      <c r="K1765" s="88" t="n"/>
      <c r="L1765" s="88" t="n"/>
      <c r="M1765" s="88" t="n"/>
      <c r="O1765" s="117">
        <f>C1765*P1765</f>
        <v/>
      </c>
      <c r="P1765" s="117" t="n">
        <v>1.15</v>
      </c>
      <c r="R1765" s="117" t="n"/>
      <c r="T1765" s="117" t="n"/>
    </row>
    <row r="1766">
      <c r="A1766" s="89" t="inlineStr">
        <is>
          <t>1/32011/420</t>
        </is>
      </c>
      <c r="B1766" s="248" t="inlineStr">
        <is>
          <t>BREMER JACKSON V</t>
        </is>
      </c>
      <c r="C1766" s="88" t="n">
        <v>70800</v>
      </c>
      <c r="D1766" s="88" t="n"/>
      <c r="E1766" s="88" t="n"/>
      <c r="F1766" s="22" t="n"/>
      <c r="G1766" s="22" t="n"/>
      <c r="H1766" s="22" t="n"/>
      <c r="I1766" s="22" t="n"/>
      <c r="J1766" s="88" t="n"/>
      <c r="K1766" s="88" t="n"/>
      <c r="L1766" s="88" t="n"/>
      <c r="M1766" s="88" t="n"/>
      <c r="O1766" s="117">
        <f>C1766*P1766</f>
        <v/>
      </c>
      <c r="P1766" s="117" t="n">
        <v>1.15</v>
      </c>
      <c r="R1766" s="117" t="n"/>
      <c r="T1766" s="117" t="n"/>
    </row>
    <row r="1767">
      <c r="A1767" s="89" t="inlineStr">
        <is>
          <t>421</t>
        </is>
      </c>
      <c r="B1767" s="248" t="inlineStr">
        <is>
          <t>BREMER LA URBANA LISO</t>
        </is>
      </c>
      <c r="C1767" s="88" t="n">
        <v>60400</v>
      </c>
      <c r="D1767" s="22" t="n"/>
      <c r="E1767" s="22" t="n"/>
      <c r="F1767" s="22" t="n"/>
      <c r="G1767" s="22" t="n"/>
      <c r="H1767" s="22" t="n"/>
      <c r="I1767" s="22" t="n"/>
      <c r="J1767" s="88" t="n"/>
      <c r="K1767" s="88" t="n"/>
      <c r="L1767" s="88" t="n"/>
      <c r="M1767" s="88" t="n"/>
      <c r="O1767" s="117">
        <f>C1767*P1767</f>
        <v/>
      </c>
      <c r="P1767" s="117" t="n">
        <v>1.15</v>
      </c>
      <c r="R1767" s="117" t="n"/>
      <c r="T1767" s="117" t="n"/>
    </row>
    <row r="1768">
      <c r="A1768" s="89" t="inlineStr">
        <is>
          <t>1761</t>
        </is>
      </c>
      <c r="B1768" s="248" t="inlineStr">
        <is>
          <t>BERVANIA CUELLO O COMBINADO</t>
        </is>
      </c>
      <c r="C1768" s="88" t="n">
        <v>31700</v>
      </c>
      <c r="D1768" s="22" t="n"/>
      <c r="E1768" s="22" t="n"/>
      <c r="F1768" s="22" t="n"/>
      <c r="G1768" s="22" t="n"/>
      <c r="H1768" s="22" t="n"/>
      <c r="I1768" s="22" t="n"/>
      <c r="J1768" s="88" t="n"/>
      <c r="K1768" s="88" t="n"/>
      <c r="L1768" s="88" t="n"/>
      <c r="M1768" s="88" t="n"/>
      <c r="O1768" s="117">
        <f>C1768*P1768</f>
        <v/>
      </c>
      <c r="P1768" s="117" t="n">
        <v>1.15</v>
      </c>
      <c r="R1768" s="117" t="n"/>
      <c r="T1768" s="117" t="n"/>
    </row>
    <row r="1769">
      <c r="A1769" s="89" t="inlineStr">
        <is>
          <t>1774</t>
        </is>
      </c>
      <c r="B1769" s="248" t="inlineStr">
        <is>
          <t>BERVANIA S</t>
        </is>
      </c>
      <c r="C1769" s="88" t="n">
        <v>31700</v>
      </c>
      <c r="D1769" s="22" t="n"/>
      <c r="E1769" s="22" t="n"/>
      <c r="F1769" s="22" t="n"/>
      <c r="G1769" s="22" t="n"/>
      <c r="H1769" s="22" t="n"/>
      <c r="I1769" s="22" t="n"/>
      <c r="J1769" s="88" t="n"/>
      <c r="K1769" s="88" t="n"/>
      <c r="L1769" s="88" t="n"/>
      <c r="M1769" s="88" t="n"/>
      <c r="O1769" s="117">
        <f>C1769*P1769</f>
        <v/>
      </c>
      <c r="P1769" s="117" t="n">
        <v>1.15</v>
      </c>
      <c r="R1769" s="117" t="n"/>
      <c r="T1769" s="117" t="n"/>
    </row>
    <row r="1770">
      <c r="A1770" s="89" t="inlineStr">
        <is>
          <t>30</t>
        </is>
      </c>
      <c r="B1770" s="248" t="inlineStr">
        <is>
          <t>AERO</t>
        </is>
      </c>
      <c r="C1770" s="88" t="n">
        <v>31700</v>
      </c>
      <c r="D1770" s="22" t="n"/>
      <c r="E1770" s="22" t="n"/>
      <c r="F1770" s="22" t="n"/>
      <c r="G1770" s="22" t="n"/>
      <c r="H1770" s="22" t="n"/>
      <c r="I1770" s="22" t="n"/>
      <c r="J1770" s="88" t="n"/>
      <c r="K1770" s="88" t="n"/>
      <c r="L1770" s="88" t="n"/>
      <c r="M1770" s="88" t="n"/>
      <c r="O1770" s="117">
        <f>C1770*P1770</f>
        <v/>
      </c>
      <c r="P1770" s="117" t="n">
        <v>1.15</v>
      </c>
      <c r="R1770" s="117" t="n"/>
      <c r="T1770" s="117" t="n"/>
    </row>
    <row r="1771">
      <c r="A1771" s="89" t="inlineStr">
        <is>
          <t>3002</t>
        </is>
      </c>
      <c r="B1771" s="248" t="inlineStr">
        <is>
          <t>BREMER BERVANIA</t>
        </is>
      </c>
      <c r="C1771" s="88" t="n">
        <v>68600</v>
      </c>
      <c r="D1771" s="22" t="n"/>
      <c r="E1771" s="22" t="n"/>
      <c r="F1771" s="22" t="n"/>
      <c r="G1771" s="22" t="n"/>
      <c r="H1771" s="22" t="n"/>
      <c r="I1771" s="22" t="n"/>
      <c r="J1771" s="88" t="n"/>
      <c r="K1771" s="88" t="n"/>
      <c r="L1771" s="88" t="n"/>
      <c r="M1771" s="88" t="n"/>
      <c r="O1771" s="117">
        <f>C1771*P1771</f>
        <v/>
      </c>
      <c r="P1771" s="117" t="n">
        <v>1.15</v>
      </c>
      <c r="R1771" s="117" t="n"/>
      <c r="T1771" s="117" t="n"/>
    </row>
    <row r="1772">
      <c r="A1772" s="89" t="inlineStr">
        <is>
          <t>4114</t>
        </is>
      </c>
      <c r="B1772" s="248" t="inlineStr">
        <is>
          <t>AERO</t>
        </is>
      </c>
      <c r="C1772" s="88" t="n">
        <v>40900</v>
      </c>
      <c r="D1772" s="22" t="n"/>
      <c r="E1772" s="22" t="n"/>
      <c r="F1772" s="22" t="n"/>
      <c r="G1772" s="22" t="n"/>
      <c r="H1772" s="22" t="n"/>
      <c r="I1772" s="22" t="n"/>
      <c r="J1772" s="88" t="n"/>
      <c r="K1772" s="88" t="n"/>
      <c r="L1772" s="88" t="n"/>
      <c r="M1772" s="88" t="n"/>
      <c r="O1772" s="117">
        <f>C1772*P1772</f>
        <v/>
      </c>
      <c r="P1772" s="117" t="n">
        <v>1.15</v>
      </c>
      <c r="R1772" s="117" t="n"/>
      <c r="T1772" s="117" t="n"/>
    </row>
    <row r="1773">
      <c r="A1773" s="89" t="inlineStr">
        <is>
          <t>4117</t>
        </is>
      </c>
      <c r="B1773" s="248" t="inlineStr">
        <is>
          <t>AERO</t>
        </is>
      </c>
      <c r="C1773" s="88" t="n">
        <v>31200</v>
      </c>
      <c r="D1773" s="22" t="n"/>
      <c r="E1773" s="22" t="n"/>
      <c r="F1773" s="22" t="n"/>
      <c r="G1773" s="22" t="n"/>
      <c r="H1773" s="22" t="n"/>
      <c r="I1773" s="22" t="n"/>
      <c r="J1773" s="88" t="n"/>
      <c r="K1773" s="88" t="n"/>
      <c r="L1773" s="88" t="n"/>
      <c r="M1773" s="88" t="n"/>
      <c r="O1773" s="117">
        <f>C1773*P1773</f>
        <v/>
      </c>
      <c r="P1773" s="117" t="n">
        <v>1.15</v>
      </c>
      <c r="R1773" s="117" t="n"/>
      <c r="T1773" s="117" t="n"/>
    </row>
    <row r="1774">
      <c r="A1774" s="89" t="inlineStr">
        <is>
          <t>350</t>
        </is>
      </c>
      <c r="B1774" s="248" t="inlineStr">
        <is>
          <t xml:space="preserve">AERO </t>
        </is>
      </c>
      <c r="C1774" s="22" t="n">
        <v>41900</v>
      </c>
      <c r="D1774" s="22">
        <f>ROUND((C1774*1.07)/100,0)*100</f>
        <v/>
      </c>
      <c r="E1774" s="88">
        <f>ROUND((C1774*1.15)/100,0)*100</f>
        <v/>
      </c>
      <c r="F1774" s="88">
        <f>ROUND((C1774*1.15)/100,0)*100</f>
        <v/>
      </c>
      <c r="G1774" s="88">
        <f>ROUND((C1774*1.2)/100,0)*100</f>
        <v/>
      </c>
      <c r="H1774" s="88">
        <f>ROUND((C1774*1.25)/100,0)*100</f>
        <v/>
      </c>
      <c r="I1774" s="88">
        <f>ROUND((C1774*1.3)/100,0)*100</f>
        <v/>
      </c>
      <c r="J1774" s="88">
        <f>ROUND((C1774*1.35)/100,0)*100</f>
        <v/>
      </c>
      <c r="K1774" s="88">
        <f>C1774*L1774</f>
        <v/>
      </c>
      <c r="L1774" s="88" t="n"/>
      <c r="M1774" s="88" t="n"/>
      <c r="O1774" s="117">
        <f>C1774*P1774</f>
        <v/>
      </c>
      <c r="P1774" s="117" t="n">
        <v>1.15</v>
      </c>
      <c r="R1774" s="117" t="n"/>
      <c r="T1774" s="117" t="n"/>
    </row>
    <row r="1775">
      <c r="A1775" s="89" t="inlineStr">
        <is>
          <t>4202</t>
        </is>
      </c>
      <c r="B1775" s="248" t="inlineStr">
        <is>
          <t>AERO</t>
        </is>
      </c>
      <c r="C1775" s="88" t="n">
        <v>41900</v>
      </c>
      <c r="D1775" s="22">
        <f>ROUND((C1775*1.07)/100,0)*100</f>
        <v/>
      </c>
      <c r="E1775" s="88">
        <f>ROUND((C1775*1.15)/100,0)*100</f>
        <v/>
      </c>
      <c r="F1775" s="88">
        <f>ROUND((C1775*1.15)/100,0)*100</f>
        <v/>
      </c>
      <c r="G1775" s="88">
        <f>ROUND((C1775*1.2)/100,0)*100</f>
        <v/>
      </c>
      <c r="H1775" s="88">
        <f>ROUND((C1775*1.25)/100,0)*100</f>
        <v/>
      </c>
      <c r="I1775" s="88">
        <f>ROUND((C1775*1.3)/100,0)*100</f>
        <v/>
      </c>
      <c r="J1775" s="88">
        <f>ROUND((C1775*1.35)/100,0)*100</f>
        <v/>
      </c>
      <c r="K1775" s="88" t="n"/>
      <c r="L1775" s="88" t="n"/>
      <c r="M1775" s="88" t="n"/>
      <c r="O1775" s="117">
        <f>C1775*P1775</f>
        <v/>
      </c>
      <c r="P1775" s="117" t="n">
        <v>1.15</v>
      </c>
      <c r="R1775" s="117" t="n"/>
      <c r="T1775" s="117" t="n"/>
    </row>
    <row r="1776">
      <c r="A1776" s="89" t="inlineStr">
        <is>
          <t>4204</t>
        </is>
      </c>
      <c r="B1776" s="248" t="inlineStr">
        <is>
          <t>AERO</t>
        </is>
      </c>
      <c r="C1776" s="88" t="n">
        <v>41900</v>
      </c>
      <c r="D1776" s="22">
        <f>ROUND((C1776*1.07)/100,0)*100</f>
        <v/>
      </c>
      <c r="E1776" s="88">
        <f>ROUND((C1776*1.15)/100,0)*100</f>
        <v/>
      </c>
      <c r="F1776" s="88">
        <f>ROUND((C1776*1.15)/100,0)*100</f>
        <v/>
      </c>
      <c r="G1776" s="88">
        <f>ROUND((C1776*1.2)/100,0)*100</f>
        <v/>
      </c>
      <c r="H1776" s="88">
        <f>ROUND((C1776*1.25)/100,0)*100</f>
        <v/>
      </c>
      <c r="I1776" s="88">
        <f>ROUND((C1776*1.3)/100,0)*100</f>
        <v/>
      </c>
      <c r="J1776" s="88">
        <f>ROUND((C1776*1.35)/100,0)*100</f>
        <v/>
      </c>
      <c r="K1776" s="88" t="n"/>
      <c r="L1776" s="88" t="n"/>
      <c r="M1776" s="88" t="n"/>
      <c r="O1776" s="117">
        <f>C1776*P1776</f>
        <v/>
      </c>
      <c r="P1776" s="117" t="n">
        <v>1.15</v>
      </c>
      <c r="R1776" s="117" t="n"/>
      <c r="T1776" s="117" t="n"/>
    </row>
    <row r="1777">
      <c r="A1777" s="89" t="inlineStr">
        <is>
          <t>4205</t>
        </is>
      </c>
      <c r="B1777" s="248" t="inlineStr">
        <is>
          <t>AERO</t>
        </is>
      </c>
      <c r="C1777" s="88" t="n">
        <v>41900</v>
      </c>
      <c r="D1777" s="22">
        <f>ROUND((C1777*1.07)/100,0)*100</f>
        <v/>
      </c>
      <c r="E1777" s="88">
        <f>ROUND((C1777*1.15)/100,0)*100</f>
        <v/>
      </c>
      <c r="F1777" s="88">
        <f>ROUND((C1777*1.15)/100,0)*100</f>
        <v/>
      </c>
      <c r="G1777" s="88">
        <f>ROUND((C1777*1.2)/100,0)*100</f>
        <v/>
      </c>
      <c r="H1777" s="88">
        <f>ROUND((C1777*1.25)/100,0)*100</f>
        <v/>
      </c>
      <c r="I1777" s="88">
        <f>ROUND((C1777*1.3)/100,0)*100</f>
        <v/>
      </c>
      <c r="J1777" s="88">
        <f>ROUND((C1777*1.35)/100,0)*100</f>
        <v/>
      </c>
      <c r="K1777" s="88" t="n"/>
      <c r="L1777" s="88" t="n"/>
      <c r="M1777" s="88" t="n"/>
      <c r="O1777" s="117">
        <f>C1777*P1777</f>
        <v/>
      </c>
      <c r="P1777" s="117" t="n">
        <v>1.15</v>
      </c>
      <c r="R1777" s="117" t="n"/>
      <c r="T1777" s="117" t="n"/>
    </row>
    <row r="1778">
      <c r="A1778" s="89" t="inlineStr">
        <is>
          <t>4206</t>
        </is>
      </c>
      <c r="B1778" s="248" t="inlineStr">
        <is>
          <t>AERO</t>
        </is>
      </c>
      <c r="C1778" s="88" t="n">
        <v>41900</v>
      </c>
      <c r="D1778" s="22">
        <f>ROUND((C1778*1.07)/100,0)*100</f>
        <v/>
      </c>
      <c r="E1778" s="88">
        <f>ROUND((C1778*1.15)/100,0)*100</f>
        <v/>
      </c>
      <c r="F1778" s="88">
        <f>ROUND((C1778*1.15)/100,0)*100</f>
        <v/>
      </c>
      <c r="G1778" s="88">
        <f>ROUND((C1778*1.2)/100,0)*100</f>
        <v/>
      </c>
      <c r="H1778" s="88">
        <f>ROUND((C1778*1.25)/100,0)*100</f>
        <v/>
      </c>
      <c r="I1778" s="88">
        <f>ROUND((C1778*1.3)/100,0)*100</f>
        <v/>
      </c>
      <c r="J1778" s="88">
        <f>ROUND((C1778*1.35)/100,0)*100</f>
        <v/>
      </c>
      <c r="K1778" s="88" t="n"/>
      <c r="L1778" s="88" t="n"/>
      <c r="M1778" s="88" t="n"/>
      <c r="O1778" s="117">
        <f>C1778*P1778</f>
        <v/>
      </c>
      <c r="P1778" s="117" t="n">
        <v>1.15</v>
      </c>
      <c r="R1778" s="117" t="n"/>
      <c r="T1778" s="117" t="n"/>
    </row>
    <row r="1779">
      <c r="A1779" s="89" t="inlineStr">
        <is>
          <t>4215</t>
        </is>
      </c>
      <c r="B1779" s="248" t="inlineStr">
        <is>
          <t>AERO</t>
        </is>
      </c>
      <c r="C1779" s="88" t="n">
        <v>41900</v>
      </c>
      <c r="D1779" s="22">
        <f>ROUND((C1779*1.07)/100,0)*100</f>
        <v/>
      </c>
      <c r="E1779" s="88">
        <f>ROUND((C1779*1.15)/100,0)*100</f>
        <v/>
      </c>
      <c r="F1779" s="88">
        <f>ROUND((C1779*1.15)/100,0)*100</f>
        <v/>
      </c>
      <c r="G1779" s="88">
        <f>ROUND((C1779*1.2)/100,0)*100</f>
        <v/>
      </c>
      <c r="H1779" s="88">
        <f>ROUND((C1779*1.25)/100,0)*100</f>
        <v/>
      </c>
      <c r="I1779" s="88">
        <f>ROUND((C1779*1.3)/100,0)*100</f>
        <v/>
      </c>
      <c r="J1779" s="88">
        <f>ROUND((C1779*1.35)/100,0)*100</f>
        <v/>
      </c>
      <c r="K1779" s="88" t="n"/>
      <c r="L1779" s="88" t="n"/>
      <c r="M1779" s="88" t="n"/>
      <c r="O1779" s="117">
        <f>C1779*P1779</f>
        <v/>
      </c>
      <c r="P1779" s="117" t="n">
        <v>1.15</v>
      </c>
      <c r="R1779" s="117" t="n"/>
      <c r="T1779" s="117" t="n"/>
    </row>
    <row r="1780">
      <c r="A1780" s="89" t="inlineStr">
        <is>
          <t>4216</t>
        </is>
      </c>
      <c r="B1780" s="248" t="inlineStr">
        <is>
          <t>AERO</t>
        </is>
      </c>
      <c r="C1780" s="88" t="n">
        <v>41900</v>
      </c>
      <c r="D1780" s="22">
        <f>ROUND((C1780*1.07)/100,0)*100</f>
        <v/>
      </c>
      <c r="E1780" s="88">
        <f>ROUND((C1780*1.15)/100,0)*100</f>
        <v/>
      </c>
      <c r="F1780" s="88">
        <f>ROUND((C1780*1.15)/100,0)*100</f>
        <v/>
      </c>
      <c r="G1780" s="88">
        <f>ROUND((C1780*1.2)/100,0)*100</f>
        <v/>
      </c>
      <c r="H1780" s="88">
        <f>ROUND((C1780*1.25)/100,0)*100</f>
        <v/>
      </c>
      <c r="I1780" s="88">
        <f>ROUND((C1780*1.3)/100,0)*100</f>
        <v/>
      </c>
      <c r="J1780" s="88">
        <f>ROUND((C1780*1.35)/100,0)*100</f>
        <v/>
      </c>
      <c r="K1780" s="88" t="n"/>
      <c r="L1780" s="88" t="n"/>
      <c r="M1780" s="88" t="n"/>
      <c r="O1780" s="117">
        <f>C1780*P1780</f>
        <v/>
      </c>
      <c r="P1780" s="117" t="n">
        <v>1.15</v>
      </c>
      <c r="R1780" s="117" t="n"/>
      <c r="T1780" s="117" t="n"/>
    </row>
    <row r="1781">
      <c r="A1781" s="89" t="inlineStr">
        <is>
          <t>4217</t>
        </is>
      </c>
      <c r="B1781" s="248" t="inlineStr">
        <is>
          <t>AERO</t>
        </is>
      </c>
      <c r="C1781" s="88" t="n">
        <v>41900</v>
      </c>
      <c r="D1781" s="22">
        <f>ROUND((C1781*1.07)/100,0)*100</f>
        <v/>
      </c>
      <c r="E1781" s="88">
        <f>ROUND((C1781*1.15)/100,0)*100</f>
        <v/>
      </c>
      <c r="F1781" s="88">
        <f>ROUND((C1781*1.15)/100,0)*100</f>
        <v/>
      </c>
      <c r="G1781" s="88">
        <f>ROUND((C1781*1.2)/100,0)*100</f>
        <v/>
      </c>
      <c r="H1781" s="88">
        <f>ROUND((C1781*1.25)/100,0)*100</f>
        <v/>
      </c>
      <c r="I1781" s="88">
        <f>ROUND((C1781*1.3)/100,0)*100</f>
        <v/>
      </c>
      <c r="J1781" s="88">
        <f>ROUND((C1781*1.35)/100,0)*100</f>
        <v/>
      </c>
      <c r="K1781" s="88" t="n"/>
      <c r="L1781" s="88" t="n"/>
      <c r="M1781" s="88" t="n"/>
      <c r="O1781" s="117">
        <f>C1781*P1781</f>
        <v/>
      </c>
      <c r="P1781" s="117" t="n">
        <v>1.15</v>
      </c>
      <c r="R1781" s="117" t="n"/>
      <c r="T1781" s="117" t="n"/>
    </row>
    <row r="1782">
      <c r="A1782" s="89" t="inlineStr">
        <is>
          <t>4302</t>
        </is>
      </c>
      <c r="B1782" s="248" t="inlineStr">
        <is>
          <t>ESC. V. ROMBOS EN INTARSIA</t>
        </is>
      </c>
      <c r="C1782" s="88" t="n">
        <v>41900</v>
      </c>
      <c r="D1782" s="22">
        <f>ROUND((C1782*1.07)/100,0)*100</f>
        <v/>
      </c>
      <c r="E1782" s="88">
        <f>ROUND((C1782*1.15)/100,0)*100</f>
        <v/>
      </c>
      <c r="F1782" s="88">
        <f>ROUND((C1782*1.15)/100,0)*100</f>
        <v/>
      </c>
      <c r="G1782" s="88">
        <f>ROUND((C1782*1.2)/100,0)*100</f>
        <v/>
      </c>
      <c r="H1782" s="88">
        <f>ROUND((C1782*1.25)/100,0)*100</f>
        <v/>
      </c>
      <c r="I1782" s="88">
        <f>ROUND((C1782*1.3)/100,0)*100</f>
        <v/>
      </c>
      <c r="J1782" s="88">
        <f>ROUND((C1782*1.35)/100,0)*100</f>
        <v/>
      </c>
      <c r="K1782" s="88" t="n"/>
      <c r="L1782" s="88" t="n"/>
      <c r="M1782" s="88" t="n"/>
      <c r="O1782" s="117">
        <f>C1782*P1782</f>
        <v/>
      </c>
      <c r="P1782" s="117" t="n">
        <v>1.15</v>
      </c>
      <c r="R1782" s="117" t="n"/>
      <c r="T1782" s="117" t="n"/>
    </row>
    <row r="1783">
      <c r="A1783" s="89" t="inlineStr">
        <is>
          <t>4304</t>
        </is>
      </c>
      <c r="B1783" s="248" t="inlineStr">
        <is>
          <t>ESC. V. GRUESO COMBINADO C/BOTONES</t>
        </is>
      </c>
      <c r="C1783" s="88" t="n">
        <v>54200</v>
      </c>
      <c r="D1783" s="22" t="n"/>
      <c r="E1783" s="22" t="n"/>
      <c r="F1783" s="22" t="n"/>
      <c r="G1783" s="22" t="n"/>
      <c r="H1783" s="22" t="n"/>
      <c r="I1783" s="22" t="n"/>
      <c r="J1783" s="88" t="n"/>
      <c r="K1783" s="88" t="n"/>
      <c r="L1783" s="88" t="n"/>
      <c r="M1783" s="88" t="n"/>
      <c r="O1783" s="117">
        <f>C1783*P1783</f>
        <v/>
      </c>
      <c r="P1783" s="117" t="n">
        <v>1.15</v>
      </c>
      <c r="R1783" s="117" t="n"/>
      <c r="T1783" s="117" t="n"/>
    </row>
    <row r="1784">
      <c r="A1784" s="89" t="inlineStr">
        <is>
          <t>4306</t>
        </is>
      </c>
      <c r="B1784" s="248" t="inlineStr">
        <is>
          <t>ESC. V. CON GUARDAS INCAICAS</t>
        </is>
      </c>
      <c r="C1784" s="88" t="n">
        <v>54200</v>
      </c>
      <c r="D1784" s="22" t="n"/>
      <c r="E1784" s="22" t="n"/>
      <c r="F1784" s="22" t="n"/>
      <c r="G1784" s="22" t="n"/>
      <c r="H1784" s="22" t="n"/>
      <c r="I1784" s="22" t="n"/>
      <c r="J1784" s="88" t="n"/>
      <c r="K1784" s="88" t="n"/>
      <c r="L1784" s="88" t="n"/>
      <c r="M1784" s="88" t="n"/>
      <c r="O1784" s="117">
        <f>C1784*P1784</f>
        <v/>
      </c>
      <c r="P1784" s="117" t="n">
        <v>1.15</v>
      </c>
      <c r="R1784" s="117" t="n"/>
      <c r="T1784" s="117" t="n"/>
    </row>
    <row r="1785">
      <c r="A1785" s="89" t="inlineStr">
        <is>
          <t>4308</t>
        </is>
      </c>
      <c r="B1785" s="248" t="inlineStr">
        <is>
          <t>ESC. V. MATIZADO CUELLO CRUZADO</t>
        </is>
      </c>
      <c r="C1785" s="88" t="n">
        <v>54200</v>
      </c>
      <c r="D1785" s="22" t="n"/>
      <c r="E1785" s="22" t="n"/>
      <c r="F1785" s="22" t="n"/>
      <c r="G1785" s="22" t="n"/>
      <c r="H1785" s="22" t="n"/>
      <c r="I1785" s="22" t="n"/>
      <c r="J1785" s="88" t="n"/>
      <c r="K1785" s="88" t="n"/>
      <c r="L1785" s="88" t="n"/>
      <c r="M1785" s="88" t="n"/>
      <c r="O1785" s="117">
        <f>C1785*P1785</f>
        <v/>
      </c>
      <c r="P1785" s="117" t="n">
        <v>1.15</v>
      </c>
      <c r="R1785" s="117" t="n"/>
      <c r="T1785" s="117" t="n"/>
    </row>
    <row r="1786">
      <c r="A1786" s="89" t="inlineStr">
        <is>
          <t>4309</t>
        </is>
      </c>
      <c r="B1786" s="248" t="inlineStr">
        <is>
          <t>AERO CON BOTON</t>
        </is>
      </c>
      <c r="C1786" s="88" t="n">
        <v>55400</v>
      </c>
      <c r="D1786" s="22" t="n"/>
      <c r="E1786" s="22" t="n"/>
      <c r="F1786" s="22" t="n"/>
      <c r="G1786" s="22" t="n"/>
      <c r="H1786" s="22" t="n"/>
      <c r="I1786" s="22" t="n"/>
      <c r="J1786" s="88" t="n"/>
      <c r="K1786" s="88" t="n"/>
      <c r="L1786" s="88" t="n"/>
      <c r="M1786" s="88" t="n"/>
      <c r="O1786" s="117">
        <f>C1786*P1786</f>
        <v/>
      </c>
      <c r="P1786" s="117" t="n">
        <v>1.15</v>
      </c>
      <c r="R1786" s="117" t="n"/>
      <c r="T1786" s="117" t="n"/>
    </row>
    <row r="1787">
      <c r="A1787" s="89" t="inlineStr">
        <is>
          <t>4313</t>
        </is>
      </c>
      <c r="B1787" s="248" t="inlineStr">
        <is>
          <t>ESC. RED. PTO INGLES RAYADO</t>
        </is>
      </c>
      <c r="C1787" s="88" t="n">
        <v>57000</v>
      </c>
      <c r="D1787" s="22" t="n"/>
      <c r="E1787" s="22" t="n"/>
      <c r="F1787" s="22" t="n"/>
      <c r="G1787" s="22" t="n"/>
      <c r="H1787" s="22" t="n"/>
      <c r="I1787" s="22" t="n"/>
      <c r="J1787" s="88" t="n"/>
      <c r="K1787" s="88" t="n"/>
      <c r="L1787" s="88" t="n"/>
      <c r="M1787" s="88" t="n"/>
      <c r="O1787" s="117">
        <f>C1787*P1787</f>
        <v/>
      </c>
      <c r="P1787" s="117" t="n">
        <v>1.15</v>
      </c>
      <c r="R1787" s="117" t="n"/>
      <c r="T1787" s="117" t="n"/>
    </row>
    <row r="1788">
      <c r="A1788" s="89" t="inlineStr">
        <is>
          <t>4314</t>
        </is>
      </c>
      <c r="B1788" s="248" t="inlineStr">
        <is>
          <t>ESC. RED. RAYADO CLASICO 3 COLORES</t>
        </is>
      </c>
      <c r="C1788" s="88" t="n">
        <v>55400</v>
      </c>
      <c r="D1788" s="22" t="n"/>
      <c r="E1788" s="22" t="n"/>
      <c r="F1788" s="22" t="n"/>
      <c r="G1788" s="22" t="n"/>
      <c r="H1788" s="22" t="n"/>
      <c r="I1788" s="22" t="n"/>
      <c r="J1788" s="88" t="n"/>
      <c r="K1788" s="88" t="n"/>
      <c r="L1788" s="88" t="n"/>
      <c r="M1788" s="88" t="n"/>
      <c r="O1788" s="117">
        <f>C1788*P1788</f>
        <v/>
      </c>
      <c r="P1788" s="117" t="n">
        <v>1.15</v>
      </c>
      <c r="R1788" s="117" t="n"/>
      <c r="T1788" s="117" t="n"/>
    </row>
    <row r="1789">
      <c r="A1789" s="89" t="inlineStr">
        <is>
          <t>4317</t>
        </is>
      </c>
      <c r="B1789" s="248" t="inlineStr">
        <is>
          <t>AERO</t>
        </is>
      </c>
      <c r="C1789" s="88" t="n">
        <v>55400</v>
      </c>
      <c r="D1789" s="22" t="n"/>
      <c r="E1789" s="22" t="n"/>
      <c r="F1789" s="22" t="n"/>
      <c r="G1789" s="22" t="n"/>
      <c r="H1789" s="22" t="n"/>
      <c r="I1789" s="22" t="n"/>
      <c r="J1789" s="88" t="n"/>
      <c r="K1789" s="88" t="n"/>
      <c r="L1789" s="88" t="n"/>
      <c r="M1789" s="88" t="n"/>
      <c r="O1789" s="117">
        <f>C1789*P1789</f>
        <v/>
      </c>
      <c r="P1789" s="117" t="n">
        <v>1.15</v>
      </c>
      <c r="R1789" s="117" t="n"/>
      <c r="T1789" s="117" t="n"/>
    </row>
    <row r="1790">
      <c r="A1790" s="89" t="inlineStr">
        <is>
          <t>4321</t>
        </is>
      </c>
      <c r="B1790" s="248" t="inlineStr">
        <is>
          <t>ESC. RED. MATIZADO RAYADO</t>
        </is>
      </c>
      <c r="C1790" s="88" t="n">
        <v>59200</v>
      </c>
      <c r="D1790" s="22" t="n"/>
      <c r="E1790" s="22" t="n"/>
      <c r="F1790" s="22" t="n"/>
      <c r="G1790" s="22" t="n"/>
      <c r="H1790" s="22" t="n"/>
      <c r="I1790" s="22" t="n"/>
      <c r="J1790" s="88" t="n"/>
      <c r="K1790" s="88" t="n"/>
      <c r="L1790" s="88" t="n"/>
      <c r="M1790" s="88" t="n"/>
      <c r="O1790" s="117">
        <f>C1790*P1790</f>
        <v/>
      </c>
      <c r="P1790" s="117" t="n">
        <v>1.15</v>
      </c>
      <c r="R1790" s="117" t="n"/>
      <c r="T1790" s="117" t="n"/>
    </row>
    <row r="1791">
      <c r="A1791" s="89" t="inlineStr">
        <is>
          <t>4322</t>
        </is>
      </c>
      <c r="B1791" s="248" t="inlineStr">
        <is>
          <t>AERO</t>
        </is>
      </c>
      <c r="C1791" s="88" t="n">
        <v>55400</v>
      </c>
      <c r="D1791" s="22" t="n"/>
      <c r="E1791" s="22" t="n"/>
      <c r="F1791" s="22" t="n"/>
      <c r="G1791" s="22" t="n"/>
      <c r="H1791" s="22" t="n"/>
      <c r="I1791" s="22" t="n"/>
      <c r="J1791" s="88" t="n"/>
      <c r="K1791" s="88" t="n"/>
      <c r="L1791" s="88" t="n"/>
      <c r="M1791" s="88" t="n"/>
      <c r="O1791" s="117">
        <f>C1791*P1791</f>
        <v/>
      </c>
      <c r="P1791" s="117" t="n">
        <v>1.15</v>
      </c>
      <c r="R1791" s="117" t="n"/>
      <c r="T1791" s="117" t="n"/>
    </row>
    <row r="1792">
      <c r="A1792" s="89" t="inlineStr">
        <is>
          <t>4329</t>
        </is>
      </c>
      <c r="B1792" s="248" t="inlineStr">
        <is>
          <t>AERO</t>
        </is>
      </c>
      <c r="C1792" s="88" t="n">
        <v>55400</v>
      </c>
      <c r="D1792" s="22" t="n"/>
      <c r="E1792" s="22" t="n"/>
      <c r="F1792" s="22" t="n"/>
      <c r="G1792" s="22" t="n"/>
      <c r="H1792" s="22" t="n"/>
      <c r="I1792" s="22" t="n"/>
      <c r="J1792" s="88" t="n"/>
      <c r="K1792" s="88" t="n"/>
      <c r="L1792" s="88" t="n"/>
      <c r="M1792" s="88" t="n"/>
      <c r="O1792" s="117">
        <f>C1792*P1792</f>
        <v/>
      </c>
      <c r="P1792" s="117" t="n">
        <v>1.15</v>
      </c>
      <c r="R1792" s="117" t="n"/>
      <c r="T1792" s="117" t="n"/>
    </row>
    <row r="1793">
      <c r="A1793" s="89" t="inlineStr">
        <is>
          <t>4362</t>
        </is>
      </c>
      <c r="B1793" s="248" t="inlineStr">
        <is>
          <t>CHOMBA C/ALAMARES Y BOTONES CON TIRAS</t>
        </is>
      </c>
      <c r="C1793" s="88" t="n">
        <v>54200</v>
      </c>
      <c r="D1793" s="22" t="n"/>
      <c r="E1793" s="22" t="n"/>
      <c r="F1793" s="22" t="n"/>
      <c r="G1793" s="22" t="n"/>
      <c r="H1793" s="22" t="n"/>
      <c r="I1793" s="22" t="n"/>
      <c r="J1793" s="88" t="n"/>
      <c r="K1793" s="88" t="n"/>
      <c r="L1793" s="88" t="n"/>
      <c r="M1793" s="88" t="n"/>
      <c r="O1793" s="117">
        <f>C1793*P1793</f>
        <v/>
      </c>
      <c r="P1793" s="117" t="n">
        <v>1.15</v>
      </c>
      <c r="R1793" s="117" t="n"/>
      <c r="T1793" s="117" t="n"/>
    </row>
    <row r="1794">
      <c r="A1794" s="145" t="n"/>
      <c r="C1794" s="52" t="n"/>
      <c r="D1794" s="52" t="n"/>
      <c r="E1794" s="52" t="n"/>
      <c r="F1794" s="52" t="n"/>
      <c r="G1794" s="52" t="n"/>
      <c r="H1794" s="52" t="n"/>
      <c r="I1794" s="52" t="n"/>
      <c r="J1794" s="52" t="n"/>
      <c r="K1794" s="52" t="n"/>
      <c r="L1794" s="52" t="n"/>
      <c r="M1794" s="52" t="n"/>
      <c r="P1794" s="117" t="n"/>
      <c r="R1794" s="117" t="n"/>
      <c r="T1794" s="117" t="n"/>
    </row>
    <row r="1795">
      <c r="A1795" s="134" t="n"/>
      <c r="B1795" s="246" t="n"/>
      <c r="C1795" s="219" t="n"/>
      <c r="D1795" s="219" t="n"/>
      <c r="E1795" s="219" t="n"/>
      <c r="F1795" s="219" t="n"/>
      <c r="G1795" s="219" t="n"/>
      <c r="H1795" s="219" t="n"/>
      <c r="I1795" s="219" t="n"/>
      <c r="J1795" s="219" t="n"/>
      <c r="K1795" s="219" t="n"/>
      <c r="L1795" s="219" t="n"/>
      <c r="M1795" s="219" t="n"/>
      <c r="P1795" s="117" t="n"/>
      <c r="R1795" s="117" t="n"/>
      <c r="T1795" s="117" t="n"/>
    </row>
    <row r="1796">
      <c r="A1796" s="148" t="n"/>
      <c r="B1796" s="46" t="inlineStr">
        <is>
          <t>SUDADERAS/MUSCULOSAS HOMBRE</t>
        </is>
      </c>
      <c r="C1796" s="42" t="inlineStr">
        <is>
          <t>1-4</t>
        </is>
      </c>
      <c r="D1796" s="42" t="n">
        <v>5</v>
      </c>
      <c r="E1796" s="42" t="n">
        <v>6</v>
      </c>
      <c r="F1796" s="42" t="n">
        <v>7</v>
      </c>
      <c r="G1796" s="42" t="n">
        <v>8</v>
      </c>
      <c r="H1796" s="42" t="n">
        <v>9</v>
      </c>
      <c r="I1796" s="42" t="n">
        <v>10</v>
      </c>
      <c r="J1796" s="42" t="n">
        <v>12</v>
      </c>
      <c r="K1796" s="42" t="n">
        <v>14</v>
      </c>
      <c r="L1796" s="42" t="n">
        <v>16</v>
      </c>
      <c r="M1796" s="134" t="inlineStr">
        <is>
          <t>12/25</t>
        </is>
      </c>
      <c r="P1796" s="117" t="n"/>
      <c r="R1796" s="117" t="n"/>
      <c r="T1796" s="117" t="n"/>
    </row>
    <row r="1797">
      <c r="A1797" s="134" t="n"/>
      <c r="B1797" s="246" t="n"/>
      <c r="C1797" s="49" t="inlineStr">
        <is>
          <t>S-XL</t>
        </is>
      </c>
      <c r="D1797" s="42" t="inlineStr">
        <is>
          <t>XXL</t>
        </is>
      </c>
      <c r="E1797" s="42" t="inlineStr">
        <is>
          <t>3XL</t>
        </is>
      </c>
      <c r="F1797" s="153" t="n"/>
      <c r="G1797" s="153" t="n"/>
      <c r="H1797" s="153" t="n"/>
      <c r="I1797" s="153" t="n"/>
      <c r="J1797" s="153" t="n"/>
      <c r="K1797" s="153" t="n"/>
      <c r="L1797" s="221" t="n"/>
      <c r="M1797" s="219" t="n"/>
      <c r="P1797" s="117" t="n"/>
      <c r="R1797" s="117" t="n"/>
      <c r="T1797" s="117" t="n"/>
    </row>
    <row r="1798">
      <c r="A1798" s="134" t="n"/>
      <c r="B1798" s="246" t="n"/>
      <c r="C1798" s="149" t="n"/>
      <c r="D1798" s="221" t="n"/>
      <c r="E1798" s="221" t="n"/>
      <c r="F1798" s="153" t="n"/>
      <c r="G1798" s="153" t="n"/>
      <c r="H1798" s="153" t="n"/>
      <c r="I1798" s="153" t="n"/>
      <c r="J1798" s="153" t="n"/>
      <c r="K1798" s="153" t="n"/>
      <c r="L1798" s="221" t="n"/>
      <c r="M1798" s="219" t="n"/>
      <c r="P1798" s="117" t="n"/>
      <c r="R1798" s="117" t="n"/>
      <c r="T1798" s="117" t="n"/>
    </row>
    <row r="1799">
      <c r="A1799" s="134" t="inlineStr">
        <is>
          <t>AER923</t>
        </is>
      </c>
      <c r="B1799" s="246" t="inlineStr">
        <is>
          <t>AERO</t>
        </is>
      </c>
      <c r="C1799" s="88" t="n">
        <v>24800</v>
      </c>
      <c r="D1799" s="88">
        <f>ROUND((C1799*1.07)/100,0)*100</f>
        <v/>
      </c>
      <c r="E1799" s="88">
        <f>ROUND((C1799*1.15)/100,0)*100</f>
        <v/>
      </c>
      <c r="F1799" s="88">
        <f>ROUND((C1799*1.15)/100,0)*100</f>
        <v/>
      </c>
      <c r="G1799" s="88">
        <f>ROUND((C1799*1.2)/100,0)*100</f>
        <v/>
      </c>
      <c r="H1799" s="88">
        <f>ROUND((C1799*1.25)/100,0)*100</f>
        <v/>
      </c>
      <c r="I1799" s="88">
        <f>ROUND((C1799*1.3)/100,0)*100</f>
        <v/>
      </c>
      <c r="J1799" s="22">
        <f>ROUND((C1799*1.35)/100,0)*100</f>
        <v/>
      </c>
      <c r="K1799" s="22" t="n"/>
      <c r="L1799" s="22" t="n"/>
      <c r="M1799" s="219" t="n"/>
      <c r="O1799" s="117">
        <f>C1799*P1799</f>
        <v/>
      </c>
      <c r="P1799" s="117" t="n">
        <v>1.05</v>
      </c>
      <c r="R1799" s="117" t="n"/>
      <c r="T1799" s="150" t="n"/>
      <c r="U1799" s="96" t="n"/>
      <c r="V1799" s="96" t="n"/>
      <c r="W1799" s="96" t="n"/>
      <c r="X1799" s="96" t="n"/>
      <c r="Y1799" s="96" t="n"/>
      <c r="Z1799" s="96" t="n"/>
    </row>
    <row r="1800">
      <c r="A1800" s="134" t="inlineStr">
        <is>
          <t>AER928</t>
        </is>
      </c>
      <c r="B1800" s="246" t="inlineStr">
        <is>
          <t>AERO</t>
        </is>
      </c>
      <c r="C1800" s="88" t="n">
        <v>24800</v>
      </c>
      <c r="D1800" s="88">
        <f>ROUND((C1800*1.07)/100,0)*100</f>
        <v/>
      </c>
      <c r="E1800" s="88">
        <f>ROUND((C1800*1.15)/100,0)*100</f>
        <v/>
      </c>
      <c r="F1800" s="88">
        <f>ROUND((C1800*1.15)/100,0)*100</f>
        <v/>
      </c>
      <c r="G1800" s="88">
        <f>ROUND((C1800*1.2)/100,0)*100</f>
        <v/>
      </c>
      <c r="H1800" s="88">
        <f>ROUND((C1800*1.25)/100,0)*100</f>
        <v/>
      </c>
      <c r="I1800" s="88">
        <f>ROUND((C1800*1.3)/100,0)*100</f>
        <v/>
      </c>
      <c r="J1800" s="22">
        <f>ROUND((C1800*1.35)/100,0)*100</f>
        <v/>
      </c>
      <c r="K1800" s="22" t="n"/>
      <c r="L1800" s="22" t="n"/>
      <c r="M1800" s="219" t="n"/>
      <c r="O1800" s="117">
        <f>C1800*P1800</f>
        <v/>
      </c>
      <c r="P1800" s="117" t="n">
        <v>1.05</v>
      </c>
      <c r="R1800" s="117" t="n"/>
      <c r="T1800" s="150" t="n"/>
      <c r="U1800" s="96" t="n"/>
      <c r="V1800" s="96" t="n"/>
      <c r="W1800" s="96" t="n"/>
      <c r="X1800" s="96" t="n"/>
      <c r="Y1800" s="96" t="n"/>
      <c r="Z1800" s="96" t="n"/>
    </row>
    <row r="1801">
      <c r="A1801" s="134" t="inlineStr">
        <is>
          <t>AER930</t>
        </is>
      </c>
      <c r="B1801" s="151" t="inlineStr">
        <is>
          <t>LEND / DISCOBOLO MUSCULOSA</t>
        </is>
      </c>
      <c r="C1801" s="88" t="n">
        <v>24800</v>
      </c>
      <c r="D1801" s="88">
        <f>ROUND((C1801*1.07)/100,0)*100</f>
        <v/>
      </c>
      <c r="E1801" s="88">
        <f>ROUND((C1801*1.15)/100,0)*100</f>
        <v/>
      </c>
      <c r="F1801" s="88">
        <f>ROUND((C1801*1.15)/100,0)*100</f>
        <v/>
      </c>
      <c r="G1801" s="88">
        <f>ROUND((C1801*1.2)/100,0)*100</f>
        <v/>
      </c>
      <c r="H1801" s="88">
        <f>ROUND((C1801*1.25)/100,0)*100</f>
        <v/>
      </c>
      <c r="I1801" s="88">
        <f>ROUND((C1801*1.3)/100,0)*100</f>
        <v/>
      </c>
      <c r="J1801" s="22">
        <f>ROUND((C1801*1.35)/100,0)*100</f>
        <v/>
      </c>
      <c r="K1801" s="22" t="n"/>
      <c r="L1801" s="22" t="n"/>
      <c r="M1801" s="219" t="n"/>
      <c r="O1801" s="117">
        <f>C1801*P1801</f>
        <v/>
      </c>
      <c r="P1801" s="117" t="n">
        <v>1.05</v>
      </c>
      <c r="R1801" s="117" t="n"/>
      <c r="T1801" s="150" t="n"/>
      <c r="U1801" s="96" t="n"/>
      <c r="V1801" s="96" t="n"/>
      <c r="W1801" s="96" t="n"/>
      <c r="X1801" s="96" t="n"/>
      <c r="Y1801" s="96" t="n"/>
      <c r="Z1801" s="96" t="n"/>
    </row>
    <row r="1802">
      <c r="A1802" s="134" t="inlineStr">
        <is>
          <t>AER931</t>
        </is>
      </c>
      <c r="B1802" s="151" t="inlineStr">
        <is>
          <t>LEND SUDADERA</t>
        </is>
      </c>
      <c r="C1802" s="88" t="n">
        <v>24800</v>
      </c>
      <c r="D1802" s="88">
        <f>ROUND((C1802*1.07)/100,0)*100</f>
        <v/>
      </c>
      <c r="E1802" s="88">
        <f>ROUND((C1802*1.15)/100,0)*100</f>
        <v/>
      </c>
      <c r="F1802" s="88">
        <f>ROUND((C1802*1.15)/100,0)*100</f>
        <v/>
      </c>
      <c r="G1802" s="88">
        <f>ROUND((C1802*1.2)/100,0)*100</f>
        <v/>
      </c>
      <c r="H1802" s="88">
        <f>ROUND((C1802*1.25)/100,0)*100</f>
        <v/>
      </c>
      <c r="I1802" s="88">
        <f>ROUND((C1802*1.3)/100,0)*100</f>
        <v/>
      </c>
      <c r="J1802" s="22">
        <f>ROUND((C1802*1.35)/100,0)*100</f>
        <v/>
      </c>
      <c r="K1802" s="22" t="n"/>
      <c r="L1802" s="22" t="n"/>
      <c r="M1802" s="219" t="n"/>
      <c r="O1802" s="117">
        <f>C1802*P1802</f>
        <v/>
      </c>
      <c r="P1802" s="117" t="n">
        <v>1.05</v>
      </c>
      <c r="R1802" s="117" t="n"/>
      <c r="T1802" s="150" t="n"/>
      <c r="U1802" s="96" t="n"/>
      <c r="V1802" s="96" t="n"/>
      <c r="W1802" s="96" t="n"/>
      <c r="X1802" s="96" t="n"/>
      <c r="Y1802" s="96" t="n"/>
      <c r="Z1802" s="96" t="n"/>
    </row>
    <row r="1803">
      <c r="A1803" s="134" t="inlineStr">
        <is>
          <t>AER942</t>
        </is>
      </c>
      <c r="B1803" s="151" t="inlineStr">
        <is>
          <t>AERO MUSCULOSA</t>
        </is>
      </c>
      <c r="C1803" s="88" t="n">
        <v>22300</v>
      </c>
      <c r="D1803" s="88">
        <f>ROUND((C1803*1.07)/100,0)*100</f>
        <v/>
      </c>
      <c r="E1803" s="88">
        <f>ROUND((C1803*1.15)/100,0)*100</f>
        <v/>
      </c>
      <c r="F1803" s="88">
        <f>ROUND((C1803*1.15)/100,0)*100</f>
        <v/>
      </c>
      <c r="G1803" s="88">
        <f>ROUND((C1803*1.2)/100,0)*100</f>
        <v/>
      </c>
      <c r="H1803" s="88">
        <f>ROUND((C1803*1.25)/100,0)*100</f>
        <v/>
      </c>
      <c r="I1803" s="88">
        <f>ROUND((C1803*1.3)/100,0)*100</f>
        <v/>
      </c>
      <c r="J1803" s="22">
        <f>ROUND((C1803*1.35)/100,0)*100</f>
        <v/>
      </c>
      <c r="K1803" s="22" t="n"/>
      <c r="L1803" s="22" t="n"/>
      <c r="M1803" s="219" t="n"/>
      <c r="O1803" s="117">
        <f>C1803*P1803</f>
        <v/>
      </c>
      <c r="P1803" s="117" t="n">
        <v>1.05</v>
      </c>
      <c r="R1803" s="117" t="n"/>
      <c r="T1803" s="150" t="n"/>
      <c r="U1803" s="96" t="n"/>
      <c r="V1803" s="96" t="n"/>
      <c r="W1803" s="96" t="n"/>
      <c r="X1803" s="96" t="n"/>
      <c r="Y1803" s="96" t="n"/>
      <c r="Z1803" s="96" t="n"/>
    </row>
    <row r="1804">
      <c r="A1804" s="128" t="inlineStr">
        <is>
          <t>AER2088</t>
        </is>
      </c>
      <c r="B1804" s="151" t="inlineStr">
        <is>
          <t>MUSCULOSA  ALGODÓN</t>
        </is>
      </c>
      <c r="C1804" s="88" t="n">
        <v>27100</v>
      </c>
      <c r="D1804" s="88">
        <f>ROUND((C1804*1.07)/100,0)*100</f>
        <v/>
      </c>
      <c r="E1804" s="88">
        <f>ROUND((C1804*1.15)/100,0)*100</f>
        <v/>
      </c>
      <c r="F1804" s="88">
        <f>ROUND((C1804*1.15)/100,0)*100</f>
        <v/>
      </c>
      <c r="G1804" s="88">
        <f>ROUND((C1804*1.2)/100,0)*100</f>
        <v/>
      </c>
      <c r="H1804" s="88">
        <f>ROUND((C1804*1.25)/100,0)*100</f>
        <v/>
      </c>
      <c r="I1804" s="88">
        <f>ROUND((C1804*1.3)/100,0)*100</f>
        <v/>
      </c>
      <c r="J1804" s="22">
        <f>ROUND((C1804*1.35)/100,0)*100</f>
        <v/>
      </c>
      <c r="K1804" s="22" t="n"/>
      <c r="L1804" s="22" t="n"/>
      <c r="M1804" s="219" t="n"/>
      <c r="O1804" s="117">
        <f>C1804*P1804</f>
        <v/>
      </c>
      <c r="P1804" s="117" t="n">
        <v>1.05</v>
      </c>
      <c r="R1804" s="117" t="n"/>
      <c r="T1804" s="150" t="n"/>
      <c r="U1804" s="96" t="n"/>
      <c r="V1804" s="96" t="n"/>
      <c r="W1804" s="96" t="n"/>
      <c r="X1804" s="96" t="n"/>
      <c r="Y1804" s="96" t="n"/>
      <c r="Z1804" s="96" t="n"/>
    </row>
    <row r="1805">
      <c r="A1805" s="128" t="inlineStr">
        <is>
          <t>AER2519</t>
        </is>
      </c>
      <c r="B1805" s="151" t="inlineStr">
        <is>
          <t>MUSCULOSA  ALGODÓN</t>
        </is>
      </c>
      <c r="C1805" s="88" t="n">
        <v>27100</v>
      </c>
      <c r="D1805" s="88">
        <f>ROUND((C1805*1.07)/100,0)*100</f>
        <v/>
      </c>
      <c r="E1805" s="88">
        <f>ROUND((C1805*1.15)/100,0)*100</f>
        <v/>
      </c>
      <c r="F1805" s="88">
        <f>ROUND((C1805*1.15)/100,0)*100</f>
        <v/>
      </c>
      <c r="G1805" s="88">
        <f>ROUND((C1805*1.2)/100,0)*100</f>
        <v/>
      </c>
      <c r="H1805" s="88">
        <f>ROUND((C1805*1.25)/100,0)*100</f>
        <v/>
      </c>
      <c r="I1805" s="88">
        <f>ROUND((C1805*1.3)/100,0)*100</f>
        <v/>
      </c>
      <c r="J1805" s="22">
        <f>ROUND((C1805*1.35)/100,0)*100</f>
        <v/>
      </c>
      <c r="K1805" s="22" t="n"/>
      <c r="L1805" s="22" t="n"/>
      <c r="M1805" s="219" t="n"/>
      <c r="O1805" s="117">
        <f>C1805*P1805</f>
        <v/>
      </c>
      <c r="P1805" s="117" t="n">
        <v>1.05</v>
      </c>
      <c r="R1805" s="117" t="n"/>
      <c r="T1805" s="150" t="n"/>
      <c r="U1805" s="96" t="n"/>
      <c r="V1805" s="96" t="n"/>
      <c r="W1805" s="96" t="n"/>
      <c r="X1805" s="96" t="n"/>
      <c r="Y1805" s="96" t="n"/>
      <c r="Z1805" s="96" t="n"/>
    </row>
    <row r="1806">
      <c r="A1806" s="68" t="inlineStr">
        <is>
          <t>AER</t>
        </is>
      </c>
      <c r="B1806" s="109" t="inlineStr">
        <is>
          <t>REMERA SIN MANGAS FRENTE EST.</t>
        </is>
      </c>
      <c r="C1806" s="88" t="n">
        <v>27100</v>
      </c>
      <c r="D1806" s="88">
        <f>ROUND((C1806*1.07)/100,0)*100</f>
        <v/>
      </c>
      <c r="E1806" s="88">
        <f>ROUND((C1806*1.15)/100,0)*100</f>
        <v/>
      </c>
      <c r="F1806" s="88">
        <f>ROUND((C1806*1.15)/100,0)*100</f>
        <v/>
      </c>
      <c r="G1806" s="88">
        <f>ROUND((C1806*1.2)/100,0)*100</f>
        <v/>
      </c>
      <c r="H1806" s="88">
        <f>ROUND((C1806*1.25)/100,0)*100</f>
        <v/>
      </c>
      <c r="I1806" s="88">
        <f>ROUND((C1806*1.3)/100,0)*100</f>
        <v/>
      </c>
      <c r="J1806" s="22">
        <f>ROUND((C1806*1.35)/100,0)*100</f>
        <v/>
      </c>
      <c r="K1806" s="22" t="n"/>
      <c r="L1806" s="22" t="n"/>
      <c r="M1806" s="219" t="n"/>
      <c r="O1806" s="117">
        <f>C1806*P1806</f>
        <v/>
      </c>
      <c r="P1806" s="117" t="n">
        <v>1.05</v>
      </c>
      <c r="R1806" s="117" t="n"/>
      <c r="T1806" s="150" t="n"/>
      <c r="U1806" s="96" t="n"/>
      <c r="V1806" s="96" t="n"/>
      <c r="W1806" s="96" t="n"/>
      <c r="X1806" s="96" t="n"/>
      <c r="Y1806" s="96" t="n"/>
      <c r="Z1806" s="96" t="n"/>
    </row>
    <row r="1807">
      <c r="A1807" s="68" t="inlineStr">
        <is>
          <t>AER2630</t>
        </is>
      </c>
      <c r="B1807" s="109" t="inlineStr">
        <is>
          <t>MUSCULOSA ENVIVADA C/BOLSILLO</t>
        </is>
      </c>
      <c r="C1807" s="88" t="n">
        <v>27100</v>
      </c>
      <c r="D1807" s="88">
        <f>ROUND((C1807*1.07)/100,0)*100</f>
        <v/>
      </c>
      <c r="E1807" s="88">
        <f>ROUND((C1807*1.15)/100,0)*100</f>
        <v/>
      </c>
      <c r="F1807" s="88">
        <f>ROUND((C1807*1.15)/100,0)*100</f>
        <v/>
      </c>
      <c r="G1807" s="88">
        <f>ROUND((C1807*1.2)/100,0)*100</f>
        <v/>
      </c>
      <c r="H1807" s="88">
        <f>ROUND((C1807*1.25)/100,0)*100</f>
        <v/>
      </c>
      <c r="I1807" s="88">
        <f>ROUND((C1807*1.3)/100,0)*100</f>
        <v/>
      </c>
      <c r="J1807" s="22">
        <f>ROUND((C1807*1.35)/100,0)*100</f>
        <v/>
      </c>
      <c r="K1807" s="22" t="n"/>
      <c r="L1807" s="22" t="n"/>
      <c r="M1807" s="219" t="n"/>
      <c r="O1807" s="117">
        <f>C1807*P1807</f>
        <v/>
      </c>
      <c r="P1807" s="117" t="n">
        <v>1.05</v>
      </c>
      <c r="R1807" s="117" t="n"/>
      <c r="T1807" s="150" t="n"/>
      <c r="U1807" s="96" t="n"/>
      <c r="V1807" s="96" t="n"/>
      <c r="W1807" s="96" t="n"/>
      <c r="X1807" s="96" t="n"/>
      <c r="Y1807" s="96" t="n"/>
      <c r="Z1807" s="96" t="n"/>
    </row>
    <row r="1808">
      <c r="A1808" s="68" t="inlineStr">
        <is>
          <t>AER2832</t>
        </is>
      </c>
      <c r="B1808" s="109" t="inlineStr">
        <is>
          <t>AERO</t>
        </is>
      </c>
      <c r="C1808" s="88" t="n">
        <v>27100</v>
      </c>
      <c r="D1808" s="88">
        <f>ROUND((C1808*1.07)/100,0)*100</f>
        <v/>
      </c>
      <c r="E1808" s="88">
        <f>ROUND((C1808*1.15)/100,0)*100</f>
        <v/>
      </c>
      <c r="F1808" s="88">
        <f>ROUND((C1808*1.15)/100,0)*100</f>
        <v/>
      </c>
      <c r="G1808" s="88">
        <f>ROUND((C1808*1.2)/100,0)*100</f>
        <v/>
      </c>
      <c r="H1808" s="88">
        <f>ROUND((C1808*1.25)/100,0)*100</f>
        <v/>
      </c>
      <c r="I1808" s="88">
        <f>ROUND((C1808*1.3)/100,0)*100</f>
        <v/>
      </c>
      <c r="J1808" s="22">
        <f>ROUND((C1808*1.35)/100,0)*100</f>
        <v/>
      </c>
      <c r="K1808" s="22" t="n"/>
      <c r="L1808" s="22" t="n"/>
      <c r="M1808" s="219" t="n"/>
      <c r="O1808" s="117">
        <f>C1808*P1808</f>
        <v/>
      </c>
      <c r="P1808" s="117" t="n">
        <v>1.05</v>
      </c>
      <c r="R1808" s="117" t="n"/>
      <c r="T1808" s="150" t="n"/>
      <c r="U1808" s="96" t="n"/>
      <c r="V1808" s="96" t="n"/>
      <c r="W1808" s="96" t="n"/>
      <c r="X1808" s="96" t="n"/>
      <c r="Y1808" s="96" t="n"/>
      <c r="Z1808" s="96" t="n"/>
    </row>
    <row r="1809">
      <c r="A1809" s="68" t="inlineStr">
        <is>
          <t>AER3393</t>
        </is>
      </c>
      <c r="B1809" s="109" t="inlineStr">
        <is>
          <t>REMERA AERO SIN MANGAS LOGO EST</t>
        </is>
      </c>
      <c r="C1809" s="88" t="n">
        <v>24800</v>
      </c>
      <c r="D1809" s="88">
        <f>ROUND((C1809*1.07)/100,0)*100</f>
        <v/>
      </c>
      <c r="E1809" s="88">
        <f>ROUND((C1809*1.15)/100,0)*100</f>
        <v/>
      </c>
      <c r="F1809" s="88">
        <f>ROUND((C1809*1.15)/100,0)*100</f>
        <v/>
      </c>
      <c r="G1809" s="88">
        <f>ROUND((C1809*1.2)/100,0)*100</f>
        <v/>
      </c>
      <c r="H1809" s="88">
        <f>ROUND((C1809*1.25)/100,0)*100</f>
        <v/>
      </c>
      <c r="I1809" s="88">
        <f>ROUND((C1809*1.3)/100,0)*100</f>
        <v/>
      </c>
      <c r="J1809" s="22">
        <f>ROUND((C1809*1.35)/100,0)*100</f>
        <v/>
      </c>
      <c r="K1809" s="22" t="n"/>
      <c r="L1809" s="22" t="n"/>
      <c r="M1809" s="219" t="n"/>
      <c r="O1809" s="117">
        <f>C1809*P1809</f>
        <v/>
      </c>
      <c r="P1809" s="117" t="n">
        <v>1.05</v>
      </c>
      <c r="R1809" s="117" t="n"/>
      <c r="T1809" s="150" t="n"/>
      <c r="U1809" s="96" t="n"/>
      <c r="V1809" s="96" t="n"/>
      <c r="W1809" s="96" t="n"/>
      <c r="X1809" s="96" t="n"/>
      <c r="Y1809" s="96" t="n"/>
      <c r="Z1809" s="96" t="n"/>
    </row>
    <row r="1810">
      <c r="A1810" s="68" t="inlineStr">
        <is>
          <t>AER3394</t>
        </is>
      </c>
      <c r="B1810" s="109" t="inlineStr">
        <is>
          <t>REMERA AERO SIN MANGAS LOGO EST</t>
        </is>
      </c>
      <c r="C1810" s="88" t="n">
        <v>24800</v>
      </c>
      <c r="D1810" s="88">
        <f>ROUND((C1810*1.07)/100,0)*100</f>
        <v/>
      </c>
      <c r="E1810" s="88">
        <f>ROUND((C1810*1.15)/100,0)*100</f>
        <v/>
      </c>
      <c r="F1810" s="88">
        <f>ROUND((C1810*1.15)/100,0)*100</f>
        <v/>
      </c>
      <c r="G1810" s="88">
        <f>ROUND((C1810*1.2)/100,0)*100</f>
        <v/>
      </c>
      <c r="H1810" s="88">
        <f>ROUND((C1810*1.25)/100,0)*100</f>
        <v/>
      </c>
      <c r="I1810" s="88">
        <f>ROUND((C1810*1.3)/100,0)*100</f>
        <v/>
      </c>
      <c r="J1810" s="22">
        <f>ROUND((C1810*1.35)/100,0)*100</f>
        <v/>
      </c>
      <c r="K1810" s="22" t="n"/>
      <c r="L1810" s="22" t="n"/>
      <c r="M1810" s="219" t="n"/>
      <c r="O1810" s="117">
        <f>C1810*P1810</f>
        <v/>
      </c>
      <c r="P1810" s="117" t="n">
        <v>1.05</v>
      </c>
      <c r="R1810" s="117" t="n"/>
      <c r="T1810" s="150" t="n"/>
      <c r="U1810" s="96" t="n"/>
      <c r="V1810" s="96" t="n"/>
      <c r="W1810" s="96" t="n"/>
      <c r="X1810" s="96" t="n"/>
      <c r="Y1810" s="96" t="n"/>
      <c r="Z1810" s="96" t="n"/>
    </row>
    <row r="1811">
      <c r="A1811" s="68" t="inlineStr">
        <is>
          <t>AER3520</t>
        </is>
      </c>
      <c r="B1811" s="109" t="inlineStr">
        <is>
          <t>REMERA AERO SIN MANGAS LOGO EST</t>
        </is>
      </c>
      <c r="C1811" s="88" t="n">
        <v>24800</v>
      </c>
      <c r="D1811" s="88">
        <f>ROUND((C1811*1.07)/100,0)*100</f>
        <v/>
      </c>
      <c r="E1811" s="88">
        <f>ROUND((C1811*1.15)/100,0)*100</f>
        <v/>
      </c>
      <c r="F1811" s="88">
        <f>ROUND((C1811*1.15)/100,0)*100</f>
        <v/>
      </c>
      <c r="G1811" s="88">
        <f>ROUND((C1811*1.2)/100,0)*100</f>
        <v/>
      </c>
      <c r="H1811" s="88">
        <f>ROUND((C1811*1.25)/100,0)*100</f>
        <v/>
      </c>
      <c r="I1811" s="88">
        <f>ROUND((C1811*1.3)/100,0)*100</f>
        <v/>
      </c>
      <c r="J1811" s="22">
        <f>ROUND((C1811*1.35)/100,0)*100</f>
        <v/>
      </c>
      <c r="K1811" s="22" t="n"/>
      <c r="L1811" s="22" t="n"/>
      <c r="M1811" s="219" t="n"/>
      <c r="O1811" s="117">
        <f>C1811*P1811</f>
        <v/>
      </c>
      <c r="P1811" s="117" t="n">
        <v>1.05</v>
      </c>
      <c r="R1811" s="117" t="n"/>
      <c r="T1811" s="150" t="n"/>
      <c r="U1811" s="96" t="n"/>
      <c r="V1811" s="96" t="n"/>
      <c r="W1811" s="96" t="n"/>
      <c r="X1811" s="96" t="n"/>
      <c r="Y1811" s="96" t="n"/>
      <c r="Z1811" s="96" t="n"/>
    </row>
    <row r="1812">
      <c r="A1812" s="68" t="inlineStr">
        <is>
          <t>AER3521</t>
        </is>
      </c>
      <c r="B1812" s="109" t="inlineStr">
        <is>
          <t>REMERA SIN MANGAS ESTAMPADA</t>
        </is>
      </c>
      <c r="C1812" s="88" t="n">
        <v>24800</v>
      </c>
      <c r="D1812" s="88">
        <f>ROUND((C1812*1.07)/100,0)*100</f>
        <v/>
      </c>
      <c r="E1812" s="88">
        <f>ROUND((C1812*1.15)/100,0)*100</f>
        <v/>
      </c>
      <c r="F1812" s="88">
        <f>ROUND((C1812*1.15)/100,0)*100</f>
        <v/>
      </c>
      <c r="G1812" s="88">
        <f>ROUND((C1812*1.2)/100,0)*100</f>
        <v/>
      </c>
      <c r="H1812" s="88">
        <f>ROUND((C1812*1.25)/100,0)*100</f>
        <v/>
      </c>
      <c r="I1812" s="88">
        <f>ROUND((C1812*1.3)/100,0)*100</f>
        <v/>
      </c>
      <c r="J1812" s="22">
        <f>ROUND((C1812*1.35)/100,0)*100</f>
        <v/>
      </c>
      <c r="K1812" s="22" t="n"/>
      <c r="L1812" s="22" t="n"/>
      <c r="M1812" s="219" t="n"/>
      <c r="O1812" s="117">
        <f>C1812*P1812</f>
        <v/>
      </c>
      <c r="P1812" s="117" t="n">
        <v>1.05</v>
      </c>
      <c r="R1812" s="117" t="n"/>
      <c r="T1812" s="150" t="n"/>
      <c r="U1812" s="96" t="n"/>
      <c r="V1812" s="96" t="n"/>
      <c r="W1812" s="96" t="n"/>
      <c r="X1812" s="96" t="n"/>
      <c r="Y1812" s="96" t="n"/>
      <c r="Z1812" s="96" t="n"/>
    </row>
    <row r="1813">
      <c r="A1813" s="68" t="inlineStr">
        <is>
          <t>AER3523</t>
        </is>
      </c>
      <c r="B1813" s="109" t="inlineStr">
        <is>
          <t>REMERA SIN MANGAS AERO 67</t>
        </is>
      </c>
      <c r="C1813" s="88" t="n">
        <v>24800</v>
      </c>
      <c r="D1813" s="88">
        <f>ROUND((C1813*1.07)/100,0)*100</f>
        <v/>
      </c>
      <c r="E1813" s="88">
        <f>ROUND((C1813*1.15)/100,0)*100</f>
        <v/>
      </c>
      <c r="F1813" s="88">
        <f>ROUND((C1813*1.15)/100,0)*100</f>
        <v/>
      </c>
      <c r="G1813" s="88">
        <f>ROUND((C1813*1.2)/100,0)*100</f>
        <v/>
      </c>
      <c r="H1813" s="88">
        <f>ROUND((C1813*1.25)/100,0)*100</f>
        <v/>
      </c>
      <c r="I1813" s="88">
        <f>ROUND((C1813*1.3)/100,0)*100</f>
        <v/>
      </c>
      <c r="J1813" s="22">
        <f>ROUND((C1813*1.35)/100,0)*100</f>
        <v/>
      </c>
      <c r="K1813" s="22" t="n"/>
      <c r="L1813" s="22" t="n"/>
      <c r="M1813" s="219" t="n"/>
      <c r="O1813" s="117">
        <f>C1813*P1813</f>
        <v/>
      </c>
      <c r="P1813" s="117" t="n">
        <v>1.05</v>
      </c>
      <c r="R1813" s="117" t="n"/>
      <c r="T1813" s="150" t="n"/>
      <c r="U1813" s="96" t="n"/>
      <c r="V1813" s="96" t="n"/>
      <c r="W1813" s="96" t="n"/>
      <c r="X1813" s="96" t="n"/>
      <c r="Y1813" s="96" t="n"/>
      <c r="Z1813" s="96" t="n"/>
    </row>
    <row r="1814">
      <c r="A1814" s="68" t="inlineStr">
        <is>
          <t>AER3525</t>
        </is>
      </c>
      <c r="B1814" s="109" t="inlineStr">
        <is>
          <t>AERO</t>
        </is>
      </c>
      <c r="C1814" s="88" t="n">
        <v>24800</v>
      </c>
      <c r="D1814" s="88">
        <f>ROUND((C1814*1.07)/100,0)*100</f>
        <v/>
      </c>
      <c r="E1814" s="88">
        <f>ROUND((C1814*1.15)/100,0)*100</f>
        <v/>
      </c>
      <c r="F1814" s="88">
        <f>ROUND((C1814*1.15)/100,0)*100</f>
        <v/>
      </c>
      <c r="G1814" s="88">
        <f>ROUND((C1814*1.2)/100,0)*100</f>
        <v/>
      </c>
      <c r="H1814" s="88">
        <f>ROUND((C1814*1.25)/100,0)*100</f>
        <v/>
      </c>
      <c r="I1814" s="88">
        <f>ROUND((C1814*1.3)/100,0)*100</f>
        <v/>
      </c>
      <c r="J1814" s="22">
        <f>ROUND((C1814*1.35)/100,0)*100</f>
        <v/>
      </c>
      <c r="K1814" s="22" t="n"/>
      <c r="L1814" s="22" t="n"/>
      <c r="M1814" s="219" t="n"/>
      <c r="O1814" s="117">
        <f>C1814*P1814</f>
        <v/>
      </c>
      <c r="P1814" s="117" t="n">
        <v>1.05</v>
      </c>
      <c r="R1814" s="117" t="n"/>
      <c r="T1814" s="150" t="n"/>
      <c r="U1814" s="96" t="n"/>
      <c r="V1814" s="96" t="n"/>
      <c r="W1814" s="96" t="n"/>
      <c r="X1814" s="96" t="n"/>
      <c r="Y1814" s="96" t="n"/>
      <c r="Z1814" s="96" t="n"/>
    </row>
    <row r="1815">
      <c r="A1815" s="68" t="inlineStr">
        <is>
          <t>AER3526</t>
        </is>
      </c>
      <c r="B1815" s="109" t="inlineStr">
        <is>
          <t>AERO SUDADERA</t>
        </is>
      </c>
      <c r="C1815" s="88" t="n">
        <v>24800</v>
      </c>
      <c r="D1815" s="88">
        <f>ROUND((C1815*1.07)/100,0)*100</f>
        <v/>
      </c>
      <c r="E1815" s="88">
        <f>ROUND((C1815*1.15)/100,0)*100</f>
        <v/>
      </c>
      <c r="F1815" s="88">
        <f>ROUND((C1815*1.15)/100,0)*100</f>
        <v/>
      </c>
      <c r="G1815" s="88">
        <f>ROUND((C1815*1.2)/100,0)*100</f>
        <v/>
      </c>
      <c r="H1815" s="88">
        <f>ROUND((C1815*1.25)/100,0)*100</f>
        <v/>
      </c>
      <c r="I1815" s="88">
        <f>ROUND((C1815*1.3)/100,0)*100</f>
        <v/>
      </c>
      <c r="J1815" s="22">
        <f>ROUND((C1815*1.35)/100,0)*100</f>
        <v/>
      </c>
      <c r="K1815" s="22" t="n"/>
      <c r="L1815" s="22" t="n"/>
      <c r="M1815" s="219" t="n"/>
      <c r="O1815" s="117">
        <f>C1815*P1815</f>
        <v/>
      </c>
      <c r="P1815" s="117" t="n">
        <v>1.05</v>
      </c>
      <c r="R1815" s="117" t="n"/>
      <c r="T1815" s="150" t="n"/>
      <c r="U1815" s="96" t="n"/>
      <c r="V1815" s="96" t="n"/>
      <c r="W1815" s="96" t="n"/>
      <c r="X1815" s="96" t="n"/>
      <c r="Y1815" s="96" t="n"/>
      <c r="Z1815" s="96" t="n"/>
    </row>
    <row r="1816">
      <c r="A1816" s="68" t="inlineStr">
        <is>
          <t>AER3590</t>
        </is>
      </c>
      <c r="B1816" s="109" t="inlineStr">
        <is>
          <t>AERO SUDADERA</t>
        </is>
      </c>
      <c r="C1816" s="88" t="n">
        <v>24800</v>
      </c>
      <c r="D1816" s="88">
        <f>ROUND((C1816*1.07)/100,0)*100</f>
        <v/>
      </c>
      <c r="E1816" s="88">
        <f>ROUND((C1816*1.15)/100,0)*100</f>
        <v/>
      </c>
      <c r="F1816" s="88">
        <f>ROUND((C1816*1.15)/100,0)*100</f>
        <v/>
      </c>
      <c r="G1816" s="88">
        <f>ROUND((C1816*1.2)/100,0)*100</f>
        <v/>
      </c>
      <c r="H1816" s="88">
        <f>ROUND((C1816*1.25)/100,0)*100</f>
        <v/>
      </c>
      <c r="I1816" s="88">
        <f>ROUND((C1816*1.3)/100,0)*100</f>
        <v/>
      </c>
      <c r="J1816" s="22">
        <f>ROUND((C1816*1.35)/100,0)*100</f>
        <v/>
      </c>
      <c r="K1816" s="22" t="n"/>
      <c r="L1816" s="22" t="n"/>
      <c r="M1816" s="219" t="n"/>
      <c r="O1816" s="117">
        <f>C1816*P1816</f>
        <v/>
      </c>
      <c r="P1816" s="117" t="n">
        <v>1.05</v>
      </c>
      <c r="R1816" s="117" t="n"/>
      <c r="T1816" s="150" t="n"/>
      <c r="U1816" s="96" t="n"/>
      <c r="V1816" s="96" t="n"/>
      <c r="W1816" s="96" t="n"/>
      <c r="X1816" s="96" t="n"/>
      <c r="Y1816" s="96" t="n"/>
      <c r="Z1816" s="96" t="n"/>
    </row>
    <row r="1817">
      <c r="A1817" s="68" t="inlineStr">
        <is>
          <t>AER3962</t>
        </is>
      </c>
      <c r="B1817" s="109" t="inlineStr">
        <is>
          <t>AERO</t>
        </is>
      </c>
      <c r="C1817" s="88" t="n">
        <v>24800</v>
      </c>
      <c r="D1817" s="88">
        <f>ROUND((C1817*1.07)/100,0)*100</f>
        <v/>
      </c>
      <c r="E1817" s="88">
        <f>ROUND((C1817*1.15)/100,0)*100</f>
        <v/>
      </c>
      <c r="F1817" s="88">
        <f>ROUND((C1817*1.15)/100,0)*100</f>
        <v/>
      </c>
      <c r="G1817" s="88">
        <f>ROUND((C1817*1.2)/100,0)*100</f>
        <v/>
      </c>
      <c r="H1817" s="88">
        <f>ROUND((C1817*1.25)/100,0)*100</f>
        <v/>
      </c>
      <c r="I1817" s="88">
        <f>ROUND((C1817*1.3)/100,0)*100</f>
        <v/>
      </c>
      <c r="J1817" s="22">
        <f>ROUND((C1817*1.35)/100,0)*100</f>
        <v/>
      </c>
      <c r="K1817" s="22" t="n"/>
      <c r="L1817" s="22" t="n"/>
      <c r="M1817" s="219" t="n"/>
      <c r="O1817" s="117">
        <f>C1817*P1817</f>
        <v/>
      </c>
      <c r="P1817" s="117" t="n">
        <v>1.05</v>
      </c>
      <c r="R1817" s="117" t="n"/>
      <c r="T1817" s="150" t="n"/>
      <c r="U1817" s="96" t="n"/>
      <c r="V1817" s="96" t="n"/>
      <c r="W1817" s="96" t="n"/>
      <c r="X1817" s="96" t="n"/>
      <c r="Y1817" s="96" t="n"/>
      <c r="Z1817" s="96" t="n"/>
    </row>
    <row r="1818">
      <c r="A1818" s="68" t="inlineStr">
        <is>
          <t>AER4034</t>
        </is>
      </c>
      <c r="B1818" s="109" t="inlineStr">
        <is>
          <t>REMERA S/M YERSEY</t>
        </is>
      </c>
      <c r="C1818" s="88" t="n">
        <v>24800</v>
      </c>
      <c r="D1818" s="88">
        <f>ROUND((C1818*1.07)/100,0)*100</f>
        <v/>
      </c>
      <c r="E1818" s="88">
        <f>ROUND((C1818*1.15)/100,0)*100</f>
        <v/>
      </c>
      <c r="F1818" s="88">
        <f>ROUND((C1818*1.15)/100,0)*100</f>
        <v/>
      </c>
      <c r="G1818" s="88">
        <f>ROUND((C1818*1.2)/100,0)*100</f>
        <v/>
      </c>
      <c r="H1818" s="88">
        <f>ROUND((C1818*1.25)/100,0)*100</f>
        <v/>
      </c>
      <c r="I1818" s="88">
        <f>ROUND((C1818*1.3)/100,0)*100</f>
        <v/>
      </c>
      <c r="J1818" s="22">
        <f>ROUND((C1818*1.35)/100,0)*100</f>
        <v/>
      </c>
      <c r="K1818" s="22" t="n"/>
      <c r="L1818" s="22" t="n"/>
      <c r="M1818" s="219" t="n"/>
      <c r="O1818" s="117">
        <f>C1818*P1818</f>
        <v/>
      </c>
      <c r="P1818" s="117" t="n">
        <v>1.05</v>
      </c>
      <c r="R1818" s="117" t="n"/>
      <c r="T1818" s="150" t="n"/>
      <c r="U1818" s="96" t="n"/>
      <c r="V1818" s="96" t="n"/>
      <c r="W1818" s="96" t="n"/>
      <c r="X1818" s="96" t="n"/>
      <c r="Y1818" s="96" t="n"/>
      <c r="Z1818" s="96" t="n"/>
    </row>
    <row r="1819">
      <c r="A1819" s="68" t="inlineStr">
        <is>
          <t>AER4300</t>
        </is>
      </c>
      <c r="B1819" s="109" t="inlineStr">
        <is>
          <t>NORTH STAR</t>
        </is>
      </c>
      <c r="C1819" s="88" t="n">
        <v>22300</v>
      </c>
      <c r="D1819" s="88">
        <f>ROUND((C1819*1.07)/100,0)*100</f>
        <v/>
      </c>
      <c r="E1819" s="88">
        <f>ROUND((C1819*1.15)/100,0)*100</f>
        <v/>
      </c>
      <c r="F1819" s="88">
        <f>ROUND((C1819*1.15)/100,0)*100</f>
        <v/>
      </c>
      <c r="G1819" s="88">
        <f>ROUND((C1819*1.2)/100,0)*100</f>
        <v/>
      </c>
      <c r="H1819" s="88">
        <f>ROUND((C1819*1.25)/100,0)*100</f>
        <v/>
      </c>
      <c r="I1819" s="88">
        <f>ROUND((C1819*1.3)/100,0)*100</f>
        <v/>
      </c>
      <c r="J1819" s="22">
        <f>ROUND((C1819*1.35)/100,0)*100</f>
        <v/>
      </c>
      <c r="K1819" s="22" t="n"/>
      <c r="L1819" s="22" t="n"/>
      <c r="M1819" s="219" t="n"/>
      <c r="O1819" s="117">
        <f>C1819*P1819</f>
        <v/>
      </c>
      <c r="P1819" s="117" t="n">
        <v>1.05</v>
      </c>
      <c r="R1819" s="117" t="n"/>
      <c r="T1819" s="150" t="n"/>
      <c r="U1819" s="96" t="n"/>
      <c r="V1819" s="96" t="n"/>
      <c r="W1819" s="96" t="n"/>
      <c r="X1819" s="96" t="n"/>
      <c r="Y1819" s="96" t="n"/>
      <c r="Z1819" s="96" t="n"/>
    </row>
    <row r="1820">
      <c r="A1820" s="68" t="inlineStr">
        <is>
          <t>AER4386</t>
        </is>
      </c>
      <c r="B1820" s="109" t="inlineStr">
        <is>
          <t>MUSCULOSA HOMBRE RAYADA</t>
        </is>
      </c>
      <c r="C1820" s="88" t="n">
        <v>21100</v>
      </c>
      <c r="D1820" s="88">
        <f>ROUND((C1820*1.07)/100,0)*100</f>
        <v/>
      </c>
      <c r="E1820" s="88">
        <f>ROUND((C1820*1.15)/100,0)*100</f>
        <v/>
      </c>
      <c r="F1820" s="88">
        <f>ROUND((C1820*1.15)/100,0)*100</f>
        <v/>
      </c>
      <c r="G1820" s="88">
        <f>ROUND((C1820*1.2)/100,0)*100</f>
        <v/>
      </c>
      <c r="H1820" s="88">
        <f>ROUND((C1820*1.25)/100,0)*100</f>
        <v/>
      </c>
      <c r="I1820" s="88">
        <f>ROUND((C1820*1.3)/100,0)*100</f>
        <v/>
      </c>
      <c r="J1820" s="22">
        <f>ROUND((C1820*1.35)/100,0)*100</f>
        <v/>
      </c>
      <c r="K1820" s="22" t="n"/>
      <c r="L1820" s="22" t="n"/>
      <c r="M1820" s="219" t="n"/>
      <c r="O1820" s="117">
        <f>C1820*P1820</f>
        <v/>
      </c>
      <c r="P1820" s="117" t="n">
        <v>1.05</v>
      </c>
      <c r="R1820" s="117" t="n"/>
      <c r="T1820" s="150" t="n"/>
      <c r="U1820" s="96" t="n"/>
      <c r="V1820" s="96" t="n"/>
      <c r="W1820" s="96" t="n"/>
      <c r="X1820" s="96" t="n"/>
      <c r="Y1820" s="96" t="n"/>
      <c r="Z1820" s="96" t="n"/>
    </row>
    <row r="1821">
      <c r="A1821" s="68" t="inlineStr">
        <is>
          <t>AER4486</t>
        </is>
      </c>
      <c r="B1821" s="110" t="inlineStr">
        <is>
          <t>AERO</t>
        </is>
      </c>
      <c r="C1821" s="88" t="n">
        <v>21100</v>
      </c>
      <c r="D1821" s="88">
        <f>ROUND((C1821*1.07)/100,0)*100</f>
        <v/>
      </c>
      <c r="E1821" s="88">
        <f>ROUND((C1821*1.15)/100,0)*100</f>
        <v/>
      </c>
      <c r="F1821" s="88">
        <f>ROUND((C1821*1.15)/100,0)*100</f>
        <v/>
      </c>
      <c r="G1821" s="88">
        <f>ROUND((C1821*1.2)/100,0)*100</f>
        <v/>
      </c>
      <c r="H1821" s="88">
        <f>ROUND((C1821*1.25)/100,0)*100</f>
        <v/>
      </c>
      <c r="I1821" s="88">
        <f>ROUND((C1821*1.3)/100,0)*100</f>
        <v/>
      </c>
      <c r="J1821" s="22">
        <f>ROUND((C1821*1.35)/100,0)*100</f>
        <v/>
      </c>
      <c r="K1821" s="22" t="n"/>
      <c r="L1821" s="22" t="n"/>
      <c r="M1821" s="219" t="n"/>
      <c r="O1821" s="117">
        <f>C1821*P1821</f>
        <v/>
      </c>
      <c r="P1821" s="117" t="n">
        <v>1.05</v>
      </c>
      <c r="R1821" s="117" t="n"/>
      <c r="T1821" s="150" t="n"/>
      <c r="U1821" s="96" t="n"/>
      <c r="V1821" s="96" t="n"/>
      <c r="W1821" s="96" t="n"/>
      <c r="X1821" s="96" t="n"/>
      <c r="Y1821" s="96" t="n"/>
      <c r="Z1821" s="96" t="n"/>
    </row>
    <row r="1822">
      <c r="A1822" s="68" t="inlineStr">
        <is>
          <t>AER6021</t>
        </is>
      </c>
      <c r="B1822" s="110" t="inlineStr">
        <is>
          <t>AERO</t>
        </is>
      </c>
      <c r="C1822" s="88" t="n">
        <v>30200</v>
      </c>
      <c r="D1822" s="88">
        <f>ROUND((C1822*1.07)/100,0)*100</f>
        <v/>
      </c>
      <c r="E1822" s="88">
        <f>ROUND((C1822*1.15)/100,0)*100</f>
        <v/>
      </c>
      <c r="F1822" s="88">
        <f>ROUND((C1822*1.15)/100,0)*100</f>
        <v/>
      </c>
      <c r="G1822" s="88">
        <f>ROUND((C1822*1.2)/100,0)*100</f>
        <v/>
      </c>
      <c r="H1822" s="88">
        <f>ROUND((C1822*1.25)/100,0)*100</f>
        <v/>
      </c>
      <c r="I1822" s="88">
        <f>ROUND((C1822*1.3)/100,0)*100</f>
        <v/>
      </c>
      <c r="J1822" s="22">
        <f>ROUND((C1822*1.35)/100,0)*100</f>
        <v/>
      </c>
      <c r="K1822" s="88" t="n"/>
      <c r="L1822" s="88" t="n"/>
      <c r="M1822" s="219" t="n"/>
      <c r="O1822" s="117">
        <f>C1822*P1822</f>
        <v/>
      </c>
      <c r="P1822" s="117" t="n">
        <v>1.05</v>
      </c>
      <c r="R1822" s="117" t="n"/>
      <c r="T1822" s="150" t="n"/>
      <c r="U1822" s="96" t="n"/>
      <c r="V1822" s="96" t="n"/>
      <c r="W1822" s="96" t="n"/>
      <c r="X1822" s="96" t="n"/>
      <c r="Y1822" s="96" t="n"/>
      <c r="Z1822" s="96" t="n"/>
    </row>
    <row r="1823">
      <c r="A1823" s="68" t="inlineStr">
        <is>
          <t>AER6235</t>
        </is>
      </c>
      <c r="B1823" s="110" t="inlineStr">
        <is>
          <t>AERO</t>
        </is>
      </c>
      <c r="C1823" s="88" t="n">
        <v>30200</v>
      </c>
      <c r="D1823" s="88">
        <f>ROUND((C1823*1.07)/100,0)*100</f>
        <v/>
      </c>
      <c r="E1823" s="88">
        <f>ROUND((C1823*1.15)/100,0)*100</f>
        <v/>
      </c>
      <c r="F1823" s="88">
        <f>ROUND((C1823*1.15)/100,0)*100</f>
        <v/>
      </c>
      <c r="G1823" s="88">
        <f>ROUND((C1823*1.2)/100,0)*100</f>
        <v/>
      </c>
      <c r="H1823" s="88">
        <f>ROUND((C1823*1.25)/100,0)*100</f>
        <v/>
      </c>
      <c r="I1823" s="88">
        <f>ROUND((C1823*1.3)/100,0)*100</f>
        <v/>
      </c>
      <c r="J1823" s="22">
        <f>ROUND((C1823*1.35)/100,0)*100</f>
        <v/>
      </c>
      <c r="K1823" s="88" t="n"/>
      <c r="L1823" s="88" t="n"/>
      <c r="M1823" s="219" t="n"/>
      <c r="O1823" s="117">
        <f>C1823*P1823</f>
        <v/>
      </c>
      <c r="P1823" s="117" t="n">
        <v>1.05</v>
      </c>
      <c r="R1823" s="117" t="n"/>
      <c r="T1823" s="150" t="n"/>
      <c r="U1823" s="96" t="n"/>
      <c r="V1823" s="96" t="n"/>
      <c r="W1823" s="96" t="n"/>
      <c r="X1823" s="96" t="n"/>
      <c r="Y1823" s="96" t="n"/>
      <c r="Z1823" s="96" t="n"/>
    </row>
    <row r="1824">
      <c r="A1824" s="68" t="inlineStr">
        <is>
          <t>AER9190</t>
        </is>
      </c>
      <c r="B1824" s="110" t="inlineStr">
        <is>
          <t>SUDADERA BASICA</t>
        </is>
      </c>
      <c r="C1824" s="88" t="n">
        <v>31000</v>
      </c>
      <c r="D1824" s="22" t="n"/>
      <c r="E1824" s="22" t="n"/>
      <c r="F1824" s="22" t="n"/>
      <c r="G1824" s="22" t="n"/>
      <c r="H1824" s="22" t="n"/>
      <c r="I1824" s="22" t="n"/>
      <c r="J1824" s="22" t="n"/>
      <c r="K1824" s="22" t="n"/>
      <c r="L1824" s="22" t="n"/>
      <c r="M1824" s="219" t="n"/>
      <c r="O1824" s="117">
        <f>C1824*P1824</f>
        <v/>
      </c>
      <c r="P1824" s="117" t="n">
        <v>1.05</v>
      </c>
      <c r="R1824" s="117" t="n"/>
      <c r="T1824" s="150" t="n"/>
      <c r="U1824" s="96" t="n"/>
      <c r="V1824" s="96" t="n"/>
      <c r="W1824" s="96" t="n"/>
      <c r="X1824" s="96" t="n"/>
      <c r="Y1824" s="96" t="n"/>
      <c r="Z1824" s="96" t="n"/>
    </row>
    <row r="1825" s="253">
      <c r="A1825" s="68" t="inlineStr">
        <is>
          <t>AER9595</t>
        </is>
      </c>
      <c r="B1825" s="110" t="inlineStr">
        <is>
          <t>MUSCULOSA RAYADA</t>
        </is>
      </c>
      <c r="C1825" s="88" t="n">
        <v>36300</v>
      </c>
      <c r="D1825" s="22" t="n"/>
      <c r="E1825" s="22" t="n"/>
      <c r="F1825" s="22" t="n"/>
      <c r="G1825" s="22" t="n"/>
      <c r="H1825" s="22" t="n"/>
      <c r="I1825" s="22" t="n"/>
      <c r="J1825" s="22" t="n"/>
      <c r="K1825" s="22" t="n"/>
      <c r="L1825" s="22" t="n"/>
      <c r="M1825" s="219" t="n"/>
      <c r="O1825" s="117">
        <f>C1825*P1825</f>
        <v/>
      </c>
      <c r="P1825" s="117" t="n">
        <v>1.05</v>
      </c>
      <c r="R1825" s="117" t="n"/>
      <c r="T1825" s="150" t="n"/>
      <c r="U1825" s="96" t="n"/>
      <c r="V1825" s="96" t="n"/>
      <c r="W1825" s="96" t="n"/>
      <c r="X1825" s="96" t="n"/>
      <c r="Y1825" s="96" t="n"/>
      <c r="Z1825" s="96" t="n"/>
    </row>
    <row r="1826">
      <c r="A1826" s="68" t="inlineStr">
        <is>
          <t>AER9598</t>
        </is>
      </c>
      <c r="B1826" s="110" t="inlineStr">
        <is>
          <t>MUSCULOSA RAYADA</t>
        </is>
      </c>
      <c r="C1826" s="88" t="n">
        <v>36300</v>
      </c>
      <c r="D1826" s="22" t="n"/>
      <c r="E1826" s="22" t="n"/>
      <c r="F1826" s="22" t="n"/>
      <c r="G1826" s="22" t="n"/>
      <c r="H1826" s="22" t="n"/>
      <c r="I1826" s="22" t="n"/>
      <c r="J1826" s="22" t="n"/>
      <c r="K1826" s="22" t="n"/>
      <c r="L1826" s="22" t="n"/>
      <c r="M1826" s="219" t="n"/>
      <c r="O1826" s="117">
        <f>C1826*P1826</f>
        <v/>
      </c>
      <c r="P1826" s="117" t="n">
        <v>1.05</v>
      </c>
      <c r="R1826" s="117" t="n"/>
      <c r="T1826" s="150" t="n"/>
      <c r="U1826" s="96" t="n"/>
      <c r="V1826" s="96" t="n"/>
      <c r="W1826" s="96" t="n"/>
      <c r="X1826" s="96" t="n"/>
      <c r="Y1826" s="96" t="n"/>
      <c r="Z1826" s="96" t="n"/>
    </row>
    <row r="1827">
      <c r="A1827" s="89" t="inlineStr">
        <is>
          <t>04184XXX</t>
        </is>
      </c>
      <c r="B1827" s="135" t="inlineStr">
        <is>
          <t xml:space="preserve">TAVERNITI </t>
        </is>
      </c>
      <c r="C1827" s="88" t="n">
        <v>35400</v>
      </c>
      <c r="D1827" s="170" t="n"/>
      <c r="E1827" s="170" t="n"/>
      <c r="F1827" s="170" t="n"/>
      <c r="G1827" s="170" t="n"/>
      <c r="H1827" s="170" t="n"/>
      <c r="I1827" s="170" t="n"/>
      <c r="J1827" s="170" t="n"/>
      <c r="K1827" s="170" t="n"/>
      <c r="L1827" s="170" t="n"/>
      <c r="M1827" s="88" t="n"/>
      <c r="N1827" s="30" t="n"/>
      <c r="O1827" s="117">
        <f>C1827*P1827</f>
        <v/>
      </c>
      <c r="P1827" s="117" t="n">
        <v>1.05</v>
      </c>
      <c r="Q1827" s="30" t="n"/>
      <c r="R1827" s="170" t="n"/>
      <c r="S1827" s="30" t="n"/>
      <c r="T1827" s="150" t="n"/>
      <c r="U1827" s="96" t="n"/>
      <c r="V1827" s="96" t="n"/>
      <c r="W1827" s="96" t="n"/>
      <c r="X1827" s="96" t="n"/>
      <c r="Y1827" s="96" t="n"/>
      <c r="Z1827" s="96" t="n"/>
      <c r="AA1827" s="30" t="n"/>
      <c r="AB1827" s="30" t="n"/>
      <c r="AC1827" s="30" t="n"/>
      <c r="AD1827" s="30" t="n"/>
      <c r="AE1827" s="30" t="n"/>
      <c r="AF1827" s="30" t="n"/>
      <c r="AG1827" s="30" t="n"/>
      <c r="AH1827" s="30" t="n"/>
      <c r="AI1827" s="30" t="n"/>
      <c r="AJ1827" s="30" t="n"/>
      <c r="AK1827" s="30" t="n"/>
      <c r="AL1827" s="30" t="n"/>
      <c r="AM1827" s="30" t="n"/>
      <c r="AN1827" s="30" t="n"/>
    </row>
    <row r="1828">
      <c r="A1828" s="89" t="inlineStr">
        <is>
          <t>09190XXX</t>
        </is>
      </c>
      <c r="B1828" s="135" t="inlineStr">
        <is>
          <t>TAVERNITI SUDADERA</t>
        </is>
      </c>
      <c r="C1828" s="88" t="n">
        <v>34500</v>
      </c>
      <c r="D1828" s="170" t="n"/>
      <c r="E1828" s="170" t="n"/>
      <c r="F1828" s="170" t="n"/>
      <c r="G1828" s="170" t="n"/>
      <c r="H1828" s="170" t="n"/>
      <c r="I1828" s="170" t="n"/>
      <c r="J1828" s="170" t="n"/>
      <c r="K1828" s="170" t="n"/>
      <c r="L1828" s="170" t="n"/>
      <c r="M1828" s="88" t="n"/>
      <c r="N1828" s="30" t="n"/>
      <c r="O1828" s="117">
        <f>C1828*P1828</f>
        <v/>
      </c>
      <c r="P1828" s="117" t="n">
        <v>1.05</v>
      </c>
      <c r="Q1828" s="30" t="n"/>
      <c r="R1828" s="170" t="n"/>
      <c r="S1828" s="30" t="n"/>
      <c r="T1828" s="150" t="n"/>
      <c r="U1828" s="96" t="n"/>
      <c r="V1828" s="96" t="n"/>
      <c r="W1828" s="96" t="n"/>
      <c r="X1828" s="96" t="n"/>
      <c r="Y1828" s="96" t="n"/>
      <c r="Z1828" s="96" t="n"/>
      <c r="AA1828" s="30" t="n"/>
      <c r="AB1828" s="30" t="n"/>
      <c r="AC1828" s="30" t="n"/>
      <c r="AD1828" s="30" t="n"/>
      <c r="AE1828" s="30" t="n"/>
      <c r="AF1828" s="30" t="n"/>
      <c r="AG1828" s="30" t="n"/>
      <c r="AH1828" s="30" t="n"/>
      <c r="AI1828" s="30" t="n"/>
      <c r="AJ1828" s="30" t="n"/>
      <c r="AK1828" s="30" t="n"/>
      <c r="AL1828" s="30" t="n"/>
      <c r="AM1828" s="30" t="n"/>
      <c r="AN1828" s="30" t="n"/>
    </row>
    <row r="1829">
      <c r="A1829" s="134" t="inlineStr">
        <is>
          <t>14398XXX</t>
        </is>
      </c>
      <c r="B1829" s="246" t="inlineStr">
        <is>
          <t xml:space="preserve">TAVERNITI </t>
        </is>
      </c>
      <c r="C1829" s="88" t="n">
        <v>32600</v>
      </c>
      <c r="D1829" s="22" t="n"/>
      <c r="E1829" s="22" t="n"/>
      <c r="F1829" s="22" t="n"/>
      <c r="G1829" s="22" t="n"/>
      <c r="H1829" s="22" t="n"/>
      <c r="I1829" s="22" t="n"/>
      <c r="J1829" s="22" t="n"/>
      <c r="K1829" s="22" t="n"/>
      <c r="L1829" s="22" t="n"/>
      <c r="M1829" s="219" t="n"/>
      <c r="O1829" s="117">
        <f>C1829*P1829</f>
        <v/>
      </c>
      <c r="P1829" s="117" t="n">
        <v>1.05</v>
      </c>
      <c r="R1829" s="117" t="n"/>
      <c r="T1829" s="150" t="n"/>
      <c r="U1829" s="96" t="n"/>
      <c r="V1829" s="96" t="n"/>
      <c r="W1829" s="96" t="n"/>
      <c r="X1829" s="96" t="n"/>
      <c r="Y1829" s="96" t="n"/>
      <c r="Z1829" s="96" t="n"/>
    </row>
    <row r="1830">
      <c r="A1830" s="68" t="inlineStr">
        <is>
          <t>14852XXX</t>
        </is>
      </c>
      <c r="B1830" s="110" t="inlineStr">
        <is>
          <t>TAVERNITI MUSCULOSA</t>
        </is>
      </c>
      <c r="C1830" s="88" t="n">
        <v>41000</v>
      </c>
      <c r="D1830" s="22" t="n"/>
      <c r="E1830" s="22" t="n"/>
      <c r="F1830" s="22" t="n"/>
      <c r="G1830" s="22" t="n"/>
      <c r="H1830" s="22" t="n"/>
      <c r="I1830" s="22" t="n"/>
      <c r="J1830" s="22" t="n"/>
      <c r="K1830" s="22" t="n"/>
      <c r="L1830" s="22" t="n"/>
      <c r="M1830" s="219" t="n"/>
      <c r="O1830" s="117">
        <f>C1830*P1830</f>
        <v/>
      </c>
      <c r="P1830" s="117" t="n">
        <v>1.05</v>
      </c>
      <c r="R1830" s="117" t="n"/>
      <c r="T1830" s="150" t="n"/>
      <c r="U1830" s="96" t="n"/>
      <c r="V1830" s="96" t="n"/>
      <c r="W1830" s="96" t="n"/>
      <c r="X1830" s="96" t="n"/>
      <c r="Y1830" s="96" t="n"/>
      <c r="Z1830" s="96" t="n"/>
    </row>
    <row r="1831">
      <c r="A1831" s="68" t="inlineStr">
        <is>
          <t>14854XXX</t>
        </is>
      </c>
      <c r="B1831" s="110" t="inlineStr">
        <is>
          <t>TAVERNITI MUSCULOSA</t>
        </is>
      </c>
      <c r="C1831" s="88" t="n">
        <v>33900</v>
      </c>
      <c r="D1831" s="22" t="n"/>
      <c r="E1831" s="22" t="n"/>
      <c r="F1831" s="22" t="n"/>
      <c r="G1831" s="22" t="n"/>
      <c r="H1831" s="22" t="n"/>
      <c r="I1831" s="22" t="n"/>
      <c r="J1831" s="22" t="n"/>
      <c r="K1831" s="22" t="n"/>
      <c r="L1831" s="22" t="n"/>
      <c r="M1831" s="219" t="n"/>
      <c r="O1831" s="117">
        <f>C1831*P1831</f>
        <v/>
      </c>
      <c r="P1831" s="117" t="n">
        <v>1.05</v>
      </c>
      <c r="R1831" s="117" t="n"/>
      <c r="T1831" s="150" t="n"/>
      <c r="U1831" s="96" t="n"/>
      <c r="V1831" s="96" t="n"/>
      <c r="W1831" s="96" t="n"/>
      <c r="X1831" s="96" t="n"/>
      <c r="Y1831" s="96" t="n"/>
      <c r="Z1831" s="96" t="n"/>
    </row>
    <row r="1832">
      <c r="A1832" s="68" t="inlineStr">
        <is>
          <t>14856XXX</t>
        </is>
      </c>
      <c r="B1832" s="110" t="inlineStr">
        <is>
          <t>TAVERNITI MUSCULOSA</t>
        </is>
      </c>
      <c r="C1832" s="88" t="n">
        <v>34100</v>
      </c>
      <c r="D1832" s="22" t="n"/>
      <c r="E1832" s="22" t="n"/>
      <c r="F1832" s="22" t="n"/>
      <c r="G1832" s="22" t="n"/>
      <c r="H1832" s="22" t="n"/>
      <c r="I1832" s="22" t="n"/>
      <c r="J1832" s="22" t="n"/>
      <c r="K1832" s="22" t="n"/>
      <c r="L1832" s="22" t="n"/>
      <c r="M1832" s="219" t="n"/>
      <c r="O1832" s="117">
        <f>C1832*P1832</f>
        <v/>
      </c>
      <c r="P1832" s="117" t="n">
        <v>1.05</v>
      </c>
      <c r="R1832" s="117" t="n"/>
      <c r="T1832" s="150" t="n"/>
      <c r="U1832" s="96" t="n"/>
      <c r="V1832" s="96" t="n"/>
      <c r="W1832" s="96" t="n"/>
      <c r="X1832" s="96" t="n"/>
      <c r="Y1832" s="96" t="n"/>
      <c r="Z1832" s="96" t="n"/>
    </row>
    <row r="1833">
      <c r="A1833" s="68" t="inlineStr">
        <is>
          <t>14858XXX</t>
        </is>
      </c>
      <c r="B1833" s="110" t="inlineStr">
        <is>
          <t>TAVERNITI MUSCULOSA</t>
        </is>
      </c>
      <c r="C1833" s="88" t="n">
        <v>33900</v>
      </c>
      <c r="D1833" s="22" t="n"/>
      <c r="E1833" s="22" t="n"/>
      <c r="F1833" s="22" t="n"/>
      <c r="G1833" s="22" t="n"/>
      <c r="H1833" s="22" t="n"/>
      <c r="I1833" s="22" t="n"/>
      <c r="J1833" s="22" t="n"/>
      <c r="K1833" s="22" t="n"/>
      <c r="L1833" s="22" t="n"/>
      <c r="M1833" s="219" t="n"/>
      <c r="O1833" s="117">
        <f>C1833*P1833</f>
        <v/>
      </c>
      <c r="P1833" s="117" t="n">
        <v>1.05</v>
      </c>
      <c r="R1833" s="117" t="n"/>
      <c r="T1833" s="150" t="n"/>
      <c r="U1833" s="96" t="n"/>
      <c r="V1833" s="96" t="n"/>
      <c r="W1833" s="96" t="n"/>
      <c r="X1833" s="96" t="n"/>
      <c r="Y1833" s="96" t="n"/>
      <c r="Z1833" s="96" t="n"/>
    </row>
    <row r="1834">
      <c r="A1834" s="68" t="inlineStr">
        <is>
          <t>14860XXX</t>
        </is>
      </c>
      <c r="B1834" s="110" t="inlineStr">
        <is>
          <t>TAVERNITI MUSCULOSA</t>
        </is>
      </c>
      <c r="C1834" s="88" t="n">
        <v>33900</v>
      </c>
      <c r="D1834" s="22" t="n"/>
      <c r="E1834" s="22" t="n"/>
      <c r="F1834" s="22" t="n"/>
      <c r="G1834" s="22" t="n"/>
      <c r="H1834" s="22" t="n"/>
      <c r="I1834" s="22" t="n"/>
      <c r="J1834" s="22" t="n"/>
      <c r="K1834" s="22" t="n"/>
      <c r="L1834" s="22" t="n"/>
      <c r="M1834" s="219" t="n"/>
      <c r="O1834" s="117">
        <f>C1834*P1834</f>
        <v/>
      </c>
      <c r="P1834" s="117" t="n">
        <v>1.05</v>
      </c>
      <c r="R1834" s="117" t="n"/>
      <c r="T1834" s="150" t="n"/>
      <c r="U1834" s="96" t="n"/>
      <c r="V1834" s="96" t="n"/>
      <c r="W1834" s="96" t="n"/>
      <c r="X1834" s="96" t="n"/>
      <c r="Y1834" s="96" t="n"/>
      <c r="Z1834" s="96" t="n"/>
    </row>
    <row r="1835">
      <c r="A1835" s="68" t="inlineStr">
        <is>
          <t>16272XXX</t>
        </is>
      </c>
      <c r="B1835" s="110" t="inlineStr">
        <is>
          <t>TAVERNITI MUSCULOSA</t>
        </is>
      </c>
      <c r="C1835" s="88" t="n">
        <v>33900</v>
      </c>
      <c r="D1835" s="22" t="n"/>
      <c r="E1835" s="22" t="n"/>
      <c r="F1835" s="22" t="n"/>
      <c r="G1835" s="22" t="n"/>
      <c r="H1835" s="22" t="n"/>
      <c r="I1835" s="22" t="n"/>
      <c r="J1835" s="22" t="n"/>
      <c r="K1835" s="22" t="n"/>
      <c r="L1835" s="22" t="n"/>
      <c r="M1835" s="219" t="n"/>
      <c r="O1835" s="117">
        <f>C1835*P1835</f>
        <v/>
      </c>
      <c r="P1835" s="117" t="n">
        <v>1.05</v>
      </c>
      <c r="R1835" s="117" t="n"/>
      <c r="T1835" s="150" t="n"/>
      <c r="U1835" s="96" t="n"/>
      <c r="V1835" s="96" t="n"/>
      <c r="W1835" s="96" t="n"/>
      <c r="X1835" s="96" t="n"/>
      <c r="Y1835" s="96" t="n"/>
      <c r="Z1835" s="96" t="n"/>
    </row>
    <row r="1836">
      <c r="A1836" s="68" t="inlineStr">
        <is>
          <t>16312XXX</t>
        </is>
      </c>
      <c r="B1836" s="110" t="inlineStr">
        <is>
          <t>TAVERNITI MUSCULOSA</t>
        </is>
      </c>
      <c r="C1836" s="88" t="n">
        <v>33900</v>
      </c>
      <c r="D1836" s="22" t="n"/>
      <c r="E1836" s="22" t="n"/>
      <c r="F1836" s="22" t="n"/>
      <c r="G1836" s="22" t="n"/>
      <c r="H1836" s="22" t="n"/>
      <c r="I1836" s="22" t="n"/>
      <c r="J1836" s="22" t="n"/>
      <c r="K1836" s="22" t="n"/>
      <c r="L1836" s="22" t="n"/>
      <c r="M1836" s="219" t="n"/>
      <c r="O1836" s="117">
        <f>C1836*P1836</f>
        <v/>
      </c>
      <c r="P1836" s="117" t="n">
        <v>1.05</v>
      </c>
      <c r="R1836" s="117" t="n"/>
      <c r="T1836" s="150" t="n"/>
      <c r="U1836" s="96" t="n"/>
      <c r="V1836" s="96" t="n"/>
      <c r="W1836" s="96" t="n"/>
      <c r="X1836" s="96" t="n"/>
      <c r="Y1836" s="96" t="n"/>
      <c r="Z1836" s="96" t="n"/>
    </row>
    <row r="1837">
      <c r="A1837" s="134" t="inlineStr">
        <is>
          <t>16316XXX</t>
        </is>
      </c>
      <c r="B1837" s="110" t="inlineStr">
        <is>
          <t>TAVERNITI MUSCULOSA</t>
        </is>
      </c>
      <c r="C1837" s="88" t="n">
        <v>33900</v>
      </c>
      <c r="D1837" s="22" t="n"/>
      <c r="E1837" s="22" t="n"/>
      <c r="F1837" s="22" t="n"/>
      <c r="G1837" s="22" t="n"/>
      <c r="H1837" s="22" t="n"/>
      <c r="I1837" s="22" t="n"/>
      <c r="J1837" s="22" t="n"/>
      <c r="K1837" s="22" t="n"/>
      <c r="L1837" s="22" t="n"/>
      <c r="M1837" s="219" t="n"/>
      <c r="O1837" s="117">
        <f>C1837*P1837</f>
        <v/>
      </c>
      <c r="P1837" s="117" t="n">
        <v>1.05</v>
      </c>
      <c r="R1837" s="117" t="n"/>
      <c r="T1837" s="150" t="n"/>
      <c r="U1837" s="96" t="n"/>
      <c r="V1837" s="96" t="n"/>
      <c r="W1837" s="96" t="n"/>
      <c r="X1837" s="96" t="n"/>
      <c r="Y1837" s="96" t="n"/>
      <c r="Z1837" s="96" t="n"/>
    </row>
    <row r="1838">
      <c r="A1838" s="134" t="inlineStr">
        <is>
          <t>16514XXX</t>
        </is>
      </c>
      <c r="B1838" s="110" t="inlineStr">
        <is>
          <t>TAVERNITI MUSCULOSA</t>
        </is>
      </c>
      <c r="C1838" s="88" t="n">
        <v>33900</v>
      </c>
      <c r="D1838" s="22" t="n"/>
      <c r="E1838" s="22" t="n"/>
      <c r="F1838" s="22" t="n"/>
      <c r="G1838" s="22" t="n"/>
      <c r="H1838" s="22" t="n"/>
      <c r="I1838" s="22" t="n"/>
      <c r="J1838" s="22" t="n"/>
      <c r="K1838" s="22" t="n"/>
      <c r="L1838" s="22" t="n"/>
      <c r="M1838" s="219" t="n"/>
      <c r="O1838" s="117">
        <f>C1838*P1838</f>
        <v/>
      </c>
      <c r="P1838" s="117" t="n">
        <v>1.05</v>
      </c>
      <c r="R1838" s="117" t="n"/>
      <c r="T1838" s="150" t="n"/>
      <c r="U1838" s="96" t="n"/>
      <c r="V1838" s="96" t="n"/>
      <c r="W1838" s="96" t="n"/>
      <c r="X1838" s="96" t="n"/>
      <c r="Y1838" s="96" t="n"/>
      <c r="Z1838" s="96" t="n"/>
    </row>
    <row r="1839">
      <c r="A1839" s="68" t="inlineStr">
        <is>
          <t>16892XXX</t>
        </is>
      </c>
      <c r="B1839" s="110" t="inlineStr">
        <is>
          <t>TAVERNITI SUDADERA</t>
        </is>
      </c>
      <c r="C1839" s="88" t="n">
        <v>39900</v>
      </c>
      <c r="D1839" s="22" t="n"/>
      <c r="E1839" s="22" t="n"/>
      <c r="F1839" s="22" t="n"/>
      <c r="G1839" s="22" t="n"/>
      <c r="H1839" s="22" t="n"/>
      <c r="I1839" s="22" t="n"/>
      <c r="J1839" s="22" t="n"/>
      <c r="K1839" s="22" t="n"/>
      <c r="L1839" s="22" t="n"/>
      <c r="M1839" s="219" t="n"/>
      <c r="O1839" s="117">
        <f>C1839*P1839</f>
        <v/>
      </c>
      <c r="P1839" s="117" t="n">
        <v>1.05</v>
      </c>
      <c r="R1839" s="117" t="n"/>
      <c r="T1839" s="150" t="n"/>
      <c r="U1839" s="96" t="n"/>
      <c r="V1839" s="96" t="n"/>
      <c r="W1839" s="96" t="n"/>
      <c r="X1839" s="96" t="n"/>
      <c r="Y1839" s="96" t="n"/>
      <c r="Z1839" s="96" t="n"/>
    </row>
    <row r="1840">
      <c r="A1840" s="68" t="inlineStr">
        <is>
          <t>16894XXX</t>
        </is>
      </c>
      <c r="B1840" s="110" t="inlineStr">
        <is>
          <t>TAVERNITI SUDADERA</t>
        </is>
      </c>
      <c r="C1840" s="88" t="n">
        <v>33900</v>
      </c>
      <c r="D1840" s="22" t="n"/>
      <c r="E1840" s="22" t="n"/>
      <c r="F1840" s="22" t="n"/>
      <c r="G1840" s="22" t="n"/>
      <c r="H1840" s="22" t="n"/>
      <c r="I1840" s="22" t="n"/>
      <c r="J1840" s="22" t="n"/>
      <c r="K1840" s="22" t="n"/>
      <c r="L1840" s="22" t="n"/>
      <c r="M1840" s="219" t="n"/>
      <c r="O1840" s="117">
        <f>C1840*P1840</f>
        <v/>
      </c>
      <c r="P1840" s="117" t="n">
        <v>1.05</v>
      </c>
      <c r="R1840" s="117" t="n"/>
      <c r="T1840" s="150" t="n"/>
      <c r="U1840" s="96" t="n"/>
      <c r="V1840" s="96" t="n"/>
      <c r="W1840" s="96" t="n"/>
      <c r="X1840" s="96" t="n"/>
      <c r="Y1840" s="96" t="n"/>
      <c r="Z1840" s="96" t="n"/>
    </row>
    <row r="1841">
      <c r="A1841" s="68" t="inlineStr">
        <is>
          <t>17494XXX</t>
        </is>
      </c>
      <c r="B1841" s="110" t="inlineStr">
        <is>
          <t>TAVERNITI MUSCULOSA</t>
        </is>
      </c>
      <c r="C1841" s="88" t="n">
        <v>33900</v>
      </c>
      <c r="D1841" s="22" t="n"/>
      <c r="E1841" s="22" t="n"/>
      <c r="F1841" s="22" t="n"/>
      <c r="G1841" s="22" t="n"/>
      <c r="H1841" s="22" t="n"/>
      <c r="I1841" s="22" t="n"/>
      <c r="J1841" s="22" t="n"/>
      <c r="K1841" s="22" t="n"/>
      <c r="L1841" s="22" t="n"/>
      <c r="M1841" s="219" t="n"/>
      <c r="O1841" s="117">
        <f>C1841*P1841</f>
        <v/>
      </c>
      <c r="P1841" s="117" t="n">
        <v>1.05</v>
      </c>
      <c r="R1841" s="117" t="n"/>
      <c r="T1841" s="150" t="n"/>
      <c r="U1841" s="96" t="n"/>
      <c r="V1841" s="96" t="n"/>
      <c r="W1841" s="96" t="n"/>
      <c r="X1841" s="96" t="n"/>
      <c r="Y1841" s="96" t="n"/>
      <c r="Z1841" s="96" t="n"/>
    </row>
    <row r="1842">
      <c r="A1842" s="68" t="inlineStr">
        <is>
          <t>18968XXX</t>
        </is>
      </c>
      <c r="B1842" s="110" t="inlineStr">
        <is>
          <t>TAVERNITI MUSCULOSA</t>
        </is>
      </c>
      <c r="C1842" s="88" t="n">
        <v>23800</v>
      </c>
      <c r="D1842" s="22" t="n"/>
      <c r="E1842" s="22" t="n"/>
      <c r="F1842" s="22" t="n"/>
      <c r="G1842" s="22" t="n"/>
      <c r="H1842" s="22" t="n"/>
      <c r="I1842" s="22" t="n"/>
      <c r="J1842" s="22" t="n"/>
      <c r="K1842" s="22" t="n"/>
      <c r="L1842" s="22" t="n"/>
      <c r="M1842" s="219" t="n"/>
      <c r="O1842" s="117">
        <f>C1842*P1842</f>
        <v/>
      </c>
      <c r="P1842" s="117" t="n">
        <v>1.05</v>
      </c>
      <c r="R1842" s="117" t="n"/>
      <c r="T1842" s="150" t="n"/>
      <c r="U1842" s="96" t="n"/>
      <c r="V1842" s="96" t="n"/>
      <c r="W1842" s="96" t="n"/>
      <c r="X1842" s="96" t="n"/>
      <c r="Y1842" s="96" t="n"/>
      <c r="Z1842" s="96" t="n"/>
    </row>
    <row r="1843">
      <c r="A1843" s="68" t="inlineStr">
        <is>
          <t>19088XXX</t>
        </is>
      </c>
      <c r="B1843" s="110" t="inlineStr">
        <is>
          <t>TAVERNITI</t>
        </is>
      </c>
      <c r="C1843" s="88" t="n">
        <v>28200</v>
      </c>
      <c r="D1843" s="22" t="n"/>
      <c r="E1843" s="22" t="n"/>
      <c r="F1843" s="22" t="n"/>
      <c r="G1843" s="22" t="n"/>
      <c r="H1843" s="22" t="n"/>
      <c r="I1843" s="22" t="n"/>
      <c r="J1843" s="22" t="n"/>
      <c r="K1843" s="22" t="n"/>
      <c r="L1843" s="22" t="n"/>
      <c r="M1843" s="219" t="n"/>
      <c r="O1843" s="117">
        <f>C1843*P1843</f>
        <v/>
      </c>
      <c r="P1843" s="117" t="n">
        <v>1.05</v>
      </c>
      <c r="R1843" s="117" t="n"/>
      <c r="T1843" s="150" t="n"/>
      <c r="U1843" s="96" t="n"/>
      <c r="V1843" s="96" t="n"/>
      <c r="W1843" s="96" t="n"/>
      <c r="X1843" s="96" t="n"/>
      <c r="Y1843" s="96" t="n"/>
      <c r="Z1843" s="96" t="n"/>
    </row>
    <row r="1844">
      <c r="A1844" s="68" t="n"/>
      <c r="B1844" s="110" t="n"/>
      <c r="C1844" s="183" t="n"/>
      <c r="D1844" s="219" t="n"/>
      <c r="E1844" s="219" t="n"/>
      <c r="F1844" s="219" t="n"/>
      <c r="G1844" s="219" t="n"/>
      <c r="H1844" s="219" t="n"/>
      <c r="I1844" s="219" t="n"/>
      <c r="J1844" s="219" t="n"/>
      <c r="K1844" s="219" t="n"/>
      <c r="L1844" s="219" t="n"/>
      <c r="M1844" s="219" t="n"/>
      <c r="P1844" s="117" t="n"/>
      <c r="R1844" s="117" t="n"/>
      <c r="T1844" s="117" t="n"/>
    </row>
    <row r="1845">
      <c r="A1845" s="68" t="n"/>
      <c r="B1845" s="110" t="n"/>
      <c r="C1845" s="183" t="n"/>
      <c r="D1845" s="219" t="n"/>
      <c r="E1845" s="219" t="n"/>
      <c r="F1845" s="219" t="n"/>
      <c r="G1845" s="219" t="n"/>
      <c r="H1845" s="219" t="n"/>
      <c r="I1845" s="219" t="n"/>
      <c r="J1845" s="219" t="n"/>
      <c r="K1845" s="219" t="n"/>
      <c r="L1845" s="219" t="n"/>
      <c r="M1845" s="219" t="n"/>
      <c r="P1845" s="117" t="n"/>
      <c r="R1845" s="117" t="n"/>
      <c r="T1845" s="117" t="n"/>
    </row>
    <row r="1846">
      <c r="A1846" s="148" t="n"/>
      <c r="B1846" s="46" t="inlineStr">
        <is>
          <t>REMERAS M CORTA</t>
        </is>
      </c>
      <c r="C1846" s="42" t="inlineStr">
        <is>
          <t>1-4</t>
        </is>
      </c>
      <c r="D1846" s="42" t="n">
        <v>5</v>
      </c>
      <c r="E1846" s="42" t="n">
        <v>6</v>
      </c>
      <c r="F1846" s="42" t="n">
        <v>7</v>
      </c>
      <c r="G1846" s="42" t="n">
        <v>8</v>
      </c>
      <c r="H1846" s="42" t="n">
        <v>9</v>
      </c>
      <c r="I1846" s="42" t="n">
        <v>10</v>
      </c>
      <c r="J1846" s="42" t="n">
        <v>12</v>
      </c>
      <c r="K1846" s="42" t="n">
        <v>14</v>
      </c>
      <c r="L1846" s="42" t="n">
        <v>16</v>
      </c>
      <c r="M1846" s="148" t="inlineStr">
        <is>
          <t>03/26</t>
        </is>
      </c>
      <c r="P1846" s="117" t="n"/>
      <c r="R1846" s="117" t="n"/>
      <c r="T1846" s="117" t="n"/>
    </row>
    <row r="1847">
      <c r="A1847" s="134" t="n"/>
      <c r="B1847" s="246" t="n"/>
      <c r="C1847" s="49" t="inlineStr">
        <is>
          <t>S-XL</t>
        </is>
      </c>
      <c r="D1847" s="42" t="inlineStr">
        <is>
          <t>XXL</t>
        </is>
      </c>
      <c r="E1847" s="42" t="inlineStr">
        <is>
          <t>3XL</t>
        </is>
      </c>
      <c r="F1847" s="153" t="n"/>
      <c r="G1847" s="153" t="n"/>
      <c r="H1847" s="153" t="n"/>
      <c r="I1847" s="153" t="n"/>
      <c r="J1847" s="153" t="n"/>
      <c r="K1847" s="153" t="n"/>
      <c r="L1847" s="221" t="n"/>
      <c r="M1847" s="219" t="n"/>
      <c r="P1847" s="117" t="n"/>
      <c r="Q1847" s="96" t="n"/>
      <c r="R1847" s="150" t="n"/>
      <c r="S1847" s="96" t="n"/>
      <c r="T1847" s="150" t="n"/>
    </row>
    <row r="1848">
      <c r="A1848" s="134" t="inlineStr">
        <is>
          <t>61001</t>
        </is>
      </c>
      <c r="B1848" s="246" t="inlineStr">
        <is>
          <t>POLO CLUB REMERA LISA</t>
        </is>
      </c>
      <c r="C1848" s="88" t="n">
        <v>21200</v>
      </c>
      <c r="D1848" s="88">
        <f>ROUND((C1848*1.07)/100,0)*100</f>
        <v/>
      </c>
      <c r="E1848" s="88">
        <f>ROUND((C1848*1.15)/100,0)*100</f>
        <v/>
      </c>
      <c r="F1848" s="22" t="n"/>
      <c r="G1848" s="22" t="n"/>
      <c r="H1848" s="22" t="n"/>
      <c r="I1848" s="22" t="n"/>
      <c r="J1848" s="22" t="n"/>
      <c r="K1848" s="22" t="n"/>
      <c r="L1848" s="22" t="n"/>
      <c r="M1848" s="219" t="n"/>
      <c r="O1848" s="117">
        <f>C1848*P1848</f>
        <v/>
      </c>
      <c r="P1848" s="150" t="n">
        <v>1.1</v>
      </c>
      <c r="Q1848" s="96" t="n"/>
      <c r="R1848" s="150" t="n"/>
      <c r="S1848" s="96" t="n"/>
      <c r="T1848" s="150" t="n"/>
    </row>
    <row r="1849">
      <c r="A1849" s="134" t="inlineStr">
        <is>
          <t>61002</t>
        </is>
      </c>
      <c r="B1849" s="246" t="inlineStr">
        <is>
          <t>PRINGLES REMERA RAYADA</t>
        </is>
      </c>
      <c r="C1849" s="88" t="n">
        <v>47300</v>
      </c>
      <c r="D1849" s="88">
        <f>ROUND((C1849*1)/100,0)*100</f>
        <v/>
      </c>
      <c r="E1849" s="88">
        <f>ROUND((C1849*1)/100,0)*100</f>
        <v/>
      </c>
      <c r="F1849" s="22" t="n"/>
      <c r="G1849" s="22" t="n"/>
      <c r="H1849" s="22" t="n"/>
      <c r="I1849" s="22" t="n"/>
      <c r="J1849" s="22" t="n"/>
      <c r="K1849" s="22" t="n"/>
      <c r="L1849" s="22" t="n"/>
      <c r="M1849" s="219" t="n"/>
      <c r="O1849" s="117">
        <f>C1849*P1849</f>
        <v/>
      </c>
      <c r="P1849" s="150" t="n">
        <v>1.1</v>
      </c>
      <c r="Q1849" s="96" t="n"/>
      <c r="R1849" s="150" t="n"/>
      <c r="S1849" s="96" t="n"/>
      <c r="T1849" s="150" t="n"/>
    </row>
    <row r="1850">
      <c r="A1850" s="134" t="inlineStr">
        <is>
          <t>610</t>
        </is>
      </c>
      <c r="B1850" s="246" t="inlineStr">
        <is>
          <t>WRGE RAYADA</t>
        </is>
      </c>
      <c r="C1850" s="88" t="n">
        <v>32100</v>
      </c>
      <c r="D1850" s="88">
        <f>ROUND((C1850*1.07)/100,0)*100</f>
        <v/>
      </c>
      <c r="E1850" s="88">
        <f>ROUND((C1850*1.15)/100,0)*100</f>
        <v/>
      </c>
      <c r="F1850" s="22" t="n"/>
      <c r="G1850" s="22" t="n"/>
      <c r="H1850" s="22" t="n"/>
      <c r="I1850" s="22" t="n"/>
      <c r="J1850" s="22" t="n"/>
      <c r="K1850" s="22" t="n"/>
      <c r="L1850" s="22" t="n"/>
      <c r="M1850" s="219" t="n"/>
      <c r="O1850" s="117">
        <f>C1850*P1850</f>
        <v/>
      </c>
      <c r="P1850" s="150" t="n">
        <v>1.1</v>
      </c>
      <c r="Q1850" s="96" t="n"/>
      <c r="R1850" s="150" t="n"/>
      <c r="S1850" s="96" t="n"/>
      <c r="T1850" s="150" t="n"/>
    </row>
    <row r="1851">
      <c r="A1851" s="134" t="inlineStr">
        <is>
          <t>611</t>
        </is>
      </c>
      <c r="B1851" s="246" t="inlineStr">
        <is>
          <t>WRGE BOTONES</t>
        </is>
      </c>
      <c r="C1851" s="88" t="n">
        <v>27100</v>
      </c>
      <c r="D1851" s="88">
        <f>ROUND((C1851*1.07)/100,0)*100</f>
        <v/>
      </c>
      <c r="E1851" s="88">
        <f>ROUND((C1851*1.15)/100,0)*100</f>
        <v/>
      </c>
      <c r="F1851" s="22" t="n"/>
      <c r="G1851" s="22" t="n"/>
      <c r="H1851" s="22" t="n"/>
      <c r="I1851" s="22" t="n"/>
      <c r="J1851" s="22" t="n"/>
      <c r="K1851" s="22" t="n"/>
      <c r="L1851" s="22" t="n"/>
      <c r="M1851" s="219" t="n"/>
      <c r="O1851" s="117">
        <f>C1851*P1851</f>
        <v/>
      </c>
      <c r="P1851" s="150" t="n">
        <v>1.1</v>
      </c>
      <c r="Q1851" s="96" t="n"/>
      <c r="R1851" s="150" t="n"/>
      <c r="S1851" s="96" t="n"/>
      <c r="T1851" s="150" t="n"/>
    </row>
    <row r="1852">
      <c r="A1852" s="68" t="inlineStr">
        <is>
          <t>AER2601</t>
        </is>
      </c>
      <c r="B1852" s="109" t="inlineStr">
        <is>
          <t>REMERA  NAUTICA DOBLE ESTAMPA</t>
        </is>
      </c>
      <c r="C1852" s="88" t="n">
        <v>19000</v>
      </c>
      <c r="D1852" s="88">
        <f>ROUND((C1852*1.07)/100,0)*100</f>
        <v/>
      </c>
      <c r="E1852" s="88">
        <f>ROUND((C1852*1.15)/100,0)*100</f>
        <v/>
      </c>
      <c r="F1852" s="88">
        <f>ROUND((C1852*1.15)/100,0)*100</f>
        <v/>
      </c>
      <c r="G1852" s="88">
        <f>ROUND((C1852*1.2)/100,0)*100</f>
        <v/>
      </c>
      <c r="H1852" s="88">
        <f>ROUND((C1852*1.25)/100,0)*100</f>
        <v/>
      </c>
      <c r="I1852" s="88">
        <f>ROUND((C1852*1.3)/100,0)*100</f>
        <v/>
      </c>
      <c r="J1852" s="22">
        <f>ROUND((C1852*1.35)/100,0)*100</f>
        <v/>
      </c>
      <c r="K1852" s="88">
        <f>ROUND((C1852*1.45)/100,0)*100</f>
        <v/>
      </c>
      <c r="L1852" s="88">
        <f>ROUND((C1852*1.55)/100,0)*100</f>
        <v/>
      </c>
      <c r="M1852" s="219" t="n"/>
      <c r="O1852" s="117">
        <f>C1852*P1852</f>
        <v/>
      </c>
      <c r="P1852" s="150" t="n">
        <v>1.1</v>
      </c>
      <c r="R1852" s="117" t="n"/>
      <c r="T1852" s="117" t="n"/>
      <c r="W1852" s="96" t="n"/>
      <c r="X1852" s="96" t="n"/>
      <c r="Y1852" s="96" t="n"/>
      <c r="Z1852" s="96" t="n"/>
      <c r="AA1852" s="96" t="n"/>
      <c r="AB1852" s="96" t="n"/>
      <c r="AC1852" s="96" t="n"/>
      <c r="AD1852" s="96" t="n"/>
      <c r="AE1852" s="96" t="n"/>
      <c r="AF1852" s="96" t="n"/>
    </row>
    <row r="1853">
      <c r="A1853" s="68" t="inlineStr">
        <is>
          <t>AER2603</t>
        </is>
      </c>
      <c r="B1853" s="109" t="inlineStr">
        <is>
          <t>REMERA  CLASICA ESTAMPADA</t>
        </is>
      </c>
      <c r="C1853" s="88" t="n">
        <v>16800</v>
      </c>
      <c r="D1853" s="88">
        <f>ROUND((C1853*1.07)/100,0)*100</f>
        <v/>
      </c>
      <c r="E1853" s="88">
        <f>ROUND((C1853*1.15)/100,0)*100</f>
        <v/>
      </c>
      <c r="F1853" s="88">
        <f>ROUND((C1853*1.15)/100,0)*100</f>
        <v/>
      </c>
      <c r="G1853" s="88">
        <f>ROUND((C1853*1.2)/100,0)*100</f>
        <v/>
      </c>
      <c r="H1853" s="88">
        <f>ROUND((C1853*1.25)/100,0)*100</f>
        <v/>
      </c>
      <c r="I1853" s="88">
        <f>ROUND((C1853*1.3)/100,0)*100</f>
        <v/>
      </c>
      <c r="J1853" s="22">
        <f>ROUND((C1853*1.35)/100,0)*100</f>
        <v/>
      </c>
      <c r="K1853" s="88">
        <f>ROUND((C1853*1.45)/100,0)*100</f>
        <v/>
      </c>
      <c r="L1853" s="88">
        <f>ROUND((C1853*1.55)/100,0)*100</f>
        <v/>
      </c>
      <c r="M1853" s="219" t="n"/>
      <c r="O1853" s="117">
        <f>C1853*P1853</f>
        <v/>
      </c>
      <c r="P1853" s="150" t="n">
        <v>1.1</v>
      </c>
      <c r="R1853" s="117" t="n"/>
      <c r="T1853" s="117" t="n"/>
      <c r="W1853" s="96" t="n"/>
      <c r="X1853" s="96" t="n"/>
      <c r="Y1853" s="96" t="n"/>
      <c r="Z1853" s="96" t="n"/>
      <c r="AA1853" s="96" t="n"/>
      <c r="AB1853" s="96" t="n"/>
      <c r="AC1853" s="96" t="n"/>
      <c r="AD1853" s="96" t="n"/>
      <c r="AE1853" s="96" t="n"/>
      <c r="AF1853" s="96" t="n"/>
    </row>
    <row r="1854">
      <c r="A1854" s="68" t="inlineStr">
        <is>
          <t>AER2607</t>
        </is>
      </c>
      <c r="B1854" s="109" t="inlineStr">
        <is>
          <t>REMERA CUELLO COMBINADO, ESTAMP, VINTAGE</t>
        </is>
      </c>
      <c r="C1854" s="88" t="n">
        <v>24900</v>
      </c>
      <c r="D1854" s="88">
        <f>ROUND((C1854*1.07)/100,0)*100</f>
        <v/>
      </c>
      <c r="E1854" s="88">
        <f>ROUND((C1854*1.15)/100,0)*100</f>
        <v/>
      </c>
      <c r="F1854" s="88">
        <f>ROUND((C1854*1.15)/100,0)*100</f>
        <v/>
      </c>
      <c r="G1854" s="88">
        <f>ROUND((C1854*1.2)/100,0)*100</f>
        <v/>
      </c>
      <c r="H1854" s="88">
        <f>ROUND((C1854*1.25)/100,0)*100</f>
        <v/>
      </c>
      <c r="I1854" s="88">
        <f>ROUND((C1854*1.3)/100,0)*100</f>
        <v/>
      </c>
      <c r="J1854" s="22">
        <f>ROUND((C1854*1.35)/100,0)*100</f>
        <v/>
      </c>
      <c r="K1854" s="88">
        <f>ROUND((C1854*1.45)/100,0)*100</f>
        <v/>
      </c>
      <c r="L1854" s="88">
        <f>ROUND((C1854*1.55)/100,0)*100</f>
        <v/>
      </c>
      <c r="M1854" s="219" t="n"/>
      <c r="O1854" s="117">
        <f>C1854*P1854</f>
        <v/>
      </c>
      <c r="P1854" s="150" t="n">
        <v>1.1</v>
      </c>
      <c r="R1854" s="117" t="n"/>
      <c r="T1854" s="117" t="n"/>
      <c r="W1854" s="96" t="n"/>
      <c r="X1854" s="96" t="n"/>
      <c r="Y1854" s="96" t="n"/>
      <c r="Z1854" s="96" t="n"/>
      <c r="AA1854" s="96" t="n"/>
      <c r="AB1854" s="96" t="n"/>
      <c r="AC1854" s="96" t="n"/>
      <c r="AD1854" s="96" t="n"/>
      <c r="AE1854" s="96" t="n"/>
      <c r="AF1854" s="96" t="n"/>
    </row>
    <row r="1855">
      <c r="A1855" s="68" t="inlineStr">
        <is>
          <t>AER2610</t>
        </is>
      </c>
      <c r="B1855" s="109" t="inlineStr">
        <is>
          <t>REMERA C/CARTERA ESTAMPADA</t>
        </is>
      </c>
      <c r="C1855" s="88" t="n">
        <v>24900</v>
      </c>
      <c r="D1855" s="88">
        <f>ROUND((C1855*1.07)/100,0)*100</f>
        <v/>
      </c>
      <c r="E1855" s="88">
        <f>ROUND((C1855*1.15)/100,0)*100</f>
        <v/>
      </c>
      <c r="F1855" s="88">
        <f>ROUND((C1855*1.15)/100,0)*100</f>
        <v/>
      </c>
      <c r="G1855" s="88">
        <f>ROUND((C1855*1.2)/100,0)*100</f>
        <v/>
      </c>
      <c r="H1855" s="88">
        <f>ROUND((C1855*1.25)/100,0)*100</f>
        <v/>
      </c>
      <c r="I1855" s="88">
        <f>ROUND((C1855*1.3)/100,0)*100</f>
        <v/>
      </c>
      <c r="J1855" s="22">
        <f>ROUND((C1855*1.35)/100,0)*100</f>
        <v/>
      </c>
      <c r="K1855" s="88">
        <f>ROUND((C1855*1.45)/100,0)*100</f>
        <v/>
      </c>
      <c r="L1855" s="88">
        <f>ROUND((C1855*1.55)/100,0)*100</f>
        <v/>
      </c>
      <c r="M1855" s="219" t="n"/>
      <c r="O1855" s="117">
        <f>C1855*P1855</f>
        <v/>
      </c>
      <c r="P1855" s="150" t="n">
        <v>1.1</v>
      </c>
      <c r="R1855" s="117" t="n"/>
      <c r="T1855" s="117" t="n"/>
      <c r="W1855" s="96" t="n"/>
      <c r="X1855" s="96" t="n"/>
      <c r="Y1855" s="96" t="n"/>
      <c r="Z1855" s="96" t="n"/>
      <c r="AA1855" s="96" t="n"/>
      <c r="AB1855" s="96" t="n"/>
      <c r="AC1855" s="96" t="n"/>
      <c r="AD1855" s="96" t="n"/>
      <c r="AE1855" s="96" t="n"/>
      <c r="AF1855" s="96" t="n"/>
    </row>
    <row r="1856">
      <c r="A1856" s="68" t="inlineStr">
        <is>
          <t>AER2616</t>
        </is>
      </c>
      <c r="B1856" s="109" t="inlineStr">
        <is>
          <t>REMERA COMBINADA C/BOLSILLO RAYADO</t>
        </is>
      </c>
      <c r="C1856" s="88" t="n">
        <v>24900</v>
      </c>
      <c r="D1856" s="88">
        <f>ROUND((C1856*1.07)/100,0)*100</f>
        <v/>
      </c>
      <c r="E1856" s="88">
        <f>ROUND((C1856*1.15)/100,0)*100</f>
        <v/>
      </c>
      <c r="F1856" s="88">
        <f>ROUND((C1856*1.15)/100,0)*100</f>
        <v/>
      </c>
      <c r="G1856" s="88">
        <f>ROUND((C1856*1.2)/100,0)*100</f>
        <v/>
      </c>
      <c r="H1856" s="88">
        <f>ROUND((C1856*1.25)/100,0)*100</f>
        <v/>
      </c>
      <c r="I1856" s="88">
        <f>ROUND((C1856*1.3)/100,0)*100</f>
        <v/>
      </c>
      <c r="J1856" s="22">
        <f>ROUND((C1856*1.35)/100,0)*100</f>
        <v/>
      </c>
      <c r="K1856" s="88">
        <f>ROUND((C1856*1.45)/100,0)*100</f>
        <v/>
      </c>
      <c r="L1856" s="88">
        <f>ROUND((C1856*1.55)/100,0)*100</f>
        <v/>
      </c>
      <c r="M1856" s="219" t="n"/>
      <c r="O1856" s="117">
        <f>C1856*P1856</f>
        <v/>
      </c>
      <c r="P1856" s="150" t="n">
        <v>1.1</v>
      </c>
      <c r="R1856" s="117" t="n"/>
      <c r="T1856" s="117" t="n"/>
      <c r="W1856" s="96" t="n"/>
      <c r="X1856" s="96" t="n"/>
      <c r="Y1856" s="96" t="n"/>
      <c r="Z1856" s="96" t="n"/>
      <c r="AA1856" s="96" t="n"/>
      <c r="AB1856" s="96" t="n"/>
      <c r="AC1856" s="96" t="n"/>
      <c r="AD1856" s="96" t="n"/>
      <c r="AE1856" s="96" t="n"/>
      <c r="AF1856" s="96" t="n"/>
    </row>
    <row r="1857">
      <c r="A1857" s="68" t="inlineStr">
        <is>
          <t>AER2805</t>
        </is>
      </c>
      <c r="B1857" s="246" t="inlineStr">
        <is>
          <t>REMERA AERO</t>
        </is>
      </c>
      <c r="C1857" s="88" t="n">
        <v>24900</v>
      </c>
      <c r="D1857" s="88">
        <f>ROUND((C1857*1.07)/100,0)*100</f>
        <v/>
      </c>
      <c r="E1857" s="88">
        <f>ROUND((C1857*1.15)/100,0)*100</f>
        <v/>
      </c>
      <c r="F1857" s="88">
        <f>ROUND((C1857*1.15)/100,0)*100</f>
        <v/>
      </c>
      <c r="G1857" s="88">
        <f>ROUND((C1857*1.2)/100,0)*100</f>
        <v/>
      </c>
      <c r="H1857" s="88">
        <f>ROUND((C1857*1.25)/100,0)*100</f>
        <v/>
      </c>
      <c r="I1857" s="88">
        <f>ROUND((C1857*1.3)/100,0)*100</f>
        <v/>
      </c>
      <c r="J1857" s="22">
        <f>ROUND((C1857*1.35)/100,0)*100</f>
        <v/>
      </c>
      <c r="K1857" s="88">
        <f>ROUND((C1857*1.45)/100,0)*100</f>
        <v/>
      </c>
      <c r="L1857" s="88">
        <f>ROUND((C1857*1.55)/100,0)*100</f>
        <v/>
      </c>
      <c r="M1857" s="219" t="n"/>
      <c r="O1857" s="117">
        <f>C1857*P1857</f>
        <v/>
      </c>
      <c r="P1857" s="150" t="n">
        <v>1.1</v>
      </c>
      <c r="R1857" s="117" t="n"/>
      <c r="T1857" s="117" t="n"/>
      <c r="W1857" s="96" t="n"/>
      <c r="X1857" s="96" t="n"/>
      <c r="Y1857" s="96" t="n"/>
      <c r="Z1857" s="96" t="n"/>
      <c r="AA1857" s="96" t="n"/>
      <c r="AB1857" s="96" t="n"/>
      <c r="AC1857" s="96" t="n"/>
      <c r="AD1857" s="96" t="n"/>
      <c r="AE1857" s="96" t="n"/>
      <c r="AF1857" s="96" t="n"/>
    </row>
    <row r="1858">
      <c r="A1858" s="68" t="inlineStr">
        <is>
          <t>AER2806</t>
        </is>
      </c>
      <c r="B1858" s="246" t="inlineStr">
        <is>
          <t>REMERA AERO</t>
        </is>
      </c>
      <c r="C1858" s="88" t="n">
        <v>24900</v>
      </c>
      <c r="D1858" s="88">
        <f>ROUND((C1858*1.07)/100,0)*100</f>
        <v/>
      </c>
      <c r="E1858" s="88">
        <f>ROUND((C1858*1.15)/100,0)*100</f>
        <v/>
      </c>
      <c r="F1858" s="88">
        <f>ROUND((C1858*1.15)/100,0)*100</f>
        <v/>
      </c>
      <c r="G1858" s="88">
        <f>ROUND((C1858*1.2)/100,0)*100</f>
        <v/>
      </c>
      <c r="H1858" s="88">
        <f>ROUND((C1858*1.25)/100,0)*100</f>
        <v/>
      </c>
      <c r="I1858" s="88">
        <f>ROUND((C1858*1.3)/100,0)*100</f>
        <v/>
      </c>
      <c r="J1858" s="22">
        <f>ROUND((C1858*1.35)/100,0)*100</f>
        <v/>
      </c>
      <c r="K1858" s="88">
        <f>ROUND((C1858*1.45)/100,0)*100</f>
        <v/>
      </c>
      <c r="L1858" s="88">
        <f>ROUND((C1858*1.55)/100,0)*100</f>
        <v/>
      </c>
      <c r="M1858" s="219" t="n"/>
      <c r="O1858" s="117">
        <f>C1858*P1858</f>
        <v/>
      </c>
      <c r="P1858" s="150" t="n">
        <v>1.1</v>
      </c>
      <c r="R1858" s="117" t="n"/>
      <c r="T1858" s="117" t="n"/>
      <c r="W1858" s="96" t="n"/>
      <c r="X1858" s="96" t="n"/>
      <c r="Y1858" s="96" t="n"/>
      <c r="Z1858" s="96" t="n"/>
      <c r="AA1858" s="96" t="n"/>
      <c r="AB1858" s="96" t="n"/>
      <c r="AC1858" s="96" t="n"/>
      <c r="AD1858" s="96" t="n"/>
      <c r="AE1858" s="96" t="n"/>
      <c r="AF1858" s="96" t="n"/>
    </row>
    <row r="1859">
      <c r="A1859" s="68" t="inlineStr">
        <is>
          <t>AER2811</t>
        </is>
      </c>
      <c r="B1859" s="246" t="inlineStr">
        <is>
          <t>REMERA AERO</t>
        </is>
      </c>
      <c r="C1859" s="88" t="n">
        <v>24900</v>
      </c>
      <c r="D1859" s="88">
        <f>ROUND((C1859*1.07)/100,0)*100</f>
        <v/>
      </c>
      <c r="E1859" s="88">
        <f>ROUND((C1859*1.15)/100,0)*100</f>
        <v/>
      </c>
      <c r="F1859" s="88">
        <f>ROUND((C1859*1.15)/100,0)*100</f>
        <v/>
      </c>
      <c r="G1859" s="88">
        <f>ROUND((C1859*1.2)/100,0)*100</f>
        <v/>
      </c>
      <c r="H1859" s="88">
        <f>ROUND((C1859*1.25)/100,0)*100</f>
        <v/>
      </c>
      <c r="I1859" s="88">
        <f>ROUND((C1859*1.3)/100,0)*100</f>
        <v/>
      </c>
      <c r="J1859" s="22">
        <f>ROUND((C1859*1.35)/100,0)*100</f>
        <v/>
      </c>
      <c r="K1859" s="88">
        <f>ROUND((C1859*1.45)/100,0)*100</f>
        <v/>
      </c>
      <c r="L1859" s="88">
        <f>ROUND((C1859*1.55)/100,0)*100</f>
        <v/>
      </c>
      <c r="M1859" s="219" t="n"/>
      <c r="O1859" s="117">
        <f>C1859*P1859</f>
        <v/>
      </c>
      <c r="P1859" s="150" t="n">
        <v>1.1</v>
      </c>
      <c r="R1859" s="117" t="n"/>
      <c r="T1859" s="117" t="n"/>
      <c r="W1859" s="96" t="n"/>
      <c r="X1859" s="96" t="n"/>
      <c r="Y1859" s="96" t="n"/>
      <c r="Z1859" s="96" t="n"/>
      <c r="AA1859" s="96" t="n"/>
      <c r="AB1859" s="96" t="n"/>
      <c r="AC1859" s="96" t="n"/>
      <c r="AD1859" s="96" t="n"/>
      <c r="AE1859" s="96" t="n"/>
      <c r="AF1859" s="96" t="n"/>
    </row>
    <row r="1860">
      <c r="A1860" s="68" t="inlineStr">
        <is>
          <t>AER2813</t>
        </is>
      </c>
      <c r="B1860" s="246" t="inlineStr">
        <is>
          <t>REMERA AERO</t>
        </is>
      </c>
      <c r="C1860" s="88" t="n">
        <v>24900</v>
      </c>
      <c r="D1860" s="88">
        <f>ROUND((C1860*1.07)/100,0)*100</f>
        <v/>
      </c>
      <c r="E1860" s="88">
        <f>ROUND((C1860*1.15)/100,0)*100</f>
        <v/>
      </c>
      <c r="F1860" s="88">
        <f>ROUND((C1860*1.15)/100,0)*100</f>
        <v/>
      </c>
      <c r="G1860" s="88">
        <f>ROUND((C1860*1.2)/100,0)*100</f>
        <v/>
      </c>
      <c r="H1860" s="88">
        <f>ROUND((C1860*1.25)/100,0)*100</f>
        <v/>
      </c>
      <c r="I1860" s="88">
        <f>ROUND((C1860*1.3)/100,0)*100</f>
        <v/>
      </c>
      <c r="J1860" s="22">
        <f>ROUND((C1860*1.35)/100,0)*100</f>
        <v/>
      </c>
      <c r="K1860" s="88">
        <f>ROUND((C1860*1.45)/100,0)*100</f>
        <v/>
      </c>
      <c r="L1860" s="88">
        <f>ROUND((C1860*1.55)/100,0)*100</f>
        <v/>
      </c>
      <c r="M1860" s="219" t="n"/>
      <c r="O1860" s="117">
        <f>C1860*P1860</f>
        <v/>
      </c>
      <c r="P1860" s="150" t="n">
        <v>1.1</v>
      </c>
      <c r="R1860" s="117" t="n"/>
      <c r="T1860" s="117" t="n"/>
      <c r="W1860" s="96" t="n"/>
      <c r="X1860" s="96" t="n"/>
      <c r="Y1860" s="96" t="n"/>
      <c r="Z1860" s="96" t="n"/>
      <c r="AA1860" s="96" t="n"/>
      <c r="AB1860" s="96" t="n"/>
      <c r="AC1860" s="96" t="n"/>
      <c r="AD1860" s="96" t="n"/>
      <c r="AE1860" s="96" t="n"/>
      <c r="AF1860" s="96" t="n"/>
    </row>
    <row r="1861">
      <c r="A1861" s="68" t="inlineStr">
        <is>
          <t>AER2815</t>
        </is>
      </c>
      <c r="B1861" s="246" t="inlineStr">
        <is>
          <t>REMERA AERO</t>
        </is>
      </c>
      <c r="C1861" s="88" t="n">
        <v>24900</v>
      </c>
      <c r="D1861" s="88">
        <f>ROUND((C1861*1.07)/100,0)*100</f>
        <v/>
      </c>
      <c r="E1861" s="88">
        <f>ROUND((C1861*1.15)/100,0)*100</f>
        <v/>
      </c>
      <c r="F1861" s="88">
        <f>ROUND((C1861*1.15)/100,0)*100</f>
        <v/>
      </c>
      <c r="G1861" s="88">
        <f>ROUND((C1861*1.2)/100,0)*100</f>
        <v/>
      </c>
      <c r="H1861" s="88">
        <f>ROUND((C1861*1.25)/100,0)*100</f>
        <v/>
      </c>
      <c r="I1861" s="88">
        <f>ROUND((C1861*1.3)/100,0)*100</f>
        <v/>
      </c>
      <c r="J1861" s="22">
        <f>ROUND((C1861*1.35)/100,0)*100</f>
        <v/>
      </c>
      <c r="K1861" s="88">
        <f>ROUND((C1861*1.45)/100,0)*100</f>
        <v/>
      </c>
      <c r="L1861" s="88">
        <f>ROUND((C1861*1.55)/100,0)*100</f>
        <v/>
      </c>
      <c r="M1861" s="219" t="n"/>
      <c r="O1861" s="117">
        <f>C1861*P1861</f>
        <v/>
      </c>
      <c r="P1861" s="150" t="n">
        <v>1.1</v>
      </c>
      <c r="R1861" s="117" t="n"/>
      <c r="T1861" s="117" t="n"/>
      <c r="W1861" s="96" t="n"/>
      <c r="X1861" s="96" t="n"/>
      <c r="Y1861" s="96" t="n"/>
      <c r="Z1861" s="96" t="n"/>
      <c r="AA1861" s="96" t="n"/>
      <c r="AB1861" s="96" t="n"/>
      <c r="AC1861" s="96" t="n"/>
      <c r="AD1861" s="96" t="n"/>
      <c r="AE1861" s="96" t="n"/>
      <c r="AF1861" s="96" t="n"/>
    </row>
    <row r="1862">
      <c r="A1862" s="68" t="inlineStr">
        <is>
          <t>AER2816</t>
        </is>
      </c>
      <c r="B1862" s="246" t="inlineStr">
        <is>
          <t>REMERA AERO</t>
        </is>
      </c>
      <c r="C1862" s="88" t="n">
        <v>24900</v>
      </c>
      <c r="D1862" s="88">
        <f>ROUND((C1862*1.07)/100,0)*100</f>
        <v/>
      </c>
      <c r="E1862" s="88">
        <f>ROUND((C1862*1.15)/100,0)*100</f>
        <v/>
      </c>
      <c r="F1862" s="88">
        <f>ROUND((C1862*1.15)/100,0)*100</f>
        <v/>
      </c>
      <c r="G1862" s="88">
        <f>ROUND((C1862*1.2)/100,0)*100</f>
        <v/>
      </c>
      <c r="H1862" s="88">
        <f>ROUND((C1862*1.25)/100,0)*100</f>
        <v/>
      </c>
      <c r="I1862" s="88">
        <f>ROUND((C1862*1.3)/100,0)*100</f>
        <v/>
      </c>
      <c r="J1862" s="22">
        <f>ROUND((C1862*1.35)/100,0)*100</f>
        <v/>
      </c>
      <c r="K1862" s="88">
        <f>ROUND((C1862*1.45)/100,0)*100</f>
        <v/>
      </c>
      <c r="L1862" s="88">
        <f>ROUND((C1862*1.55)/100,0)*100</f>
        <v/>
      </c>
      <c r="M1862" s="219" t="n"/>
      <c r="O1862" s="117">
        <f>C1862*P1862</f>
        <v/>
      </c>
      <c r="P1862" s="150" t="n">
        <v>1.1</v>
      </c>
      <c r="R1862" s="117" t="n"/>
      <c r="T1862" s="117" t="n"/>
      <c r="W1862" s="96" t="n"/>
      <c r="X1862" s="96" t="n"/>
      <c r="Y1862" s="96" t="n"/>
      <c r="Z1862" s="96" t="n"/>
      <c r="AA1862" s="96" t="n"/>
      <c r="AB1862" s="96" t="n"/>
      <c r="AC1862" s="96" t="n"/>
      <c r="AD1862" s="96" t="n"/>
      <c r="AE1862" s="96" t="n"/>
      <c r="AF1862" s="96" t="n"/>
    </row>
    <row r="1863">
      <c r="A1863" s="68" t="inlineStr">
        <is>
          <t>AER2820</t>
        </is>
      </c>
      <c r="B1863" s="246" t="inlineStr">
        <is>
          <t>REMERA AERO</t>
        </is>
      </c>
      <c r="C1863" s="88" t="n">
        <v>24900</v>
      </c>
      <c r="D1863" s="88">
        <f>ROUND((C1863*1.07)/100,0)*100</f>
        <v/>
      </c>
      <c r="E1863" s="88">
        <f>ROUND((C1863*1.15)/100,0)*100</f>
        <v/>
      </c>
      <c r="F1863" s="88">
        <f>ROUND((C1863*1.15)/100,0)*100</f>
        <v/>
      </c>
      <c r="G1863" s="88">
        <f>ROUND((C1863*1.2)/100,0)*100</f>
        <v/>
      </c>
      <c r="H1863" s="88">
        <f>ROUND((C1863*1.25)/100,0)*100</f>
        <v/>
      </c>
      <c r="I1863" s="88">
        <f>ROUND((C1863*1.3)/100,0)*100</f>
        <v/>
      </c>
      <c r="J1863" s="22">
        <f>ROUND((C1863*1.35)/100,0)*100</f>
        <v/>
      </c>
      <c r="K1863" s="88">
        <f>ROUND((C1863*1.45)/100,0)*100</f>
        <v/>
      </c>
      <c r="L1863" s="88">
        <f>ROUND((C1863*1.55)/100,0)*100</f>
        <v/>
      </c>
      <c r="M1863" s="219" t="n"/>
      <c r="O1863" s="117">
        <f>C1863*P1863</f>
        <v/>
      </c>
      <c r="P1863" s="150" t="n">
        <v>1.1</v>
      </c>
      <c r="R1863" s="117" t="n"/>
      <c r="T1863" s="117" t="n"/>
      <c r="W1863" s="96" t="n"/>
      <c r="X1863" s="96" t="n"/>
      <c r="Y1863" s="96" t="n"/>
      <c r="Z1863" s="96" t="n"/>
      <c r="AA1863" s="96" t="n"/>
      <c r="AB1863" s="96" t="n"/>
      <c r="AC1863" s="96" t="n"/>
      <c r="AD1863" s="96" t="n"/>
      <c r="AE1863" s="96" t="n"/>
      <c r="AF1863" s="96" t="n"/>
    </row>
    <row r="1864">
      <c r="A1864" s="68" t="inlineStr">
        <is>
          <t>AER2821</t>
        </is>
      </c>
      <c r="B1864" s="246" t="inlineStr">
        <is>
          <t>REMERA AERO</t>
        </is>
      </c>
      <c r="C1864" s="88" t="n">
        <v>24900</v>
      </c>
      <c r="D1864" s="88">
        <f>ROUND((C1864*1.07)/100,0)*100</f>
        <v/>
      </c>
      <c r="E1864" s="88">
        <f>ROUND((C1864*1.15)/100,0)*100</f>
        <v/>
      </c>
      <c r="F1864" s="88">
        <f>ROUND((C1864*1.15)/100,0)*100</f>
        <v/>
      </c>
      <c r="G1864" s="88">
        <f>ROUND((C1864*1.2)/100,0)*100</f>
        <v/>
      </c>
      <c r="H1864" s="88">
        <f>ROUND((C1864*1.25)/100,0)*100</f>
        <v/>
      </c>
      <c r="I1864" s="88">
        <f>ROUND((C1864*1.3)/100,0)*100</f>
        <v/>
      </c>
      <c r="J1864" s="22">
        <f>ROUND((C1864*1.35)/100,0)*100</f>
        <v/>
      </c>
      <c r="K1864" s="88">
        <f>ROUND((C1864*1.45)/100,0)*100</f>
        <v/>
      </c>
      <c r="L1864" s="88">
        <f>ROUND((C1864*1.55)/100,0)*100</f>
        <v/>
      </c>
      <c r="M1864" s="219" t="n"/>
      <c r="O1864" s="117">
        <f>C1864*P1864</f>
        <v/>
      </c>
      <c r="P1864" s="150" t="n">
        <v>1.1</v>
      </c>
      <c r="R1864" s="117" t="n"/>
      <c r="T1864" s="117" t="n"/>
      <c r="W1864" s="96" t="n"/>
      <c r="X1864" s="96" t="n"/>
      <c r="Y1864" s="96" t="n"/>
      <c r="Z1864" s="96" t="n"/>
      <c r="AA1864" s="96" t="n"/>
      <c r="AB1864" s="96" t="n"/>
      <c r="AC1864" s="96" t="n"/>
      <c r="AD1864" s="96" t="n"/>
      <c r="AE1864" s="96" t="n"/>
      <c r="AF1864" s="96" t="n"/>
    </row>
    <row r="1865">
      <c r="A1865" s="68" t="inlineStr">
        <is>
          <t>AER2823</t>
        </is>
      </c>
      <c r="B1865" s="246" t="inlineStr">
        <is>
          <t>REMERA AERO</t>
        </is>
      </c>
      <c r="C1865" s="88" t="n">
        <v>24900</v>
      </c>
      <c r="D1865" s="88">
        <f>ROUND((C1865*1.07)/100,0)*100</f>
        <v/>
      </c>
      <c r="E1865" s="88">
        <f>ROUND((C1865*1.15)/100,0)*100</f>
        <v/>
      </c>
      <c r="F1865" s="88">
        <f>ROUND((C1865*1.15)/100,0)*100</f>
        <v/>
      </c>
      <c r="G1865" s="88">
        <f>ROUND((C1865*1.2)/100,0)*100</f>
        <v/>
      </c>
      <c r="H1865" s="88">
        <f>ROUND((C1865*1.25)/100,0)*100</f>
        <v/>
      </c>
      <c r="I1865" s="88">
        <f>ROUND((C1865*1.3)/100,0)*100</f>
        <v/>
      </c>
      <c r="J1865" s="22">
        <f>ROUND((C1865*1.35)/100,0)*100</f>
        <v/>
      </c>
      <c r="K1865" s="88">
        <f>ROUND((C1865*1.45)/100,0)*100</f>
        <v/>
      </c>
      <c r="L1865" s="88">
        <f>ROUND((C1865*1.55)/100,0)*100</f>
        <v/>
      </c>
      <c r="M1865" s="219" t="n"/>
      <c r="O1865" s="117">
        <f>C1865*P1865</f>
        <v/>
      </c>
      <c r="P1865" s="150" t="n">
        <v>1.1</v>
      </c>
      <c r="R1865" s="117" t="n"/>
      <c r="T1865" s="117" t="n"/>
      <c r="W1865" s="96" t="n"/>
      <c r="X1865" s="96" t="n"/>
      <c r="Y1865" s="96" t="n"/>
      <c r="Z1865" s="96" t="n"/>
      <c r="AA1865" s="96" t="n"/>
      <c r="AB1865" s="96" t="n"/>
      <c r="AC1865" s="96" t="n"/>
      <c r="AD1865" s="96" t="n"/>
      <c r="AE1865" s="96" t="n"/>
      <c r="AF1865" s="96" t="n"/>
    </row>
    <row r="1866">
      <c r="A1866" s="68" t="inlineStr">
        <is>
          <t>AER2828</t>
        </is>
      </c>
      <c r="B1866" s="246" t="inlineStr">
        <is>
          <t>REMERA AERO</t>
        </is>
      </c>
      <c r="C1866" s="88" t="n">
        <v>24900</v>
      </c>
      <c r="D1866" s="88">
        <f>ROUND((C1866*1.07)/100,0)*100</f>
        <v/>
      </c>
      <c r="E1866" s="88">
        <f>ROUND((C1866*1.15)/100,0)*100</f>
        <v/>
      </c>
      <c r="F1866" s="88">
        <f>ROUND((C1866*1.15)/100,0)*100</f>
        <v/>
      </c>
      <c r="G1866" s="88">
        <f>ROUND((C1866*1.2)/100,0)*100</f>
        <v/>
      </c>
      <c r="H1866" s="88">
        <f>ROUND((C1866*1.25)/100,0)*100</f>
        <v/>
      </c>
      <c r="I1866" s="88">
        <f>ROUND((C1866*1.3)/100,0)*100</f>
        <v/>
      </c>
      <c r="J1866" s="22">
        <f>ROUND((C1866*1.35)/100,0)*100</f>
        <v/>
      </c>
      <c r="K1866" s="88">
        <f>ROUND((C1866*1.45)/100,0)*100</f>
        <v/>
      </c>
      <c r="L1866" s="88">
        <f>ROUND((C1866*1.55)/100,0)*100</f>
        <v/>
      </c>
      <c r="M1866" s="219" t="n"/>
      <c r="O1866" s="117">
        <f>C1866*P1866</f>
        <v/>
      </c>
      <c r="P1866" s="150" t="n">
        <v>1.1</v>
      </c>
      <c r="R1866" s="117" t="n"/>
      <c r="T1866" s="117" t="n"/>
      <c r="W1866" s="96" t="n"/>
      <c r="X1866" s="96" t="n"/>
      <c r="Y1866" s="96" t="n"/>
      <c r="Z1866" s="96" t="n"/>
      <c r="AA1866" s="96" t="n"/>
      <c r="AB1866" s="96" t="n"/>
      <c r="AC1866" s="96" t="n"/>
      <c r="AD1866" s="96" t="n"/>
      <c r="AE1866" s="96" t="n"/>
      <c r="AF1866" s="96" t="n"/>
    </row>
    <row r="1867">
      <c r="A1867" s="68" t="inlineStr">
        <is>
          <t>AER2829</t>
        </is>
      </c>
      <c r="B1867" s="246" t="inlineStr">
        <is>
          <t>REMERA AERO</t>
        </is>
      </c>
      <c r="C1867" s="88" t="n">
        <v>24900</v>
      </c>
      <c r="D1867" s="88">
        <f>ROUND((C1867*1.07)/100,0)*100</f>
        <v/>
      </c>
      <c r="E1867" s="88">
        <f>ROUND((C1867*1.15)/100,0)*100</f>
        <v/>
      </c>
      <c r="F1867" s="88">
        <f>ROUND((C1867*1.15)/100,0)*100</f>
        <v/>
      </c>
      <c r="G1867" s="88">
        <f>ROUND((C1867*1.2)/100,0)*100</f>
        <v/>
      </c>
      <c r="H1867" s="88">
        <f>ROUND((C1867*1.25)/100,0)*100</f>
        <v/>
      </c>
      <c r="I1867" s="88">
        <f>ROUND((C1867*1.3)/100,0)*100</f>
        <v/>
      </c>
      <c r="J1867" s="22">
        <f>ROUND((C1867*1.35)/100,0)*100</f>
        <v/>
      </c>
      <c r="K1867" s="88">
        <f>ROUND((C1867*1.45)/100,0)*100</f>
        <v/>
      </c>
      <c r="L1867" s="88">
        <f>ROUND((C1867*1.55)/100,0)*100</f>
        <v/>
      </c>
      <c r="M1867" s="219" t="n"/>
      <c r="O1867" s="117">
        <f>C1867*P1867</f>
        <v/>
      </c>
      <c r="P1867" s="150" t="n">
        <v>1.1</v>
      </c>
      <c r="R1867" s="117" t="n"/>
      <c r="T1867" s="117" t="n"/>
      <c r="W1867" s="96" t="n"/>
      <c r="X1867" s="96" t="n"/>
      <c r="Y1867" s="96" t="n"/>
      <c r="Z1867" s="96" t="n"/>
      <c r="AA1867" s="96" t="n"/>
      <c r="AB1867" s="96" t="n"/>
      <c r="AC1867" s="96" t="n"/>
      <c r="AD1867" s="96" t="n"/>
      <c r="AE1867" s="96" t="n"/>
      <c r="AF1867" s="96" t="n"/>
    </row>
    <row r="1868">
      <c r="A1868" s="68" t="inlineStr">
        <is>
          <t>AER3190</t>
        </is>
      </c>
      <c r="B1868" s="109" t="inlineStr">
        <is>
          <t xml:space="preserve">REMERA LISA M/C C.RED/a la </t>
        </is>
      </c>
      <c r="C1868" s="88" t="n">
        <v>14800</v>
      </c>
      <c r="D1868" s="88">
        <f>ROUND((C1868*1.07)/100,0)*100</f>
        <v/>
      </c>
      <c r="E1868" s="88">
        <f>ROUND((C1868*1.15)/100,0)*100</f>
        <v/>
      </c>
      <c r="F1868" s="88">
        <f>ROUND((C1868*1.15)/100,0)*100</f>
        <v/>
      </c>
      <c r="G1868" s="88">
        <f>ROUND((C1868*1.2)/100,0)*100</f>
        <v/>
      </c>
      <c r="H1868" s="88">
        <f>ROUND((C1868*1.25)/100,0)*100</f>
        <v/>
      </c>
      <c r="I1868" s="88">
        <f>ROUND((C1868*1.3)/100,0)*100</f>
        <v/>
      </c>
      <c r="J1868" s="22">
        <f>ROUND((C1868*1.35)/100,0)*100</f>
        <v/>
      </c>
      <c r="K1868" s="88">
        <f>ROUND((C1868*1.45)/100,0)*100</f>
        <v/>
      </c>
      <c r="L1868" s="88">
        <f>ROUND((C1868*1.55)/100,0)*100</f>
        <v/>
      </c>
      <c r="M1868" s="219" t="n"/>
      <c r="O1868" s="117">
        <f>C1868*P1868</f>
        <v/>
      </c>
      <c r="P1868" s="150" t="n">
        <v>1.1</v>
      </c>
      <c r="R1868" s="117" t="n"/>
      <c r="T1868" s="117" t="n"/>
      <c r="W1868" s="96" t="n"/>
      <c r="X1868" s="96" t="n"/>
      <c r="Y1868" s="96" t="n"/>
      <c r="Z1868" s="96" t="n"/>
      <c r="AA1868" s="96" t="n"/>
      <c r="AB1868" s="96" t="n"/>
      <c r="AC1868" s="96" t="n"/>
      <c r="AD1868" s="96" t="n"/>
      <c r="AE1868" s="96" t="n"/>
      <c r="AF1868" s="96" t="n"/>
    </row>
    <row r="1869">
      <c r="A1869" s="68" t="inlineStr">
        <is>
          <t>AER3192</t>
        </is>
      </c>
      <c r="B1869" s="109" t="inlineStr">
        <is>
          <t>REMERA AERO ESC.V JERSEY PEINADO</t>
        </is>
      </c>
      <c r="C1869" s="88" t="n">
        <v>16800</v>
      </c>
      <c r="D1869" s="88">
        <f>ROUND((C1869*1.07)/100,0)*100</f>
        <v/>
      </c>
      <c r="E1869" s="88">
        <f>ROUND((C1869*1.15)/100,0)*100</f>
        <v/>
      </c>
      <c r="F1869" s="88">
        <f>ROUND((C1869*1.15)/100,0)*100</f>
        <v/>
      </c>
      <c r="G1869" s="88">
        <f>ROUND((C1869*1.2)/100,0)*100</f>
        <v/>
      </c>
      <c r="H1869" s="88">
        <f>ROUND((C1869*1.25)/100,0)*100</f>
        <v/>
      </c>
      <c r="I1869" s="88">
        <f>ROUND((C1869*1.3)/100,0)*100</f>
        <v/>
      </c>
      <c r="J1869" s="22">
        <f>ROUND((C1869*1.35)/100,0)*100</f>
        <v/>
      </c>
      <c r="K1869" s="88">
        <f>ROUND((C1869*1.45)/100,0)*100</f>
        <v/>
      </c>
      <c r="L1869" s="88">
        <f>ROUND((C1869*1.55)/100,0)*100</f>
        <v/>
      </c>
      <c r="M1869" s="219" t="n"/>
      <c r="O1869" s="117">
        <f>C1869*P1869</f>
        <v/>
      </c>
      <c r="P1869" s="150" t="n">
        <v>1.1</v>
      </c>
      <c r="R1869" s="117" t="n"/>
      <c r="T1869" s="117" t="n"/>
      <c r="W1869" s="96" t="n"/>
      <c r="X1869" s="96" t="n"/>
      <c r="Y1869" s="96" t="n"/>
      <c r="Z1869" s="96" t="n"/>
      <c r="AA1869" s="96" t="n"/>
      <c r="AB1869" s="96" t="n"/>
      <c r="AC1869" s="96" t="n"/>
      <c r="AD1869" s="96" t="n"/>
      <c r="AE1869" s="96" t="n"/>
      <c r="AF1869" s="96" t="n"/>
    </row>
    <row r="1870">
      <c r="A1870" s="68" t="inlineStr">
        <is>
          <t>AER3462</t>
        </is>
      </c>
      <c r="B1870" s="109" t="inlineStr">
        <is>
          <t>REMERA M/C COLECCIÓN 2014</t>
        </is>
      </c>
      <c r="C1870" s="88" t="n">
        <v>14800</v>
      </c>
      <c r="D1870" s="88">
        <f>ROUND((C1870*1.07)/100,0)*100</f>
        <v/>
      </c>
      <c r="E1870" s="88">
        <f>ROUND((C1870*1.15)/100,0)*100</f>
        <v/>
      </c>
      <c r="F1870" s="88">
        <f>ROUND((C1870*1.15)/100,0)*100</f>
        <v/>
      </c>
      <c r="G1870" s="88">
        <f>ROUND((C1870*1.2)/100,0)*100</f>
        <v/>
      </c>
      <c r="H1870" s="88">
        <f>ROUND((C1870*1.25)/100,0)*100</f>
        <v/>
      </c>
      <c r="I1870" s="88">
        <f>ROUND((C1870*1.3)/100,0)*100</f>
        <v/>
      </c>
      <c r="J1870" s="22">
        <f>ROUND((C1870*1.35)/100,0)*100</f>
        <v/>
      </c>
      <c r="K1870" s="88">
        <f>ROUND((C1870*1.45)/100,0)*100</f>
        <v/>
      </c>
      <c r="L1870" s="88">
        <f>ROUND((C1870*1.55)/100,0)*100</f>
        <v/>
      </c>
      <c r="M1870" s="219" t="n"/>
      <c r="O1870" s="117">
        <f>C1870*P1870</f>
        <v/>
      </c>
      <c r="P1870" s="150" t="n">
        <v>1.1</v>
      </c>
      <c r="R1870" s="117" t="n"/>
      <c r="T1870" s="117" t="n"/>
      <c r="W1870" s="96" t="n"/>
      <c r="X1870" s="96" t="n"/>
      <c r="Y1870" s="96" t="n"/>
      <c r="Z1870" s="96" t="n"/>
      <c r="AA1870" s="96" t="n"/>
      <c r="AB1870" s="96" t="n"/>
      <c r="AC1870" s="96" t="n"/>
      <c r="AD1870" s="96" t="n"/>
      <c r="AE1870" s="96" t="n"/>
      <c r="AF1870" s="96" t="n"/>
    </row>
    <row r="1871">
      <c r="A1871" s="68" t="inlineStr">
        <is>
          <t>AER3474</t>
        </is>
      </c>
      <c r="B1871" s="109" t="inlineStr">
        <is>
          <t>REMERA AERO ORIGINAL 75</t>
        </is>
      </c>
      <c r="C1871" s="88" t="n">
        <v>16800</v>
      </c>
      <c r="D1871" s="88">
        <f>ROUND((C1871*1.07)/100,0)*100</f>
        <v/>
      </c>
      <c r="E1871" s="88">
        <f>ROUND((C1871*1.15)/100,0)*100</f>
        <v/>
      </c>
      <c r="F1871" s="88">
        <f>ROUND((C1871*1.15)/100,0)*100</f>
        <v/>
      </c>
      <c r="G1871" s="88">
        <f>ROUND((C1871*1.2)/100,0)*100</f>
        <v/>
      </c>
      <c r="H1871" s="88">
        <f>ROUND((C1871*1.25)/100,0)*100</f>
        <v/>
      </c>
      <c r="I1871" s="88">
        <f>ROUND((C1871*1.3)/100,0)*100</f>
        <v/>
      </c>
      <c r="J1871" s="22">
        <f>ROUND((C1871*1.35)/100,0)*100</f>
        <v/>
      </c>
      <c r="K1871" s="88">
        <f>ROUND((C1871*1.45)/100,0)*100</f>
        <v/>
      </c>
      <c r="L1871" s="88">
        <f>ROUND((C1871*1.55)/100,0)*100</f>
        <v/>
      </c>
      <c r="M1871" s="219" t="n"/>
      <c r="O1871" s="117">
        <f>C1871*P1871</f>
        <v/>
      </c>
      <c r="P1871" s="150" t="n">
        <v>1.1</v>
      </c>
      <c r="R1871" s="117" t="n"/>
      <c r="T1871" s="117" t="n"/>
      <c r="W1871" s="96" t="n"/>
      <c r="X1871" s="96" t="n"/>
      <c r="Y1871" s="96" t="n"/>
      <c r="Z1871" s="96" t="n"/>
      <c r="AA1871" s="96" t="n"/>
      <c r="AB1871" s="96" t="n"/>
      <c r="AC1871" s="96" t="n"/>
      <c r="AD1871" s="96" t="n"/>
      <c r="AE1871" s="96" t="n"/>
      <c r="AF1871" s="96" t="n"/>
    </row>
    <row r="1872">
      <c r="A1872" s="68" t="inlineStr">
        <is>
          <t>AER3475</t>
        </is>
      </c>
      <c r="B1872" s="109" t="inlineStr">
        <is>
          <t>REMERA AERO ESTAMPA CALIFORNIA</t>
        </is>
      </c>
      <c r="C1872" s="88" t="n">
        <v>16800</v>
      </c>
      <c r="D1872" s="88">
        <f>ROUND((C1872*1.07)/100,0)*100</f>
        <v/>
      </c>
      <c r="E1872" s="88">
        <f>ROUND((C1872*1.15)/100,0)*100</f>
        <v/>
      </c>
      <c r="F1872" s="88">
        <f>ROUND((C1872*1.15)/100,0)*100</f>
        <v/>
      </c>
      <c r="G1872" s="88">
        <f>ROUND((C1872*1.2)/100,0)*100</f>
        <v/>
      </c>
      <c r="H1872" s="88">
        <f>ROUND((C1872*1.25)/100,0)*100</f>
        <v/>
      </c>
      <c r="I1872" s="88">
        <f>ROUND((C1872*1.3)/100,0)*100</f>
        <v/>
      </c>
      <c r="J1872" s="22">
        <f>ROUND((C1872*1.35)/100,0)*100</f>
        <v/>
      </c>
      <c r="K1872" s="88">
        <f>ROUND((C1872*1.45)/100,0)*100</f>
        <v/>
      </c>
      <c r="L1872" s="88">
        <f>ROUND((C1872*1.55)/100,0)*100</f>
        <v/>
      </c>
      <c r="M1872" s="219" t="n"/>
      <c r="O1872" s="117">
        <f>C1872*P1872</f>
        <v/>
      </c>
      <c r="P1872" s="150" t="n">
        <v>1.1</v>
      </c>
      <c r="R1872" s="117" t="n"/>
      <c r="T1872" s="117" t="n"/>
      <c r="W1872" s="96" t="n"/>
      <c r="X1872" s="96" t="n"/>
      <c r="Y1872" s="96" t="n"/>
      <c r="Z1872" s="96" t="n"/>
      <c r="AA1872" s="96" t="n"/>
      <c r="AB1872" s="96" t="n"/>
      <c r="AC1872" s="96" t="n"/>
      <c r="AD1872" s="96" t="n"/>
      <c r="AE1872" s="96" t="n"/>
      <c r="AF1872" s="96" t="n"/>
    </row>
    <row r="1873">
      <c r="A1873" s="68" t="inlineStr">
        <is>
          <t>AER3469</t>
        </is>
      </c>
      <c r="B1873" s="109" t="inlineStr">
        <is>
          <t>REMERA AERO RAYADA ESTAMPADA</t>
        </is>
      </c>
      <c r="C1873" s="88" t="n">
        <v>16800</v>
      </c>
      <c r="D1873" s="88">
        <f>ROUND((C1873*1.07)/100,0)*100</f>
        <v/>
      </c>
      <c r="E1873" s="88">
        <f>ROUND((C1873*1.15)/100,0)*100</f>
        <v/>
      </c>
      <c r="F1873" s="88">
        <f>ROUND((C1873*1.15)/100,0)*100</f>
        <v/>
      </c>
      <c r="G1873" s="88">
        <f>ROUND((C1873*1.2)/100,0)*100</f>
        <v/>
      </c>
      <c r="H1873" s="88">
        <f>ROUND((C1873*1.25)/100,0)*100</f>
        <v/>
      </c>
      <c r="I1873" s="88">
        <f>ROUND((C1873*1.3)/100,0)*100</f>
        <v/>
      </c>
      <c r="J1873" s="22">
        <f>ROUND((C1873*1.35)/100,0)*100</f>
        <v/>
      </c>
      <c r="K1873" s="88">
        <f>ROUND((C1873*1.45)/100,0)*100</f>
        <v/>
      </c>
      <c r="L1873" s="88">
        <f>ROUND((C1873*1.55)/100,0)*100</f>
        <v/>
      </c>
      <c r="M1873" s="219" t="n"/>
      <c r="O1873" s="117">
        <f>C1873*P1873</f>
        <v/>
      </c>
      <c r="P1873" s="150" t="n">
        <v>1.1</v>
      </c>
      <c r="R1873" s="117" t="n"/>
      <c r="T1873" s="117" t="n"/>
      <c r="W1873" s="96" t="n"/>
      <c r="X1873" s="96" t="n"/>
      <c r="Y1873" s="96" t="n"/>
      <c r="Z1873" s="96" t="n"/>
      <c r="AA1873" s="96" t="n"/>
      <c r="AB1873" s="96" t="n"/>
      <c r="AC1873" s="96" t="n"/>
      <c r="AD1873" s="96" t="n"/>
      <c r="AE1873" s="96" t="n"/>
      <c r="AF1873" s="96" t="n"/>
    </row>
    <row r="1874">
      <c r="A1874" s="68" t="inlineStr">
        <is>
          <t>AER3492</t>
        </is>
      </c>
      <c r="B1874" s="109" t="inlineStr">
        <is>
          <t>REMERA AERO ESTAMPA PREMIUM</t>
        </is>
      </c>
      <c r="C1874" s="88" t="n">
        <v>19000</v>
      </c>
      <c r="D1874" s="88">
        <f>ROUND((C1874*1.07)/100,0)*100</f>
        <v/>
      </c>
      <c r="E1874" s="88">
        <f>ROUND((C1874*1.15)/100,0)*100</f>
        <v/>
      </c>
      <c r="F1874" s="88">
        <f>ROUND((C1874*1.15)/100,0)*100</f>
        <v/>
      </c>
      <c r="G1874" s="88">
        <f>ROUND((C1874*1.2)/100,0)*100</f>
        <v/>
      </c>
      <c r="H1874" s="88">
        <f>ROUND((C1874*1.25)/100,0)*100</f>
        <v/>
      </c>
      <c r="I1874" s="88">
        <f>ROUND((C1874*1.3)/100,0)*100</f>
        <v/>
      </c>
      <c r="J1874" s="22">
        <f>ROUND((C1874*1.35)/100,0)*100</f>
        <v/>
      </c>
      <c r="K1874" s="88">
        <f>ROUND((C1874*1.45)/100,0)*100</f>
        <v/>
      </c>
      <c r="L1874" s="88">
        <f>ROUND((C1874*1.55)/100,0)*100</f>
        <v/>
      </c>
      <c r="M1874" s="219" t="n"/>
      <c r="O1874" s="117">
        <f>C1874*P1874</f>
        <v/>
      </c>
      <c r="P1874" s="150" t="n">
        <v>1.1</v>
      </c>
      <c r="R1874" s="117" t="n"/>
      <c r="T1874" s="117" t="n"/>
      <c r="W1874" s="96" t="n"/>
      <c r="X1874" s="96" t="n"/>
      <c r="Y1874" s="96" t="n"/>
      <c r="Z1874" s="96" t="n"/>
      <c r="AA1874" s="96" t="n"/>
      <c r="AB1874" s="96" t="n"/>
      <c r="AC1874" s="96" t="n"/>
      <c r="AD1874" s="96" t="n"/>
      <c r="AE1874" s="96" t="n"/>
      <c r="AF1874" s="96" t="n"/>
    </row>
    <row r="1875">
      <c r="A1875" s="68" t="inlineStr">
        <is>
          <t>AER3501</t>
        </is>
      </c>
      <c r="B1875" s="109" t="inlineStr">
        <is>
          <t>REMERA ESC.V RAYADA</t>
        </is>
      </c>
      <c r="C1875" s="88" t="n">
        <v>16800</v>
      </c>
      <c r="D1875" s="88">
        <f>ROUND((C1875*1.07)/100,0)*100</f>
        <v/>
      </c>
      <c r="E1875" s="88">
        <f>ROUND((C1875*1.15)/100,0)*100</f>
        <v/>
      </c>
      <c r="F1875" s="88">
        <f>ROUND((C1875*1.15)/100,0)*100</f>
        <v/>
      </c>
      <c r="G1875" s="88">
        <f>ROUND((C1875*1.2)/100,0)*100</f>
        <v/>
      </c>
      <c r="H1875" s="88">
        <f>ROUND((C1875*1.25)/100,0)*100</f>
        <v/>
      </c>
      <c r="I1875" s="88">
        <f>ROUND((C1875*1.3)/100,0)*100</f>
        <v/>
      </c>
      <c r="J1875" s="22">
        <f>ROUND((C1875*1.35)/100,0)*100</f>
        <v/>
      </c>
      <c r="K1875" s="88">
        <f>ROUND((C1875*1.45)/100,0)*100</f>
        <v/>
      </c>
      <c r="L1875" s="88">
        <f>ROUND((C1875*1.55)/100,0)*100</f>
        <v/>
      </c>
      <c r="M1875" s="219" t="n"/>
      <c r="O1875" s="117">
        <f>C1875*P1875</f>
        <v/>
      </c>
      <c r="P1875" s="150" t="n">
        <v>1.1</v>
      </c>
      <c r="R1875" s="117" t="n"/>
      <c r="T1875" s="117" t="n"/>
      <c r="W1875" s="96" t="n"/>
      <c r="X1875" s="96" t="n"/>
      <c r="Y1875" s="96" t="n"/>
      <c r="Z1875" s="96" t="n"/>
      <c r="AA1875" s="96" t="n"/>
      <c r="AB1875" s="96" t="n"/>
      <c r="AC1875" s="96" t="n"/>
      <c r="AD1875" s="96" t="n"/>
      <c r="AE1875" s="96" t="n"/>
      <c r="AF1875" s="96" t="n"/>
    </row>
    <row r="1876">
      <c r="A1876" s="68" t="inlineStr">
        <is>
          <t>AER3511</t>
        </is>
      </c>
      <c r="B1876" s="109" t="inlineStr">
        <is>
          <t>REMERA ESC.V C/LOGO Y RAYAS</t>
        </is>
      </c>
      <c r="C1876" s="88" t="n">
        <v>16800</v>
      </c>
      <c r="D1876" s="88">
        <f>ROUND((C1876*1.07)/100,0)*100</f>
        <v/>
      </c>
      <c r="E1876" s="88">
        <f>ROUND((C1876*1.15)/100,0)*100</f>
        <v/>
      </c>
      <c r="F1876" s="88">
        <f>ROUND((C1876*1.15)/100,0)*100</f>
        <v/>
      </c>
      <c r="G1876" s="88">
        <f>ROUND((C1876*1.2)/100,0)*100</f>
        <v/>
      </c>
      <c r="H1876" s="88">
        <f>ROUND((C1876*1.25)/100,0)*100</f>
        <v/>
      </c>
      <c r="I1876" s="88">
        <f>ROUND((C1876*1.3)/100,0)*100</f>
        <v/>
      </c>
      <c r="J1876" s="22">
        <f>ROUND((C1876*1.35)/100,0)*100</f>
        <v/>
      </c>
      <c r="K1876" s="88">
        <f>ROUND((C1876*1.45)/100,0)*100</f>
        <v/>
      </c>
      <c r="L1876" s="88">
        <f>ROUND((C1876*1.55)/100,0)*100</f>
        <v/>
      </c>
      <c r="M1876" s="219" t="n"/>
      <c r="O1876" s="117">
        <f>C1876*P1876</f>
        <v/>
      </c>
      <c r="P1876" s="150" t="n">
        <v>1.1</v>
      </c>
      <c r="R1876" s="117" t="n"/>
      <c r="T1876" s="117" t="n"/>
      <c r="W1876" s="96" t="n"/>
      <c r="X1876" s="96" t="n"/>
      <c r="Y1876" s="96" t="n"/>
      <c r="Z1876" s="96" t="n"/>
      <c r="AA1876" s="96" t="n"/>
      <c r="AB1876" s="96" t="n"/>
      <c r="AC1876" s="96" t="n"/>
      <c r="AD1876" s="96" t="n"/>
      <c r="AE1876" s="96" t="n"/>
      <c r="AF1876" s="96" t="n"/>
    </row>
    <row r="1877">
      <c r="A1877" s="68" t="inlineStr">
        <is>
          <t>AER3577</t>
        </is>
      </c>
      <c r="B1877" s="110" t="inlineStr">
        <is>
          <t>AERO</t>
        </is>
      </c>
      <c r="C1877" s="88" t="n">
        <v>19000</v>
      </c>
      <c r="D1877" s="88">
        <f>ROUND((C1877*1.07)/100,0)*100</f>
        <v/>
      </c>
      <c r="E1877" s="88">
        <f>ROUND((C1877*1.15)/100,0)*100</f>
        <v/>
      </c>
      <c r="F1877" s="88">
        <f>ROUND((C1877*1.15)/100,0)*100</f>
        <v/>
      </c>
      <c r="G1877" s="88">
        <f>ROUND((C1877*1.2)/100,0)*100</f>
        <v/>
      </c>
      <c r="H1877" s="88">
        <f>ROUND((C1877*1.25)/100,0)*100</f>
        <v/>
      </c>
      <c r="I1877" s="88">
        <f>ROUND((C1877*1.3)/100,0)*100</f>
        <v/>
      </c>
      <c r="J1877" s="22">
        <f>ROUND((C1877*1.35)/100,0)*100</f>
        <v/>
      </c>
      <c r="K1877" s="88">
        <f>ROUND((C1877*1.45)/100,0)*100</f>
        <v/>
      </c>
      <c r="L1877" s="88">
        <f>ROUND((C1877*1.55)/100,0)*100</f>
        <v/>
      </c>
      <c r="M1877" s="219" t="n"/>
      <c r="O1877" s="117">
        <f>C1877*P1877</f>
        <v/>
      </c>
      <c r="P1877" s="150" t="n">
        <v>1.1</v>
      </c>
      <c r="R1877" s="117" t="n"/>
      <c r="T1877" s="117" t="n"/>
      <c r="W1877" s="96" t="n"/>
      <c r="X1877" s="96" t="n"/>
      <c r="Y1877" s="96" t="n"/>
      <c r="Z1877" s="96" t="n"/>
      <c r="AA1877" s="96" t="n"/>
      <c r="AB1877" s="96" t="n"/>
      <c r="AC1877" s="96" t="n"/>
      <c r="AD1877" s="96" t="n"/>
      <c r="AE1877" s="96" t="n"/>
      <c r="AF1877" s="96" t="n"/>
    </row>
    <row r="1878">
      <c r="A1878" s="68" t="inlineStr">
        <is>
          <t>AER3578</t>
        </is>
      </c>
      <c r="B1878" s="110" t="inlineStr">
        <is>
          <t>AERO</t>
        </is>
      </c>
      <c r="C1878" s="88" t="n">
        <v>16800</v>
      </c>
      <c r="D1878" s="88">
        <f>ROUND((C1878*1.07)/100,0)*100</f>
        <v/>
      </c>
      <c r="E1878" s="88">
        <f>ROUND((C1878*1.15)/100,0)*100</f>
        <v/>
      </c>
      <c r="F1878" s="88">
        <f>ROUND((C1878*1.15)/100,0)*100</f>
        <v/>
      </c>
      <c r="G1878" s="88">
        <f>ROUND((C1878*1.2)/100,0)*100</f>
        <v/>
      </c>
      <c r="H1878" s="88">
        <f>ROUND((C1878*1.25)/100,0)*100</f>
        <v/>
      </c>
      <c r="I1878" s="88">
        <f>ROUND((C1878*1.3)/100,0)*100</f>
        <v/>
      </c>
      <c r="J1878" s="22">
        <f>ROUND((C1878*1.35)/100,0)*100</f>
        <v/>
      </c>
      <c r="K1878" s="88">
        <f>ROUND((C1878*1.45)/100,0)*100</f>
        <v/>
      </c>
      <c r="L1878" s="88">
        <f>ROUND((C1878*1.55)/100,0)*100</f>
        <v/>
      </c>
      <c r="M1878" s="219" t="n"/>
      <c r="O1878" s="117">
        <f>C1878*P1878</f>
        <v/>
      </c>
      <c r="P1878" s="150" t="n">
        <v>1.1</v>
      </c>
      <c r="R1878" s="117" t="n"/>
      <c r="T1878" s="117" t="n"/>
      <c r="W1878" s="96" t="n"/>
      <c r="X1878" s="96" t="n"/>
      <c r="Y1878" s="96" t="n"/>
      <c r="Z1878" s="96" t="n"/>
      <c r="AA1878" s="96" t="n"/>
      <c r="AB1878" s="96" t="n"/>
      <c r="AC1878" s="96" t="n"/>
      <c r="AD1878" s="96" t="n"/>
      <c r="AE1878" s="96" t="n"/>
      <c r="AF1878" s="96" t="n"/>
    </row>
    <row r="1879">
      <c r="A1879" s="68" t="inlineStr">
        <is>
          <t>AER3587</t>
        </is>
      </c>
      <c r="B1879" s="110" t="inlineStr">
        <is>
          <t>AERO</t>
        </is>
      </c>
      <c r="C1879" s="88" t="n">
        <v>24900</v>
      </c>
      <c r="D1879" s="88">
        <f>ROUND((C1879*1.07)/100,0)*100</f>
        <v/>
      </c>
      <c r="E1879" s="88">
        <f>ROUND((C1879*1.15)/100,0)*100</f>
        <v/>
      </c>
      <c r="F1879" s="88">
        <f>ROUND((C1879*1.15)/100,0)*100</f>
        <v/>
      </c>
      <c r="G1879" s="88">
        <f>ROUND((C1879*1.2)/100,0)*100</f>
        <v/>
      </c>
      <c r="H1879" s="88">
        <f>ROUND((C1879*1.25)/100,0)*100</f>
        <v/>
      </c>
      <c r="I1879" s="88">
        <f>ROUND((C1879*1.3)/100,0)*100</f>
        <v/>
      </c>
      <c r="J1879" s="22">
        <f>ROUND((C1879*1.35)/100,0)*100</f>
        <v/>
      </c>
      <c r="K1879" s="88">
        <f>ROUND((C1879*1.45)/100,0)*100</f>
        <v/>
      </c>
      <c r="L1879" s="88">
        <f>ROUND((C1879*1.55)/100,0)*100</f>
        <v/>
      </c>
      <c r="M1879" s="219" t="n"/>
      <c r="O1879" s="117">
        <f>C1879*P1879</f>
        <v/>
      </c>
      <c r="P1879" s="150" t="n">
        <v>1.1</v>
      </c>
      <c r="R1879" s="117" t="n"/>
      <c r="T1879" s="117" t="n"/>
      <c r="W1879" s="96" t="n"/>
      <c r="X1879" s="96" t="n"/>
      <c r="Y1879" s="96" t="n"/>
      <c r="Z1879" s="96" t="n"/>
      <c r="AA1879" s="96" t="n"/>
      <c r="AB1879" s="96" t="n"/>
      <c r="AC1879" s="96" t="n"/>
      <c r="AD1879" s="96" t="n"/>
      <c r="AE1879" s="96" t="n"/>
      <c r="AF1879" s="96" t="n"/>
    </row>
    <row r="1880">
      <c r="A1880" s="134" t="inlineStr">
        <is>
          <t>AER906</t>
        </is>
      </c>
      <c r="B1880" s="62" t="inlineStr">
        <is>
          <t>IDEM 914</t>
        </is>
      </c>
      <c r="C1880" s="88" t="n">
        <v>24900</v>
      </c>
      <c r="D1880" s="88">
        <f>ROUND((C1880*1.07)/100,0)*100</f>
        <v/>
      </c>
      <c r="E1880" s="88">
        <f>ROUND((C1880*1.15)/100,0)*100</f>
        <v/>
      </c>
      <c r="F1880" s="88">
        <f>ROUND((C1880*1.15)/100,0)*100</f>
        <v/>
      </c>
      <c r="G1880" s="88">
        <f>ROUND((C1880*1.2)/100,0)*100</f>
        <v/>
      </c>
      <c r="H1880" s="88">
        <f>ROUND((C1880*1.25)/100,0)*100</f>
        <v/>
      </c>
      <c r="I1880" s="88">
        <f>ROUND((C1880*1.3)/100,0)*100</f>
        <v/>
      </c>
      <c r="J1880" s="22">
        <f>ROUND((C1880*1.35)/100,0)*100</f>
        <v/>
      </c>
      <c r="K1880" s="88">
        <f>ROUND((C1880*1.45)/100,0)*100</f>
        <v/>
      </c>
      <c r="L1880" s="88">
        <f>ROUND((C1880*1.55)/100,0)*100</f>
        <v/>
      </c>
      <c r="M1880" s="219" t="n"/>
      <c r="O1880" s="117">
        <f>C1880*P1880</f>
        <v/>
      </c>
      <c r="P1880" s="150" t="n">
        <v>1.1</v>
      </c>
      <c r="R1880" s="117" t="n"/>
      <c r="T1880" s="117" t="n"/>
      <c r="W1880" s="96" t="n"/>
      <c r="X1880" s="96" t="n"/>
      <c r="Y1880" s="96" t="n"/>
      <c r="Z1880" s="96" t="n"/>
      <c r="AA1880" s="96" t="n"/>
      <c r="AB1880" s="96" t="n"/>
      <c r="AC1880" s="96" t="n"/>
      <c r="AD1880" s="96" t="n"/>
      <c r="AE1880" s="96" t="n"/>
      <c r="AF1880" s="96" t="n"/>
    </row>
    <row r="1881">
      <c r="A1881" s="134" t="inlineStr">
        <is>
          <t>AER908</t>
        </is>
      </c>
      <c r="B1881" s="62" t="inlineStr">
        <is>
          <t>IDEM 914</t>
        </is>
      </c>
      <c r="C1881" s="88" t="n">
        <v>24900</v>
      </c>
      <c r="D1881" s="88">
        <f>ROUND((C1881*1.07)/100,0)*100</f>
        <v/>
      </c>
      <c r="E1881" s="88">
        <f>ROUND((C1881*1.15)/100,0)*100</f>
        <v/>
      </c>
      <c r="F1881" s="88">
        <f>ROUND((C1881*1.15)/100,0)*100</f>
        <v/>
      </c>
      <c r="G1881" s="88">
        <f>ROUND((C1881*1.2)/100,0)*100</f>
        <v/>
      </c>
      <c r="H1881" s="88">
        <f>ROUND((C1881*1.25)/100,0)*100</f>
        <v/>
      </c>
      <c r="I1881" s="88">
        <f>ROUND((C1881*1.3)/100,0)*100</f>
        <v/>
      </c>
      <c r="J1881" s="22">
        <f>ROUND((C1881*1.35)/100,0)*100</f>
        <v/>
      </c>
      <c r="K1881" s="88">
        <f>ROUND((C1881*1.45)/100,0)*100</f>
        <v/>
      </c>
      <c r="L1881" s="88">
        <f>ROUND((C1881*1.55)/100,0)*100</f>
        <v/>
      </c>
      <c r="M1881" s="219" t="n"/>
      <c r="O1881" s="117">
        <f>C1881*P1881</f>
        <v/>
      </c>
      <c r="P1881" s="150" t="n">
        <v>1.1</v>
      </c>
      <c r="R1881" s="117" t="n"/>
      <c r="T1881" s="117" t="n"/>
      <c r="W1881" s="96" t="n"/>
      <c r="X1881" s="96" t="n"/>
      <c r="Y1881" s="96" t="n"/>
      <c r="Z1881" s="96" t="n"/>
      <c r="AA1881" s="96" t="n"/>
      <c r="AB1881" s="96" t="n"/>
      <c r="AC1881" s="96" t="n"/>
      <c r="AD1881" s="96" t="n"/>
      <c r="AE1881" s="96" t="n"/>
      <c r="AF1881" s="96" t="n"/>
    </row>
    <row r="1882">
      <c r="A1882" s="134" t="inlineStr">
        <is>
          <t>AER914</t>
        </is>
      </c>
      <c r="B1882" s="62" t="inlineStr">
        <is>
          <t>IDEM 915</t>
        </is>
      </c>
      <c r="C1882" s="88" t="n">
        <v>24900</v>
      </c>
      <c r="D1882" s="88">
        <f>ROUND((C1882*1.07)/100,0)*100</f>
        <v/>
      </c>
      <c r="E1882" s="88">
        <f>ROUND((C1882*1.15)/100,0)*100</f>
        <v/>
      </c>
      <c r="F1882" s="88">
        <f>ROUND((C1882*1.15)/100,0)*100</f>
        <v/>
      </c>
      <c r="G1882" s="88">
        <f>ROUND((C1882*1.2)/100,0)*100</f>
        <v/>
      </c>
      <c r="H1882" s="88">
        <f>ROUND((C1882*1.25)/100,0)*100</f>
        <v/>
      </c>
      <c r="I1882" s="88">
        <f>ROUND((C1882*1.3)/100,0)*100</f>
        <v/>
      </c>
      <c r="J1882" s="22">
        <f>ROUND((C1882*1.35)/100,0)*100</f>
        <v/>
      </c>
      <c r="K1882" s="88">
        <f>ROUND((C1882*1.45)/100,0)*100</f>
        <v/>
      </c>
      <c r="L1882" s="88">
        <f>ROUND((C1882*1.55)/100,0)*100</f>
        <v/>
      </c>
      <c r="M1882" s="219" t="n"/>
      <c r="O1882" s="117">
        <f>C1882*P1882</f>
        <v/>
      </c>
      <c r="P1882" s="150" t="n">
        <v>1.1</v>
      </c>
      <c r="R1882" s="117" t="n"/>
      <c r="T1882" s="117" t="n"/>
      <c r="W1882" s="96" t="n"/>
      <c r="X1882" s="96" t="n"/>
      <c r="Y1882" s="96" t="n"/>
      <c r="Z1882" s="96" t="n"/>
      <c r="AA1882" s="96" t="n"/>
      <c r="AB1882" s="96" t="n"/>
      <c r="AC1882" s="96" t="n"/>
      <c r="AD1882" s="96" t="n"/>
      <c r="AE1882" s="96" t="n"/>
      <c r="AF1882" s="96" t="n"/>
    </row>
    <row r="1883">
      <c r="A1883" s="134" t="inlineStr">
        <is>
          <t>AER916</t>
        </is>
      </c>
      <c r="B1883" s="62" t="inlineStr">
        <is>
          <t>IDEM 916</t>
        </is>
      </c>
      <c r="C1883" s="88" t="n">
        <v>24900</v>
      </c>
      <c r="D1883" s="88">
        <f>ROUND((C1883*1.07)/100,0)*100</f>
        <v/>
      </c>
      <c r="E1883" s="88">
        <f>ROUND((C1883*1.15)/100,0)*100</f>
        <v/>
      </c>
      <c r="F1883" s="88">
        <f>ROUND((C1883*1.15)/100,0)*100</f>
        <v/>
      </c>
      <c r="G1883" s="88">
        <f>ROUND((C1883*1.2)/100,0)*100</f>
        <v/>
      </c>
      <c r="H1883" s="88">
        <f>ROUND((C1883*1.25)/100,0)*100</f>
        <v/>
      </c>
      <c r="I1883" s="88">
        <f>ROUND((C1883*1.3)/100,0)*100</f>
        <v/>
      </c>
      <c r="J1883" s="22">
        <f>ROUND((C1883*1.35)/100,0)*100</f>
        <v/>
      </c>
      <c r="K1883" s="88">
        <f>ROUND((C1883*1.45)/100,0)*100</f>
        <v/>
      </c>
      <c r="L1883" s="88">
        <f>ROUND((C1883*1.55)/100,0)*100</f>
        <v/>
      </c>
      <c r="M1883" s="219" t="n"/>
      <c r="O1883" s="117">
        <f>C1883*P1883</f>
        <v/>
      </c>
      <c r="P1883" s="150" t="n">
        <v>1.1</v>
      </c>
      <c r="R1883" s="117" t="n"/>
      <c r="T1883" s="117" t="n"/>
      <c r="W1883" s="96" t="n"/>
      <c r="X1883" s="96" t="n"/>
      <c r="Y1883" s="96" t="n"/>
      <c r="Z1883" s="96" t="n"/>
      <c r="AA1883" s="96" t="n"/>
      <c r="AB1883" s="96" t="n"/>
      <c r="AC1883" s="96" t="n"/>
      <c r="AD1883" s="96" t="n"/>
      <c r="AE1883" s="96" t="n"/>
      <c r="AF1883" s="96" t="n"/>
    </row>
    <row r="1884">
      <c r="A1884" s="134" t="inlineStr">
        <is>
          <t>AER946</t>
        </is>
      </c>
      <c r="B1884" s="62" t="inlineStr">
        <is>
          <t>IDEM 917</t>
        </is>
      </c>
      <c r="C1884" s="88" t="n">
        <v>24900</v>
      </c>
      <c r="D1884" s="88">
        <f>ROUND((C1884*1.07)/100,0)*100</f>
        <v/>
      </c>
      <c r="E1884" s="88">
        <f>ROUND((C1884*1.15)/100,0)*100</f>
        <v/>
      </c>
      <c r="F1884" s="88">
        <f>ROUND((C1884*1.15)/100,0)*100</f>
        <v/>
      </c>
      <c r="G1884" s="88">
        <f>ROUND((C1884*1.2)/100,0)*100</f>
        <v/>
      </c>
      <c r="H1884" s="88">
        <f>ROUND((C1884*1.25)/100,0)*100</f>
        <v/>
      </c>
      <c r="I1884" s="88">
        <f>ROUND((C1884*1.3)/100,0)*100</f>
        <v/>
      </c>
      <c r="J1884" s="22">
        <f>ROUND((C1884*1.35)/100,0)*100</f>
        <v/>
      </c>
      <c r="K1884" s="88">
        <f>ROUND((C1884*1.45)/100,0)*100</f>
        <v/>
      </c>
      <c r="L1884" s="88">
        <f>ROUND((C1884*1.55)/100,0)*100</f>
        <v/>
      </c>
      <c r="M1884" s="219" t="n"/>
      <c r="O1884" s="117">
        <f>C1884*P1884</f>
        <v/>
      </c>
      <c r="P1884" s="150" t="n">
        <v>1.1</v>
      </c>
      <c r="R1884" s="117" t="n"/>
      <c r="T1884" s="117" t="n"/>
      <c r="W1884" s="96" t="n"/>
      <c r="X1884" s="96" t="n"/>
      <c r="Y1884" s="96" t="n"/>
      <c r="Z1884" s="96" t="n"/>
      <c r="AA1884" s="96" t="n"/>
      <c r="AB1884" s="96" t="n"/>
      <c r="AC1884" s="96" t="n"/>
      <c r="AD1884" s="96" t="n"/>
      <c r="AE1884" s="96" t="n"/>
      <c r="AF1884" s="96" t="n"/>
    </row>
    <row r="1885">
      <c r="A1885" s="134" t="inlineStr">
        <is>
          <t>AER2019</t>
        </is>
      </c>
      <c r="B1885" s="62" t="inlineStr">
        <is>
          <t>IDEM 918</t>
        </is>
      </c>
      <c r="C1885" s="88" t="n">
        <v>24900</v>
      </c>
      <c r="D1885" s="88">
        <f>ROUND((C1885*1.07)/100,0)*100</f>
        <v/>
      </c>
      <c r="E1885" s="88">
        <f>ROUND((C1885*1.15)/100,0)*100</f>
        <v/>
      </c>
      <c r="F1885" s="88">
        <f>ROUND((C1885*1.15)/100,0)*100</f>
        <v/>
      </c>
      <c r="G1885" s="88">
        <f>ROUND((C1885*1.2)/100,0)*100</f>
        <v/>
      </c>
      <c r="H1885" s="88">
        <f>ROUND((C1885*1.25)/100,0)*100</f>
        <v/>
      </c>
      <c r="I1885" s="88">
        <f>ROUND((C1885*1.3)/100,0)*100</f>
        <v/>
      </c>
      <c r="J1885" s="22">
        <f>ROUND((C1885*1.35)/100,0)*100</f>
        <v/>
      </c>
      <c r="K1885" s="88">
        <f>ROUND((C1885*1.45)/100,0)*100</f>
        <v/>
      </c>
      <c r="L1885" s="88">
        <f>ROUND((C1885*1.55)/100,0)*100</f>
        <v/>
      </c>
      <c r="M1885" s="219" t="n"/>
      <c r="O1885" s="117">
        <f>C1885*P1885</f>
        <v/>
      </c>
      <c r="P1885" s="150" t="n">
        <v>1.1</v>
      </c>
      <c r="R1885" s="117" t="n"/>
      <c r="T1885" s="117" t="n"/>
      <c r="W1885" s="96" t="n"/>
      <c r="X1885" s="96" t="n"/>
      <c r="Y1885" s="96" t="n"/>
      <c r="Z1885" s="96" t="n"/>
      <c r="AA1885" s="96" t="n"/>
      <c r="AB1885" s="96" t="n"/>
      <c r="AC1885" s="96" t="n"/>
      <c r="AD1885" s="96" t="n"/>
      <c r="AE1885" s="96" t="n"/>
      <c r="AF1885" s="96" t="n"/>
    </row>
    <row r="1886">
      <c r="A1886" s="134" t="inlineStr">
        <is>
          <t>AER2335</t>
        </is>
      </c>
      <c r="B1886" s="62" t="inlineStr">
        <is>
          <t>IDEM 914</t>
        </is>
      </c>
      <c r="C1886" s="88" t="n">
        <v>24900</v>
      </c>
      <c r="D1886" s="88">
        <f>ROUND((C1886*1.07)/100,0)*100</f>
        <v/>
      </c>
      <c r="E1886" s="88">
        <f>ROUND((C1886*1.15)/100,0)*100</f>
        <v/>
      </c>
      <c r="F1886" s="88">
        <f>ROUND((C1886*1.15)/100,0)*100</f>
        <v/>
      </c>
      <c r="G1886" s="88">
        <f>ROUND((C1886*1.2)/100,0)*100</f>
        <v/>
      </c>
      <c r="H1886" s="88">
        <f>ROUND((C1886*1.25)/100,0)*100</f>
        <v/>
      </c>
      <c r="I1886" s="88">
        <f>ROUND((C1886*1.3)/100,0)*100</f>
        <v/>
      </c>
      <c r="J1886" s="22">
        <f>ROUND((C1886*1.35)/100,0)*100</f>
        <v/>
      </c>
      <c r="K1886" s="88">
        <f>ROUND((C1886*1.45)/100,0)*100</f>
        <v/>
      </c>
      <c r="L1886" s="88">
        <f>ROUND((C1886*1.55)/100,0)*100</f>
        <v/>
      </c>
      <c r="O1886" s="117">
        <f>C1886*P1886</f>
        <v/>
      </c>
      <c r="P1886" s="150" t="n">
        <v>1.1</v>
      </c>
      <c r="R1886" s="117" t="n"/>
      <c r="T1886" s="117" t="n"/>
      <c r="W1886" s="96" t="n"/>
      <c r="X1886" s="96" t="n"/>
      <c r="Y1886" s="96" t="n"/>
      <c r="Z1886" s="96" t="n"/>
      <c r="AA1886" s="96" t="n"/>
      <c r="AB1886" s="96" t="n"/>
      <c r="AC1886" s="96" t="n"/>
      <c r="AD1886" s="96" t="n"/>
      <c r="AE1886" s="96" t="n"/>
      <c r="AF1886" s="96" t="n"/>
    </row>
    <row r="1887">
      <c r="A1887" s="134" t="inlineStr">
        <is>
          <t>AER2340</t>
        </is>
      </c>
      <c r="B1887" s="62" t="inlineStr">
        <is>
          <t>IDEM 914</t>
        </is>
      </c>
      <c r="C1887" s="88" t="n">
        <v>24900</v>
      </c>
      <c r="D1887" s="88">
        <f>ROUND((C1887*1.07)/100,0)*100</f>
        <v/>
      </c>
      <c r="E1887" s="88">
        <f>ROUND((C1887*1.15)/100,0)*100</f>
        <v/>
      </c>
      <c r="F1887" s="88">
        <f>ROUND((C1887*1.15)/100,0)*100</f>
        <v/>
      </c>
      <c r="G1887" s="88">
        <f>ROUND((C1887*1.2)/100,0)*100</f>
        <v/>
      </c>
      <c r="H1887" s="88">
        <f>ROUND((C1887*1.25)/100,0)*100</f>
        <v/>
      </c>
      <c r="I1887" s="88">
        <f>ROUND((C1887*1.3)/100,0)*100</f>
        <v/>
      </c>
      <c r="J1887" s="22">
        <f>ROUND((C1887*1.35)/100,0)*100</f>
        <v/>
      </c>
      <c r="K1887" s="88">
        <f>ROUND((C1887*1.45)/100,0)*100</f>
        <v/>
      </c>
      <c r="L1887" s="88">
        <f>ROUND((C1887*1.55)/100,0)*100</f>
        <v/>
      </c>
      <c r="O1887" s="117">
        <f>C1887*P1887</f>
        <v/>
      </c>
      <c r="P1887" s="150" t="n">
        <v>1.1</v>
      </c>
      <c r="R1887" s="117" t="n"/>
      <c r="T1887" s="117" t="n"/>
      <c r="W1887" s="96" t="n"/>
      <c r="X1887" s="96" t="n"/>
      <c r="Y1887" s="96" t="n"/>
      <c r="Z1887" s="96" t="n"/>
      <c r="AA1887" s="96" t="n"/>
      <c r="AB1887" s="96" t="n"/>
      <c r="AC1887" s="96" t="n"/>
      <c r="AD1887" s="96" t="n"/>
      <c r="AE1887" s="96" t="n"/>
      <c r="AF1887" s="96" t="n"/>
    </row>
    <row r="1888">
      <c r="A1888" s="134" t="inlineStr">
        <is>
          <t>AER2501</t>
        </is>
      </c>
      <c r="B1888" s="246" t="inlineStr">
        <is>
          <t>REMERA AERO</t>
        </is>
      </c>
      <c r="C1888" s="88" t="n">
        <v>16800</v>
      </c>
      <c r="D1888" s="88">
        <f>ROUND((C1888*1.07)/100,0)*100</f>
        <v/>
      </c>
      <c r="E1888" s="88">
        <f>ROUND((C1888*1.15)/100,0)*100</f>
        <v/>
      </c>
      <c r="F1888" s="88">
        <f>ROUND((C1888*1.15)/100,0)*100</f>
        <v/>
      </c>
      <c r="G1888" s="88">
        <f>ROUND((C1888*1.2)/100,0)*100</f>
        <v/>
      </c>
      <c r="H1888" s="88">
        <f>ROUND((C1888*1.25)/100,0)*100</f>
        <v/>
      </c>
      <c r="I1888" s="88">
        <f>ROUND((C1888*1.3)/100,0)*100</f>
        <v/>
      </c>
      <c r="J1888" s="22">
        <f>ROUND((C1888*1.35)/100,0)*100</f>
        <v/>
      </c>
      <c r="K1888" s="88">
        <f>ROUND((C1888*1.45)/100,0)*100</f>
        <v/>
      </c>
      <c r="L1888" s="88">
        <f>ROUND((C1888*1.55)/100,0)*100</f>
        <v/>
      </c>
      <c r="M1888" s="219" t="n"/>
      <c r="O1888" s="117">
        <f>C1888*P1888</f>
        <v/>
      </c>
      <c r="P1888" s="150" t="n">
        <v>1.1</v>
      </c>
      <c r="R1888" s="117" t="n"/>
      <c r="T1888" s="117" t="n"/>
      <c r="W1888" s="96" t="n"/>
      <c r="X1888" s="96" t="n"/>
      <c r="Y1888" s="96" t="n"/>
      <c r="Z1888" s="96" t="n"/>
      <c r="AA1888" s="96" t="n"/>
      <c r="AB1888" s="96" t="n"/>
      <c r="AC1888" s="96" t="n"/>
      <c r="AD1888" s="96" t="n"/>
      <c r="AE1888" s="96" t="n"/>
      <c r="AF1888" s="96" t="n"/>
    </row>
    <row r="1889">
      <c r="A1889" s="134" t="inlineStr">
        <is>
          <t>AER2501</t>
        </is>
      </c>
      <c r="B1889" s="246" t="inlineStr">
        <is>
          <t>REMERA AERO</t>
        </is>
      </c>
      <c r="C1889" s="88" t="n">
        <v>24900</v>
      </c>
      <c r="D1889" s="88">
        <f>ROUND((C1889*1.07)/100,0)*100</f>
        <v/>
      </c>
      <c r="E1889" s="88">
        <f>ROUND((C1889*1.15)/100,0)*100</f>
        <v/>
      </c>
      <c r="F1889" s="88">
        <f>ROUND((C1889*1.15)/100,0)*100</f>
        <v/>
      </c>
      <c r="G1889" s="88">
        <f>ROUND((C1889*1.2)/100,0)*100</f>
        <v/>
      </c>
      <c r="H1889" s="88">
        <f>ROUND((C1889*1.25)/100,0)*100</f>
        <v/>
      </c>
      <c r="I1889" s="88">
        <f>ROUND((C1889*1.3)/100,0)*100</f>
        <v/>
      </c>
      <c r="J1889" s="22">
        <f>ROUND((C1889*1.35)/100,0)*100</f>
        <v/>
      </c>
      <c r="K1889" s="88">
        <f>ROUND((C1889*1.45)/100,0)*100</f>
        <v/>
      </c>
      <c r="L1889" s="88">
        <f>ROUND((C1889*1.55)/100,0)*100</f>
        <v/>
      </c>
      <c r="O1889" s="117">
        <f>C1889*P1889</f>
        <v/>
      </c>
      <c r="P1889" s="150" t="n">
        <v>1.1</v>
      </c>
      <c r="R1889" s="117" t="n"/>
      <c r="T1889" s="117" t="n"/>
      <c r="W1889" s="96" t="n"/>
      <c r="X1889" s="96" t="n"/>
      <c r="Y1889" s="96" t="n"/>
      <c r="Z1889" s="96" t="n"/>
      <c r="AA1889" s="96" t="n"/>
      <c r="AB1889" s="96" t="n"/>
      <c r="AC1889" s="96" t="n"/>
      <c r="AD1889" s="96" t="n"/>
      <c r="AE1889" s="96" t="n"/>
      <c r="AF1889" s="96" t="n"/>
    </row>
    <row r="1890">
      <c r="A1890" s="134" t="inlineStr">
        <is>
          <t>AER2509</t>
        </is>
      </c>
      <c r="B1890" s="246" t="inlineStr">
        <is>
          <t>REMERA AERO</t>
        </is>
      </c>
      <c r="C1890" s="88" t="n">
        <v>24900</v>
      </c>
      <c r="D1890" s="88">
        <f>ROUND((C1890*1.07)/100,0)*100</f>
        <v/>
      </c>
      <c r="E1890" s="88">
        <f>ROUND((C1890*1.15)/100,0)*100</f>
        <v/>
      </c>
      <c r="F1890" s="88">
        <f>ROUND((C1890*1.15)/100,0)*100</f>
        <v/>
      </c>
      <c r="G1890" s="88">
        <f>ROUND((C1890*1.2)/100,0)*100</f>
        <v/>
      </c>
      <c r="H1890" s="88">
        <f>ROUND((C1890*1.25)/100,0)*100</f>
        <v/>
      </c>
      <c r="I1890" s="88">
        <f>ROUND((C1890*1.3)/100,0)*100</f>
        <v/>
      </c>
      <c r="J1890" s="22">
        <f>ROUND((C1890*1.35)/100,0)*100</f>
        <v/>
      </c>
      <c r="K1890" s="88">
        <f>ROUND((C1890*1.45)/100,0)*100</f>
        <v/>
      </c>
      <c r="L1890" s="88">
        <f>ROUND((C1890*1.55)/100,0)*100</f>
        <v/>
      </c>
      <c r="O1890" s="117">
        <f>C1890*P1890</f>
        <v/>
      </c>
      <c r="P1890" s="150" t="n">
        <v>1.1</v>
      </c>
      <c r="R1890" s="117" t="n"/>
      <c r="T1890" s="117" t="n"/>
      <c r="W1890" s="96" t="n"/>
      <c r="X1890" s="96" t="n"/>
      <c r="Y1890" s="96" t="n"/>
      <c r="Z1890" s="96" t="n"/>
      <c r="AA1890" s="96" t="n"/>
      <c r="AB1890" s="96" t="n"/>
      <c r="AC1890" s="96" t="n"/>
      <c r="AD1890" s="96" t="n"/>
      <c r="AE1890" s="96" t="n"/>
      <c r="AF1890" s="96" t="n"/>
    </row>
    <row r="1891">
      <c r="A1891" s="134" t="inlineStr">
        <is>
          <t>AER2606</t>
        </is>
      </c>
      <c r="B1891" s="246" t="inlineStr">
        <is>
          <t>REMERA AERO</t>
        </is>
      </c>
      <c r="C1891" s="88" t="n">
        <v>24900</v>
      </c>
      <c r="D1891" s="88">
        <f>ROUND((C1891*1.07)/100,0)*100</f>
        <v/>
      </c>
      <c r="E1891" s="88">
        <f>ROUND((C1891*1.15)/100,0)*100</f>
        <v/>
      </c>
      <c r="F1891" s="88">
        <f>ROUND((C1891*1.15)/100,0)*100</f>
        <v/>
      </c>
      <c r="G1891" s="88">
        <f>ROUND((C1891*1.2)/100,0)*100</f>
        <v/>
      </c>
      <c r="H1891" s="88">
        <f>ROUND((C1891*1.25)/100,0)*100</f>
        <v/>
      </c>
      <c r="I1891" s="88">
        <f>ROUND((C1891*1.3)/100,0)*100</f>
        <v/>
      </c>
      <c r="J1891" s="22">
        <f>ROUND((C1891*1.35)/100,0)*100</f>
        <v/>
      </c>
      <c r="K1891" s="88">
        <f>ROUND((C1891*1.45)/100,0)*100</f>
        <v/>
      </c>
      <c r="L1891" s="88">
        <f>ROUND((C1891*1.55)/100,0)*100</f>
        <v/>
      </c>
      <c r="O1891" s="117">
        <f>C1891*P1891</f>
        <v/>
      </c>
      <c r="P1891" s="150" t="n">
        <v>1.1</v>
      </c>
      <c r="R1891" s="117" t="n"/>
      <c r="T1891" s="117" t="n"/>
      <c r="W1891" s="96" t="n"/>
      <c r="X1891" s="96" t="n"/>
      <c r="Y1891" s="96" t="n"/>
      <c r="Z1891" s="96" t="n"/>
      <c r="AA1891" s="96" t="n"/>
      <c r="AB1891" s="96" t="n"/>
      <c r="AC1891" s="96" t="n"/>
      <c r="AD1891" s="96" t="n"/>
      <c r="AE1891" s="96" t="n"/>
      <c r="AF1891" s="96" t="n"/>
    </row>
    <row r="1892">
      <c r="A1892" s="134" t="inlineStr">
        <is>
          <t>AER2619</t>
        </is>
      </c>
      <c r="B1892" s="246" t="inlineStr">
        <is>
          <t>REMERA AERO</t>
        </is>
      </c>
      <c r="C1892" s="88" t="n">
        <v>24900</v>
      </c>
      <c r="D1892" s="88">
        <f>ROUND((C1892*1.07)/100,0)*100</f>
        <v/>
      </c>
      <c r="E1892" s="88">
        <f>ROUND((C1892*1.15)/100,0)*100</f>
        <v/>
      </c>
      <c r="F1892" s="88">
        <f>ROUND((C1892*1.15)/100,0)*100</f>
        <v/>
      </c>
      <c r="G1892" s="88">
        <f>ROUND((C1892*1.2)/100,0)*100</f>
        <v/>
      </c>
      <c r="H1892" s="88">
        <f>ROUND((C1892*1.25)/100,0)*100</f>
        <v/>
      </c>
      <c r="I1892" s="88">
        <f>ROUND((C1892*1.3)/100,0)*100</f>
        <v/>
      </c>
      <c r="J1892" s="22">
        <f>ROUND((C1892*1.35)/100,0)*100</f>
        <v/>
      </c>
      <c r="K1892" s="88">
        <f>ROUND((C1892*1.45)/100,0)*100</f>
        <v/>
      </c>
      <c r="L1892" s="88">
        <f>ROUND((C1892*1.55)/100,0)*100</f>
        <v/>
      </c>
      <c r="O1892" s="117">
        <f>C1892*P1892</f>
        <v/>
      </c>
      <c r="P1892" s="150" t="n">
        <v>1.1</v>
      </c>
      <c r="R1892" s="117" t="n"/>
      <c r="T1892" s="117" t="n"/>
      <c r="W1892" s="96" t="n"/>
      <c r="X1892" s="96" t="n"/>
      <c r="Y1892" s="96" t="n"/>
      <c r="Z1892" s="96" t="n"/>
      <c r="AA1892" s="96" t="n"/>
      <c r="AB1892" s="96" t="n"/>
      <c r="AC1892" s="96" t="n"/>
      <c r="AD1892" s="96" t="n"/>
      <c r="AE1892" s="96" t="n"/>
      <c r="AF1892" s="96" t="n"/>
    </row>
    <row r="1893">
      <c r="A1893" s="134" t="inlineStr">
        <is>
          <t>AER28</t>
        </is>
      </c>
      <c r="B1893" s="246" t="inlineStr">
        <is>
          <t>REMERA AERO</t>
        </is>
      </c>
      <c r="C1893" s="88" t="n">
        <v>24900</v>
      </c>
      <c r="D1893" s="88">
        <f>ROUND((C1893*1.07)/100,0)*100</f>
        <v/>
      </c>
      <c r="E1893" s="88">
        <f>ROUND((C1893*1.15)/100,0)*100</f>
        <v/>
      </c>
      <c r="F1893" s="88">
        <f>ROUND((C1893*1.15)/100,0)*100</f>
        <v/>
      </c>
      <c r="G1893" s="88">
        <f>ROUND((C1893*1.2)/100,0)*100</f>
        <v/>
      </c>
      <c r="H1893" s="88">
        <f>ROUND((C1893*1.25)/100,0)*100</f>
        <v/>
      </c>
      <c r="I1893" s="88">
        <f>ROUND((C1893*1.3)/100,0)*100</f>
        <v/>
      </c>
      <c r="J1893" s="22">
        <f>ROUND((C1893*1.35)/100,0)*100</f>
        <v/>
      </c>
      <c r="K1893" s="88">
        <f>ROUND((C1893*1.45)/100,0)*100</f>
        <v/>
      </c>
      <c r="L1893" s="88">
        <f>ROUND((C1893*1.55)/100,0)*100</f>
        <v/>
      </c>
      <c r="M1893" s="219" t="n"/>
      <c r="O1893" s="117">
        <f>C1893*P1893</f>
        <v/>
      </c>
      <c r="P1893" s="150" t="n">
        <v>1.1</v>
      </c>
      <c r="R1893" s="117" t="n"/>
      <c r="T1893" s="117" t="n"/>
      <c r="W1893" s="96" t="n"/>
      <c r="X1893" s="96" t="n"/>
      <c r="Y1893" s="96" t="n"/>
      <c r="Z1893" s="96" t="n"/>
      <c r="AA1893" s="96" t="n"/>
      <c r="AB1893" s="96" t="n"/>
      <c r="AC1893" s="96" t="n"/>
      <c r="AD1893" s="96" t="n"/>
      <c r="AE1893" s="96" t="n"/>
      <c r="AF1893" s="96" t="n"/>
    </row>
    <row r="1894">
      <c r="A1894" s="134" t="inlineStr">
        <is>
          <t>AER2831</t>
        </is>
      </c>
      <c r="B1894" s="246" t="inlineStr">
        <is>
          <t>REMERA AERO</t>
        </is>
      </c>
      <c r="C1894" s="88" t="n">
        <v>24900</v>
      </c>
      <c r="D1894" s="88">
        <f>ROUND((C1894*1.07)/100,0)*100</f>
        <v/>
      </c>
      <c r="E1894" s="88">
        <f>ROUND((C1894*1.15)/100,0)*100</f>
        <v/>
      </c>
      <c r="F1894" s="88">
        <f>ROUND((C1894*1.15)/100,0)*100</f>
        <v/>
      </c>
      <c r="G1894" s="88">
        <f>ROUND((C1894*1.2)/100,0)*100</f>
        <v/>
      </c>
      <c r="H1894" s="88">
        <f>ROUND((C1894*1.25)/100,0)*100</f>
        <v/>
      </c>
      <c r="I1894" s="88">
        <f>ROUND((C1894*1.3)/100,0)*100</f>
        <v/>
      </c>
      <c r="J1894" s="22">
        <f>ROUND((C1894*1.35)/100,0)*100</f>
        <v/>
      </c>
      <c r="K1894" s="88">
        <f>ROUND((C1894*1.45)/100,0)*100</f>
        <v/>
      </c>
      <c r="L1894" s="88">
        <f>ROUND((C1894*1.55)/100,0)*100</f>
        <v/>
      </c>
      <c r="M1894" s="219" t="n"/>
      <c r="O1894" s="117">
        <f>C1894*P1894</f>
        <v/>
      </c>
      <c r="P1894" s="150" t="n">
        <v>1.1</v>
      </c>
      <c r="R1894" s="117" t="n"/>
      <c r="T1894" s="117" t="n"/>
      <c r="W1894" s="96" t="n"/>
      <c r="X1894" s="96" t="n"/>
      <c r="Y1894" s="96" t="n"/>
      <c r="Z1894" s="96" t="n"/>
      <c r="AA1894" s="96" t="n"/>
      <c r="AB1894" s="96" t="n"/>
      <c r="AC1894" s="96" t="n"/>
      <c r="AD1894" s="96" t="n"/>
      <c r="AE1894" s="96" t="n"/>
      <c r="AF1894" s="96" t="n"/>
    </row>
    <row r="1895">
      <c r="A1895" s="134" t="inlineStr">
        <is>
          <t>AER3406</t>
        </is>
      </c>
      <c r="B1895" s="246" t="inlineStr">
        <is>
          <t>REMERA AERO</t>
        </is>
      </c>
      <c r="C1895" s="88" t="n">
        <v>24900</v>
      </c>
      <c r="D1895" s="88">
        <f>ROUND((C1895*1.07)/100,0)*100</f>
        <v/>
      </c>
      <c r="E1895" s="88">
        <f>ROUND((C1895*1.15)/100,0)*100</f>
        <v/>
      </c>
      <c r="F1895" s="88">
        <f>ROUND((C1895*1.15)/100,0)*100</f>
        <v/>
      </c>
      <c r="G1895" s="88">
        <f>ROUND((C1895*1.2)/100,0)*100</f>
        <v/>
      </c>
      <c r="H1895" s="88">
        <f>ROUND((C1895*1.25)/100,0)*100</f>
        <v/>
      </c>
      <c r="I1895" s="88">
        <f>ROUND((C1895*1.3)/100,0)*100</f>
        <v/>
      </c>
      <c r="J1895" s="22">
        <f>ROUND((C1895*1.35)/100,0)*100</f>
        <v/>
      </c>
      <c r="K1895" s="88">
        <f>ROUND((C1895*1.45)/100,0)*100</f>
        <v/>
      </c>
      <c r="L1895" s="88">
        <f>ROUND((C1895*1.55)/100,0)*100</f>
        <v/>
      </c>
      <c r="M1895" s="219" t="n"/>
      <c r="O1895" s="117">
        <f>C1895*P1895</f>
        <v/>
      </c>
      <c r="P1895" s="150" t="n">
        <v>1.1</v>
      </c>
      <c r="R1895" s="117" t="n"/>
      <c r="T1895" s="117" t="n"/>
      <c r="W1895" s="96" t="n"/>
      <c r="X1895" s="96" t="n"/>
      <c r="Y1895" s="96" t="n"/>
      <c r="Z1895" s="96" t="n"/>
      <c r="AA1895" s="96" t="n"/>
      <c r="AB1895" s="96" t="n"/>
      <c r="AC1895" s="96" t="n"/>
      <c r="AD1895" s="96" t="n"/>
      <c r="AE1895" s="96" t="n"/>
      <c r="AF1895" s="96" t="n"/>
    </row>
    <row r="1896">
      <c r="A1896" s="134" t="inlineStr">
        <is>
          <t>AER3419</t>
        </is>
      </c>
      <c r="B1896" s="246" t="inlineStr">
        <is>
          <t>REMERA AERO</t>
        </is>
      </c>
      <c r="C1896" s="88" t="n">
        <v>24900</v>
      </c>
      <c r="D1896" s="88">
        <f>ROUND((C1896*1.07)/100,0)*100</f>
        <v/>
      </c>
      <c r="E1896" s="88">
        <f>ROUND((C1896*1.15)/100,0)*100</f>
        <v/>
      </c>
      <c r="F1896" s="88">
        <f>ROUND((C1896*1.15)/100,0)*100</f>
        <v/>
      </c>
      <c r="G1896" s="88">
        <f>ROUND((C1896*1.2)/100,0)*100</f>
        <v/>
      </c>
      <c r="H1896" s="88">
        <f>ROUND((C1896*1.25)/100,0)*100</f>
        <v/>
      </c>
      <c r="I1896" s="88">
        <f>ROUND((C1896*1.3)/100,0)*100</f>
        <v/>
      </c>
      <c r="J1896" s="22">
        <f>ROUND((C1896*1.35)/100,0)*100</f>
        <v/>
      </c>
      <c r="K1896" s="88">
        <f>ROUND((C1896*1.45)/100,0)*100</f>
        <v/>
      </c>
      <c r="L1896" s="88">
        <f>ROUND((C1896*1.55)/100,0)*100</f>
        <v/>
      </c>
      <c r="M1896" s="219" t="n"/>
      <c r="O1896" s="117">
        <f>C1896*P1896</f>
        <v/>
      </c>
      <c r="P1896" s="150" t="n">
        <v>1.1</v>
      </c>
      <c r="R1896" s="117" t="n"/>
      <c r="T1896" s="117" t="n"/>
      <c r="W1896" s="96" t="n"/>
      <c r="X1896" s="96" t="n"/>
      <c r="Y1896" s="96" t="n"/>
      <c r="Z1896" s="96" t="n"/>
      <c r="AA1896" s="96" t="n"/>
      <c r="AB1896" s="96" t="n"/>
      <c r="AC1896" s="96" t="n"/>
      <c r="AD1896" s="96" t="n"/>
      <c r="AE1896" s="96" t="n"/>
      <c r="AF1896" s="96" t="n"/>
    </row>
    <row r="1897">
      <c r="A1897" s="134" t="inlineStr">
        <is>
          <t>AER3427</t>
        </is>
      </c>
      <c r="B1897" s="246" t="inlineStr">
        <is>
          <t>REMERA AERO</t>
        </is>
      </c>
      <c r="C1897" s="88" t="n">
        <v>24900</v>
      </c>
      <c r="D1897" s="88">
        <f>ROUND((C1897*1.07)/100,0)*100</f>
        <v/>
      </c>
      <c r="E1897" s="88">
        <f>ROUND((C1897*1.15)/100,0)*100</f>
        <v/>
      </c>
      <c r="F1897" s="88">
        <f>ROUND((C1897*1.15)/100,0)*100</f>
        <v/>
      </c>
      <c r="G1897" s="88">
        <f>ROUND((C1897*1.2)/100,0)*100</f>
        <v/>
      </c>
      <c r="H1897" s="88">
        <f>ROUND((C1897*1.25)/100,0)*100</f>
        <v/>
      </c>
      <c r="I1897" s="88">
        <f>ROUND((C1897*1.3)/100,0)*100</f>
        <v/>
      </c>
      <c r="J1897" s="22">
        <f>ROUND((C1897*1.35)/100,0)*100</f>
        <v/>
      </c>
      <c r="K1897" s="88">
        <f>ROUND((C1897*1.45)/100,0)*100</f>
        <v/>
      </c>
      <c r="L1897" s="88">
        <f>ROUND((C1897*1.55)/100,0)*100</f>
        <v/>
      </c>
      <c r="M1897" s="219" t="n"/>
      <c r="O1897" s="117">
        <f>C1897*P1897</f>
        <v/>
      </c>
      <c r="P1897" s="150" t="n">
        <v>1.1</v>
      </c>
      <c r="R1897" s="117" t="n"/>
      <c r="T1897" s="117" t="n"/>
      <c r="W1897" s="96" t="n"/>
      <c r="X1897" s="96" t="n"/>
      <c r="Y1897" s="96" t="n"/>
      <c r="Z1897" s="96" t="n"/>
      <c r="AA1897" s="96" t="n"/>
      <c r="AB1897" s="96" t="n"/>
      <c r="AC1897" s="96" t="n"/>
      <c r="AD1897" s="96" t="n"/>
      <c r="AE1897" s="96" t="n"/>
      <c r="AF1897" s="96" t="n"/>
    </row>
    <row r="1898">
      <c r="A1898" s="134" t="inlineStr">
        <is>
          <t>AER3628</t>
        </is>
      </c>
      <c r="B1898" s="246" t="inlineStr">
        <is>
          <t>REMERA AERO</t>
        </is>
      </c>
      <c r="C1898" s="88" t="n">
        <v>24900</v>
      </c>
      <c r="D1898" s="88">
        <f>ROUND((C1898*1.07)/100,0)*100</f>
        <v/>
      </c>
      <c r="E1898" s="88">
        <f>ROUND((C1898*1.15)/100,0)*100</f>
        <v/>
      </c>
      <c r="F1898" s="88">
        <f>ROUND((C1898*1.15)/100,0)*100</f>
        <v/>
      </c>
      <c r="G1898" s="88">
        <f>ROUND((C1898*1.2)/100,0)*100</f>
        <v/>
      </c>
      <c r="H1898" s="88">
        <f>ROUND((C1898*1.25)/100,0)*100</f>
        <v/>
      </c>
      <c r="I1898" s="88">
        <f>ROUND((C1898*1.3)/100,0)*100</f>
        <v/>
      </c>
      <c r="J1898" s="22">
        <f>ROUND((C1898*1.35)/100,0)*100</f>
        <v/>
      </c>
      <c r="K1898" s="88">
        <f>ROUND((C1898*1.45)/100,0)*100</f>
        <v/>
      </c>
      <c r="L1898" s="88">
        <f>ROUND((C1898*1.55)/100,0)*100</f>
        <v/>
      </c>
      <c r="M1898" s="219" t="n"/>
      <c r="O1898" s="117">
        <f>C1898*P1898</f>
        <v/>
      </c>
      <c r="P1898" s="150" t="n">
        <v>1.1</v>
      </c>
      <c r="R1898" s="117" t="n"/>
      <c r="T1898" s="117" t="n"/>
      <c r="W1898" s="96" t="n"/>
      <c r="X1898" s="96" t="n"/>
      <c r="Y1898" s="96" t="n"/>
      <c r="Z1898" s="96" t="n"/>
      <c r="AA1898" s="96" t="n"/>
      <c r="AB1898" s="96" t="n"/>
      <c r="AC1898" s="96" t="n"/>
      <c r="AD1898" s="96" t="n"/>
      <c r="AE1898" s="96" t="n"/>
      <c r="AF1898" s="96" t="n"/>
    </row>
    <row r="1899">
      <c r="A1899" s="68" t="inlineStr">
        <is>
          <t>AER3700</t>
        </is>
      </c>
      <c r="B1899" s="246" t="inlineStr">
        <is>
          <t>REMERA AERO</t>
        </is>
      </c>
      <c r="C1899" s="88" t="n">
        <v>24900</v>
      </c>
      <c r="D1899" s="88">
        <f>ROUND((C1899*1.07)/100,0)*100</f>
        <v/>
      </c>
      <c r="E1899" s="88">
        <f>ROUND((C1899*1.15)/100,0)*100</f>
        <v/>
      </c>
      <c r="F1899" s="88">
        <f>ROUND((C1899*1.15)/100,0)*100</f>
        <v/>
      </c>
      <c r="G1899" s="88">
        <f>ROUND((C1899*1.2)/100,0)*100</f>
        <v/>
      </c>
      <c r="H1899" s="88">
        <f>ROUND((C1899*1.25)/100,0)*100</f>
        <v/>
      </c>
      <c r="I1899" s="88">
        <f>ROUND((C1899*1.3)/100,0)*100</f>
        <v/>
      </c>
      <c r="J1899" s="22">
        <f>ROUND((C1899*1.35)/100,0)*100</f>
        <v/>
      </c>
      <c r="K1899" s="88">
        <f>ROUND((C1899*1.45)/100,0)*100</f>
        <v/>
      </c>
      <c r="L1899" s="88">
        <f>ROUND((C1899*1.55)/100,0)*100</f>
        <v/>
      </c>
      <c r="M1899" s="219" t="n"/>
      <c r="O1899" s="117">
        <f>C1899*P1899</f>
        <v/>
      </c>
      <c r="P1899" s="150" t="n">
        <v>1.1</v>
      </c>
      <c r="R1899" s="117" t="n"/>
      <c r="T1899" s="117" t="n"/>
      <c r="W1899" s="96" t="n"/>
      <c r="X1899" s="96" t="n"/>
      <c r="Y1899" s="96" t="n"/>
      <c r="Z1899" s="96" t="n"/>
      <c r="AA1899" s="96" t="n"/>
      <c r="AB1899" s="96" t="n"/>
      <c r="AC1899" s="96" t="n"/>
      <c r="AD1899" s="96" t="n"/>
      <c r="AE1899" s="96" t="n"/>
      <c r="AF1899" s="96" t="n"/>
    </row>
    <row r="1900">
      <c r="A1900" s="68" t="inlineStr">
        <is>
          <t>AER3913</t>
        </is>
      </c>
      <c r="B1900" s="246" t="inlineStr">
        <is>
          <t>REMERA AERO</t>
        </is>
      </c>
      <c r="C1900" s="88" t="n">
        <v>24900</v>
      </c>
      <c r="D1900" s="88">
        <f>ROUND((C1900*1.07)/100,0)*100</f>
        <v/>
      </c>
      <c r="E1900" s="88">
        <f>ROUND((C1900*1.15)/100,0)*100</f>
        <v/>
      </c>
      <c r="F1900" s="88">
        <f>ROUND((C1900*1.15)/100,0)*100</f>
        <v/>
      </c>
      <c r="G1900" s="88">
        <f>ROUND((C1900*1.2)/100,0)*100</f>
        <v/>
      </c>
      <c r="H1900" s="88">
        <f>ROUND((C1900*1.25)/100,0)*100</f>
        <v/>
      </c>
      <c r="I1900" s="88">
        <f>ROUND((C1900*1.3)/100,0)*100</f>
        <v/>
      </c>
      <c r="J1900" s="22">
        <f>ROUND((C1900*1.35)/100,0)*100</f>
        <v/>
      </c>
      <c r="K1900" s="88">
        <f>ROUND((C1900*1.45)/100,0)*100</f>
        <v/>
      </c>
      <c r="L1900" s="88">
        <f>ROUND((C1900*1.55)/100,0)*100</f>
        <v/>
      </c>
      <c r="M1900" s="219" t="n"/>
      <c r="O1900" s="117">
        <f>C1900*P1900</f>
        <v/>
      </c>
      <c r="P1900" s="150" t="n">
        <v>1.1</v>
      </c>
      <c r="R1900" s="117" t="n"/>
      <c r="T1900" s="117" t="n"/>
      <c r="W1900" s="96" t="n"/>
      <c r="X1900" s="96" t="n"/>
      <c r="Y1900" s="96" t="n"/>
      <c r="Z1900" s="96" t="n"/>
      <c r="AA1900" s="96" t="n"/>
      <c r="AB1900" s="96" t="n"/>
      <c r="AC1900" s="96" t="n"/>
      <c r="AD1900" s="96" t="n"/>
      <c r="AE1900" s="96" t="n"/>
      <c r="AF1900" s="96" t="n"/>
    </row>
    <row r="1901">
      <c r="A1901" s="68" t="inlineStr">
        <is>
          <t>AER6010</t>
        </is>
      </c>
      <c r="B1901" s="246" t="inlineStr">
        <is>
          <t>REMERA AERO</t>
        </is>
      </c>
      <c r="C1901" s="88" t="n">
        <v>24900</v>
      </c>
      <c r="D1901" s="88">
        <f>ROUND((C1901*1.07)/100,0)*100</f>
        <v/>
      </c>
      <c r="E1901" s="88">
        <f>ROUND((C1901*1.15)/100,0)*100</f>
        <v/>
      </c>
      <c r="F1901" s="88">
        <f>ROUND((C1901*1.15)/100,0)*100</f>
        <v/>
      </c>
      <c r="G1901" s="88">
        <f>ROUND((C1901*1.2)/100,0)*100</f>
        <v/>
      </c>
      <c r="H1901" s="88">
        <f>ROUND((C1901*1.25)/100,0)*100</f>
        <v/>
      </c>
      <c r="I1901" s="88">
        <f>ROUND((C1901*1.3)/100,0)*100</f>
        <v/>
      </c>
      <c r="J1901" s="22">
        <f>ROUND((C1901*1.35)/100,0)*100</f>
        <v/>
      </c>
      <c r="K1901" s="88">
        <f>ROUND((C1901*1.45)/100,0)*100</f>
        <v/>
      </c>
      <c r="L1901" s="88">
        <f>ROUND((C1901*1.55)/100,0)*100</f>
        <v/>
      </c>
      <c r="M1901" s="219" t="n"/>
      <c r="O1901" s="117">
        <f>C1901*P1901</f>
        <v/>
      </c>
      <c r="P1901" s="150" t="n">
        <v>1.1</v>
      </c>
      <c r="R1901" s="117" t="n"/>
      <c r="T1901" s="117" t="n"/>
      <c r="W1901" s="96" t="n"/>
      <c r="X1901" s="96" t="n"/>
      <c r="Y1901" s="96" t="n"/>
      <c r="Z1901" s="96" t="n"/>
      <c r="AA1901" s="96" t="n"/>
      <c r="AB1901" s="96" t="n"/>
      <c r="AC1901" s="96" t="n"/>
      <c r="AD1901" s="96" t="n"/>
      <c r="AE1901" s="96" t="n"/>
      <c r="AF1901" s="96" t="n"/>
    </row>
    <row r="1902">
      <c r="A1902" s="68" t="inlineStr">
        <is>
          <t>AER6011</t>
        </is>
      </c>
      <c r="B1902" s="246" t="inlineStr">
        <is>
          <t>REMERA AERO</t>
        </is>
      </c>
      <c r="C1902" s="88" t="n">
        <v>24900</v>
      </c>
      <c r="D1902" s="88">
        <f>ROUND((C1902*1.07)/100,0)*100</f>
        <v/>
      </c>
      <c r="E1902" s="88">
        <f>ROUND((C1902*1.15)/100,0)*100</f>
        <v/>
      </c>
      <c r="F1902" s="88">
        <f>ROUND((C1902*1.15)/100,0)*100</f>
        <v/>
      </c>
      <c r="G1902" s="88">
        <f>ROUND((C1902*1.2)/100,0)*100</f>
        <v/>
      </c>
      <c r="H1902" s="88">
        <f>ROUND((C1902*1.25)/100,0)*100</f>
        <v/>
      </c>
      <c r="I1902" s="88">
        <f>ROUND((C1902*1.3)/100,0)*100</f>
        <v/>
      </c>
      <c r="J1902" s="22">
        <f>ROUND((C1902*1.35)/100,0)*100</f>
        <v/>
      </c>
      <c r="K1902" s="88">
        <f>ROUND((C1902*1.45)/100,0)*100</f>
        <v/>
      </c>
      <c r="L1902" s="88">
        <f>ROUND((C1902*1.55)/100,0)*100</f>
        <v/>
      </c>
      <c r="M1902" s="219" t="n"/>
      <c r="O1902" s="117">
        <f>C1902*P1902</f>
        <v/>
      </c>
      <c r="P1902" s="150" t="n">
        <v>1.1</v>
      </c>
      <c r="R1902" s="117" t="n"/>
      <c r="T1902" s="117" t="n"/>
      <c r="W1902" s="96" t="n"/>
      <c r="X1902" s="96" t="n"/>
      <c r="Y1902" s="96" t="n"/>
      <c r="Z1902" s="96" t="n"/>
      <c r="AA1902" s="96" t="n"/>
      <c r="AB1902" s="96" t="n"/>
      <c r="AC1902" s="96" t="n"/>
      <c r="AD1902" s="96" t="n"/>
      <c r="AE1902" s="96" t="n"/>
      <c r="AF1902" s="96" t="n"/>
    </row>
    <row r="1903">
      <c r="A1903" s="134" t="inlineStr">
        <is>
          <t>AER6016</t>
        </is>
      </c>
      <c r="B1903" s="246" t="inlineStr">
        <is>
          <t>REMERA AERO</t>
        </is>
      </c>
      <c r="C1903" s="88" t="n">
        <v>24900</v>
      </c>
      <c r="D1903" s="88">
        <f>ROUND((C1903*1.07)/100,0)*100</f>
        <v/>
      </c>
      <c r="E1903" s="88">
        <f>ROUND((C1903*1.15)/100,0)*100</f>
        <v/>
      </c>
      <c r="F1903" s="88">
        <f>ROUND((C1903*1.15)/100,0)*100</f>
        <v/>
      </c>
      <c r="G1903" s="88">
        <f>ROUND((C1903*1.2)/100,0)*100</f>
        <v/>
      </c>
      <c r="H1903" s="88">
        <f>ROUND((C1903*1.25)/100,0)*100</f>
        <v/>
      </c>
      <c r="I1903" s="88">
        <f>ROUND((C1903*1.3)/100,0)*100</f>
        <v/>
      </c>
      <c r="J1903" s="22">
        <f>ROUND((C1903*1.35)/100,0)*100</f>
        <v/>
      </c>
      <c r="K1903" s="88">
        <f>ROUND((C1903*1.45)/100,0)*100</f>
        <v/>
      </c>
      <c r="L1903" s="88">
        <f>ROUND((C1903*1.55)/100,0)*100</f>
        <v/>
      </c>
      <c r="M1903" s="219" t="n"/>
      <c r="O1903" s="117">
        <f>C1903*P1903</f>
        <v/>
      </c>
      <c r="P1903" s="150" t="n">
        <v>1.1</v>
      </c>
      <c r="R1903" s="117" t="n"/>
      <c r="T1903" s="117" t="n"/>
      <c r="W1903" s="96" t="n"/>
      <c r="X1903" s="96" t="n"/>
      <c r="Y1903" s="96" t="n"/>
      <c r="Z1903" s="96" t="n"/>
      <c r="AA1903" s="96" t="n"/>
      <c r="AB1903" s="96" t="n"/>
      <c r="AC1903" s="96" t="n"/>
      <c r="AD1903" s="96" t="n"/>
      <c r="AE1903" s="96" t="n"/>
      <c r="AF1903" s="96" t="n"/>
    </row>
    <row r="1904">
      <c r="A1904" s="134" t="inlineStr">
        <is>
          <t>AER6022</t>
        </is>
      </c>
      <c r="B1904" s="246" t="inlineStr">
        <is>
          <t>REMERA AERO</t>
        </is>
      </c>
      <c r="C1904" s="88" t="n">
        <v>26400</v>
      </c>
      <c r="D1904" s="88">
        <f>ROUND((C1904*1.07)/100,0)*100</f>
        <v/>
      </c>
      <c r="E1904" s="88">
        <f>ROUND((C1904*1.15)/100,0)*100</f>
        <v/>
      </c>
      <c r="F1904" s="88">
        <f>ROUND((C1904*1.15)/100,0)*100</f>
        <v/>
      </c>
      <c r="G1904" s="88">
        <f>ROUND((C1904*1.2)/100,0)*100</f>
        <v/>
      </c>
      <c r="H1904" s="88">
        <f>ROUND((C1904*1.25)/100,0)*100</f>
        <v/>
      </c>
      <c r="I1904" s="88">
        <f>ROUND((C1904*1.3)/100,0)*100</f>
        <v/>
      </c>
      <c r="J1904" s="22">
        <f>ROUND((C1904*1.35)/100,0)*100</f>
        <v/>
      </c>
      <c r="K1904" s="88">
        <f>ROUND((C1904*1.45)/100,0)*100</f>
        <v/>
      </c>
      <c r="L1904" s="88">
        <f>ROUND((C1904*1.55)/100,0)*100</f>
        <v/>
      </c>
      <c r="M1904" s="219" t="n"/>
      <c r="O1904" s="117">
        <f>C1904*P1904</f>
        <v/>
      </c>
      <c r="P1904" s="150" t="n">
        <v>1.1</v>
      </c>
      <c r="R1904" s="117" t="n"/>
      <c r="T1904" s="117" t="n"/>
      <c r="W1904" s="96" t="n"/>
      <c r="X1904" s="96" t="n"/>
      <c r="Y1904" s="96" t="n"/>
      <c r="Z1904" s="96" t="n"/>
      <c r="AA1904" s="96" t="n"/>
      <c r="AB1904" s="96" t="n"/>
      <c r="AC1904" s="96" t="n"/>
      <c r="AD1904" s="96" t="n"/>
      <c r="AE1904" s="96" t="n"/>
      <c r="AF1904" s="96" t="n"/>
    </row>
    <row r="1905">
      <c r="A1905" s="68" t="inlineStr">
        <is>
          <t>AER6200</t>
        </is>
      </c>
      <c r="B1905" s="246" t="inlineStr">
        <is>
          <t>REMERA AERO</t>
        </is>
      </c>
      <c r="C1905" s="88" t="n">
        <v>19900</v>
      </c>
      <c r="D1905" s="88">
        <f>ROUND((C1905*1.07)/100,0)*100</f>
        <v/>
      </c>
      <c r="E1905" s="88">
        <f>ROUND((C1905*1.15)/100,0)*100</f>
        <v/>
      </c>
      <c r="F1905" s="22" t="n"/>
      <c r="G1905" s="22" t="n"/>
      <c r="H1905" s="22" t="n"/>
      <c r="I1905" s="22" t="n"/>
      <c r="J1905" s="22" t="n"/>
      <c r="K1905" s="22" t="n"/>
      <c r="L1905" s="22" t="n"/>
      <c r="M1905" s="219" t="n"/>
      <c r="O1905" s="117">
        <f>C1905*P1905</f>
        <v/>
      </c>
      <c r="P1905" s="150" t="n">
        <v>1.1</v>
      </c>
      <c r="Q1905" s="96" t="n"/>
      <c r="R1905" s="150" t="n"/>
      <c r="S1905" s="96" t="n"/>
      <c r="T1905" s="117" t="n"/>
    </row>
    <row r="1906">
      <c r="A1906" s="134" t="inlineStr">
        <is>
          <t>AER6501</t>
        </is>
      </c>
      <c r="B1906" s="246" t="inlineStr">
        <is>
          <t>REMERA AERO</t>
        </is>
      </c>
      <c r="C1906" s="88" t="n">
        <v>21500</v>
      </c>
      <c r="D1906" s="88">
        <f>ROUND((C1906*1.07)/100,0)*100</f>
        <v/>
      </c>
      <c r="E1906" s="88">
        <f>ROUND((C1906*1.15)/100,0)*100</f>
        <v/>
      </c>
      <c r="F1906" s="22" t="n"/>
      <c r="G1906" s="22" t="n"/>
      <c r="H1906" s="22" t="n"/>
      <c r="I1906" s="22" t="n"/>
      <c r="J1906" s="22" t="n"/>
      <c r="K1906" s="22" t="n"/>
      <c r="L1906" s="22" t="n"/>
      <c r="M1906" s="219" t="n"/>
      <c r="O1906" s="117">
        <f>C1906*P1906</f>
        <v/>
      </c>
      <c r="P1906" s="150" t="n">
        <v>1.1</v>
      </c>
      <c r="Q1906" s="96" t="n"/>
      <c r="R1906" s="150" t="n"/>
      <c r="S1906" s="96" t="n"/>
      <c r="T1906" s="117" t="n"/>
    </row>
    <row r="1907">
      <c r="A1907" s="134" t="inlineStr">
        <is>
          <t>AER6507</t>
        </is>
      </c>
      <c r="B1907" s="246" t="inlineStr">
        <is>
          <t>REMERA AERO</t>
        </is>
      </c>
      <c r="C1907" s="88" t="n">
        <v>21500</v>
      </c>
      <c r="D1907" s="88">
        <f>ROUND((C1907*1.07)/100,0)*100</f>
        <v/>
      </c>
      <c r="E1907" s="88">
        <f>ROUND((C1907*1.15)/100,0)*100</f>
        <v/>
      </c>
      <c r="F1907" s="22" t="n"/>
      <c r="G1907" s="22" t="n"/>
      <c r="H1907" s="22" t="n"/>
      <c r="I1907" s="22" t="n"/>
      <c r="J1907" s="22" t="n"/>
      <c r="K1907" s="22" t="n"/>
      <c r="L1907" s="22" t="n"/>
      <c r="M1907" s="219" t="n"/>
      <c r="O1907" s="117">
        <f>C1907*P1907</f>
        <v/>
      </c>
      <c r="P1907" s="150" t="n">
        <v>1.1</v>
      </c>
      <c r="Q1907" s="96" t="n"/>
      <c r="R1907" s="150" t="n"/>
      <c r="S1907" s="96" t="n"/>
      <c r="T1907" s="117" t="n"/>
    </row>
    <row r="1908">
      <c r="A1908" s="134" t="inlineStr">
        <is>
          <t>AER6515</t>
        </is>
      </c>
      <c r="B1908" s="246" t="inlineStr">
        <is>
          <t>REMERA AERO</t>
        </is>
      </c>
      <c r="C1908" s="88" t="n">
        <v>21500</v>
      </c>
      <c r="D1908" s="88">
        <f>ROUND((C1908*1.07)/100,0)*100</f>
        <v/>
      </c>
      <c r="E1908" s="88">
        <f>ROUND((C1908*1.15)/100,0)*100</f>
        <v/>
      </c>
      <c r="F1908" s="22" t="n"/>
      <c r="G1908" s="22" t="n"/>
      <c r="H1908" s="22" t="n"/>
      <c r="I1908" s="22" t="n"/>
      <c r="J1908" s="22" t="n"/>
      <c r="K1908" s="22" t="n"/>
      <c r="L1908" s="22" t="n"/>
      <c r="M1908" s="219" t="n"/>
      <c r="O1908" s="117">
        <f>C1908*P1908</f>
        <v/>
      </c>
      <c r="P1908" s="150" t="n">
        <v>1.1</v>
      </c>
      <c r="Q1908" s="96" t="n"/>
      <c r="R1908" s="150" t="n"/>
      <c r="S1908" s="96" t="n"/>
      <c r="T1908" s="117" t="n"/>
    </row>
    <row r="1909">
      <c r="A1909" s="134" t="inlineStr">
        <is>
          <t>AER65</t>
        </is>
      </c>
      <c r="B1909" s="246" t="inlineStr">
        <is>
          <t>REMERA AERO</t>
        </is>
      </c>
      <c r="C1909" s="88" t="n">
        <v>21500</v>
      </c>
      <c r="D1909" s="88">
        <f>ROUND((C1909*1.07)/100,0)*100</f>
        <v/>
      </c>
      <c r="E1909" s="88">
        <f>ROUND((C1909*1.15)/100,0)*100</f>
        <v/>
      </c>
      <c r="F1909" s="22" t="n"/>
      <c r="G1909" s="22" t="n"/>
      <c r="H1909" s="22" t="n"/>
      <c r="I1909" s="22" t="n"/>
      <c r="J1909" s="22" t="n"/>
      <c r="K1909" s="22" t="n"/>
      <c r="L1909" s="22" t="n"/>
      <c r="M1909" s="219" t="n"/>
      <c r="O1909" s="117">
        <f>C1909*P1909</f>
        <v/>
      </c>
      <c r="P1909" s="150" t="n">
        <v>1.1</v>
      </c>
      <c r="Q1909" s="96" t="n"/>
      <c r="R1909" s="150" t="n"/>
      <c r="S1909" s="96" t="n"/>
      <c r="T1909" s="117" t="n"/>
    </row>
    <row r="1910">
      <c r="A1910" s="134" t="inlineStr">
        <is>
          <t>AER6531</t>
        </is>
      </c>
      <c r="B1910" s="246" t="inlineStr">
        <is>
          <t>REMERA AERO</t>
        </is>
      </c>
      <c r="C1910" s="88" t="n">
        <v>21500</v>
      </c>
      <c r="D1910" s="88">
        <f>ROUND((C1910*1.07)/100,0)*100</f>
        <v/>
      </c>
      <c r="E1910" s="88">
        <f>ROUND((C1910*1.15)/100,0)*100</f>
        <v/>
      </c>
      <c r="F1910" s="22" t="n"/>
      <c r="G1910" s="22" t="n"/>
      <c r="H1910" s="22" t="n"/>
      <c r="I1910" s="22" t="n"/>
      <c r="J1910" s="22" t="n"/>
      <c r="K1910" s="22" t="n"/>
      <c r="L1910" s="22" t="n"/>
      <c r="M1910" s="219" t="n"/>
      <c r="O1910" s="117">
        <f>C1910*P1910</f>
        <v/>
      </c>
      <c r="P1910" s="150" t="n">
        <v>1.1</v>
      </c>
      <c r="Q1910" s="96" t="n"/>
      <c r="R1910" s="150" t="n"/>
      <c r="S1910" s="96" t="n"/>
      <c r="T1910" s="117" t="n"/>
    </row>
    <row r="1911">
      <c r="A1911" s="134" t="inlineStr">
        <is>
          <t>AER6534</t>
        </is>
      </c>
      <c r="B1911" s="246" t="inlineStr">
        <is>
          <t>REMERA AERO</t>
        </is>
      </c>
      <c r="C1911" s="88" t="n">
        <v>21500</v>
      </c>
      <c r="D1911" s="88">
        <f>ROUND((C1911*1.07)/100,0)*100</f>
        <v/>
      </c>
      <c r="E1911" s="88">
        <f>ROUND((C1911*1.15)/100,0)*100</f>
        <v/>
      </c>
      <c r="F1911" s="22" t="n"/>
      <c r="G1911" s="22" t="n"/>
      <c r="H1911" s="22" t="n"/>
      <c r="I1911" s="22" t="n"/>
      <c r="J1911" s="22" t="n"/>
      <c r="K1911" s="22" t="n"/>
      <c r="L1911" s="22" t="n"/>
      <c r="M1911" s="219" t="n"/>
      <c r="O1911" s="117">
        <f>C1911*P1911</f>
        <v/>
      </c>
      <c r="P1911" s="150" t="n">
        <v>1.1</v>
      </c>
      <c r="Q1911" s="96" t="n"/>
      <c r="R1911" s="150" t="n"/>
      <c r="S1911" s="96" t="n"/>
      <c r="T1911" s="117" t="n"/>
    </row>
    <row r="1912">
      <c r="A1912" s="134" t="inlineStr">
        <is>
          <t>AER6805</t>
        </is>
      </c>
      <c r="B1912" s="246" t="inlineStr">
        <is>
          <t>REMERA AERO</t>
        </is>
      </c>
      <c r="C1912" s="88" t="n">
        <v>33400</v>
      </c>
      <c r="D1912" s="88">
        <f>ROUND((C1912*1.07)/100,0)*100</f>
        <v/>
      </c>
      <c r="E1912" s="88">
        <f>ROUND((C1912*1.15)/100,0)*100</f>
        <v/>
      </c>
      <c r="F1912" s="22" t="n"/>
      <c r="G1912" s="22" t="n"/>
      <c r="H1912" s="22" t="n"/>
      <c r="I1912" s="22" t="n"/>
      <c r="J1912" s="22" t="n"/>
      <c r="K1912" s="22" t="n"/>
      <c r="L1912" s="22" t="n"/>
      <c r="M1912" s="219" t="n"/>
      <c r="O1912" s="117">
        <f>C1912*P1912</f>
        <v/>
      </c>
      <c r="P1912" s="150" t="n">
        <v>1.1</v>
      </c>
      <c r="Q1912" s="96" t="n"/>
      <c r="R1912" s="150" t="n"/>
      <c r="S1912" s="96" t="n"/>
      <c r="T1912" s="117" t="n"/>
    </row>
    <row r="1913">
      <c r="A1913" s="134" t="inlineStr">
        <is>
          <t>AER6860</t>
        </is>
      </c>
      <c r="B1913" s="246" t="inlineStr">
        <is>
          <t>REMERA AERO</t>
        </is>
      </c>
      <c r="C1913" s="88" t="n">
        <v>50400</v>
      </c>
      <c r="D1913" s="88">
        <f>ROUND((C1913*1.07)/100,0)*100</f>
        <v/>
      </c>
      <c r="E1913" s="88">
        <f>ROUND((C1913*1.15)/100,0)*100</f>
        <v/>
      </c>
      <c r="F1913" s="22" t="n"/>
      <c r="G1913" s="22" t="n"/>
      <c r="H1913" s="22" t="n"/>
      <c r="I1913" s="22" t="n"/>
      <c r="J1913" s="22" t="n"/>
      <c r="K1913" s="22" t="n"/>
      <c r="L1913" s="22" t="n"/>
      <c r="M1913" s="219" t="n"/>
      <c r="O1913" s="117">
        <f>C1913*P1913</f>
        <v/>
      </c>
      <c r="P1913" s="150" t="n">
        <v>1.1</v>
      </c>
      <c r="Q1913" s="96" t="n"/>
      <c r="R1913" s="150" t="n"/>
      <c r="S1913" s="96" t="n"/>
      <c r="T1913" s="117" t="n"/>
    </row>
    <row r="1914">
      <c r="A1914" s="134" t="inlineStr">
        <is>
          <t>1968</t>
        </is>
      </c>
      <c r="B1914" s="246" t="inlineStr">
        <is>
          <t>TAVERNITI  REM M/C</t>
        </is>
      </c>
      <c r="C1914" s="88" t="n">
        <v>44200</v>
      </c>
      <c r="D1914" s="22" t="n"/>
      <c r="E1914" s="22" t="n"/>
      <c r="F1914" s="22" t="n"/>
      <c r="G1914" s="219" t="n"/>
      <c r="H1914" s="219" t="n"/>
      <c r="I1914" s="219" t="n"/>
      <c r="J1914" s="219" t="n"/>
      <c r="K1914" s="219" t="n"/>
      <c r="L1914" s="219" t="n"/>
      <c r="M1914" s="219" t="n"/>
      <c r="O1914" s="117">
        <f>C1914*P1914</f>
        <v/>
      </c>
      <c r="P1914" s="150" t="n">
        <v>1.1</v>
      </c>
      <c r="R1914" s="117" t="n"/>
      <c r="T1914" s="117" t="n"/>
    </row>
    <row r="1915">
      <c r="A1915" s="89" t="inlineStr">
        <is>
          <t>03810XXX</t>
        </is>
      </c>
      <c r="B1915" s="135" t="inlineStr">
        <is>
          <t>TAVERNITI  REM M/C</t>
        </is>
      </c>
      <c r="C1915" s="88" t="n">
        <v>50200</v>
      </c>
      <c r="D1915" s="170" t="n"/>
      <c r="E1915" s="170" t="n"/>
      <c r="F1915" s="170" t="n"/>
      <c r="G1915" s="170" t="n"/>
      <c r="H1915" s="170" t="n"/>
      <c r="I1915" s="170" t="n"/>
      <c r="J1915" s="170" t="n"/>
      <c r="K1915" s="170" t="n"/>
      <c r="L1915" s="170" t="n"/>
      <c r="M1915" s="170" t="n"/>
      <c r="N1915" s="30" t="n"/>
      <c r="O1915" s="150">
        <f>C1915*P1915</f>
        <v/>
      </c>
      <c r="P1915" s="150" t="n">
        <v>1.1</v>
      </c>
      <c r="Q1915" s="30" t="n"/>
      <c r="R1915" s="170" t="n"/>
      <c r="S1915" s="30" t="n"/>
      <c r="T1915" s="170" t="n"/>
      <c r="U1915" s="30" t="n"/>
      <c r="V1915" s="30" t="n"/>
      <c r="W1915" s="30" t="n"/>
      <c r="X1915" s="30" t="n"/>
      <c r="Y1915" s="30" t="n"/>
      <c r="Z1915" s="30" t="n"/>
      <c r="AA1915" s="30" t="n"/>
      <c r="AB1915" s="30" t="n"/>
      <c r="AC1915" s="30" t="n"/>
      <c r="AD1915" s="30" t="n"/>
      <c r="AE1915" s="30" t="n"/>
      <c r="AF1915" s="30" t="n"/>
      <c r="AG1915" s="30" t="n"/>
      <c r="AH1915" s="30" t="n"/>
      <c r="AI1915" s="30" t="n"/>
      <c r="AJ1915" s="30" t="n"/>
      <c r="AK1915" s="30" t="n"/>
      <c r="AL1915" s="30" t="n"/>
      <c r="AM1915" s="30" t="n"/>
      <c r="AN1915" s="30" t="n"/>
      <c r="AO1915" s="30" t="n"/>
    </row>
    <row r="1916">
      <c r="A1916" s="134" t="inlineStr">
        <is>
          <t>4090XXX</t>
        </is>
      </c>
      <c r="B1916" s="246" t="inlineStr">
        <is>
          <t>TAVERNITI  REM M/C</t>
        </is>
      </c>
      <c r="C1916" s="88" t="n">
        <v>35300</v>
      </c>
      <c r="D1916" s="22" t="n"/>
      <c r="E1916" s="22" t="n"/>
      <c r="F1916" s="22" t="n"/>
      <c r="G1916" s="219" t="n"/>
      <c r="H1916" s="219" t="n"/>
      <c r="I1916" s="219" t="n"/>
      <c r="J1916" s="219" t="n"/>
      <c r="K1916" s="219" t="n"/>
      <c r="L1916" s="219" t="n"/>
      <c r="M1916" s="219" t="n"/>
      <c r="O1916" s="117">
        <f>C1916*P1916</f>
        <v/>
      </c>
      <c r="P1916" s="150" t="n">
        <v>1.1</v>
      </c>
      <c r="R1916" s="117" t="n"/>
      <c r="T1916" s="117" t="n"/>
    </row>
    <row r="1917">
      <c r="A1917" s="134" t="inlineStr">
        <is>
          <t>4092</t>
        </is>
      </c>
      <c r="B1917" s="246" t="inlineStr">
        <is>
          <t>TAVERNITI  REM M/C</t>
        </is>
      </c>
      <c r="C1917" s="88" t="n">
        <v>41700</v>
      </c>
      <c r="D1917" s="22" t="n"/>
      <c r="E1917" s="22" t="n"/>
      <c r="F1917" s="22" t="n"/>
      <c r="G1917" s="219" t="n"/>
      <c r="H1917" s="219" t="n"/>
      <c r="I1917" s="219" t="n"/>
      <c r="J1917" s="219" t="n"/>
      <c r="K1917" s="219" t="n"/>
      <c r="L1917" s="219" t="n"/>
      <c r="M1917" s="219" t="n"/>
      <c r="O1917" s="117">
        <f>C1917*P1917</f>
        <v/>
      </c>
      <c r="P1917" s="150" t="n">
        <v>1.1</v>
      </c>
      <c r="R1917" s="117" t="n"/>
      <c r="T1917" s="117" t="n"/>
    </row>
    <row r="1918">
      <c r="A1918" s="134" t="inlineStr">
        <is>
          <t>4094</t>
        </is>
      </c>
      <c r="B1918" s="246" t="inlineStr">
        <is>
          <t>TAVERNITI  REM M/C</t>
        </is>
      </c>
      <c r="C1918" s="88" t="n">
        <v>41700</v>
      </c>
      <c r="D1918" s="22" t="n"/>
      <c r="E1918" s="22" t="n"/>
      <c r="F1918" s="22" t="n"/>
      <c r="G1918" s="219" t="n"/>
      <c r="H1918" s="219" t="n"/>
      <c r="I1918" s="219" t="n"/>
      <c r="J1918" s="219" t="n"/>
      <c r="K1918" s="219" t="n"/>
      <c r="L1918" s="219" t="n"/>
      <c r="M1918" s="219" t="n"/>
      <c r="O1918" s="117">
        <f>C1918*P1918</f>
        <v/>
      </c>
      <c r="P1918" s="150" t="n">
        <v>1.1</v>
      </c>
      <c r="R1918" s="117" t="n"/>
      <c r="T1918" s="117" t="n"/>
    </row>
    <row r="1919">
      <c r="A1919" s="134" t="inlineStr">
        <is>
          <t>4096</t>
        </is>
      </c>
      <c r="B1919" s="246" t="inlineStr">
        <is>
          <t>TAVERNITI  REM M/C</t>
        </is>
      </c>
      <c r="C1919" s="88" t="n">
        <v>41700</v>
      </c>
      <c r="D1919" s="22" t="n"/>
      <c r="E1919" s="22" t="n"/>
      <c r="F1919" s="22" t="n"/>
      <c r="G1919" s="219" t="n"/>
      <c r="H1919" s="219" t="n"/>
      <c r="I1919" s="219" t="n"/>
      <c r="J1919" s="219" t="n"/>
      <c r="K1919" s="219" t="n"/>
      <c r="L1919" s="219" t="n"/>
      <c r="M1919" s="219" t="n"/>
      <c r="O1919" s="117">
        <f>C1919*P1919</f>
        <v/>
      </c>
      <c r="P1919" s="150" t="n">
        <v>1.1</v>
      </c>
      <c r="R1919" s="117" t="n"/>
      <c r="T1919" s="117" t="n"/>
    </row>
    <row r="1920">
      <c r="A1920" s="134" t="inlineStr">
        <is>
          <t>4386</t>
        </is>
      </c>
      <c r="B1920" s="246" t="inlineStr">
        <is>
          <t>TAVERNITI  REM M/C</t>
        </is>
      </c>
      <c r="C1920" s="88" t="n">
        <v>37300</v>
      </c>
      <c r="D1920" s="22" t="n"/>
      <c r="E1920" s="22" t="n"/>
      <c r="F1920" s="22" t="n"/>
      <c r="G1920" s="219" t="n"/>
      <c r="H1920" s="219" t="n"/>
      <c r="I1920" s="219" t="n"/>
      <c r="J1920" s="219" t="n"/>
      <c r="K1920" s="219" t="n"/>
      <c r="L1920" s="219" t="n"/>
      <c r="M1920" s="219" t="n"/>
      <c r="O1920" s="117">
        <f>C1920*P1920</f>
        <v/>
      </c>
      <c r="P1920" s="150" t="n">
        <v>1.1</v>
      </c>
      <c r="R1920" s="117" t="n"/>
      <c r="T1920" s="117" t="n"/>
    </row>
    <row r="1921">
      <c r="A1921" s="134" t="inlineStr">
        <is>
          <t>4480</t>
        </is>
      </c>
      <c r="B1921" s="246" t="inlineStr">
        <is>
          <t>TAVERNITI  REM M/C</t>
        </is>
      </c>
      <c r="C1921" s="88" t="n">
        <v>44200</v>
      </c>
      <c r="D1921" s="22" t="n"/>
      <c r="E1921" s="22" t="n"/>
      <c r="F1921" s="22" t="n"/>
      <c r="G1921" s="219" t="n"/>
      <c r="H1921" s="219" t="n"/>
      <c r="I1921" s="219" t="n"/>
      <c r="J1921" s="219" t="n"/>
      <c r="K1921" s="219" t="n"/>
      <c r="L1921" s="219" t="n"/>
      <c r="M1921" s="219" t="n"/>
      <c r="O1921" s="117">
        <f>C1921*P1921</f>
        <v/>
      </c>
      <c r="P1921" s="150" t="n">
        <v>1.1</v>
      </c>
      <c r="R1921" s="117" t="n"/>
      <c r="T1921" s="117" t="n"/>
    </row>
    <row r="1922">
      <c r="A1922" s="134" t="inlineStr">
        <is>
          <t>4482</t>
        </is>
      </c>
      <c r="B1922" s="246" t="inlineStr">
        <is>
          <t>TAVERNITI  REM M/C</t>
        </is>
      </c>
      <c r="C1922" s="88" t="n">
        <v>44200</v>
      </c>
      <c r="D1922" s="22" t="n"/>
      <c r="E1922" s="22" t="n"/>
      <c r="F1922" s="22" t="n"/>
      <c r="G1922" s="219" t="n"/>
      <c r="H1922" s="219" t="n"/>
      <c r="I1922" s="219" t="n"/>
      <c r="J1922" s="219" t="n"/>
      <c r="K1922" s="219" t="n"/>
      <c r="L1922" s="219" t="n"/>
      <c r="M1922" s="219" t="n"/>
      <c r="O1922" s="117">
        <f>C1922*P1922</f>
        <v/>
      </c>
      <c r="P1922" s="150" t="n">
        <v>1.1</v>
      </c>
      <c r="R1922" s="117" t="n"/>
      <c r="T1922" s="117" t="n"/>
    </row>
    <row r="1923">
      <c r="A1923" s="134" t="inlineStr">
        <is>
          <t>4484</t>
        </is>
      </c>
      <c r="B1923" s="246" t="inlineStr">
        <is>
          <t>TAVERNITI  REM M/C</t>
        </is>
      </c>
      <c r="C1923" s="88" t="n">
        <v>48100</v>
      </c>
      <c r="D1923" s="22" t="n"/>
      <c r="E1923" s="22" t="n"/>
      <c r="F1923" s="22" t="n"/>
      <c r="G1923" s="219" t="n"/>
      <c r="H1923" s="219" t="n"/>
      <c r="I1923" s="219" t="n"/>
      <c r="J1923" s="219" t="n"/>
      <c r="K1923" s="219" t="n"/>
      <c r="L1923" s="219" t="n"/>
      <c r="M1923" s="219" t="n"/>
      <c r="O1923" s="117">
        <f>C1923*P1923</f>
        <v/>
      </c>
      <c r="P1923" s="150" t="n">
        <v>1.1</v>
      </c>
      <c r="R1923" s="117" t="n"/>
      <c r="T1923" s="117" t="n"/>
    </row>
    <row r="1924">
      <c r="A1924" s="134" t="inlineStr">
        <is>
          <t>4486</t>
        </is>
      </c>
      <c r="B1924" s="246" t="inlineStr">
        <is>
          <t>TAVERNITI  REM M/C</t>
        </is>
      </c>
      <c r="C1924" s="88" t="n">
        <v>44200</v>
      </c>
      <c r="D1924" s="22" t="n"/>
      <c r="E1924" s="22" t="n"/>
      <c r="F1924" s="22" t="n"/>
      <c r="G1924" s="219" t="n"/>
      <c r="H1924" s="219" t="n"/>
      <c r="I1924" s="219" t="n"/>
      <c r="J1924" s="219" t="n"/>
      <c r="K1924" s="219" t="n"/>
      <c r="L1924" s="219" t="n"/>
      <c r="M1924" s="219" t="n"/>
      <c r="O1924" s="117">
        <f>C1924*P1924</f>
        <v/>
      </c>
      <c r="P1924" s="150" t="n">
        <v>1.1</v>
      </c>
      <c r="R1924" s="117" t="n"/>
      <c r="T1924" s="117" t="n"/>
    </row>
    <row r="1925">
      <c r="A1925" s="134" t="inlineStr">
        <is>
          <t>4490</t>
        </is>
      </c>
      <c r="B1925" s="246" t="inlineStr">
        <is>
          <t>TAVERNITI  REM M/C</t>
        </is>
      </c>
      <c r="C1925" s="88" t="n">
        <v>44200</v>
      </c>
      <c r="D1925" s="22" t="n"/>
      <c r="E1925" s="22" t="n"/>
      <c r="F1925" s="22" t="n"/>
      <c r="G1925" s="219" t="n"/>
      <c r="H1925" s="219" t="n"/>
      <c r="I1925" s="219" t="n"/>
      <c r="J1925" s="219" t="n"/>
      <c r="K1925" s="219" t="n"/>
      <c r="L1925" s="219" t="n"/>
      <c r="M1925" s="219" t="n"/>
      <c r="O1925" s="117">
        <f>C1925*P1925</f>
        <v/>
      </c>
      <c r="P1925" s="150" t="n">
        <v>1.1</v>
      </c>
      <c r="R1925" s="117" t="n"/>
      <c r="T1925" s="117" t="n"/>
    </row>
    <row r="1926">
      <c r="A1926" s="134" t="inlineStr">
        <is>
          <t>4500</t>
        </is>
      </c>
      <c r="B1926" s="246" t="inlineStr">
        <is>
          <t>TAVERNITI  REM M/C</t>
        </is>
      </c>
      <c r="C1926" s="88" t="n">
        <v>38600</v>
      </c>
      <c r="D1926" s="22" t="n"/>
      <c r="E1926" s="22" t="n"/>
      <c r="F1926" s="22" t="n"/>
      <c r="G1926" s="219" t="n"/>
      <c r="H1926" s="219" t="n"/>
      <c r="I1926" s="219" t="n"/>
      <c r="J1926" s="219" t="n"/>
      <c r="K1926" s="219" t="n"/>
      <c r="L1926" s="219" t="n"/>
      <c r="M1926" s="219" t="n"/>
      <c r="O1926" s="117">
        <f>C1926*P1926</f>
        <v/>
      </c>
      <c r="P1926" s="150" t="n">
        <v>1.1</v>
      </c>
      <c r="R1926" s="117" t="n"/>
      <c r="T1926" s="117" t="n"/>
    </row>
    <row r="1927">
      <c r="A1927" s="134" t="inlineStr">
        <is>
          <t>4514</t>
        </is>
      </c>
      <c r="B1927" s="246" t="inlineStr">
        <is>
          <t>TAVERNITI  REM M/C</t>
        </is>
      </c>
      <c r="C1927" s="88" t="n">
        <v>35300</v>
      </c>
      <c r="D1927" s="22" t="n"/>
      <c r="E1927" s="22" t="n"/>
      <c r="F1927" s="22" t="n"/>
      <c r="G1927" s="219" t="n"/>
      <c r="H1927" s="219" t="n"/>
      <c r="I1927" s="219" t="n"/>
      <c r="J1927" s="219" t="n"/>
      <c r="K1927" s="219" t="n"/>
      <c r="L1927" s="219" t="n"/>
      <c r="M1927" s="219" t="n"/>
      <c r="O1927" s="117">
        <f>C1927*P1927</f>
        <v/>
      </c>
      <c r="P1927" s="150" t="n">
        <v>1.1</v>
      </c>
      <c r="R1927" s="117" t="n"/>
      <c r="T1927" s="117" t="n"/>
    </row>
    <row r="1928">
      <c r="A1928" s="134" t="inlineStr">
        <is>
          <t>4520</t>
        </is>
      </c>
      <c r="B1928" s="246" t="inlineStr">
        <is>
          <t>TAVERNITI  REM M/C</t>
        </is>
      </c>
      <c r="C1928" s="88" t="n">
        <v>40400</v>
      </c>
      <c r="D1928" s="22" t="n"/>
      <c r="E1928" s="22" t="n"/>
      <c r="F1928" s="22" t="n"/>
      <c r="G1928" s="219" t="n"/>
      <c r="H1928" s="219" t="n"/>
      <c r="I1928" s="219" t="n"/>
      <c r="J1928" s="219" t="n"/>
      <c r="K1928" s="219" t="n"/>
      <c r="L1928" s="219" t="n"/>
      <c r="M1928" s="219" t="n"/>
      <c r="O1928" s="117">
        <f>C1928*P1928</f>
        <v/>
      </c>
      <c r="P1928" s="150" t="n">
        <v>1.1</v>
      </c>
      <c r="R1928" s="117" t="n"/>
      <c r="T1928" s="117" t="n"/>
    </row>
    <row r="1929">
      <c r="A1929" s="134" t="inlineStr">
        <is>
          <t>4522</t>
        </is>
      </c>
      <c r="B1929" s="246" t="inlineStr">
        <is>
          <t>TAVERNITI  REM M/C</t>
        </is>
      </c>
      <c r="C1929" s="88" t="n">
        <v>39900</v>
      </c>
      <c r="D1929" s="22" t="n"/>
      <c r="E1929" s="22" t="n"/>
      <c r="F1929" s="22" t="n"/>
      <c r="G1929" s="219" t="n"/>
      <c r="H1929" s="219" t="n"/>
      <c r="I1929" s="219" t="n"/>
      <c r="J1929" s="219" t="n"/>
      <c r="K1929" s="219" t="n"/>
      <c r="L1929" s="219" t="n"/>
      <c r="M1929" s="219" t="n"/>
      <c r="O1929" s="117">
        <f>C1929*P1929</f>
        <v/>
      </c>
      <c r="P1929" s="150" t="n">
        <v>1.1</v>
      </c>
      <c r="R1929" s="117" t="n"/>
      <c r="T1929" s="117" t="n"/>
    </row>
    <row r="1930">
      <c r="A1930" s="134" t="inlineStr">
        <is>
          <t>4530</t>
        </is>
      </c>
      <c r="B1930" s="246" t="inlineStr">
        <is>
          <t>TAVERNITI  REM M/C</t>
        </is>
      </c>
      <c r="C1930" s="88" t="n">
        <v>39900</v>
      </c>
      <c r="D1930" s="22" t="n"/>
      <c r="E1930" s="22" t="n"/>
      <c r="F1930" s="22" t="n"/>
      <c r="G1930" s="219" t="n"/>
      <c r="H1930" s="219" t="n"/>
      <c r="I1930" s="219" t="n"/>
      <c r="J1930" s="219" t="n"/>
      <c r="K1930" s="219" t="n"/>
      <c r="L1930" s="219" t="n"/>
      <c r="M1930" s="219" t="n"/>
      <c r="O1930" s="117">
        <f>C1930*P1930</f>
        <v/>
      </c>
      <c r="P1930" s="150" t="n">
        <v>1.1</v>
      </c>
      <c r="R1930" s="117" t="n"/>
      <c r="T1930" s="117" t="n"/>
    </row>
    <row r="1931">
      <c r="A1931" s="134" t="inlineStr">
        <is>
          <t>4534</t>
        </is>
      </c>
      <c r="B1931" s="246" t="inlineStr">
        <is>
          <t>TAVERNITI  REM M/C</t>
        </is>
      </c>
      <c r="C1931" s="88" t="n">
        <v>37300</v>
      </c>
      <c r="D1931" s="22" t="n"/>
      <c r="E1931" s="22" t="n"/>
      <c r="F1931" s="22" t="n"/>
      <c r="G1931" s="219" t="n"/>
      <c r="H1931" s="219" t="n"/>
      <c r="I1931" s="219" t="n"/>
      <c r="J1931" s="219" t="n"/>
      <c r="K1931" s="219" t="n"/>
      <c r="L1931" s="219" t="n"/>
      <c r="M1931" s="219" t="n"/>
      <c r="O1931" s="117">
        <f>C1931*P1931</f>
        <v/>
      </c>
      <c r="P1931" s="150" t="n">
        <v>1.1</v>
      </c>
      <c r="R1931" s="117" t="n"/>
      <c r="T1931" s="117" t="n"/>
    </row>
    <row r="1932">
      <c r="A1932" s="134" t="inlineStr">
        <is>
          <t>4540</t>
        </is>
      </c>
      <c r="B1932" s="246" t="inlineStr">
        <is>
          <t>TAVERNITI  REM M/C</t>
        </is>
      </c>
      <c r="C1932" s="88" t="n">
        <v>38600</v>
      </c>
      <c r="D1932" s="22" t="n"/>
      <c r="E1932" s="22" t="n"/>
      <c r="F1932" s="22" t="n"/>
      <c r="G1932" s="219" t="n"/>
      <c r="H1932" s="219" t="n"/>
      <c r="I1932" s="219" t="n"/>
      <c r="J1932" s="219" t="n"/>
      <c r="K1932" s="219" t="n"/>
      <c r="L1932" s="219" t="n"/>
      <c r="M1932" s="219" t="n"/>
      <c r="O1932" s="117">
        <f>C1932*P1932</f>
        <v/>
      </c>
      <c r="P1932" s="150" t="n">
        <v>1.1</v>
      </c>
      <c r="R1932" s="117" t="n"/>
      <c r="T1932" s="117" t="n"/>
    </row>
    <row r="1933">
      <c r="A1933" s="134" t="inlineStr">
        <is>
          <t>4554</t>
        </is>
      </c>
      <c r="B1933" s="246" t="inlineStr">
        <is>
          <t>TAVERNITI  REM M/C</t>
        </is>
      </c>
      <c r="C1933" s="88" t="n">
        <v>39900</v>
      </c>
      <c r="D1933" s="22" t="n"/>
      <c r="E1933" s="22" t="n"/>
      <c r="F1933" s="22" t="n"/>
      <c r="G1933" s="219" t="n"/>
      <c r="H1933" s="219" t="n"/>
      <c r="I1933" s="219" t="n"/>
      <c r="J1933" s="219" t="n"/>
      <c r="K1933" s="219" t="n"/>
      <c r="L1933" s="219" t="n"/>
      <c r="M1933" s="219" t="n"/>
      <c r="O1933" s="117">
        <f>C1933*P1933</f>
        <v/>
      </c>
      <c r="P1933" s="150" t="n">
        <v>1.1</v>
      </c>
      <c r="R1933" s="117" t="n"/>
      <c r="T1933" s="117" t="n"/>
    </row>
    <row r="1934">
      <c r="A1934" s="134" t="inlineStr">
        <is>
          <t>4558</t>
        </is>
      </c>
      <c r="B1934" s="246" t="inlineStr">
        <is>
          <t>TAVERNITI  REM M/C</t>
        </is>
      </c>
      <c r="C1934" s="88" t="n">
        <v>38600</v>
      </c>
      <c r="D1934" s="22" t="n"/>
      <c r="E1934" s="22" t="n"/>
      <c r="F1934" s="22" t="n"/>
      <c r="G1934" s="219" t="n"/>
      <c r="H1934" s="219" t="n"/>
      <c r="I1934" s="219" t="n"/>
      <c r="J1934" s="219" t="n"/>
      <c r="K1934" s="219" t="n"/>
      <c r="L1934" s="219" t="n"/>
      <c r="M1934" s="219" t="n"/>
      <c r="O1934" s="117">
        <f>C1934*P1934</f>
        <v/>
      </c>
      <c r="P1934" s="150" t="n">
        <v>1.1</v>
      </c>
      <c r="R1934" s="117" t="n"/>
      <c r="T1934" s="117" t="n"/>
    </row>
    <row r="1935">
      <c r="A1935" s="134" t="inlineStr">
        <is>
          <t>4592</t>
        </is>
      </c>
      <c r="B1935" s="246" t="inlineStr">
        <is>
          <t>TAVERNITI  REM M/C</t>
        </is>
      </c>
      <c r="C1935" s="88" t="n">
        <v>44600</v>
      </c>
      <c r="D1935" s="22" t="n"/>
      <c r="E1935" s="22" t="n"/>
      <c r="F1935" s="22" t="n"/>
      <c r="G1935" s="219" t="n"/>
      <c r="H1935" s="219" t="n"/>
      <c r="I1935" s="219" t="n"/>
      <c r="J1935" s="219" t="n"/>
      <c r="K1935" s="219" t="n"/>
      <c r="L1935" s="219" t="n"/>
      <c r="M1935" s="219" t="n"/>
      <c r="O1935" s="117">
        <f>C1935*P1935</f>
        <v/>
      </c>
      <c r="P1935" s="150" t="n">
        <v>1.1</v>
      </c>
      <c r="R1935" s="117" t="n"/>
      <c r="T1935" s="117" t="n"/>
    </row>
    <row r="1936">
      <c r="A1936" s="134" t="inlineStr">
        <is>
          <t>4618</t>
        </is>
      </c>
      <c r="B1936" s="246" t="inlineStr">
        <is>
          <t>TAVERNITI  REM M/C</t>
        </is>
      </c>
      <c r="C1936" s="88" t="n">
        <v>41700</v>
      </c>
      <c r="D1936" s="22" t="n"/>
      <c r="E1936" s="22" t="n"/>
      <c r="F1936" s="22" t="n"/>
      <c r="G1936" s="219" t="n"/>
      <c r="H1936" s="219" t="n"/>
      <c r="I1936" s="219" t="n"/>
      <c r="J1936" s="219" t="n"/>
      <c r="K1936" s="219" t="n"/>
      <c r="L1936" s="219" t="n"/>
      <c r="M1936" s="219" t="n"/>
      <c r="O1936" s="117">
        <f>C1936*P1936</f>
        <v/>
      </c>
      <c r="P1936" s="150" t="n">
        <v>1.1</v>
      </c>
      <c r="R1936" s="117" t="n"/>
      <c r="T1936" s="117" t="n"/>
    </row>
    <row r="1937">
      <c r="A1937" s="134" t="inlineStr">
        <is>
          <t>4630XXX</t>
        </is>
      </c>
      <c r="B1937" s="246" t="inlineStr">
        <is>
          <t>TAVERNITI  REM M/C</t>
        </is>
      </c>
      <c r="C1937" s="88" t="n">
        <v>33900</v>
      </c>
      <c r="D1937" s="22" t="n"/>
      <c r="E1937" s="22" t="n"/>
      <c r="F1937" s="22" t="n"/>
      <c r="G1937" s="219" t="n"/>
      <c r="H1937" s="219" t="n"/>
      <c r="I1937" s="219" t="n"/>
      <c r="J1937" s="219" t="n"/>
      <c r="K1937" s="219" t="n"/>
      <c r="L1937" s="219" t="n"/>
      <c r="M1937" s="219" t="n"/>
      <c r="O1937" s="117">
        <f>C1937*P1937</f>
        <v/>
      </c>
      <c r="P1937" s="150" t="n">
        <v>1.1</v>
      </c>
      <c r="R1937" s="117" t="n"/>
      <c r="T1937" s="117" t="n"/>
    </row>
    <row r="1938">
      <c r="A1938" s="134" t="inlineStr">
        <is>
          <t>4644XXX</t>
        </is>
      </c>
      <c r="B1938" s="246" t="inlineStr">
        <is>
          <t>TAVERNITI  REM M/C</t>
        </is>
      </c>
      <c r="C1938" s="88" t="n">
        <v>40400</v>
      </c>
      <c r="D1938" s="22" t="n"/>
      <c r="E1938" s="22" t="n"/>
      <c r="F1938" s="22" t="n"/>
      <c r="G1938" s="219" t="n"/>
      <c r="H1938" s="219" t="n"/>
      <c r="I1938" s="219" t="n"/>
      <c r="J1938" s="219" t="n"/>
      <c r="K1938" s="219" t="n"/>
      <c r="L1938" s="219" t="n"/>
      <c r="M1938" s="219" t="n"/>
      <c r="O1938" s="117">
        <f>C1938*P1938</f>
        <v/>
      </c>
      <c r="P1938" s="150" t="n">
        <v>1.1</v>
      </c>
      <c r="R1938" s="117" t="n"/>
      <c r="T1938" s="117" t="n"/>
    </row>
    <row r="1939">
      <c r="A1939" s="89" t="inlineStr">
        <is>
          <t>04668XXX</t>
        </is>
      </c>
      <c r="B1939" s="135" t="inlineStr">
        <is>
          <t>TAVERNITI  REM M/C</t>
        </is>
      </c>
      <c r="C1939" s="88" t="n">
        <v>44900</v>
      </c>
      <c r="D1939" s="170" t="n"/>
      <c r="E1939" s="170" t="n"/>
      <c r="F1939" s="170" t="n"/>
      <c r="G1939" s="170" t="n"/>
      <c r="H1939" s="170" t="n"/>
      <c r="I1939" s="170" t="n"/>
      <c r="J1939" s="170" t="n"/>
      <c r="K1939" s="170" t="n"/>
      <c r="L1939" s="170" t="n"/>
      <c r="M1939" s="170" t="n"/>
      <c r="O1939" s="117">
        <f>C1939*P1939</f>
        <v/>
      </c>
      <c r="P1939" s="150" t="n">
        <v>1.1</v>
      </c>
      <c r="Q1939" s="30" t="n"/>
      <c r="R1939" s="170" t="n"/>
      <c r="S1939" s="30" t="n"/>
      <c r="T1939" s="170" t="n"/>
      <c r="U1939" s="30" t="n"/>
      <c r="V1939" s="30" t="n"/>
      <c r="W1939" s="30" t="n"/>
      <c r="X1939" s="30" t="n"/>
      <c r="Y1939" s="30" t="n"/>
      <c r="Z1939" s="30" t="n"/>
      <c r="AA1939" s="30" t="n"/>
      <c r="AB1939" s="30" t="n"/>
      <c r="AC1939" s="30" t="n"/>
      <c r="AD1939" s="30" t="n"/>
      <c r="AE1939" s="30" t="n"/>
      <c r="AF1939" s="30" t="n"/>
      <c r="AG1939" s="30" t="n"/>
      <c r="AH1939" s="30" t="n"/>
      <c r="AI1939" s="30" t="n"/>
      <c r="AJ1939" s="30" t="n"/>
      <c r="AK1939" s="30" t="n"/>
      <c r="AL1939" s="30" t="n"/>
      <c r="AM1939" s="30" t="n"/>
      <c r="AN1939" s="30" t="n"/>
    </row>
    <row r="1940">
      <c r="A1940" s="89" t="inlineStr">
        <is>
          <t>04670XXX</t>
        </is>
      </c>
      <c r="B1940" s="135" t="inlineStr">
        <is>
          <t>TAVERNITI  REM M/C</t>
        </is>
      </c>
      <c r="C1940" s="88" t="n">
        <v>50900</v>
      </c>
      <c r="D1940" s="170" t="n"/>
      <c r="E1940" s="170" t="n"/>
      <c r="F1940" s="170" t="n"/>
      <c r="G1940" s="170" t="n"/>
      <c r="H1940" s="170" t="n"/>
      <c r="I1940" s="170" t="n"/>
      <c r="J1940" s="170" t="n"/>
      <c r="K1940" s="170" t="n"/>
      <c r="L1940" s="170" t="n"/>
      <c r="M1940" s="170" t="n"/>
      <c r="O1940" s="117">
        <f>C1940*P1940</f>
        <v/>
      </c>
      <c r="P1940" s="150" t="n">
        <v>1.1</v>
      </c>
      <c r="Q1940" s="30" t="n"/>
      <c r="R1940" s="170" t="n"/>
      <c r="S1940" s="30" t="n"/>
      <c r="T1940" s="170" t="n"/>
      <c r="U1940" s="30" t="n"/>
      <c r="V1940" s="30" t="n"/>
      <c r="W1940" s="30" t="n"/>
      <c r="X1940" s="30" t="n"/>
      <c r="Y1940" s="30" t="n"/>
      <c r="Z1940" s="30" t="n"/>
      <c r="AA1940" s="30" t="n"/>
      <c r="AB1940" s="30" t="n"/>
      <c r="AC1940" s="30" t="n"/>
      <c r="AD1940" s="30" t="n"/>
      <c r="AE1940" s="30" t="n"/>
      <c r="AF1940" s="30" t="n"/>
      <c r="AG1940" s="30" t="n"/>
      <c r="AH1940" s="30" t="n"/>
      <c r="AI1940" s="30" t="n"/>
      <c r="AJ1940" s="30" t="n"/>
      <c r="AK1940" s="30" t="n"/>
      <c r="AL1940" s="30" t="n"/>
      <c r="AM1940" s="30" t="n"/>
      <c r="AN1940" s="30" t="n"/>
    </row>
    <row r="1941">
      <c r="A1941" s="134" t="inlineStr">
        <is>
          <t>4672</t>
        </is>
      </c>
      <c r="B1941" s="246" t="inlineStr">
        <is>
          <t>TAVERNITI  REM M/C</t>
        </is>
      </c>
      <c r="C1941" s="88" t="n">
        <v>45100</v>
      </c>
      <c r="D1941" s="22" t="n"/>
      <c r="E1941" s="22" t="n"/>
      <c r="F1941" s="22" t="n"/>
      <c r="G1941" s="219" t="n"/>
      <c r="H1941" s="219" t="n"/>
      <c r="I1941" s="219" t="n"/>
      <c r="J1941" s="219" t="n"/>
      <c r="K1941" s="219" t="n"/>
      <c r="L1941" s="219" t="n"/>
      <c r="M1941" s="219" t="n"/>
      <c r="O1941" s="117">
        <f>C1941*P1941</f>
        <v/>
      </c>
      <c r="P1941" s="150" t="n">
        <v>1.1</v>
      </c>
      <c r="R1941" s="117" t="n"/>
      <c r="T1941" s="117" t="n"/>
    </row>
    <row r="1942">
      <c r="A1942" s="134" t="inlineStr">
        <is>
          <t>4682</t>
        </is>
      </c>
      <c r="B1942" s="246" t="inlineStr">
        <is>
          <t>TAVERNITI  REM M/C</t>
        </is>
      </c>
      <c r="C1942" s="88" t="n">
        <v>43700</v>
      </c>
      <c r="D1942" s="22" t="n"/>
      <c r="E1942" s="22" t="n"/>
      <c r="F1942" s="22" t="n"/>
      <c r="G1942" s="219" t="n"/>
      <c r="H1942" s="219" t="n"/>
      <c r="I1942" s="219" t="n"/>
      <c r="J1942" s="219" t="n"/>
      <c r="K1942" s="219" t="n"/>
      <c r="L1942" s="219" t="n"/>
      <c r="M1942" s="219" t="n"/>
      <c r="O1942" s="117">
        <f>C1942*P1942</f>
        <v/>
      </c>
      <c r="P1942" s="150" t="n">
        <v>1.1</v>
      </c>
      <c r="R1942" s="117" t="n"/>
      <c r="T1942" s="117" t="n"/>
    </row>
    <row r="1943">
      <c r="A1943" s="134" t="inlineStr">
        <is>
          <t>4684</t>
        </is>
      </c>
      <c r="B1943" s="246" t="inlineStr">
        <is>
          <t>TAVERNITI  REM M/C</t>
        </is>
      </c>
      <c r="C1943" s="88" t="n">
        <v>41700</v>
      </c>
      <c r="D1943" s="22" t="n"/>
      <c r="E1943" s="22" t="n"/>
      <c r="F1943" s="22" t="n"/>
      <c r="G1943" s="219" t="n"/>
      <c r="H1943" s="219" t="n"/>
      <c r="I1943" s="219" t="n"/>
      <c r="J1943" s="219" t="n"/>
      <c r="K1943" s="219" t="n"/>
      <c r="L1943" s="219" t="n"/>
      <c r="M1943" s="219" t="n"/>
      <c r="O1943" s="117">
        <f>C1943*P1943</f>
        <v/>
      </c>
      <c r="P1943" s="150" t="n">
        <v>1.1</v>
      </c>
      <c r="R1943" s="117" t="n"/>
      <c r="T1943" s="117" t="n"/>
    </row>
    <row r="1944">
      <c r="A1944" s="134" t="inlineStr">
        <is>
          <t>4694</t>
        </is>
      </c>
      <c r="B1944" s="246" t="inlineStr">
        <is>
          <t>TAVERNITI  REM M/C</t>
        </is>
      </c>
      <c r="C1944" s="88" t="n">
        <v>43700</v>
      </c>
      <c r="D1944" s="22" t="n"/>
      <c r="E1944" s="22" t="n"/>
      <c r="F1944" s="22" t="n"/>
      <c r="G1944" s="219" t="n"/>
      <c r="H1944" s="219" t="n"/>
      <c r="I1944" s="219" t="n"/>
      <c r="J1944" s="219" t="n"/>
      <c r="K1944" s="219" t="n"/>
      <c r="L1944" s="219" t="n"/>
      <c r="M1944" s="219" t="n"/>
      <c r="O1944" s="117">
        <f>C1944*P1944</f>
        <v/>
      </c>
      <c r="P1944" s="150" t="n">
        <v>1.1</v>
      </c>
      <c r="R1944" s="117" t="n"/>
      <c r="T1944" s="117" t="n"/>
    </row>
    <row r="1945">
      <c r="A1945" s="134" t="inlineStr">
        <is>
          <t>4710</t>
        </is>
      </c>
      <c r="B1945" s="246" t="inlineStr">
        <is>
          <t>TAVERNITI  REM M/C</t>
        </is>
      </c>
      <c r="C1945" s="88" t="n">
        <v>46300</v>
      </c>
      <c r="D1945" s="22" t="n"/>
      <c r="E1945" s="22" t="n"/>
      <c r="F1945" s="22" t="n"/>
      <c r="G1945" s="219" t="n"/>
      <c r="H1945" s="219" t="n"/>
      <c r="I1945" s="219" t="n"/>
      <c r="J1945" s="219" t="n"/>
      <c r="K1945" s="219" t="n"/>
      <c r="L1945" s="219" t="n"/>
      <c r="M1945" s="219" t="n"/>
      <c r="O1945" s="117">
        <f>C1945*P1945</f>
        <v/>
      </c>
      <c r="P1945" s="150" t="n">
        <v>1.1</v>
      </c>
      <c r="R1945" s="117" t="n"/>
      <c r="T1945" s="117" t="n"/>
    </row>
    <row r="1946">
      <c r="A1946" s="134" t="inlineStr">
        <is>
          <t>4712</t>
        </is>
      </c>
      <c r="B1946" s="246" t="inlineStr">
        <is>
          <t>TAVERNITI  REM M/C</t>
        </is>
      </c>
      <c r="C1946" s="88" t="n">
        <v>45100</v>
      </c>
      <c r="D1946" s="22" t="n"/>
      <c r="E1946" s="22" t="n"/>
      <c r="F1946" s="22" t="n"/>
      <c r="G1946" s="219" t="n"/>
      <c r="H1946" s="219" t="n"/>
      <c r="I1946" s="219" t="n"/>
      <c r="J1946" s="219" t="n"/>
      <c r="K1946" s="219" t="n"/>
      <c r="L1946" s="219" t="n"/>
      <c r="M1946" s="219" t="n"/>
      <c r="O1946" s="117">
        <f>C1946*P1946</f>
        <v/>
      </c>
      <c r="P1946" s="150" t="n">
        <v>1.1</v>
      </c>
      <c r="R1946" s="117" t="n"/>
      <c r="T1946" s="117" t="n"/>
    </row>
    <row r="1947">
      <c r="A1947" s="134" t="inlineStr">
        <is>
          <t>4714</t>
        </is>
      </c>
      <c r="B1947" s="246" t="inlineStr">
        <is>
          <t>TAVERNITI  REM M/C</t>
        </is>
      </c>
      <c r="C1947" s="88" t="n">
        <v>45100</v>
      </c>
      <c r="D1947" s="22" t="n"/>
      <c r="E1947" s="22" t="n"/>
      <c r="F1947" s="22" t="n"/>
      <c r="G1947" s="219" t="n"/>
      <c r="H1947" s="219" t="n"/>
      <c r="I1947" s="219" t="n"/>
      <c r="J1947" s="219" t="n"/>
      <c r="K1947" s="219" t="n"/>
      <c r="L1947" s="219" t="n"/>
      <c r="M1947" s="219" t="n"/>
      <c r="O1947" s="117">
        <f>C1947*P1947</f>
        <v/>
      </c>
      <c r="P1947" s="150" t="n">
        <v>1.1</v>
      </c>
      <c r="R1947" s="117" t="n"/>
      <c r="T1947" s="117" t="n"/>
    </row>
    <row r="1948">
      <c r="A1948" s="134" t="inlineStr">
        <is>
          <t>4716</t>
        </is>
      </c>
      <c r="B1948" s="246" t="inlineStr">
        <is>
          <t>TAVERNITI  REM M/C</t>
        </is>
      </c>
      <c r="C1948" s="88" t="n">
        <v>45100</v>
      </c>
      <c r="D1948" s="22" t="n"/>
      <c r="E1948" s="22" t="n"/>
      <c r="F1948" s="22" t="n"/>
      <c r="G1948" s="219" t="n"/>
      <c r="H1948" s="219" t="n"/>
      <c r="I1948" s="219" t="n"/>
      <c r="J1948" s="219" t="n"/>
      <c r="K1948" s="219" t="n"/>
      <c r="L1948" s="219" t="n"/>
      <c r="M1948" s="219" t="n"/>
      <c r="O1948" s="117">
        <f>C1948*P1948</f>
        <v/>
      </c>
      <c r="P1948" s="150" t="n">
        <v>1.1</v>
      </c>
      <c r="R1948" s="117" t="n"/>
      <c r="T1948" s="117" t="n"/>
    </row>
    <row r="1949">
      <c r="A1949" s="134" t="inlineStr">
        <is>
          <t>4718</t>
        </is>
      </c>
      <c r="B1949" s="246" t="inlineStr">
        <is>
          <t>TAVERNITI  REM M/C</t>
        </is>
      </c>
      <c r="C1949" s="88" t="n">
        <v>46300</v>
      </c>
      <c r="D1949" s="22" t="n"/>
      <c r="E1949" s="22" t="n"/>
      <c r="F1949" s="22" t="n"/>
      <c r="G1949" s="219" t="n"/>
      <c r="H1949" s="219" t="n"/>
      <c r="I1949" s="219" t="n"/>
      <c r="J1949" s="219" t="n"/>
      <c r="K1949" s="219" t="n"/>
      <c r="L1949" s="219" t="n"/>
      <c r="M1949" s="219" t="n"/>
      <c r="O1949" s="117">
        <f>C1949*P1949</f>
        <v/>
      </c>
      <c r="P1949" s="150" t="n">
        <v>1.1</v>
      </c>
      <c r="R1949" s="117" t="n"/>
      <c r="T1949" s="117" t="n"/>
    </row>
    <row r="1950">
      <c r="A1950" s="134" t="inlineStr">
        <is>
          <t>4720</t>
        </is>
      </c>
      <c r="B1950" s="246" t="inlineStr">
        <is>
          <t>TAVERNITI  REM M/C</t>
        </is>
      </c>
      <c r="C1950" s="88" t="n">
        <v>45100</v>
      </c>
      <c r="D1950" s="22" t="n"/>
      <c r="E1950" s="22" t="n"/>
      <c r="F1950" s="22" t="n"/>
      <c r="G1950" s="219" t="n"/>
      <c r="H1950" s="219" t="n"/>
      <c r="I1950" s="219" t="n"/>
      <c r="J1950" s="219" t="n"/>
      <c r="K1950" s="219" t="n"/>
      <c r="L1950" s="219" t="n"/>
      <c r="M1950" s="219" t="n"/>
      <c r="O1950" s="117">
        <f>C1950*P1950</f>
        <v/>
      </c>
      <c r="P1950" s="150" t="n">
        <v>1.1</v>
      </c>
      <c r="R1950" s="117" t="n"/>
      <c r="T1950" s="117" t="n"/>
    </row>
    <row r="1951">
      <c r="A1951" s="134" t="inlineStr">
        <is>
          <t>4726</t>
        </is>
      </c>
      <c r="B1951" s="246" t="inlineStr">
        <is>
          <t>TAVERNITI  REM M/C</t>
        </is>
      </c>
      <c r="C1951" s="22" t="n">
        <v>36000</v>
      </c>
      <c r="D1951" s="153" t="n"/>
      <c r="E1951" s="219" t="n"/>
      <c r="F1951" s="219" t="n"/>
      <c r="G1951" s="219" t="n"/>
      <c r="H1951" s="219" t="n"/>
      <c r="I1951" s="219" t="n"/>
      <c r="J1951" s="219" t="n"/>
      <c r="K1951" s="219" t="n"/>
      <c r="M1951" s="219" t="n"/>
      <c r="O1951" s="117">
        <f>C1951*P1951</f>
        <v/>
      </c>
      <c r="P1951" s="150" t="n">
        <v>1.1</v>
      </c>
      <c r="R1951" s="117" t="n"/>
      <c r="T1951" s="117" t="n"/>
    </row>
    <row r="1952">
      <c r="A1952" s="89" t="inlineStr">
        <is>
          <t>05298XXX</t>
        </is>
      </c>
      <c r="B1952" s="135" t="inlineStr">
        <is>
          <t>TAVERNITI  REM M/C</t>
        </is>
      </c>
      <c r="C1952" s="88" t="n">
        <v>44000</v>
      </c>
      <c r="D1952" s="170" t="n"/>
      <c r="E1952" s="170" t="n"/>
      <c r="F1952" s="170" t="n"/>
      <c r="G1952" s="170" t="n"/>
      <c r="H1952" s="170" t="n"/>
      <c r="I1952" s="170" t="n"/>
      <c r="J1952" s="170" t="n"/>
      <c r="K1952" s="170" t="n"/>
      <c r="L1952" s="170" t="n"/>
      <c r="M1952" s="170" t="n"/>
      <c r="O1952" s="117">
        <f>C1952*P1952</f>
        <v/>
      </c>
      <c r="P1952" s="150" t="n">
        <v>1.1</v>
      </c>
      <c r="Q1952" s="30" t="n"/>
      <c r="R1952" s="170" t="n"/>
      <c r="S1952" s="30" t="n"/>
      <c r="T1952" s="170" t="n"/>
      <c r="U1952" s="30" t="n"/>
      <c r="V1952" s="30" t="n"/>
      <c r="W1952" s="30" t="n"/>
      <c r="X1952" s="30" t="n"/>
      <c r="Y1952" s="30" t="n"/>
      <c r="Z1952" s="30" t="n"/>
      <c r="AA1952" s="30" t="n"/>
      <c r="AB1952" s="30" t="n"/>
      <c r="AC1952" s="30" t="n"/>
      <c r="AD1952" s="30" t="n"/>
      <c r="AE1952" s="30" t="n"/>
      <c r="AF1952" s="30" t="n"/>
      <c r="AG1952" s="30" t="n"/>
      <c r="AH1952" s="30" t="n"/>
      <c r="AI1952" s="30" t="n"/>
      <c r="AJ1952" s="30" t="n"/>
      <c r="AK1952" s="30" t="n"/>
      <c r="AL1952" s="30" t="n"/>
      <c r="AM1952" s="30" t="n"/>
      <c r="AN1952" s="30" t="n"/>
    </row>
    <row r="1953">
      <c r="A1953" s="89" t="inlineStr">
        <is>
          <t>05312XXX</t>
        </is>
      </c>
      <c r="B1953" s="135" t="inlineStr">
        <is>
          <t>TAVERNITI  REM M/C</t>
        </is>
      </c>
      <c r="C1953" s="88" t="n">
        <v>41900</v>
      </c>
      <c r="D1953" s="170" t="n"/>
      <c r="E1953" s="170" t="n"/>
      <c r="F1953" s="170" t="n"/>
      <c r="G1953" s="170" t="n"/>
      <c r="H1953" s="170" t="n"/>
      <c r="I1953" s="170" t="n"/>
      <c r="J1953" s="170" t="n"/>
      <c r="K1953" s="170" t="n"/>
      <c r="L1953" s="170" t="n"/>
      <c r="M1953" s="170" t="n"/>
      <c r="O1953" s="117">
        <f>C1953*P1953</f>
        <v/>
      </c>
      <c r="P1953" s="150" t="n">
        <v>1.1</v>
      </c>
      <c r="Q1953" s="30" t="n"/>
      <c r="R1953" s="170" t="n"/>
      <c r="S1953" s="30" t="n"/>
      <c r="T1953" s="170" t="n"/>
      <c r="U1953" s="30" t="n"/>
      <c r="V1953" s="30" t="n"/>
      <c r="W1953" s="30" t="n"/>
      <c r="X1953" s="30" t="n"/>
      <c r="Y1953" s="30" t="n"/>
      <c r="Z1953" s="30" t="n"/>
      <c r="AA1953" s="30" t="n"/>
      <c r="AB1953" s="30" t="n"/>
      <c r="AC1953" s="30" t="n"/>
      <c r="AD1953" s="30" t="n"/>
      <c r="AE1953" s="30" t="n"/>
      <c r="AF1953" s="30" t="n"/>
      <c r="AG1953" s="30" t="n"/>
      <c r="AH1953" s="30" t="n"/>
      <c r="AI1953" s="30" t="n"/>
      <c r="AJ1953" s="30" t="n"/>
      <c r="AK1953" s="30" t="n"/>
      <c r="AL1953" s="30" t="n"/>
      <c r="AM1953" s="30" t="n"/>
      <c r="AN1953" s="30" t="n"/>
    </row>
    <row r="1954">
      <c r="A1954" s="89" t="inlineStr">
        <is>
          <t>05316XXX</t>
        </is>
      </c>
      <c r="B1954" s="135" t="inlineStr">
        <is>
          <t>TAVERNITI  REM M/C</t>
        </is>
      </c>
      <c r="C1954" s="88" t="n">
        <v>41900</v>
      </c>
      <c r="D1954" s="170" t="n"/>
      <c r="E1954" s="170" t="n"/>
      <c r="F1954" s="170" t="n"/>
      <c r="G1954" s="170" t="n"/>
      <c r="H1954" s="170" t="n"/>
      <c r="I1954" s="170" t="n"/>
      <c r="J1954" s="170" t="n"/>
      <c r="K1954" s="170" t="n"/>
      <c r="L1954" s="170" t="n"/>
      <c r="M1954" s="170" t="n"/>
      <c r="O1954" s="117">
        <f>C1954*P1954</f>
        <v/>
      </c>
      <c r="P1954" s="150" t="n">
        <v>1.1</v>
      </c>
      <c r="Q1954" s="30" t="n"/>
      <c r="R1954" s="170" t="n"/>
      <c r="S1954" s="30" t="n"/>
      <c r="T1954" s="170" t="n"/>
      <c r="U1954" s="30" t="n"/>
      <c r="V1954" s="30" t="n"/>
      <c r="W1954" s="30" t="n"/>
      <c r="X1954" s="30" t="n"/>
      <c r="Y1954" s="30" t="n"/>
      <c r="Z1954" s="30" t="n"/>
      <c r="AA1954" s="30" t="n"/>
      <c r="AB1954" s="30" t="n"/>
      <c r="AC1954" s="30" t="n"/>
      <c r="AD1954" s="30" t="n"/>
      <c r="AE1954" s="30" t="n"/>
      <c r="AF1954" s="30" t="n"/>
      <c r="AG1954" s="30" t="n"/>
      <c r="AH1954" s="30" t="n"/>
      <c r="AI1954" s="30" t="n"/>
      <c r="AJ1954" s="30" t="n"/>
      <c r="AK1954" s="30" t="n"/>
      <c r="AL1954" s="30" t="n"/>
      <c r="AM1954" s="30" t="n"/>
      <c r="AN1954" s="30" t="n"/>
    </row>
    <row r="1955">
      <c r="A1955" s="89" t="inlineStr">
        <is>
          <t>05338XXX</t>
        </is>
      </c>
      <c r="B1955" s="135" t="inlineStr">
        <is>
          <t>TAVERNITI  REM M/C</t>
        </is>
      </c>
      <c r="C1955" s="88" t="n">
        <v>43700</v>
      </c>
      <c r="D1955" s="170" t="n"/>
      <c r="E1955" s="170" t="n"/>
      <c r="F1955" s="170" t="n"/>
      <c r="G1955" s="170" t="n"/>
      <c r="H1955" s="170" t="n"/>
      <c r="I1955" s="170" t="n"/>
      <c r="J1955" s="170" t="n"/>
      <c r="K1955" s="170" t="n"/>
      <c r="L1955" s="170" t="n"/>
      <c r="M1955" s="170" t="n"/>
      <c r="O1955" s="117">
        <f>C1955*P1955</f>
        <v/>
      </c>
      <c r="P1955" s="150" t="n">
        <v>1.1</v>
      </c>
      <c r="Q1955" s="30" t="n"/>
      <c r="R1955" s="170" t="n"/>
      <c r="S1955" s="30" t="n"/>
      <c r="T1955" s="170" t="n"/>
      <c r="U1955" s="30" t="n"/>
      <c r="V1955" s="30" t="n"/>
      <c r="W1955" s="30" t="n"/>
      <c r="X1955" s="30" t="n"/>
      <c r="Y1955" s="30" t="n"/>
      <c r="Z1955" s="30" t="n"/>
      <c r="AA1955" s="30" t="n"/>
      <c r="AB1955" s="30" t="n"/>
      <c r="AC1955" s="30" t="n"/>
      <c r="AD1955" s="30" t="n"/>
      <c r="AE1955" s="30" t="n"/>
      <c r="AF1955" s="30" t="n"/>
      <c r="AG1955" s="30" t="n"/>
      <c r="AH1955" s="30" t="n"/>
      <c r="AI1955" s="30" t="n"/>
      <c r="AJ1955" s="30" t="n"/>
      <c r="AK1955" s="30" t="n"/>
      <c r="AL1955" s="30" t="n"/>
      <c r="AM1955" s="30" t="n"/>
      <c r="AN1955" s="30" t="n"/>
    </row>
    <row r="1956">
      <c r="A1956" s="89" t="inlineStr">
        <is>
          <t>05392XXX</t>
        </is>
      </c>
      <c r="B1956" s="135" t="inlineStr">
        <is>
          <t>TAVERNITI  REM M/C</t>
        </is>
      </c>
      <c r="C1956" s="88" t="n">
        <v>43700</v>
      </c>
      <c r="D1956" s="170" t="n"/>
      <c r="E1956" s="170" t="n"/>
      <c r="F1956" s="170" t="n"/>
      <c r="G1956" s="170" t="n"/>
      <c r="H1956" s="170" t="n"/>
      <c r="I1956" s="170" t="n"/>
      <c r="J1956" s="170" t="n"/>
      <c r="K1956" s="170" t="n"/>
      <c r="L1956" s="170" t="n"/>
      <c r="M1956" s="170" t="n"/>
      <c r="O1956" s="117">
        <f>C1956*P1956</f>
        <v/>
      </c>
      <c r="P1956" s="150" t="n">
        <v>1.1</v>
      </c>
      <c r="Q1956" s="30" t="n"/>
      <c r="R1956" s="170" t="n"/>
      <c r="S1956" s="30" t="n"/>
      <c r="T1956" s="170" t="n"/>
      <c r="U1956" s="30" t="n"/>
      <c r="V1956" s="30" t="n"/>
      <c r="W1956" s="30" t="n"/>
      <c r="X1956" s="30" t="n"/>
      <c r="Y1956" s="30" t="n"/>
      <c r="Z1956" s="30" t="n"/>
      <c r="AA1956" s="30" t="n"/>
      <c r="AB1956" s="30" t="n"/>
      <c r="AC1956" s="30" t="n"/>
      <c r="AD1956" s="30" t="n"/>
      <c r="AE1956" s="30" t="n"/>
      <c r="AF1956" s="30" t="n"/>
      <c r="AG1956" s="30" t="n"/>
      <c r="AH1956" s="30" t="n"/>
      <c r="AI1956" s="30" t="n"/>
      <c r="AJ1956" s="30" t="n"/>
      <c r="AK1956" s="30" t="n"/>
      <c r="AL1956" s="30" t="n"/>
      <c r="AM1956" s="30" t="n"/>
      <c r="AN1956" s="30" t="n"/>
    </row>
    <row r="1957">
      <c r="A1957" s="89" t="inlineStr">
        <is>
          <t>05408XXX</t>
        </is>
      </c>
      <c r="B1957" s="135" t="inlineStr">
        <is>
          <t>TAVERNITI  REM M/C</t>
        </is>
      </c>
      <c r="C1957" s="88" t="n">
        <v>43700</v>
      </c>
      <c r="D1957" s="170" t="n"/>
      <c r="E1957" s="170" t="n"/>
      <c r="F1957" s="170" t="n"/>
      <c r="G1957" s="170" t="n"/>
      <c r="H1957" s="170" t="n"/>
      <c r="I1957" s="170" t="n"/>
      <c r="J1957" s="170" t="n"/>
      <c r="K1957" s="170" t="n"/>
      <c r="L1957" s="170" t="n"/>
      <c r="M1957" s="170" t="n"/>
      <c r="O1957" s="117">
        <f>C1957*P1957</f>
        <v/>
      </c>
      <c r="P1957" s="150" t="n">
        <v>1.1</v>
      </c>
      <c r="Q1957" s="30" t="n"/>
      <c r="R1957" s="170" t="n"/>
      <c r="S1957" s="30" t="n"/>
      <c r="T1957" s="170" t="n"/>
      <c r="U1957" s="30" t="n"/>
      <c r="V1957" s="30" t="n"/>
      <c r="W1957" s="30" t="n"/>
      <c r="X1957" s="30" t="n"/>
      <c r="Y1957" s="30" t="n"/>
      <c r="Z1957" s="30" t="n"/>
      <c r="AA1957" s="30" t="n"/>
      <c r="AB1957" s="30" t="n"/>
      <c r="AC1957" s="30" t="n"/>
      <c r="AD1957" s="30" t="n"/>
      <c r="AE1957" s="30" t="n"/>
      <c r="AF1957" s="30" t="n"/>
      <c r="AG1957" s="30" t="n"/>
      <c r="AH1957" s="30" t="n"/>
      <c r="AI1957" s="30" t="n"/>
      <c r="AJ1957" s="30" t="n"/>
      <c r="AK1957" s="30" t="n"/>
      <c r="AL1957" s="30" t="n"/>
      <c r="AM1957" s="30" t="n"/>
      <c r="AN1957" s="30" t="n"/>
    </row>
    <row r="1958">
      <c r="A1958" s="89" t="inlineStr">
        <is>
          <t>05438XXX</t>
        </is>
      </c>
      <c r="B1958" s="135" t="inlineStr">
        <is>
          <t>TAVERNITI  REM M/C</t>
        </is>
      </c>
      <c r="C1958" s="88" t="n">
        <v>43400</v>
      </c>
      <c r="D1958" s="170" t="n"/>
      <c r="E1958" s="170" t="n"/>
      <c r="F1958" s="170" t="n"/>
      <c r="G1958" s="170" t="n"/>
      <c r="H1958" s="170" t="n"/>
      <c r="I1958" s="170" t="n"/>
      <c r="J1958" s="170" t="n"/>
      <c r="K1958" s="170" t="n"/>
      <c r="L1958" s="170" t="n"/>
      <c r="M1958" s="170" t="n"/>
      <c r="O1958" s="117">
        <f>C1958*P1958</f>
        <v/>
      </c>
      <c r="P1958" s="150" t="n">
        <v>1.1</v>
      </c>
      <c r="Q1958" s="30" t="n"/>
      <c r="R1958" s="170" t="n"/>
      <c r="S1958" s="30" t="n"/>
      <c r="T1958" s="170" t="n"/>
      <c r="U1958" s="30" t="n"/>
      <c r="V1958" s="30" t="n"/>
      <c r="W1958" s="30" t="n"/>
      <c r="X1958" s="30" t="n"/>
      <c r="Y1958" s="30" t="n"/>
      <c r="Z1958" s="30" t="n"/>
      <c r="AA1958" s="30" t="n"/>
      <c r="AB1958" s="30" t="n"/>
      <c r="AC1958" s="30" t="n"/>
      <c r="AD1958" s="30" t="n"/>
      <c r="AE1958" s="30" t="n"/>
      <c r="AF1958" s="30" t="n"/>
      <c r="AG1958" s="30" t="n"/>
      <c r="AH1958" s="30" t="n"/>
      <c r="AI1958" s="30" t="n"/>
      <c r="AJ1958" s="30" t="n"/>
      <c r="AK1958" s="30" t="n"/>
      <c r="AL1958" s="30" t="n"/>
      <c r="AM1958" s="30" t="n"/>
      <c r="AN1958" s="30" t="n"/>
    </row>
    <row r="1959">
      <c r="A1959" s="134" t="inlineStr">
        <is>
          <t>05448XXX</t>
        </is>
      </c>
      <c r="B1959" s="246" t="inlineStr">
        <is>
          <t>TAVERNITI  REM M/C</t>
        </is>
      </c>
      <c r="C1959" s="88" t="n">
        <v>43700</v>
      </c>
      <c r="D1959" s="22" t="n"/>
      <c r="E1959" s="22" t="n"/>
      <c r="F1959" s="22" t="n"/>
      <c r="G1959" s="22" t="n"/>
      <c r="H1959" s="22" t="n"/>
      <c r="I1959" s="22" t="n"/>
      <c r="J1959" s="22" t="n"/>
      <c r="K1959" s="22" t="n"/>
      <c r="L1959" s="22" t="n"/>
      <c r="M1959" s="219" t="n"/>
      <c r="O1959" s="117">
        <f>C1959*P1959</f>
        <v/>
      </c>
      <c r="P1959" s="150" t="n">
        <v>1.1</v>
      </c>
      <c r="R1959" s="117" t="n"/>
      <c r="T1959" s="117" t="n"/>
    </row>
    <row r="1960">
      <c r="A1960" s="134" t="inlineStr">
        <is>
          <t>05450XXX</t>
        </is>
      </c>
      <c r="B1960" s="246" t="inlineStr">
        <is>
          <t>TAVERNITI  REM M/C</t>
        </is>
      </c>
      <c r="C1960" s="88" t="n">
        <v>45700</v>
      </c>
      <c r="D1960" s="22" t="n"/>
      <c r="E1960" s="22" t="n"/>
      <c r="F1960" s="22" t="n"/>
      <c r="G1960" s="22" t="n"/>
      <c r="H1960" s="22" t="n"/>
      <c r="I1960" s="22" t="n"/>
      <c r="J1960" s="22" t="n"/>
      <c r="K1960" s="22" t="n"/>
      <c r="L1960" s="22" t="n"/>
      <c r="M1960" s="219" t="n"/>
      <c r="O1960" s="117">
        <f>C1960*P1960</f>
        <v/>
      </c>
      <c r="P1960" s="150" t="n">
        <v>1.1</v>
      </c>
      <c r="R1960" s="117" t="n"/>
      <c r="T1960" s="117" t="n"/>
    </row>
    <row r="1961">
      <c r="A1961" s="89" t="inlineStr">
        <is>
          <t>05464XXX</t>
        </is>
      </c>
      <c r="B1961" s="135" t="inlineStr">
        <is>
          <t>TAVERNITI  REM M/C</t>
        </is>
      </c>
      <c r="C1961" s="88" t="n">
        <v>43400</v>
      </c>
      <c r="D1961" s="170" t="n"/>
      <c r="E1961" s="170" t="n"/>
      <c r="F1961" s="170" t="n"/>
      <c r="G1961" s="170" t="n"/>
      <c r="H1961" s="170" t="n"/>
      <c r="I1961" s="170" t="n"/>
      <c r="J1961" s="170" t="n"/>
      <c r="K1961" s="170" t="n"/>
      <c r="L1961" s="170" t="n"/>
      <c r="M1961" s="170" t="n"/>
      <c r="O1961" s="117">
        <f>C1961*P1961</f>
        <v/>
      </c>
      <c r="P1961" s="150" t="n">
        <v>1.1</v>
      </c>
      <c r="Q1961" s="30" t="n"/>
      <c r="R1961" s="170" t="n"/>
      <c r="S1961" s="30" t="n"/>
      <c r="T1961" s="170" t="n"/>
      <c r="U1961" s="30" t="n"/>
      <c r="V1961" s="30" t="n"/>
      <c r="W1961" s="30" t="n"/>
      <c r="X1961" s="30" t="n"/>
      <c r="Y1961" s="30" t="n"/>
      <c r="Z1961" s="30" t="n"/>
      <c r="AA1961" s="30" t="n"/>
      <c r="AB1961" s="30" t="n"/>
      <c r="AC1961" s="30" t="n"/>
      <c r="AD1961" s="30" t="n"/>
      <c r="AE1961" s="30" t="n"/>
      <c r="AF1961" s="30" t="n"/>
      <c r="AG1961" s="30" t="n"/>
      <c r="AH1961" s="30" t="n"/>
      <c r="AI1961" s="30" t="n"/>
      <c r="AJ1961" s="30" t="n"/>
      <c r="AK1961" s="30" t="n"/>
      <c r="AL1961" s="30" t="n"/>
      <c r="AM1961" s="30" t="n"/>
      <c r="AN1961" s="30" t="n"/>
    </row>
    <row r="1962">
      <c r="A1962" s="89" t="inlineStr">
        <is>
          <t>05466XXX</t>
        </is>
      </c>
      <c r="B1962" s="135" t="inlineStr">
        <is>
          <t>TAVERNITI  REM M/C</t>
        </is>
      </c>
      <c r="C1962" s="88" t="n">
        <v>45700</v>
      </c>
      <c r="D1962" s="170" t="n"/>
      <c r="E1962" s="170" t="n"/>
      <c r="F1962" s="170" t="n"/>
      <c r="G1962" s="170" t="n"/>
      <c r="H1962" s="170" t="n"/>
      <c r="I1962" s="170" t="n"/>
      <c r="J1962" s="170" t="n"/>
      <c r="K1962" s="170" t="n"/>
      <c r="L1962" s="170" t="n"/>
      <c r="M1962" s="170" t="n"/>
      <c r="O1962" s="117">
        <f>C1962*P1962</f>
        <v/>
      </c>
      <c r="P1962" s="150" t="n">
        <v>1.1</v>
      </c>
      <c r="Q1962" s="30" t="n"/>
      <c r="R1962" s="170" t="n"/>
      <c r="S1962" s="30" t="n"/>
      <c r="T1962" s="170" t="n"/>
      <c r="U1962" s="30" t="n"/>
      <c r="V1962" s="30" t="n"/>
      <c r="W1962" s="30" t="n"/>
      <c r="X1962" s="30" t="n"/>
      <c r="Y1962" s="30" t="n"/>
      <c r="Z1962" s="30" t="n"/>
      <c r="AA1962" s="30" t="n"/>
      <c r="AB1962" s="30" t="n"/>
      <c r="AC1962" s="30" t="n"/>
      <c r="AD1962" s="30" t="n"/>
      <c r="AE1962" s="30" t="n"/>
      <c r="AF1962" s="30" t="n"/>
      <c r="AG1962" s="30" t="n"/>
      <c r="AH1962" s="30" t="n"/>
      <c r="AI1962" s="30" t="n"/>
      <c r="AJ1962" s="30" t="n"/>
      <c r="AK1962" s="30" t="n"/>
      <c r="AL1962" s="30" t="n"/>
      <c r="AM1962" s="30" t="n"/>
      <c r="AN1962" s="30" t="n"/>
    </row>
    <row r="1963">
      <c r="A1963" s="89" t="inlineStr">
        <is>
          <t>05468XXX</t>
        </is>
      </c>
      <c r="B1963" s="135" t="inlineStr">
        <is>
          <t>TAVERNITI  REM M/C</t>
        </is>
      </c>
      <c r="C1963" s="88" t="n">
        <v>45700</v>
      </c>
      <c r="D1963" s="170" t="n"/>
      <c r="E1963" s="170" t="n"/>
      <c r="F1963" s="170" t="n"/>
      <c r="G1963" s="170" t="n"/>
      <c r="H1963" s="170" t="n"/>
      <c r="I1963" s="170" t="n"/>
      <c r="J1963" s="170" t="n"/>
      <c r="K1963" s="170" t="n"/>
      <c r="L1963" s="170" t="n"/>
      <c r="M1963" s="170" t="n"/>
      <c r="O1963" s="117">
        <f>C1963*P1963</f>
        <v/>
      </c>
      <c r="P1963" s="150" t="n">
        <v>1.1</v>
      </c>
      <c r="Q1963" s="30" t="n"/>
      <c r="R1963" s="170" t="n"/>
      <c r="S1963" s="30" t="n"/>
      <c r="T1963" s="170" t="n"/>
      <c r="U1963" s="30" t="n"/>
      <c r="V1963" s="30" t="n"/>
      <c r="W1963" s="30" t="n"/>
      <c r="X1963" s="30" t="n"/>
      <c r="Y1963" s="30" t="n"/>
      <c r="Z1963" s="30" t="n"/>
      <c r="AA1963" s="30" t="n"/>
      <c r="AB1963" s="30" t="n"/>
      <c r="AC1963" s="30" t="n"/>
      <c r="AD1963" s="30" t="n"/>
      <c r="AE1963" s="30" t="n"/>
      <c r="AF1963" s="30" t="n"/>
      <c r="AG1963" s="30" t="n"/>
      <c r="AH1963" s="30" t="n"/>
      <c r="AI1963" s="30" t="n"/>
      <c r="AJ1963" s="30" t="n"/>
      <c r="AK1963" s="30" t="n"/>
      <c r="AL1963" s="30" t="n"/>
      <c r="AM1963" s="30" t="n"/>
      <c r="AN1963" s="30" t="n"/>
    </row>
    <row r="1964">
      <c r="A1964" s="134" t="inlineStr">
        <is>
          <t>05470XXX</t>
        </is>
      </c>
      <c r="B1964" s="246" t="inlineStr">
        <is>
          <t>TAVERNITI  REM M/C</t>
        </is>
      </c>
      <c r="C1964" s="88" t="n">
        <v>45700</v>
      </c>
      <c r="D1964" s="22" t="n"/>
      <c r="E1964" s="22" t="n"/>
      <c r="F1964" s="22" t="n"/>
      <c r="G1964" s="22" t="n"/>
      <c r="H1964" s="22" t="n"/>
      <c r="I1964" s="22" t="n"/>
      <c r="J1964" s="22" t="n"/>
      <c r="K1964" s="22" t="n"/>
      <c r="L1964" s="22" t="n"/>
      <c r="M1964" s="219" t="n"/>
      <c r="O1964" s="117">
        <f>C1964*P1964</f>
        <v/>
      </c>
      <c r="P1964" s="150" t="n">
        <v>1.1</v>
      </c>
      <c r="R1964" s="117" t="n"/>
      <c r="T1964" s="117" t="n"/>
    </row>
    <row r="1965">
      <c r="A1965" s="134" t="inlineStr">
        <is>
          <t>05474XXX</t>
        </is>
      </c>
      <c r="B1965" s="246" t="inlineStr">
        <is>
          <t>TAVERNITI  REM M/C</t>
        </is>
      </c>
      <c r="C1965" s="88" t="n">
        <v>45700</v>
      </c>
      <c r="D1965" s="22" t="n"/>
      <c r="E1965" s="22" t="n"/>
      <c r="F1965" s="22" t="n"/>
      <c r="G1965" s="22" t="n"/>
      <c r="H1965" s="22" t="n"/>
      <c r="I1965" s="22" t="n"/>
      <c r="J1965" s="22" t="n"/>
      <c r="K1965" s="22" t="n"/>
      <c r="L1965" s="22" t="n"/>
      <c r="M1965" s="219" t="n"/>
      <c r="O1965" s="117">
        <f>C1965*P1965</f>
        <v/>
      </c>
      <c r="P1965" s="150" t="n">
        <v>1.1</v>
      </c>
      <c r="R1965" s="117" t="n"/>
      <c r="T1965" s="117" t="n"/>
    </row>
    <row r="1966">
      <c r="A1966" s="134" t="inlineStr">
        <is>
          <t>05476XXX</t>
        </is>
      </c>
      <c r="B1966" s="246" t="inlineStr">
        <is>
          <t>TAVERNITI  REM M/C</t>
        </is>
      </c>
      <c r="C1966" s="88" t="n">
        <v>45700</v>
      </c>
      <c r="D1966" s="22" t="n"/>
      <c r="E1966" s="22" t="n"/>
      <c r="F1966" s="22" t="n"/>
      <c r="G1966" s="22" t="n"/>
      <c r="H1966" s="22" t="n"/>
      <c r="I1966" s="22" t="n"/>
      <c r="J1966" s="22" t="n"/>
      <c r="K1966" s="22" t="n"/>
      <c r="L1966" s="22" t="n"/>
      <c r="M1966" s="219" t="n"/>
      <c r="O1966" s="117">
        <f>C1966*P1966</f>
        <v/>
      </c>
      <c r="P1966" s="150" t="n">
        <v>1.1</v>
      </c>
      <c r="R1966" s="117" t="n"/>
      <c r="T1966" s="117" t="n"/>
    </row>
    <row r="1967">
      <c r="A1967" s="134" t="inlineStr">
        <is>
          <t>05478XXX</t>
        </is>
      </c>
      <c r="B1967" s="246" t="inlineStr">
        <is>
          <t>TAVERNITI  REM M/C</t>
        </is>
      </c>
      <c r="C1967" s="88" t="n">
        <v>45700</v>
      </c>
      <c r="D1967" s="22" t="n"/>
      <c r="E1967" s="22" t="n"/>
      <c r="F1967" s="22" t="n"/>
      <c r="G1967" s="22" t="n"/>
      <c r="H1967" s="22" t="n"/>
      <c r="I1967" s="22" t="n"/>
      <c r="J1967" s="22" t="n"/>
      <c r="K1967" s="22" t="n"/>
      <c r="L1967" s="22" t="n"/>
      <c r="M1967" s="219" t="n"/>
      <c r="O1967" s="117">
        <f>C1967*P1967</f>
        <v/>
      </c>
      <c r="P1967" s="150" t="n">
        <v>1.1</v>
      </c>
      <c r="R1967" s="117" t="n"/>
      <c r="T1967" s="117" t="n"/>
    </row>
    <row r="1968">
      <c r="A1968" s="134" t="inlineStr">
        <is>
          <t>05480XXX</t>
        </is>
      </c>
      <c r="B1968" s="246" t="inlineStr">
        <is>
          <t>TAVERNITI  REM M/C</t>
        </is>
      </c>
      <c r="C1968" s="88" t="n">
        <v>45700</v>
      </c>
      <c r="D1968" s="22" t="n"/>
      <c r="E1968" s="22" t="n"/>
      <c r="F1968" s="22" t="n"/>
      <c r="G1968" s="22" t="n"/>
      <c r="H1968" s="22" t="n"/>
      <c r="I1968" s="22" t="n"/>
      <c r="J1968" s="22" t="n"/>
      <c r="K1968" s="22" t="n"/>
      <c r="L1968" s="22" t="n"/>
      <c r="M1968" s="219" t="n"/>
      <c r="O1968" s="117">
        <f>C1968*P1968</f>
        <v/>
      </c>
      <c r="P1968" s="150" t="n">
        <v>1.1</v>
      </c>
      <c r="R1968" s="117" t="n"/>
      <c r="T1968" s="117" t="n"/>
    </row>
    <row r="1969">
      <c r="A1969" s="134" t="inlineStr">
        <is>
          <t>05482XXX</t>
        </is>
      </c>
      <c r="B1969" s="246" t="inlineStr">
        <is>
          <t>TAVERNITI  REM M/C</t>
        </is>
      </c>
      <c r="C1969" s="88" t="n">
        <v>45700</v>
      </c>
      <c r="D1969" s="22" t="n"/>
      <c r="E1969" s="22" t="n"/>
      <c r="F1969" s="22" t="n"/>
      <c r="G1969" s="22" t="n"/>
      <c r="H1969" s="22" t="n"/>
      <c r="I1969" s="22" t="n"/>
      <c r="J1969" s="22" t="n"/>
      <c r="K1969" s="22" t="n"/>
      <c r="L1969" s="22" t="n"/>
      <c r="M1969" s="219" t="n"/>
      <c r="O1969" s="117">
        <f>C1969*P1969</f>
        <v/>
      </c>
      <c r="P1969" s="150" t="n">
        <v>1.1</v>
      </c>
      <c r="R1969" s="117" t="n"/>
      <c r="T1969" s="117" t="n"/>
    </row>
    <row r="1970">
      <c r="A1970" s="134" t="inlineStr">
        <is>
          <t>05484XXX</t>
        </is>
      </c>
      <c r="B1970" s="246" t="inlineStr">
        <is>
          <t>TAVERNITI  REM M/C</t>
        </is>
      </c>
      <c r="C1970" s="88" t="n">
        <v>45700</v>
      </c>
      <c r="D1970" s="22" t="n"/>
      <c r="E1970" s="22" t="n"/>
      <c r="F1970" s="22" t="n"/>
      <c r="G1970" s="22" t="n"/>
      <c r="H1970" s="22" t="n"/>
      <c r="I1970" s="22" t="n"/>
      <c r="J1970" s="22" t="n"/>
      <c r="K1970" s="22" t="n"/>
      <c r="L1970" s="22" t="n"/>
      <c r="M1970" s="219" t="n"/>
      <c r="O1970" s="117">
        <f>C1970*P1970</f>
        <v/>
      </c>
      <c r="P1970" s="150" t="n">
        <v>1.1</v>
      </c>
      <c r="R1970" s="117" t="n"/>
      <c r="T1970" s="117" t="n"/>
    </row>
    <row r="1971">
      <c r="A1971" s="134" t="inlineStr">
        <is>
          <t>05488XXX</t>
        </is>
      </c>
      <c r="B1971" s="246" t="inlineStr">
        <is>
          <t>TAVERNITI  REM M/C</t>
        </is>
      </c>
      <c r="C1971" s="88" t="n">
        <v>45700</v>
      </c>
      <c r="D1971" s="22" t="n"/>
      <c r="E1971" s="22" t="n"/>
      <c r="F1971" s="22" t="n"/>
      <c r="G1971" s="22" t="n"/>
      <c r="H1971" s="22" t="n"/>
      <c r="I1971" s="22" t="n"/>
      <c r="J1971" s="22" t="n"/>
      <c r="K1971" s="22" t="n"/>
      <c r="L1971" s="22" t="n"/>
      <c r="M1971" s="219" t="n"/>
      <c r="O1971" s="117">
        <f>C1971*P1971</f>
        <v/>
      </c>
      <c r="P1971" s="150" t="n">
        <v>1.1</v>
      </c>
      <c r="R1971" s="117" t="n"/>
      <c r="T1971" s="117" t="n"/>
    </row>
    <row r="1972">
      <c r="A1972" s="89" t="inlineStr">
        <is>
          <t>5490XXX</t>
        </is>
      </c>
      <c r="B1972" s="135" t="inlineStr">
        <is>
          <t>TAVERNITI  REM M/C</t>
        </is>
      </c>
      <c r="C1972" s="88" t="n">
        <v>45700</v>
      </c>
      <c r="D1972" s="170" t="n"/>
      <c r="E1972" s="170" t="n"/>
      <c r="F1972" s="170" t="n"/>
      <c r="G1972" s="170" t="n"/>
      <c r="H1972" s="170" t="n"/>
      <c r="I1972" s="170" t="n"/>
      <c r="J1972" s="170" t="n"/>
      <c r="K1972" s="170" t="n"/>
      <c r="L1972" s="30" t="n"/>
      <c r="M1972" s="170" t="n"/>
      <c r="O1972" s="117">
        <f>C1972*P1972</f>
        <v/>
      </c>
      <c r="P1972" s="150" t="n">
        <v>1.1</v>
      </c>
      <c r="Q1972" s="30" t="n"/>
      <c r="R1972" s="170" t="n"/>
      <c r="S1972" s="30" t="n"/>
      <c r="T1972" s="170" t="n"/>
      <c r="U1972" s="30" t="n"/>
      <c r="V1972" s="30" t="n"/>
      <c r="W1972" s="30" t="n"/>
      <c r="X1972" s="30" t="n"/>
      <c r="Y1972" s="30" t="n"/>
      <c r="Z1972" s="30" t="n"/>
      <c r="AA1972" s="30" t="n"/>
      <c r="AB1972" s="30" t="n"/>
      <c r="AC1972" s="30" t="n"/>
      <c r="AD1972" s="30" t="n"/>
      <c r="AE1972" s="30" t="n"/>
      <c r="AF1972" s="30" t="n"/>
      <c r="AG1972" s="30" t="n"/>
      <c r="AH1972" s="30" t="n"/>
      <c r="AI1972" s="30" t="n"/>
      <c r="AJ1972" s="30" t="n"/>
      <c r="AK1972" s="30" t="n"/>
      <c r="AL1972" s="30" t="n"/>
      <c r="AM1972" s="30" t="n"/>
      <c r="AN1972" s="30" t="n"/>
    </row>
    <row r="1973">
      <c r="A1973" s="89" t="inlineStr">
        <is>
          <t>5492XXX</t>
        </is>
      </c>
      <c r="B1973" s="135" t="inlineStr">
        <is>
          <t>TAVERNITI  REM M/C</t>
        </is>
      </c>
      <c r="C1973" s="88" t="n">
        <v>45700</v>
      </c>
      <c r="D1973" s="170" t="n"/>
      <c r="E1973" s="170" t="n"/>
      <c r="F1973" s="170" t="n"/>
      <c r="G1973" s="170" t="n"/>
      <c r="H1973" s="170" t="n"/>
      <c r="I1973" s="170" t="n"/>
      <c r="J1973" s="170" t="n"/>
      <c r="K1973" s="170" t="n"/>
      <c r="L1973" s="30" t="n"/>
      <c r="M1973" s="170" t="n"/>
      <c r="O1973" s="117">
        <f>C1973*P1973</f>
        <v/>
      </c>
      <c r="P1973" s="150" t="n">
        <v>1.1</v>
      </c>
      <c r="Q1973" s="30" t="n"/>
      <c r="R1973" s="170" t="n"/>
      <c r="S1973" s="30" t="n"/>
      <c r="T1973" s="170" t="n"/>
      <c r="U1973" s="30" t="n"/>
      <c r="V1973" s="30" t="n"/>
      <c r="W1973" s="30" t="n"/>
      <c r="X1973" s="30" t="n"/>
      <c r="Y1973" s="30" t="n"/>
      <c r="Z1973" s="30" t="n"/>
      <c r="AA1973" s="30" t="n"/>
      <c r="AB1973" s="30" t="n"/>
      <c r="AC1973" s="30" t="n"/>
      <c r="AD1973" s="30" t="n"/>
      <c r="AE1973" s="30" t="n"/>
      <c r="AF1973" s="30" t="n"/>
      <c r="AG1973" s="30" t="n"/>
      <c r="AH1973" s="30" t="n"/>
      <c r="AI1973" s="30" t="n"/>
      <c r="AJ1973" s="30" t="n"/>
      <c r="AK1973" s="30" t="n"/>
      <c r="AL1973" s="30" t="n"/>
      <c r="AM1973" s="30" t="n"/>
      <c r="AN1973" s="30" t="n"/>
    </row>
    <row r="1974">
      <c r="A1974" s="89" t="inlineStr">
        <is>
          <t>5494XXX</t>
        </is>
      </c>
      <c r="B1974" s="135" t="inlineStr">
        <is>
          <t>TAVERNITI  REM M/C</t>
        </is>
      </c>
      <c r="C1974" s="88" t="n">
        <v>45700</v>
      </c>
      <c r="D1974" s="170" t="n"/>
      <c r="E1974" s="170" t="n"/>
      <c r="F1974" s="170" t="n"/>
      <c r="G1974" s="170" t="n"/>
      <c r="H1974" s="170" t="n"/>
      <c r="I1974" s="170" t="n"/>
      <c r="J1974" s="170" t="n"/>
      <c r="K1974" s="170" t="n"/>
      <c r="L1974" s="30" t="n"/>
      <c r="M1974" s="170" t="n"/>
      <c r="O1974" s="117">
        <f>C1974*P1974</f>
        <v/>
      </c>
      <c r="P1974" s="150" t="n">
        <v>1.1</v>
      </c>
      <c r="Q1974" s="30" t="n"/>
      <c r="R1974" s="170" t="n"/>
      <c r="S1974" s="30" t="n"/>
      <c r="T1974" s="170" t="n"/>
      <c r="U1974" s="30" t="n"/>
      <c r="V1974" s="30" t="n"/>
      <c r="W1974" s="30" t="n"/>
      <c r="X1974" s="30" t="n"/>
      <c r="Y1974" s="30" t="n"/>
      <c r="Z1974" s="30" t="n"/>
      <c r="AA1974" s="30" t="n"/>
      <c r="AB1974" s="30" t="n"/>
      <c r="AC1974" s="30" t="n"/>
      <c r="AD1974" s="30" t="n"/>
      <c r="AE1974" s="30" t="n"/>
      <c r="AF1974" s="30" t="n"/>
      <c r="AG1974" s="30" t="n"/>
      <c r="AH1974" s="30" t="n"/>
      <c r="AI1974" s="30" t="n"/>
      <c r="AJ1974" s="30" t="n"/>
      <c r="AK1974" s="30" t="n"/>
      <c r="AL1974" s="30" t="n"/>
      <c r="AM1974" s="30" t="n"/>
      <c r="AN1974" s="30" t="n"/>
    </row>
    <row r="1975">
      <c r="A1975" s="89" t="inlineStr">
        <is>
          <t>5530XXX</t>
        </is>
      </c>
      <c r="B1975" s="135" t="inlineStr">
        <is>
          <t>TAVERNITI  REM M/C</t>
        </is>
      </c>
      <c r="C1975" s="88" t="n">
        <v>45700</v>
      </c>
      <c r="D1975" s="111" t="n"/>
      <c r="E1975" s="170" t="n"/>
      <c r="F1975" s="170" t="n"/>
      <c r="G1975" s="170" t="n"/>
      <c r="H1975" s="170" t="n"/>
      <c r="I1975" s="170" t="n"/>
      <c r="J1975" s="170" t="n"/>
      <c r="K1975" s="170" t="n"/>
      <c r="L1975" s="30" t="n"/>
      <c r="M1975" s="170" t="n"/>
      <c r="O1975" s="117">
        <f>C1975*P1975</f>
        <v/>
      </c>
      <c r="P1975" s="150" t="n">
        <v>1.1</v>
      </c>
      <c r="Q1975" s="30" t="n"/>
      <c r="R1975" s="170" t="n"/>
      <c r="S1975" s="30" t="n"/>
      <c r="T1975" s="170" t="n"/>
      <c r="U1975" s="30" t="n"/>
      <c r="V1975" s="30" t="n"/>
      <c r="W1975" s="30" t="n"/>
      <c r="X1975" s="30" t="n"/>
      <c r="Y1975" s="30" t="n"/>
      <c r="Z1975" s="30" t="n"/>
      <c r="AA1975" s="30" t="n"/>
      <c r="AB1975" s="30" t="n"/>
      <c r="AC1975" s="30" t="n"/>
      <c r="AD1975" s="30" t="n"/>
      <c r="AE1975" s="30" t="n"/>
      <c r="AF1975" s="30" t="n"/>
      <c r="AG1975" s="30" t="n"/>
      <c r="AH1975" s="30" t="n"/>
      <c r="AI1975" s="30" t="n"/>
      <c r="AJ1975" s="30" t="n"/>
      <c r="AK1975" s="30" t="n"/>
      <c r="AL1975" s="30" t="n"/>
      <c r="AM1975" s="30" t="n"/>
      <c r="AN1975" s="30" t="n"/>
    </row>
    <row r="1976">
      <c r="A1976" s="89" t="inlineStr">
        <is>
          <t>5538XXX</t>
        </is>
      </c>
      <c r="B1976" s="135" t="inlineStr">
        <is>
          <t>TAVERNITI  REM M/C</t>
        </is>
      </c>
      <c r="C1976" s="88" t="n">
        <v>45700</v>
      </c>
      <c r="D1976" s="111" t="n"/>
      <c r="E1976" s="170" t="n"/>
      <c r="F1976" s="170" t="n"/>
      <c r="G1976" s="170" t="n"/>
      <c r="H1976" s="170" t="n"/>
      <c r="I1976" s="170" t="n"/>
      <c r="J1976" s="170" t="n"/>
      <c r="K1976" s="170" t="n"/>
      <c r="L1976" s="30" t="n"/>
      <c r="M1976" s="170" t="n"/>
      <c r="O1976" s="117">
        <f>C1976*P1976</f>
        <v/>
      </c>
      <c r="P1976" s="150" t="n">
        <v>1.1</v>
      </c>
      <c r="Q1976" s="30" t="n"/>
      <c r="R1976" s="170" t="n"/>
      <c r="S1976" s="30" t="n"/>
      <c r="T1976" s="170" t="n"/>
      <c r="U1976" s="30" t="n"/>
      <c r="V1976" s="30" t="n"/>
      <c r="W1976" s="30" t="n"/>
      <c r="X1976" s="30" t="n"/>
      <c r="Y1976" s="30" t="n"/>
      <c r="Z1976" s="30" t="n"/>
      <c r="AA1976" s="30" t="n"/>
      <c r="AB1976" s="30" t="n"/>
      <c r="AC1976" s="30" t="n"/>
      <c r="AD1976" s="30" t="n"/>
      <c r="AE1976" s="30" t="n"/>
      <c r="AF1976" s="30" t="n"/>
      <c r="AG1976" s="30" t="n"/>
      <c r="AH1976" s="30" t="n"/>
      <c r="AI1976" s="30" t="n"/>
      <c r="AJ1976" s="30" t="n"/>
      <c r="AK1976" s="30" t="n"/>
      <c r="AL1976" s="30" t="n"/>
      <c r="AM1976" s="30" t="n"/>
      <c r="AN1976" s="30" t="n"/>
    </row>
    <row r="1977">
      <c r="A1977" s="89" t="inlineStr">
        <is>
          <t>5812XXX</t>
        </is>
      </c>
      <c r="B1977" s="135" t="inlineStr">
        <is>
          <t>TAVERNITI  REM M/C</t>
        </is>
      </c>
      <c r="C1977" s="88" t="n">
        <v>45700</v>
      </c>
      <c r="D1977" s="170" t="n"/>
      <c r="E1977" s="170" t="n"/>
      <c r="F1977" s="170" t="n"/>
      <c r="G1977" s="170" t="n"/>
      <c r="H1977" s="170" t="n"/>
      <c r="I1977" s="170" t="n"/>
      <c r="J1977" s="170" t="n"/>
      <c r="K1977" s="170" t="n"/>
      <c r="L1977" s="30" t="n"/>
      <c r="M1977" s="170" t="n"/>
      <c r="O1977" s="117">
        <f>C1977*P1977</f>
        <v/>
      </c>
      <c r="P1977" s="150" t="n">
        <v>1.1</v>
      </c>
      <c r="Q1977" s="30" t="n"/>
      <c r="R1977" s="170" t="n"/>
      <c r="S1977" s="30" t="n"/>
      <c r="T1977" s="170" t="n"/>
      <c r="U1977" s="30" t="n"/>
      <c r="V1977" s="30" t="n"/>
      <c r="W1977" s="30" t="n"/>
      <c r="X1977" s="30" t="n"/>
      <c r="Y1977" s="30" t="n"/>
      <c r="Z1977" s="30" t="n"/>
      <c r="AA1977" s="30" t="n"/>
      <c r="AB1977" s="30" t="n"/>
      <c r="AC1977" s="30" t="n"/>
      <c r="AD1977" s="30" t="n"/>
      <c r="AE1977" s="30" t="n"/>
      <c r="AF1977" s="30" t="n"/>
      <c r="AG1977" s="30" t="n"/>
      <c r="AH1977" s="30" t="n"/>
      <c r="AI1977" s="30" t="n"/>
      <c r="AJ1977" s="30" t="n"/>
      <c r="AK1977" s="30" t="n"/>
      <c r="AL1977" s="30" t="n"/>
      <c r="AM1977" s="30" t="n"/>
      <c r="AN1977" s="30" t="n"/>
    </row>
    <row r="1978">
      <c r="A1978" s="89" t="inlineStr">
        <is>
          <t>5814XXX</t>
        </is>
      </c>
      <c r="B1978" s="135" t="inlineStr">
        <is>
          <t>TAVERNITI  REM M/C</t>
        </is>
      </c>
      <c r="C1978" s="88" t="n">
        <v>45700</v>
      </c>
      <c r="D1978" s="111" t="n"/>
      <c r="E1978" s="170" t="n"/>
      <c r="F1978" s="170" t="n"/>
      <c r="G1978" s="170" t="n"/>
      <c r="H1978" s="170" t="n"/>
      <c r="I1978" s="170" t="n"/>
      <c r="J1978" s="170" t="n"/>
      <c r="K1978" s="170" t="n"/>
      <c r="L1978" s="30" t="n"/>
      <c r="M1978" s="170" t="n"/>
      <c r="O1978" s="117">
        <f>C1978*P1978</f>
        <v/>
      </c>
      <c r="P1978" s="150" t="n">
        <v>1.1</v>
      </c>
      <c r="Q1978" s="30" t="n"/>
      <c r="R1978" s="170" t="n"/>
      <c r="S1978" s="30" t="n"/>
      <c r="T1978" s="170" t="n"/>
      <c r="U1978" s="30" t="n"/>
      <c r="V1978" s="30" t="n"/>
      <c r="W1978" s="30" t="n"/>
      <c r="X1978" s="30" t="n"/>
      <c r="Y1978" s="30" t="n"/>
      <c r="Z1978" s="30" t="n"/>
      <c r="AA1978" s="30" t="n"/>
      <c r="AB1978" s="30" t="n"/>
      <c r="AC1978" s="30" t="n"/>
      <c r="AD1978" s="30" t="n"/>
      <c r="AE1978" s="30" t="n"/>
      <c r="AF1978" s="30" t="n"/>
      <c r="AG1978" s="30" t="n"/>
      <c r="AH1978" s="30" t="n"/>
      <c r="AI1978" s="30" t="n"/>
      <c r="AJ1978" s="30" t="n"/>
      <c r="AK1978" s="30" t="n"/>
      <c r="AL1978" s="30" t="n"/>
      <c r="AM1978" s="30" t="n"/>
      <c r="AN1978" s="30" t="n"/>
    </row>
    <row r="1979">
      <c r="A1979" s="89" t="inlineStr">
        <is>
          <t>5816XXX</t>
        </is>
      </c>
      <c r="B1979" s="135" t="inlineStr">
        <is>
          <t>TAVERNITI  REM M/C</t>
        </is>
      </c>
      <c r="C1979" s="88" t="n">
        <v>45700</v>
      </c>
      <c r="D1979" s="170" t="n"/>
      <c r="E1979" s="170" t="n"/>
      <c r="F1979" s="170" t="n"/>
      <c r="G1979" s="170" t="n"/>
      <c r="H1979" s="170" t="n"/>
      <c r="I1979" s="170" t="n"/>
      <c r="J1979" s="170" t="n"/>
      <c r="K1979" s="170" t="n"/>
      <c r="L1979" s="30" t="n"/>
      <c r="M1979" s="170" t="n"/>
      <c r="O1979" s="117">
        <f>C1979*P1979</f>
        <v/>
      </c>
      <c r="P1979" s="150" t="n">
        <v>1.1</v>
      </c>
      <c r="Q1979" s="30" t="n"/>
      <c r="R1979" s="170" t="n"/>
      <c r="S1979" s="30" t="n"/>
      <c r="T1979" s="170" t="n"/>
      <c r="U1979" s="30" t="n"/>
      <c r="V1979" s="30" t="n"/>
      <c r="W1979" s="30" t="n"/>
      <c r="X1979" s="30" t="n"/>
      <c r="Y1979" s="30" t="n"/>
      <c r="Z1979" s="30" t="n"/>
      <c r="AA1979" s="30" t="n"/>
      <c r="AB1979" s="30" t="n"/>
      <c r="AC1979" s="30" t="n"/>
      <c r="AD1979" s="30" t="n"/>
      <c r="AE1979" s="30" t="n"/>
      <c r="AF1979" s="30" t="n"/>
      <c r="AG1979" s="30" t="n"/>
      <c r="AH1979" s="30" t="n"/>
      <c r="AI1979" s="30" t="n"/>
      <c r="AJ1979" s="30" t="n"/>
      <c r="AK1979" s="30" t="n"/>
      <c r="AL1979" s="30" t="n"/>
      <c r="AM1979" s="30" t="n"/>
      <c r="AN1979" s="30" t="n"/>
    </row>
    <row r="1980">
      <c r="A1980" s="89" t="inlineStr">
        <is>
          <t>5818XXX</t>
        </is>
      </c>
      <c r="B1980" s="135" t="inlineStr">
        <is>
          <t>TAVERNITI  REM M/C</t>
        </is>
      </c>
      <c r="C1980" s="88" t="n">
        <v>45700</v>
      </c>
      <c r="D1980" s="170" t="n"/>
      <c r="E1980" s="170" t="n"/>
      <c r="F1980" s="170" t="n"/>
      <c r="G1980" s="170" t="n"/>
      <c r="H1980" s="170" t="n"/>
      <c r="I1980" s="170" t="n"/>
      <c r="J1980" s="170" t="n"/>
      <c r="K1980" s="170" t="n"/>
      <c r="L1980" s="30" t="n"/>
      <c r="M1980" s="170" t="n"/>
      <c r="O1980" s="117">
        <f>C1980*P1980</f>
        <v/>
      </c>
      <c r="P1980" s="150" t="n">
        <v>1.1</v>
      </c>
      <c r="Q1980" s="30" t="n"/>
      <c r="R1980" s="170" t="n"/>
      <c r="S1980" s="30" t="n"/>
      <c r="T1980" s="170" t="n"/>
      <c r="U1980" s="30" t="n"/>
      <c r="V1980" s="30" t="n"/>
      <c r="W1980" s="30" t="n"/>
      <c r="X1980" s="30" t="n"/>
      <c r="Y1980" s="30" t="n"/>
      <c r="Z1980" s="30" t="n"/>
      <c r="AA1980" s="30" t="n"/>
      <c r="AB1980" s="30" t="n"/>
      <c r="AC1980" s="30" t="n"/>
      <c r="AD1980" s="30" t="n"/>
      <c r="AE1980" s="30" t="n"/>
      <c r="AF1980" s="30" t="n"/>
      <c r="AG1980" s="30" t="n"/>
      <c r="AH1980" s="30" t="n"/>
      <c r="AI1980" s="30" t="n"/>
      <c r="AJ1980" s="30" t="n"/>
      <c r="AK1980" s="30" t="n"/>
      <c r="AL1980" s="30" t="n"/>
      <c r="AM1980" s="30" t="n"/>
      <c r="AN1980" s="30" t="n"/>
    </row>
    <row r="1981">
      <c r="A1981" s="89" t="inlineStr">
        <is>
          <t>5820XXX</t>
        </is>
      </c>
      <c r="B1981" s="135" t="inlineStr">
        <is>
          <t>TAVERNITI  REM M/C</t>
        </is>
      </c>
      <c r="C1981" s="88" t="n">
        <v>45700</v>
      </c>
      <c r="D1981" s="111" t="n"/>
      <c r="E1981" s="170" t="n"/>
      <c r="F1981" s="170" t="n"/>
      <c r="G1981" s="170" t="n"/>
      <c r="H1981" s="170" t="n"/>
      <c r="I1981" s="170" t="n"/>
      <c r="J1981" s="170" t="n"/>
      <c r="K1981" s="170" t="n"/>
      <c r="L1981" s="30" t="n"/>
      <c r="M1981" s="170" t="n"/>
      <c r="O1981" s="117">
        <f>C1981*P1981</f>
        <v/>
      </c>
      <c r="P1981" s="150" t="n">
        <v>1.1</v>
      </c>
      <c r="Q1981" s="30" t="n"/>
      <c r="R1981" s="170" t="n"/>
      <c r="S1981" s="30" t="n"/>
      <c r="T1981" s="170" t="n"/>
      <c r="U1981" s="30" t="n"/>
      <c r="V1981" s="30" t="n"/>
      <c r="W1981" s="30" t="n"/>
      <c r="X1981" s="30" t="n"/>
      <c r="Y1981" s="30" t="n"/>
      <c r="Z1981" s="30" t="n"/>
      <c r="AA1981" s="30" t="n"/>
      <c r="AB1981" s="30" t="n"/>
      <c r="AC1981" s="30" t="n"/>
      <c r="AD1981" s="30" t="n"/>
      <c r="AE1981" s="30" t="n"/>
      <c r="AF1981" s="30" t="n"/>
      <c r="AG1981" s="30" t="n"/>
      <c r="AH1981" s="30" t="n"/>
      <c r="AI1981" s="30" t="n"/>
      <c r="AJ1981" s="30" t="n"/>
      <c r="AK1981" s="30" t="n"/>
      <c r="AL1981" s="30" t="n"/>
      <c r="AM1981" s="30" t="n"/>
      <c r="AN1981" s="30" t="n"/>
    </row>
    <row r="1982">
      <c r="A1982" s="89" t="inlineStr">
        <is>
          <t>5822XXX</t>
        </is>
      </c>
      <c r="B1982" s="135" t="inlineStr">
        <is>
          <t>TAVERNITI  REM M/C</t>
        </is>
      </c>
      <c r="C1982" s="88" t="n">
        <v>42400</v>
      </c>
      <c r="D1982" s="111" t="n"/>
      <c r="E1982" s="170" t="n"/>
      <c r="F1982" s="170" t="n"/>
      <c r="G1982" s="170" t="n"/>
      <c r="H1982" s="170" t="n"/>
      <c r="I1982" s="170" t="n"/>
      <c r="J1982" s="170" t="n"/>
      <c r="K1982" s="170" t="n"/>
      <c r="L1982" s="30" t="n"/>
      <c r="M1982" s="170" t="n"/>
      <c r="O1982" s="117">
        <f>C1982*P1982</f>
        <v/>
      </c>
      <c r="P1982" s="150" t="n">
        <v>1.1</v>
      </c>
      <c r="Q1982" s="30" t="n"/>
      <c r="R1982" s="170" t="n"/>
      <c r="S1982" s="30" t="n"/>
      <c r="T1982" s="170" t="n"/>
      <c r="U1982" s="30" t="n"/>
      <c r="V1982" s="30" t="n"/>
      <c r="W1982" s="30" t="n"/>
      <c r="X1982" s="30" t="n"/>
      <c r="Y1982" s="30" t="n"/>
      <c r="Z1982" s="30" t="n"/>
      <c r="AA1982" s="30" t="n"/>
      <c r="AB1982" s="30" t="n"/>
      <c r="AC1982" s="30" t="n"/>
      <c r="AD1982" s="30" t="n"/>
      <c r="AE1982" s="30" t="n"/>
      <c r="AF1982" s="30" t="n"/>
      <c r="AG1982" s="30" t="n"/>
      <c r="AH1982" s="30" t="n"/>
      <c r="AI1982" s="30" t="n"/>
      <c r="AJ1982" s="30" t="n"/>
      <c r="AK1982" s="30" t="n"/>
      <c r="AL1982" s="30" t="n"/>
      <c r="AM1982" s="30" t="n"/>
      <c r="AN1982" s="30" t="n"/>
    </row>
    <row r="1983">
      <c r="A1983" s="89" t="inlineStr">
        <is>
          <t>5824XXX</t>
        </is>
      </c>
      <c r="B1983" s="135" t="inlineStr">
        <is>
          <t>TAVERNITI  REM M/C</t>
        </is>
      </c>
      <c r="C1983" s="88" t="n">
        <v>42400</v>
      </c>
      <c r="D1983" s="111" t="n"/>
      <c r="E1983" s="170" t="n"/>
      <c r="F1983" s="170" t="n"/>
      <c r="G1983" s="170" t="n"/>
      <c r="H1983" s="170" t="n"/>
      <c r="I1983" s="170" t="n"/>
      <c r="J1983" s="170" t="n"/>
      <c r="K1983" s="170" t="n"/>
      <c r="L1983" s="30" t="n"/>
      <c r="M1983" s="170" t="n"/>
      <c r="O1983" s="117">
        <f>C1983*P1983</f>
        <v/>
      </c>
      <c r="P1983" s="150" t="n">
        <v>1.1</v>
      </c>
      <c r="Q1983" s="30" t="n"/>
      <c r="R1983" s="170" t="n"/>
      <c r="S1983" s="30" t="n"/>
      <c r="T1983" s="170" t="n"/>
      <c r="U1983" s="30" t="n"/>
      <c r="V1983" s="30" t="n"/>
      <c r="W1983" s="30" t="n"/>
      <c r="X1983" s="30" t="n"/>
      <c r="Y1983" s="30" t="n"/>
      <c r="Z1983" s="30" t="n"/>
      <c r="AA1983" s="30" t="n"/>
      <c r="AB1983" s="30" t="n"/>
      <c r="AC1983" s="30" t="n"/>
      <c r="AD1983" s="30" t="n"/>
      <c r="AE1983" s="30" t="n"/>
      <c r="AF1983" s="30" t="n"/>
      <c r="AG1983" s="30" t="n"/>
      <c r="AH1983" s="30" t="n"/>
      <c r="AI1983" s="30" t="n"/>
      <c r="AJ1983" s="30" t="n"/>
      <c r="AK1983" s="30" t="n"/>
      <c r="AL1983" s="30" t="n"/>
      <c r="AM1983" s="30" t="n"/>
      <c r="AN1983" s="30" t="n"/>
    </row>
    <row r="1984">
      <c r="A1984" s="134" t="inlineStr">
        <is>
          <t>05826XXX</t>
        </is>
      </c>
      <c r="B1984" s="246" t="inlineStr">
        <is>
          <t>TAVERNITI  REM M/C</t>
        </is>
      </c>
      <c r="C1984" s="88" t="n">
        <v>43700</v>
      </c>
      <c r="D1984" s="22" t="n"/>
      <c r="E1984" s="22" t="n"/>
      <c r="F1984" s="22" t="n"/>
      <c r="G1984" s="22" t="n"/>
      <c r="H1984" s="22" t="n"/>
      <c r="I1984" s="22" t="n"/>
      <c r="J1984" s="22" t="n"/>
      <c r="K1984" s="22" t="n"/>
      <c r="L1984" s="22" t="n"/>
      <c r="M1984" s="219" t="n"/>
      <c r="O1984" s="117">
        <f>C1984*P1984</f>
        <v/>
      </c>
      <c r="P1984" s="150" t="n">
        <v>1.1</v>
      </c>
      <c r="R1984" s="117" t="n"/>
      <c r="T1984" s="117" t="n"/>
    </row>
    <row r="1985">
      <c r="A1985" s="134" t="inlineStr">
        <is>
          <t>05832XXX</t>
        </is>
      </c>
      <c r="B1985" s="246" t="inlineStr">
        <is>
          <t>TAVERNITI  REM M/C</t>
        </is>
      </c>
      <c r="C1985" s="88" t="n">
        <v>43700</v>
      </c>
      <c r="D1985" s="22" t="n"/>
      <c r="E1985" s="22" t="n"/>
      <c r="F1985" s="22" t="n"/>
      <c r="G1985" s="22" t="n"/>
      <c r="H1985" s="22" t="n"/>
      <c r="I1985" s="22" t="n"/>
      <c r="J1985" s="22" t="n"/>
      <c r="K1985" s="22" t="n"/>
      <c r="L1985" s="22" t="n"/>
      <c r="M1985" s="219" t="n"/>
      <c r="O1985" s="117">
        <f>C1985*P1985</f>
        <v/>
      </c>
      <c r="P1985" s="150" t="n">
        <v>1.1</v>
      </c>
      <c r="R1985" s="117" t="n"/>
      <c r="T1985" s="117" t="n"/>
    </row>
    <row r="1986">
      <c r="A1986" s="134" t="inlineStr">
        <is>
          <t>05834XXX</t>
        </is>
      </c>
      <c r="B1986" s="246" t="inlineStr">
        <is>
          <t>TAVERNITI  REM M/C</t>
        </is>
      </c>
      <c r="C1986" s="88" t="n">
        <v>43700</v>
      </c>
      <c r="D1986" s="22" t="n"/>
      <c r="E1986" s="22" t="n"/>
      <c r="F1986" s="22" t="n"/>
      <c r="G1986" s="22" t="n"/>
      <c r="H1986" s="22" t="n"/>
      <c r="I1986" s="22" t="n"/>
      <c r="J1986" s="22" t="n"/>
      <c r="K1986" s="22" t="n"/>
      <c r="L1986" s="22" t="n"/>
      <c r="M1986" s="219" t="n"/>
      <c r="O1986" s="117">
        <f>C1986*P1986</f>
        <v/>
      </c>
      <c r="P1986" s="150" t="n">
        <v>1.1</v>
      </c>
      <c r="R1986" s="117" t="n"/>
      <c r="T1986" s="117" t="n"/>
    </row>
    <row r="1987">
      <c r="A1987" s="134" t="inlineStr">
        <is>
          <t>05836XXX</t>
        </is>
      </c>
      <c r="B1987" s="246" t="inlineStr">
        <is>
          <t>TAVERNITI  REM M/C</t>
        </is>
      </c>
      <c r="C1987" s="88" t="n">
        <v>43700</v>
      </c>
      <c r="D1987" s="22" t="n"/>
      <c r="E1987" s="22" t="n"/>
      <c r="F1987" s="22" t="n"/>
      <c r="G1987" s="22" t="n"/>
      <c r="H1987" s="22" t="n"/>
      <c r="I1987" s="22" t="n"/>
      <c r="J1987" s="22" t="n"/>
      <c r="K1987" s="22" t="n"/>
      <c r="L1987" s="22" t="n"/>
      <c r="M1987" s="219" t="n"/>
      <c r="O1987" s="117">
        <f>C1987*P1987</f>
        <v/>
      </c>
      <c r="P1987" s="150" t="n">
        <v>1.1</v>
      </c>
      <c r="R1987" s="117" t="n"/>
      <c r="T1987" s="117" t="n"/>
    </row>
    <row r="1988">
      <c r="A1988" s="89" t="inlineStr">
        <is>
          <t>5844XXX</t>
        </is>
      </c>
      <c r="B1988" s="135" t="inlineStr">
        <is>
          <t>TAVERNITI  REM M/C</t>
        </is>
      </c>
      <c r="C1988" s="88" t="n">
        <v>37200</v>
      </c>
      <c r="D1988" s="170" t="n"/>
      <c r="E1988" s="170" t="n"/>
      <c r="F1988" s="170" t="n"/>
      <c r="G1988" s="170" t="n"/>
      <c r="H1988" s="170" t="n"/>
      <c r="I1988" s="170" t="n"/>
      <c r="J1988" s="170" t="n"/>
      <c r="K1988" s="170" t="n"/>
      <c r="L1988" s="30" t="n"/>
      <c r="M1988" s="170" t="n"/>
      <c r="O1988" s="117">
        <f>C1988*P1988</f>
        <v/>
      </c>
      <c r="P1988" s="150" t="n">
        <v>1.1</v>
      </c>
      <c r="Q1988" s="30" t="n"/>
      <c r="R1988" s="170" t="n"/>
      <c r="S1988" s="30" t="n"/>
      <c r="T1988" s="170" t="n"/>
      <c r="U1988" s="30" t="n"/>
      <c r="V1988" s="30" t="n"/>
      <c r="W1988" s="30" t="n"/>
      <c r="X1988" s="30" t="n"/>
      <c r="Y1988" s="30" t="n"/>
      <c r="Z1988" s="30" t="n"/>
      <c r="AA1988" s="30" t="n"/>
      <c r="AB1988" s="30" t="n"/>
      <c r="AC1988" s="30" t="n"/>
      <c r="AD1988" s="30" t="n"/>
      <c r="AE1988" s="30" t="n"/>
      <c r="AF1988" s="30" t="n"/>
      <c r="AG1988" s="30" t="n"/>
      <c r="AH1988" s="30" t="n"/>
      <c r="AI1988" s="30" t="n"/>
      <c r="AJ1988" s="30" t="n"/>
      <c r="AK1988" s="30" t="n"/>
      <c r="AL1988" s="30" t="n"/>
      <c r="AM1988" s="30" t="n"/>
      <c r="AN1988" s="30" t="n"/>
    </row>
    <row r="1989">
      <c r="A1989" s="89" t="inlineStr">
        <is>
          <t>5890XXX</t>
        </is>
      </c>
      <c r="B1989" s="135" t="inlineStr">
        <is>
          <t>TAVERNITI  REM M/C</t>
        </is>
      </c>
      <c r="C1989" s="88" t="n">
        <v>37200</v>
      </c>
      <c r="D1989" s="170" t="n"/>
      <c r="E1989" s="170" t="n"/>
      <c r="F1989" s="170" t="n"/>
      <c r="G1989" s="170" t="n"/>
      <c r="H1989" s="170" t="n"/>
      <c r="I1989" s="170" t="n"/>
      <c r="J1989" s="170" t="n"/>
      <c r="K1989" s="170" t="n"/>
      <c r="L1989" s="30" t="n"/>
      <c r="M1989" s="170" t="n"/>
      <c r="O1989" s="117">
        <f>C1989*P1989</f>
        <v/>
      </c>
      <c r="P1989" s="150" t="n">
        <v>1.1</v>
      </c>
      <c r="Q1989" s="30" t="n"/>
      <c r="R1989" s="170" t="n"/>
      <c r="S1989" s="30" t="n"/>
      <c r="T1989" s="170" t="n"/>
      <c r="U1989" s="30" t="n"/>
      <c r="V1989" s="30" t="n"/>
      <c r="W1989" s="30" t="n"/>
      <c r="X1989" s="30" t="n"/>
      <c r="Y1989" s="30" t="n"/>
      <c r="Z1989" s="30" t="n"/>
      <c r="AA1989" s="30" t="n"/>
      <c r="AB1989" s="30" t="n"/>
      <c r="AC1989" s="30" t="n"/>
      <c r="AD1989" s="30" t="n"/>
      <c r="AE1989" s="30" t="n"/>
      <c r="AF1989" s="30" t="n"/>
      <c r="AG1989" s="30" t="n"/>
      <c r="AH1989" s="30" t="n"/>
      <c r="AI1989" s="30" t="n"/>
      <c r="AJ1989" s="30" t="n"/>
      <c r="AK1989" s="30" t="n"/>
      <c r="AL1989" s="30" t="n"/>
      <c r="AM1989" s="30" t="n"/>
      <c r="AN1989" s="30" t="n"/>
    </row>
    <row r="1990">
      <c r="A1990" s="89" t="inlineStr">
        <is>
          <t>5894XXX</t>
        </is>
      </c>
      <c r="B1990" s="135" t="inlineStr">
        <is>
          <t>TAVERNITI  REM M/C</t>
        </is>
      </c>
      <c r="C1990" s="88" t="n">
        <v>37200</v>
      </c>
      <c r="D1990" s="111" t="n"/>
      <c r="E1990" s="170" t="n"/>
      <c r="F1990" s="170" t="n"/>
      <c r="G1990" s="170" t="n"/>
      <c r="H1990" s="170" t="n"/>
      <c r="I1990" s="170" t="n"/>
      <c r="J1990" s="170" t="n"/>
      <c r="K1990" s="170" t="n"/>
      <c r="L1990" s="30" t="n"/>
      <c r="M1990" s="170" t="n"/>
      <c r="O1990" s="117">
        <f>C1990*P1990</f>
        <v/>
      </c>
      <c r="P1990" s="150" t="n">
        <v>1.1</v>
      </c>
      <c r="Q1990" s="30" t="n"/>
      <c r="R1990" s="170" t="n"/>
      <c r="S1990" s="30" t="n"/>
      <c r="T1990" s="170" t="n"/>
      <c r="U1990" s="30" t="n"/>
      <c r="V1990" s="30" t="n"/>
      <c r="W1990" s="30" t="n"/>
      <c r="X1990" s="30" t="n"/>
      <c r="Y1990" s="30" t="n"/>
      <c r="Z1990" s="30" t="n"/>
      <c r="AA1990" s="30" t="n"/>
      <c r="AB1990" s="30" t="n"/>
      <c r="AC1990" s="30" t="n"/>
      <c r="AD1990" s="30" t="n"/>
      <c r="AE1990" s="30" t="n"/>
      <c r="AF1990" s="30" t="n"/>
      <c r="AG1990" s="30" t="n"/>
      <c r="AH1990" s="30" t="n"/>
      <c r="AI1990" s="30" t="n"/>
      <c r="AJ1990" s="30" t="n"/>
      <c r="AK1990" s="30" t="n"/>
      <c r="AL1990" s="30" t="n"/>
      <c r="AM1990" s="30" t="n"/>
      <c r="AN1990" s="30" t="n"/>
    </row>
    <row r="1991">
      <c r="A1991" s="89" t="inlineStr">
        <is>
          <t>5896XXX</t>
        </is>
      </c>
      <c r="B1991" s="135" t="inlineStr">
        <is>
          <t>TAVERNITI  REM M/C</t>
        </is>
      </c>
      <c r="C1991" s="88" t="n">
        <v>37200</v>
      </c>
      <c r="D1991" s="170" t="n"/>
      <c r="E1991" s="170" t="n"/>
      <c r="F1991" s="170" t="n"/>
      <c r="G1991" s="170" t="n"/>
      <c r="H1991" s="170" t="n"/>
      <c r="I1991" s="170" t="n"/>
      <c r="J1991" s="170" t="n"/>
      <c r="K1991" s="170" t="n"/>
      <c r="L1991" s="30" t="n"/>
      <c r="M1991" s="170" t="n"/>
      <c r="O1991" s="117">
        <f>C1991*P1991</f>
        <v/>
      </c>
      <c r="P1991" s="150" t="n">
        <v>1.1</v>
      </c>
      <c r="Q1991" s="30" t="n"/>
      <c r="R1991" s="170" t="n"/>
      <c r="S1991" s="30" t="n"/>
      <c r="T1991" s="170" t="n"/>
      <c r="U1991" s="30" t="n"/>
      <c r="V1991" s="30" t="n"/>
      <c r="W1991" s="30" t="n"/>
      <c r="X1991" s="30" t="n"/>
      <c r="Y1991" s="30" t="n"/>
      <c r="Z1991" s="30" t="n"/>
      <c r="AA1991" s="30" t="n"/>
      <c r="AB1991" s="30" t="n"/>
      <c r="AC1991" s="30" t="n"/>
      <c r="AD1991" s="30" t="n"/>
      <c r="AE1991" s="30" t="n"/>
      <c r="AF1991" s="30" t="n"/>
      <c r="AG1991" s="30" t="n"/>
      <c r="AH1991" s="30" t="n"/>
      <c r="AI1991" s="30" t="n"/>
      <c r="AJ1991" s="30" t="n"/>
      <c r="AK1991" s="30" t="n"/>
      <c r="AL1991" s="30" t="n"/>
      <c r="AM1991" s="30" t="n"/>
      <c r="AN1991" s="30" t="n"/>
    </row>
    <row r="1992">
      <c r="A1992" s="89" t="inlineStr">
        <is>
          <t>5898XXX</t>
        </is>
      </c>
      <c r="B1992" s="135" t="inlineStr">
        <is>
          <t>TAVERNITI  REM M/C</t>
        </is>
      </c>
      <c r="C1992" s="88" t="n">
        <v>37200</v>
      </c>
      <c r="D1992" s="111" t="n"/>
      <c r="E1992" s="170" t="n"/>
      <c r="F1992" s="170" t="n"/>
      <c r="G1992" s="170" t="n"/>
      <c r="H1992" s="170" t="n"/>
      <c r="I1992" s="170" t="n"/>
      <c r="J1992" s="170" t="n"/>
      <c r="K1992" s="170" t="n"/>
      <c r="L1992" s="30" t="n"/>
      <c r="M1992" s="170" t="n"/>
      <c r="O1992" s="117">
        <f>C1992*P1992</f>
        <v/>
      </c>
      <c r="P1992" s="150" t="n">
        <v>1.1</v>
      </c>
      <c r="Q1992" s="30" t="n"/>
      <c r="R1992" s="170" t="n"/>
      <c r="S1992" s="30" t="n"/>
      <c r="T1992" s="170" t="n"/>
      <c r="U1992" s="30" t="n"/>
      <c r="V1992" s="30" t="n"/>
      <c r="W1992" s="30" t="n"/>
      <c r="X1992" s="30" t="n"/>
      <c r="Y1992" s="30" t="n"/>
      <c r="Z1992" s="30" t="n"/>
      <c r="AA1992" s="30" t="n"/>
      <c r="AB1992" s="30" t="n"/>
      <c r="AC1992" s="30" t="n"/>
      <c r="AD1992" s="30" t="n"/>
      <c r="AE1992" s="30" t="n"/>
      <c r="AF1992" s="30" t="n"/>
      <c r="AG1992" s="30" t="n"/>
      <c r="AH1992" s="30" t="n"/>
      <c r="AI1992" s="30" t="n"/>
      <c r="AJ1992" s="30" t="n"/>
      <c r="AK1992" s="30" t="n"/>
      <c r="AL1992" s="30" t="n"/>
      <c r="AM1992" s="30" t="n"/>
      <c r="AN1992" s="30" t="n"/>
    </row>
    <row r="1993">
      <c r="A1993" s="89" t="inlineStr">
        <is>
          <t>5928XXX</t>
        </is>
      </c>
      <c r="B1993" s="135" t="inlineStr">
        <is>
          <t>TAVERNITI  REM M/C</t>
        </is>
      </c>
      <c r="C1993" s="88" t="n">
        <v>37000</v>
      </c>
      <c r="D1993" s="170" t="n"/>
      <c r="E1993" s="170" t="n"/>
      <c r="F1993" s="170" t="n"/>
      <c r="G1993" s="170" t="n"/>
      <c r="H1993" s="170" t="n"/>
      <c r="I1993" s="170" t="n"/>
      <c r="J1993" s="170" t="n"/>
      <c r="K1993" s="170" t="n"/>
      <c r="L1993" s="30" t="n"/>
      <c r="M1993" s="170" t="n"/>
      <c r="O1993" s="117">
        <f>C1993*P1993</f>
        <v/>
      </c>
      <c r="P1993" s="150" t="n">
        <v>1.1</v>
      </c>
      <c r="Q1993" s="30" t="n"/>
      <c r="R1993" s="170" t="n"/>
      <c r="S1993" s="30" t="n"/>
      <c r="T1993" s="170" t="n"/>
      <c r="U1993" s="30" t="n"/>
      <c r="V1993" s="30" t="n"/>
      <c r="W1993" s="30" t="n"/>
      <c r="X1993" s="30" t="n"/>
      <c r="Y1993" s="30" t="n"/>
      <c r="Z1993" s="30" t="n"/>
      <c r="AA1993" s="30" t="n"/>
      <c r="AB1993" s="30" t="n"/>
      <c r="AC1993" s="30" t="n"/>
      <c r="AD1993" s="30" t="n"/>
      <c r="AE1993" s="30" t="n"/>
      <c r="AF1993" s="30" t="n"/>
      <c r="AG1993" s="30" t="n"/>
      <c r="AH1993" s="30" t="n"/>
      <c r="AI1993" s="30" t="n"/>
      <c r="AJ1993" s="30" t="n"/>
      <c r="AK1993" s="30" t="n"/>
      <c r="AL1993" s="30" t="n"/>
      <c r="AM1993" s="30" t="n"/>
      <c r="AN1993" s="30" t="n"/>
    </row>
    <row r="1994">
      <c r="A1994" s="134" t="inlineStr">
        <is>
          <t>05930XXX</t>
        </is>
      </c>
      <c r="B1994" s="246" t="inlineStr">
        <is>
          <t>TAVERNITI  REM M/C</t>
        </is>
      </c>
      <c r="C1994" s="88" t="n">
        <v>43700</v>
      </c>
      <c r="D1994" s="22" t="n"/>
      <c r="E1994" s="22" t="n"/>
      <c r="F1994" s="22" t="n"/>
      <c r="G1994" s="22" t="n"/>
      <c r="H1994" s="22" t="n"/>
      <c r="I1994" s="22" t="n"/>
      <c r="J1994" s="22" t="n"/>
      <c r="K1994" s="22" t="n"/>
      <c r="L1994" s="22" t="n"/>
      <c r="M1994" s="219" t="n"/>
      <c r="O1994" s="117">
        <f>C1994*P1994</f>
        <v/>
      </c>
      <c r="P1994" s="150" t="n">
        <v>1.1</v>
      </c>
      <c r="R1994" s="117" t="n"/>
      <c r="T1994" s="117" t="n"/>
    </row>
    <row r="1995">
      <c r="A1995" s="134" t="inlineStr">
        <is>
          <t>05932XXX</t>
        </is>
      </c>
      <c r="B1995" s="246" t="inlineStr">
        <is>
          <t>TAVERNITI  REM M/C</t>
        </is>
      </c>
      <c r="C1995" s="88" t="n">
        <v>43700</v>
      </c>
      <c r="D1995" s="22" t="n"/>
      <c r="E1995" s="22" t="n"/>
      <c r="F1995" s="22" t="n"/>
      <c r="G1995" s="22" t="n"/>
      <c r="H1995" s="22" t="n"/>
      <c r="I1995" s="22" t="n"/>
      <c r="J1995" s="22" t="n"/>
      <c r="K1995" s="22" t="n"/>
      <c r="L1995" s="22" t="n"/>
      <c r="M1995" s="219" t="n"/>
      <c r="O1995" s="117">
        <f>C1995*P1995</f>
        <v/>
      </c>
      <c r="P1995" s="150" t="n">
        <v>1.1</v>
      </c>
      <c r="R1995" s="117" t="n"/>
      <c r="T1995" s="117" t="n"/>
    </row>
    <row r="1996">
      <c r="A1996" s="89" t="inlineStr">
        <is>
          <t>5936XXX</t>
        </is>
      </c>
      <c r="B1996" s="135" t="inlineStr">
        <is>
          <t>TAVERNITI  REM M/C</t>
        </is>
      </c>
      <c r="C1996" s="88" t="n">
        <v>37000</v>
      </c>
      <c r="D1996" s="111" t="n"/>
      <c r="E1996" s="170" t="n"/>
      <c r="F1996" s="170" t="n"/>
      <c r="G1996" s="170" t="n"/>
      <c r="H1996" s="170" t="n"/>
      <c r="I1996" s="170" t="n"/>
      <c r="J1996" s="170" t="n"/>
      <c r="K1996" s="170" t="n"/>
      <c r="L1996" s="30" t="n"/>
      <c r="M1996" s="170" t="n"/>
      <c r="O1996" s="117">
        <f>C1996*P1996</f>
        <v/>
      </c>
      <c r="P1996" s="150" t="n">
        <v>1.1</v>
      </c>
      <c r="Q1996" s="30" t="n"/>
      <c r="R1996" s="170" t="n"/>
      <c r="S1996" s="30" t="n"/>
      <c r="T1996" s="170" t="n"/>
      <c r="U1996" s="30" t="n"/>
      <c r="V1996" s="30" t="n"/>
      <c r="W1996" s="30" t="n"/>
      <c r="X1996" s="30" t="n"/>
      <c r="Y1996" s="30" t="n"/>
      <c r="Z1996" s="30" t="n"/>
      <c r="AA1996" s="30" t="n"/>
      <c r="AB1996" s="30" t="n"/>
      <c r="AC1996" s="30" t="n"/>
      <c r="AD1996" s="30" t="n"/>
      <c r="AE1996" s="30" t="n"/>
      <c r="AF1996" s="30" t="n"/>
      <c r="AG1996" s="30" t="n"/>
      <c r="AH1996" s="30" t="n"/>
      <c r="AI1996" s="30" t="n"/>
      <c r="AJ1996" s="30" t="n"/>
      <c r="AK1996" s="30" t="n"/>
      <c r="AL1996" s="30" t="n"/>
      <c r="AM1996" s="30" t="n"/>
      <c r="AN1996" s="30" t="n"/>
    </row>
    <row r="1997">
      <c r="A1997" s="89" t="inlineStr">
        <is>
          <t>05948XXX</t>
        </is>
      </c>
      <c r="B1997" s="135" t="inlineStr">
        <is>
          <t>TAVERNITI  REM M/C</t>
        </is>
      </c>
      <c r="C1997" s="88" t="n">
        <v>51100</v>
      </c>
      <c r="D1997" s="170" t="n"/>
      <c r="E1997" s="170" t="n"/>
      <c r="F1997" s="170" t="n"/>
      <c r="G1997" s="170" t="n"/>
      <c r="H1997" s="170" t="n"/>
      <c r="I1997" s="170" t="n"/>
      <c r="J1997" s="170" t="n"/>
      <c r="K1997" s="170" t="n"/>
      <c r="L1997" s="170" t="n"/>
      <c r="M1997" s="170" t="n"/>
      <c r="O1997" s="117">
        <f>C1997*P1997</f>
        <v/>
      </c>
      <c r="P1997" s="150" t="n">
        <v>1.1</v>
      </c>
      <c r="Q1997" s="30" t="n"/>
      <c r="R1997" s="170" t="n"/>
      <c r="S1997" s="30" t="n"/>
      <c r="T1997" s="170" t="n"/>
      <c r="U1997" s="30" t="n"/>
      <c r="V1997" s="30" t="n"/>
      <c r="W1997" s="30" t="n"/>
      <c r="X1997" s="30" t="n"/>
      <c r="Y1997" s="30" t="n"/>
      <c r="Z1997" s="30" t="n"/>
      <c r="AA1997" s="30" t="n"/>
      <c r="AB1997" s="30" t="n"/>
      <c r="AC1997" s="30" t="n"/>
      <c r="AD1997" s="30" t="n"/>
      <c r="AE1997" s="30" t="n"/>
      <c r="AF1997" s="30" t="n"/>
      <c r="AG1997" s="30" t="n"/>
      <c r="AH1997" s="30" t="n"/>
      <c r="AI1997" s="30" t="n"/>
      <c r="AJ1997" s="30" t="n"/>
      <c r="AK1997" s="30" t="n"/>
      <c r="AL1997" s="30" t="n"/>
      <c r="AM1997" s="30" t="n"/>
      <c r="AN1997" s="30" t="n"/>
    </row>
    <row r="1998">
      <c r="A1998" s="89" t="inlineStr">
        <is>
          <t>05950XXX</t>
        </is>
      </c>
      <c r="B1998" s="135" t="inlineStr">
        <is>
          <t>TAVERNITI  REM M/C</t>
        </is>
      </c>
      <c r="C1998" s="88" t="n">
        <v>51100</v>
      </c>
      <c r="D1998" s="170" t="n"/>
      <c r="E1998" s="170" t="n"/>
      <c r="F1998" s="170" t="n"/>
      <c r="G1998" s="170" t="n"/>
      <c r="H1998" s="170" t="n"/>
      <c r="I1998" s="170" t="n"/>
      <c r="J1998" s="170" t="n"/>
      <c r="K1998" s="170" t="n"/>
      <c r="L1998" s="170" t="n"/>
      <c r="M1998" s="170" t="n"/>
      <c r="O1998" s="117">
        <f>C1998*P1998</f>
        <v/>
      </c>
      <c r="P1998" s="150" t="n">
        <v>1.1</v>
      </c>
      <c r="Q1998" s="30" t="n"/>
      <c r="R1998" s="170" t="n"/>
      <c r="S1998" s="30" t="n"/>
      <c r="T1998" s="170" t="n"/>
      <c r="U1998" s="30" t="n"/>
      <c r="V1998" s="30" t="n"/>
      <c r="W1998" s="30" t="n"/>
      <c r="X1998" s="30" t="n"/>
      <c r="Y1998" s="30" t="n"/>
      <c r="Z1998" s="30" t="n"/>
      <c r="AA1998" s="30" t="n"/>
      <c r="AB1998" s="30" t="n"/>
      <c r="AC1998" s="30" t="n"/>
      <c r="AD1998" s="30" t="n"/>
      <c r="AE1998" s="30" t="n"/>
      <c r="AF1998" s="30" t="n"/>
      <c r="AG1998" s="30" t="n"/>
      <c r="AH1998" s="30" t="n"/>
      <c r="AI1998" s="30" t="n"/>
      <c r="AJ1998" s="30" t="n"/>
      <c r="AK1998" s="30" t="n"/>
      <c r="AL1998" s="30" t="n"/>
      <c r="AM1998" s="30" t="n"/>
      <c r="AN1998" s="30" t="n"/>
    </row>
    <row r="1999">
      <c r="A1999" s="89" t="inlineStr">
        <is>
          <t>05952XXX</t>
        </is>
      </c>
      <c r="B1999" s="135" t="inlineStr">
        <is>
          <t>TAVERNITI  REM M/C</t>
        </is>
      </c>
      <c r="C1999" s="88" t="n">
        <v>51100</v>
      </c>
      <c r="D1999" s="170" t="n"/>
      <c r="E1999" s="170" t="n"/>
      <c r="F1999" s="170" t="n"/>
      <c r="G1999" s="170" t="n"/>
      <c r="H1999" s="170" t="n"/>
      <c r="I1999" s="170" t="n"/>
      <c r="J1999" s="170" t="n"/>
      <c r="K1999" s="170" t="n"/>
      <c r="L1999" s="170" t="n"/>
      <c r="M1999" s="170" t="n"/>
      <c r="O1999" s="117">
        <f>C1999*P1999</f>
        <v/>
      </c>
      <c r="P1999" s="150" t="n">
        <v>1.1</v>
      </c>
      <c r="Q1999" s="30" t="n"/>
      <c r="R1999" s="170" t="n"/>
      <c r="S1999" s="30" t="n"/>
      <c r="T1999" s="170" t="n"/>
      <c r="U1999" s="30" t="n"/>
      <c r="V1999" s="30" t="n"/>
      <c r="W1999" s="30" t="n"/>
      <c r="X1999" s="30" t="n"/>
      <c r="Y1999" s="30" t="n"/>
      <c r="Z1999" s="30" t="n"/>
      <c r="AA1999" s="30" t="n"/>
      <c r="AB1999" s="30" t="n"/>
      <c r="AC1999" s="30" t="n"/>
      <c r="AD1999" s="30" t="n"/>
      <c r="AE1999" s="30" t="n"/>
      <c r="AF1999" s="30" t="n"/>
      <c r="AG1999" s="30" t="n"/>
      <c r="AH1999" s="30" t="n"/>
      <c r="AI1999" s="30" t="n"/>
      <c r="AJ1999" s="30" t="n"/>
      <c r="AK1999" s="30" t="n"/>
      <c r="AL1999" s="30" t="n"/>
      <c r="AM1999" s="30" t="n"/>
      <c r="AN1999" s="30" t="n"/>
    </row>
    <row r="2000">
      <c r="A2000" s="134" t="inlineStr">
        <is>
          <t>05952XXX</t>
        </is>
      </c>
      <c r="B2000" s="246" t="inlineStr">
        <is>
          <t>TAVERNITI  REM M/C</t>
        </is>
      </c>
      <c r="C2000" s="88" t="n">
        <v>51100</v>
      </c>
      <c r="D2000" s="22" t="n"/>
      <c r="E2000" s="22" t="n"/>
      <c r="F2000" s="22" t="n"/>
      <c r="G2000" s="22" t="n"/>
      <c r="H2000" s="22" t="n"/>
      <c r="I2000" s="22" t="n"/>
      <c r="J2000" s="22" t="n"/>
      <c r="K2000" s="22" t="n"/>
      <c r="L2000" s="22" t="n"/>
      <c r="M2000" s="219" t="n"/>
      <c r="O2000" s="117">
        <f>C2000*P2000</f>
        <v/>
      </c>
      <c r="P2000" s="150" t="n">
        <v>1.1</v>
      </c>
      <c r="R2000" s="117" t="n"/>
      <c r="T2000" s="117" t="n"/>
    </row>
    <row r="2001">
      <c r="A2001" s="134" t="inlineStr">
        <is>
          <t>06014XXX</t>
        </is>
      </c>
      <c r="B2001" s="246" t="inlineStr">
        <is>
          <t>TAVERNITI  REM M/C</t>
        </is>
      </c>
      <c r="C2001" s="88" t="n">
        <v>43700</v>
      </c>
      <c r="D2001" s="22" t="n"/>
      <c r="E2001" s="22" t="n"/>
      <c r="F2001" s="22" t="n"/>
      <c r="G2001" s="22" t="n"/>
      <c r="H2001" s="22" t="n"/>
      <c r="I2001" s="22" t="n"/>
      <c r="J2001" s="22" t="n"/>
      <c r="K2001" s="22" t="n"/>
      <c r="L2001" s="22" t="n"/>
      <c r="M2001" s="219" t="n"/>
      <c r="O2001" s="117">
        <f>C2001*P2001</f>
        <v/>
      </c>
      <c r="P2001" s="150" t="n">
        <v>1.1</v>
      </c>
      <c r="R2001" s="117" t="n"/>
      <c r="T2001" s="117" t="n"/>
    </row>
    <row r="2002">
      <c r="A2002" s="89" t="inlineStr">
        <is>
          <t>06040XXX</t>
        </is>
      </c>
      <c r="B2002" s="135" t="inlineStr">
        <is>
          <t>TAVERNITI  REM M/C</t>
        </is>
      </c>
      <c r="C2002" s="88" t="n">
        <v>37300</v>
      </c>
      <c r="D2002" s="170" t="n"/>
      <c r="E2002" s="170" t="n"/>
      <c r="F2002" s="170" t="n"/>
      <c r="G2002" s="170" t="n"/>
      <c r="H2002" s="170" t="n"/>
      <c r="I2002" s="170" t="n"/>
      <c r="J2002" s="170" t="n"/>
      <c r="K2002" s="170" t="n"/>
      <c r="L2002" s="30" t="n"/>
      <c r="M2002" s="170" t="n"/>
      <c r="O2002" s="117">
        <f>C2002*P2002</f>
        <v/>
      </c>
      <c r="P2002" s="150" t="n">
        <v>1.1</v>
      </c>
      <c r="Q2002" s="30" t="n"/>
      <c r="R2002" s="170" t="n"/>
      <c r="S2002" s="30" t="n"/>
      <c r="T2002" s="170" t="n"/>
      <c r="U2002" s="30" t="n"/>
      <c r="V2002" s="30" t="n"/>
      <c r="W2002" s="30" t="n"/>
      <c r="X2002" s="30" t="n"/>
      <c r="Y2002" s="30" t="n"/>
      <c r="Z2002" s="30" t="n"/>
      <c r="AA2002" s="30" t="n"/>
      <c r="AB2002" s="30" t="n"/>
      <c r="AC2002" s="30" t="n"/>
      <c r="AD2002" s="30" t="n"/>
      <c r="AE2002" s="30" t="n"/>
      <c r="AF2002" s="30" t="n"/>
      <c r="AG2002" s="30" t="n"/>
      <c r="AH2002" s="30" t="n"/>
      <c r="AI2002" s="30" t="n"/>
      <c r="AJ2002" s="30" t="n"/>
      <c r="AK2002" s="30" t="n"/>
      <c r="AL2002" s="30" t="n"/>
      <c r="AM2002" s="30" t="n"/>
      <c r="AN2002" s="30" t="n"/>
    </row>
    <row r="2003">
      <c r="A2003" s="89" t="inlineStr">
        <is>
          <t>06042XXX</t>
        </is>
      </c>
      <c r="B2003" s="135" t="inlineStr">
        <is>
          <t>TAVERNITI  REM M/C</t>
        </is>
      </c>
      <c r="C2003" s="88" t="n">
        <v>45700</v>
      </c>
      <c r="D2003" s="170" t="n"/>
      <c r="E2003" s="170" t="n"/>
      <c r="F2003" s="170" t="n"/>
      <c r="G2003" s="170" t="n"/>
      <c r="H2003" s="170" t="n"/>
      <c r="I2003" s="170" t="n"/>
      <c r="J2003" s="170" t="n"/>
      <c r="K2003" s="170" t="n"/>
      <c r="L2003" s="30" t="n"/>
      <c r="M2003" s="170" t="n"/>
      <c r="O2003" s="117">
        <f>C2003*P2003</f>
        <v/>
      </c>
      <c r="P2003" s="150" t="n">
        <v>1.1</v>
      </c>
      <c r="Q2003" s="30" t="n"/>
      <c r="R2003" s="170" t="n"/>
      <c r="S2003" s="30" t="n"/>
      <c r="T2003" s="170" t="n"/>
      <c r="U2003" s="30" t="n"/>
      <c r="V2003" s="30" t="n"/>
      <c r="W2003" s="30" t="n"/>
      <c r="X2003" s="30" t="n"/>
      <c r="Y2003" s="30" t="n"/>
      <c r="Z2003" s="30" t="n"/>
      <c r="AA2003" s="30" t="n"/>
      <c r="AB2003" s="30" t="n"/>
      <c r="AC2003" s="30" t="n"/>
      <c r="AD2003" s="30" t="n"/>
      <c r="AE2003" s="30" t="n"/>
      <c r="AF2003" s="30" t="n"/>
      <c r="AG2003" s="30" t="n"/>
      <c r="AH2003" s="30" t="n"/>
      <c r="AI2003" s="30" t="n"/>
      <c r="AJ2003" s="30" t="n"/>
      <c r="AK2003" s="30" t="n"/>
      <c r="AL2003" s="30" t="n"/>
      <c r="AM2003" s="30" t="n"/>
      <c r="AN2003" s="30" t="n"/>
    </row>
    <row r="2004">
      <c r="A2004" s="89" t="inlineStr">
        <is>
          <t>06044XXX</t>
        </is>
      </c>
      <c r="B2004" s="135" t="inlineStr">
        <is>
          <t>TAVERNITI  REM M/C</t>
        </is>
      </c>
      <c r="C2004" s="88" t="n">
        <v>38900</v>
      </c>
      <c r="D2004" s="170" t="n"/>
      <c r="E2004" s="170" t="n"/>
      <c r="F2004" s="170" t="n"/>
      <c r="G2004" s="170" t="n"/>
      <c r="H2004" s="170" t="n"/>
      <c r="I2004" s="170" t="n"/>
      <c r="J2004" s="170" t="n"/>
      <c r="K2004" s="170" t="n"/>
      <c r="L2004" s="30" t="n"/>
      <c r="M2004" s="170" t="n"/>
      <c r="O2004" s="117">
        <f>C2004*P2004</f>
        <v/>
      </c>
      <c r="P2004" s="150" t="n">
        <v>1.1</v>
      </c>
      <c r="Q2004" s="30" t="n"/>
      <c r="R2004" s="170" t="n"/>
      <c r="S2004" s="30" t="n"/>
      <c r="T2004" s="170" t="n"/>
      <c r="U2004" s="30" t="n"/>
      <c r="V2004" s="30" t="n"/>
      <c r="W2004" s="30" t="n"/>
      <c r="X2004" s="30" t="n"/>
      <c r="Y2004" s="30" t="n"/>
      <c r="Z2004" s="30" t="n"/>
      <c r="AA2004" s="30" t="n"/>
      <c r="AB2004" s="30" t="n"/>
      <c r="AC2004" s="30" t="n"/>
      <c r="AD2004" s="30" t="n"/>
      <c r="AE2004" s="30" t="n"/>
      <c r="AF2004" s="30" t="n"/>
      <c r="AG2004" s="30" t="n"/>
      <c r="AH2004" s="30" t="n"/>
      <c r="AI2004" s="30" t="n"/>
      <c r="AJ2004" s="30" t="n"/>
      <c r="AK2004" s="30" t="n"/>
      <c r="AL2004" s="30" t="n"/>
      <c r="AM2004" s="30" t="n"/>
      <c r="AN2004" s="30" t="n"/>
    </row>
    <row r="2005">
      <c r="A2005" s="89" t="inlineStr">
        <is>
          <t>06050XXX</t>
        </is>
      </c>
      <c r="B2005" s="135" t="inlineStr">
        <is>
          <t>TAVERNITI  REM M/C</t>
        </is>
      </c>
      <c r="C2005" s="88" t="n">
        <v>38900</v>
      </c>
      <c r="D2005" s="170" t="n"/>
      <c r="E2005" s="170" t="n"/>
      <c r="F2005" s="170" t="n"/>
      <c r="G2005" s="170" t="n"/>
      <c r="H2005" s="170" t="n"/>
      <c r="I2005" s="170" t="n"/>
      <c r="J2005" s="170" t="n"/>
      <c r="K2005" s="170" t="n"/>
      <c r="L2005" s="30" t="n"/>
      <c r="M2005" s="170" t="n"/>
      <c r="O2005" s="117">
        <f>C2005*P2005</f>
        <v/>
      </c>
      <c r="P2005" s="150" t="n">
        <v>1.1</v>
      </c>
      <c r="Q2005" s="30" t="n"/>
      <c r="R2005" s="170" t="n"/>
      <c r="S2005" s="30" t="n"/>
      <c r="T2005" s="170" t="n"/>
      <c r="U2005" s="30" t="n"/>
      <c r="V2005" s="30" t="n"/>
      <c r="W2005" s="30" t="n"/>
      <c r="X2005" s="30" t="n"/>
      <c r="Y2005" s="30" t="n"/>
      <c r="Z2005" s="30" t="n"/>
      <c r="AA2005" s="30" t="n"/>
      <c r="AB2005" s="30" t="n"/>
      <c r="AC2005" s="30" t="n"/>
      <c r="AD2005" s="30" t="n"/>
      <c r="AE2005" s="30" t="n"/>
      <c r="AF2005" s="30" t="n"/>
      <c r="AG2005" s="30" t="n"/>
      <c r="AH2005" s="30" t="n"/>
      <c r="AI2005" s="30" t="n"/>
      <c r="AJ2005" s="30" t="n"/>
      <c r="AK2005" s="30" t="n"/>
      <c r="AL2005" s="30" t="n"/>
      <c r="AM2005" s="30" t="n"/>
      <c r="AN2005" s="30" t="n"/>
    </row>
    <row r="2006">
      <c r="A2006" s="89" t="inlineStr">
        <is>
          <t>06058XXX</t>
        </is>
      </c>
      <c r="B2006" s="135" t="inlineStr">
        <is>
          <t>TAVERNITI  REM M/C</t>
        </is>
      </c>
      <c r="C2006" s="88" t="n">
        <v>43700</v>
      </c>
      <c r="D2006" s="111" t="n"/>
      <c r="E2006" s="170" t="n"/>
      <c r="F2006" s="170" t="n"/>
      <c r="G2006" s="170" t="n"/>
      <c r="H2006" s="170" t="n"/>
      <c r="I2006" s="170" t="n"/>
      <c r="J2006" s="170" t="n"/>
      <c r="K2006" s="170" t="n"/>
      <c r="L2006" s="30" t="n"/>
      <c r="M2006" s="170" t="n"/>
      <c r="O2006" s="117">
        <f>C2006*P2006</f>
        <v/>
      </c>
      <c r="P2006" s="150" t="n">
        <v>1.1</v>
      </c>
      <c r="Q2006" s="30" t="n"/>
      <c r="R2006" s="170" t="n"/>
      <c r="S2006" s="30" t="n"/>
      <c r="T2006" s="170" t="n"/>
      <c r="U2006" s="30" t="n"/>
      <c r="V2006" s="30" t="n"/>
      <c r="W2006" s="30" t="n"/>
      <c r="X2006" s="30" t="n"/>
      <c r="Y2006" s="30" t="n"/>
      <c r="Z2006" s="30" t="n"/>
      <c r="AA2006" s="30" t="n"/>
      <c r="AB2006" s="30" t="n"/>
      <c r="AC2006" s="30" t="n"/>
      <c r="AD2006" s="30" t="n"/>
      <c r="AE2006" s="30" t="n"/>
      <c r="AF2006" s="30" t="n"/>
      <c r="AG2006" s="30" t="n"/>
      <c r="AH2006" s="30" t="n"/>
      <c r="AI2006" s="30" t="n"/>
      <c r="AJ2006" s="30" t="n"/>
      <c r="AK2006" s="30" t="n"/>
      <c r="AL2006" s="30" t="n"/>
      <c r="AM2006" s="30" t="n"/>
      <c r="AN2006" s="30" t="n"/>
    </row>
    <row r="2007">
      <c r="A2007" s="89" t="inlineStr">
        <is>
          <t>06070XXX</t>
        </is>
      </c>
      <c r="B2007" s="135" t="inlineStr">
        <is>
          <t>TAVERNITI  REM M/C</t>
        </is>
      </c>
      <c r="C2007" s="88" t="n">
        <v>43700</v>
      </c>
      <c r="D2007" s="170" t="n"/>
      <c r="E2007" s="170" t="n"/>
      <c r="F2007" s="170" t="n"/>
      <c r="G2007" s="170" t="n"/>
      <c r="H2007" s="170" t="n"/>
      <c r="I2007" s="170" t="n"/>
      <c r="J2007" s="170" t="n"/>
      <c r="K2007" s="170" t="n"/>
      <c r="L2007" s="30" t="n"/>
      <c r="M2007" s="170" t="n"/>
      <c r="O2007" s="117">
        <f>C2007*P2007</f>
        <v/>
      </c>
      <c r="P2007" s="150" t="n">
        <v>1.1</v>
      </c>
      <c r="Q2007" s="30" t="n"/>
      <c r="R2007" s="170" t="n"/>
      <c r="S2007" s="30" t="n"/>
      <c r="T2007" s="170" t="n"/>
      <c r="U2007" s="30" t="n"/>
      <c r="V2007" s="30" t="n"/>
      <c r="W2007" s="30" t="n"/>
      <c r="X2007" s="30" t="n"/>
      <c r="Y2007" s="30" t="n"/>
      <c r="Z2007" s="30" t="n"/>
      <c r="AA2007" s="30" t="n"/>
      <c r="AB2007" s="30" t="n"/>
      <c r="AC2007" s="30" t="n"/>
      <c r="AD2007" s="30" t="n"/>
      <c r="AE2007" s="30" t="n"/>
      <c r="AF2007" s="30" t="n"/>
      <c r="AG2007" s="30" t="n"/>
      <c r="AH2007" s="30" t="n"/>
      <c r="AI2007" s="30" t="n"/>
      <c r="AJ2007" s="30" t="n"/>
      <c r="AK2007" s="30" t="n"/>
      <c r="AL2007" s="30" t="n"/>
      <c r="AM2007" s="30" t="n"/>
      <c r="AN2007" s="30" t="n"/>
    </row>
    <row r="2008">
      <c r="A2008" s="89" t="inlineStr">
        <is>
          <t>06072XXX</t>
        </is>
      </c>
      <c r="B2008" s="135" t="inlineStr">
        <is>
          <t>TAVERNITI  REM M/C</t>
        </is>
      </c>
      <c r="C2008" s="88" t="n">
        <v>47000</v>
      </c>
      <c r="D2008" s="111" t="n"/>
      <c r="E2008" s="170" t="n"/>
      <c r="F2008" s="170" t="n"/>
      <c r="G2008" s="170" t="n"/>
      <c r="H2008" s="170" t="n"/>
      <c r="I2008" s="170" t="n"/>
      <c r="J2008" s="170" t="n"/>
      <c r="K2008" s="170" t="n"/>
      <c r="L2008" s="30" t="n"/>
      <c r="M2008" s="170" t="n"/>
      <c r="O2008" s="117">
        <f>C2008*P2008</f>
        <v/>
      </c>
      <c r="P2008" s="150" t="n">
        <v>1.1</v>
      </c>
      <c r="Q2008" s="30" t="n"/>
      <c r="R2008" s="170" t="n"/>
      <c r="S2008" s="30" t="n"/>
      <c r="T2008" s="170" t="n"/>
      <c r="U2008" s="30" t="n"/>
      <c r="V2008" s="30" t="n"/>
      <c r="W2008" s="30" t="n"/>
      <c r="X2008" s="30" t="n"/>
      <c r="Y2008" s="30" t="n"/>
      <c r="Z2008" s="30" t="n"/>
      <c r="AA2008" s="30" t="n"/>
      <c r="AB2008" s="30" t="n"/>
      <c r="AC2008" s="30" t="n"/>
      <c r="AD2008" s="30" t="n"/>
      <c r="AE2008" s="30" t="n"/>
      <c r="AF2008" s="30" t="n"/>
      <c r="AG2008" s="30" t="n"/>
      <c r="AH2008" s="30" t="n"/>
      <c r="AI2008" s="30" t="n"/>
      <c r="AJ2008" s="30" t="n"/>
      <c r="AK2008" s="30" t="n"/>
      <c r="AL2008" s="30" t="n"/>
      <c r="AM2008" s="30" t="n"/>
      <c r="AN2008" s="30" t="n"/>
    </row>
    <row r="2009">
      <c r="A2009" s="152" t="inlineStr">
        <is>
          <t>06076XXX</t>
        </is>
      </c>
      <c r="B2009" s="135" t="inlineStr">
        <is>
          <t>TAVERNITI  REM M/C</t>
        </is>
      </c>
      <c r="C2009" s="88" t="n">
        <v>51100</v>
      </c>
      <c r="D2009" s="111" t="n"/>
      <c r="E2009" s="170" t="n"/>
      <c r="F2009" s="170" t="n"/>
      <c r="G2009" s="170" t="n"/>
      <c r="H2009" s="170" t="n"/>
      <c r="I2009" s="170" t="n"/>
      <c r="J2009" s="170" t="n"/>
      <c r="K2009" s="170" t="n"/>
      <c r="L2009" s="30" t="n"/>
      <c r="M2009" s="170" t="n"/>
      <c r="O2009" s="117">
        <f>C2009*P2009</f>
        <v/>
      </c>
      <c r="P2009" s="150" t="n">
        <v>1.1</v>
      </c>
      <c r="Q2009" s="30" t="n"/>
      <c r="R2009" s="170" t="n"/>
      <c r="S2009" s="30" t="n"/>
      <c r="T2009" s="170" t="n"/>
      <c r="U2009" s="30" t="n"/>
      <c r="V2009" s="30" t="n"/>
      <c r="W2009" s="30" t="n"/>
      <c r="X2009" s="30" t="n"/>
      <c r="Y2009" s="30" t="n"/>
      <c r="Z2009" s="30" t="n"/>
      <c r="AA2009" s="30" t="n"/>
      <c r="AB2009" s="30" t="n"/>
      <c r="AC2009" s="30" t="n"/>
      <c r="AD2009" s="30" t="n"/>
      <c r="AE2009" s="30" t="n"/>
      <c r="AF2009" s="30" t="n"/>
      <c r="AG2009" s="30" t="n"/>
      <c r="AH2009" s="30" t="n"/>
      <c r="AI2009" s="30" t="n"/>
      <c r="AJ2009" s="30" t="n"/>
      <c r="AK2009" s="30" t="n"/>
      <c r="AL2009" s="30" t="n"/>
      <c r="AM2009" s="30" t="n"/>
      <c r="AN2009" s="30" t="n"/>
    </row>
    <row r="2010">
      <c r="A2010" s="89" t="inlineStr">
        <is>
          <t>06018XXX</t>
        </is>
      </c>
      <c r="B2010" s="135" t="inlineStr">
        <is>
          <t>TAVERNITI  REM M/C</t>
        </is>
      </c>
      <c r="C2010" s="88" t="n">
        <v>57800</v>
      </c>
      <c r="D2010" s="111" t="n"/>
      <c r="E2010" s="170" t="n"/>
      <c r="F2010" s="170" t="n"/>
      <c r="G2010" s="170" t="n"/>
      <c r="H2010" s="170" t="n"/>
      <c r="I2010" s="170" t="n"/>
      <c r="J2010" s="170" t="n"/>
      <c r="K2010" s="170" t="n"/>
      <c r="L2010" s="30" t="n"/>
      <c r="M2010" s="170" t="n"/>
      <c r="O2010" s="117">
        <f>C2010*P2010</f>
        <v/>
      </c>
      <c r="P2010" s="150" t="n">
        <v>1.1</v>
      </c>
      <c r="Q2010" s="30" t="n"/>
      <c r="R2010" s="170" t="n"/>
      <c r="S2010" s="30" t="n"/>
      <c r="T2010" s="170" t="n"/>
      <c r="U2010" s="30" t="n"/>
      <c r="V2010" s="30" t="n"/>
      <c r="W2010" s="30" t="n"/>
      <c r="X2010" s="30" t="n"/>
      <c r="Y2010" s="30" t="n"/>
      <c r="Z2010" s="30" t="n"/>
      <c r="AA2010" s="30" t="n"/>
      <c r="AB2010" s="30" t="n"/>
      <c r="AC2010" s="30" t="n"/>
      <c r="AD2010" s="30" t="n"/>
      <c r="AE2010" s="30" t="n"/>
      <c r="AF2010" s="30" t="n"/>
      <c r="AG2010" s="30" t="n"/>
      <c r="AH2010" s="30" t="n"/>
      <c r="AI2010" s="30" t="n"/>
      <c r="AJ2010" s="30" t="n"/>
      <c r="AK2010" s="30" t="n"/>
      <c r="AL2010" s="30" t="n"/>
      <c r="AM2010" s="30" t="n"/>
      <c r="AN2010" s="30" t="n"/>
    </row>
    <row r="2011">
      <c r="A2011" s="89" t="inlineStr">
        <is>
          <t>06204XXX</t>
        </is>
      </c>
      <c r="B2011" s="135" t="inlineStr">
        <is>
          <t>TAVERNITI  REM M/C</t>
        </is>
      </c>
      <c r="C2011" s="88" t="n">
        <v>57800</v>
      </c>
      <c r="D2011" s="111" t="n"/>
      <c r="E2011" s="170" t="n"/>
      <c r="F2011" s="170" t="n"/>
      <c r="G2011" s="170" t="n"/>
      <c r="H2011" s="170" t="n"/>
      <c r="I2011" s="170" t="n"/>
      <c r="J2011" s="170" t="n"/>
      <c r="K2011" s="170" t="n"/>
      <c r="L2011" s="30" t="n"/>
      <c r="M2011" s="170" t="n"/>
      <c r="O2011" s="117">
        <f>C2011*P2011</f>
        <v/>
      </c>
      <c r="P2011" s="150" t="n">
        <v>1.1</v>
      </c>
      <c r="Q2011" s="30" t="n"/>
      <c r="R2011" s="170" t="n"/>
      <c r="S2011" s="30" t="n"/>
      <c r="T2011" s="170" t="n"/>
      <c r="U2011" s="30" t="n"/>
      <c r="V2011" s="30" t="n"/>
      <c r="W2011" s="30" t="n"/>
      <c r="X2011" s="30" t="n"/>
      <c r="Y2011" s="30" t="n"/>
      <c r="Z2011" s="30" t="n"/>
      <c r="AA2011" s="30" t="n"/>
      <c r="AB2011" s="30" t="n"/>
      <c r="AC2011" s="30" t="n"/>
      <c r="AD2011" s="30" t="n"/>
      <c r="AE2011" s="30" t="n"/>
      <c r="AF2011" s="30" t="n"/>
      <c r="AG2011" s="30" t="n"/>
      <c r="AH2011" s="30" t="n"/>
      <c r="AI2011" s="30" t="n"/>
      <c r="AJ2011" s="30" t="n"/>
      <c r="AK2011" s="30" t="n"/>
      <c r="AL2011" s="30" t="n"/>
      <c r="AM2011" s="30" t="n"/>
      <c r="AN2011" s="30" t="n"/>
    </row>
    <row r="2012">
      <c r="A2012" s="134" t="inlineStr">
        <is>
          <t>6234XXX</t>
        </is>
      </c>
      <c r="B2012" s="246" t="inlineStr">
        <is>
          <t>TAVERNITI  REM M/C</t>
        </is>
      </c>
      <c r="C2012" s="22" t="n">
        <v>38100</v>
      </c>
      <c r="D2012" s="153" t="n"/>
      <c r="E2012" s="219" t="n"/>
      <c r="F2012" s="219" t="n"/>
      <c r="G2012" s="219" t="n"/>
      <c r="H2012" s="219" t="n"/>
      <c r="I2012" s="219" t="n"/>
      <c r="J2012" s="219" t="n"/>
      <c r="K2012" s="219" t="n"/>
      <c r="M2012" s="219" t="n"/>
      <c r="O2012" s="117">
        <f>C2012*P2012</f>
        <v/>
      </c>
      <c r="P2012" s="150" t="n">
        <v>1.1</v>
      </c>
      <c r="R2012" s="117" t="n"/>
      <c r="T2012" s="117" t="n"/>
    </row>
    <row r="2013">
      <c r="A2013" s="134" t="inlineStr">
        <is>
          <t>6298XXX</t>
        </is>
      </c>
      <c r="B2013" s="246" t="inlineStr">
        <is>
          <t>TAVERNITI  REM M/C</t>
        </is>
      </c>
      <c r="C2013" s="22" t="n">
        <v>29800</v>
      </c>
      <c r="D2013" s="153" t="n"/>
      <c r="E2013" s="219" t="n"/>
      <c r="F2013" s="219" t="n"/>
      <c r="G2013" s="219" t="n"/>
      <c r="H2013" s="219" t="n"/>
      <c r="I2013" s="219" t="n"/>
      <c r="J2013" s="219" t="n"/>
      <c r="K2013" s="219" t="n"/>
      <c r="M2013" s="219" t="n"/>
      <c r="O2013" s="117">
        <f>C2013*P2013</f>
        <v/>
      </c>
      <c r="P2013" s="150" t="n">
        <v>1.1</v>
      </c>
      <c r="R2013" s="117" t="n"/>
      <c r="T2013" s="117" t="n"/>
    </row>
    <row r="2014">
      <c r="A2014" s="134" t="inlineStr">
        <is>
          <t>6302XXX</t>
        </is>
      </c>
      <c r="B2014" s="246" t="inlineStr">
        <is>
          <t>TAVERNITI  REM M/C</t>
        </is>
      </c>
      <c r="C2014" s="22" t="n">
        <v>29800</v>
      </c>
      <c r="D2014" s="153" t="n"/>
      <c r="E2014" s="219" t="n"/>
      <c r="F2014" s="219" t="n"/>
      <c r="G2014" s="219" t="n"/>
      <c r="H2014" s="219" t="n"/>
      <c r="I2014" s="219" t="n"/>
      <c r="J2014" s="219" t="n"/>
      <c r="K2014" s="219" t="n"/>
      <c r="M2014" s="219" t="n"/>
      <c r="O2014" s="117">
        <f>C2014*P2014</f>
        <v/>
      </c>
      <c r="P2014" s="150" t="n">
        <v>1.1</v>
      </c>
      <c r="R2014" s="117" t="n"/>
      <c r="T2014" s="117" t="n"/>
    </row>
    <row r="2015">
      <c r="A2015" s="134" t="inlineStr">
        <is>
          <t>6308XXX</t>
        </is>
      </c>
      <c r="B2015" s="246" t="inlineStr">
        <is>
          <t>TAVERNITI  REM M/C</t>
        </is>
      </c>
      <c r="C2015" s="22" t="n">
        <v>29800</v>
      </c>
      <c r="D2015" s="153" t="n"/>
      <c r="E2015" s="219" t="n"/>
      <c r="F2015" s="219" t="n"/>
      <c r="G2015" s="219" t="n"/>
      <c r="H2015" s="219" t="n"/>
      <c r="I2015" s="219" t="n"/>
      <c r="J2015" s="219" t="n"/>
      <c r="K2015" s="219" t="n"/>
      <c r="M2015" s="219" t="n"/>
      <c r="O2015" s="117">
        <f>C2015*P2015</f>
        <v/>
      </c>
      <c r="P2015" s="150" t="n">
        <v>1.1</v>
      </c>
      <c r="R2015" s="117" t="n"/>
      <c r="T2015" s="117" t="n"/>
    </row>
    <row r="2016">
      <c r="A2016" s="134" t="inlineStr">
        <is>
          <t>6324XXX</t>
        </is>
      </c>
      <c r="B2016" s="246" t="inlineStr">
        <is>
          <t>TAVERNITI  REM M/C</t>
        </is>
      </c>
      <c r="C2016" s="22" t="n">
        <v>38000</v>
      </c>
      <c r="D2016" s="153" t="n"/>
      <c r="E2016" s="219" t="n"/>
      <c r="F2016" s="219" t="n"/>
      <c r="G2016" s="219" t="n"/>
      <c r="H2016" s="219" t="n"/>
      <c r="I2016" s="219" t="n"/>
      <c r="J2016" s="219" t="n"/>
      <c r="K2016" s="219" t="n"/>
      <c r="M2016" s="219" t="n"/>
      <c r="O2016" s="117">
        <f>C2016*P2016</f>
        <v/>
      </c>
      <c r="P2016" s="150" t="n">
        <v>1.1</v>
      </c>
      <c r="R2016" s="117" t="n"/>
      <c r="T2016" s="117" t="n"/>
    </row>
    <row r="2017">
      <c r="A2017" s="89" t="inlineStr">
        <is>
          <t>6330XXX</t>
        </is>
      </c>
      <c r="B2017" s="135" t="inlineStr">
        <is>
          <t>TAVERNITI  REM M/C</t>
        </is>
      </c>
      <c r="C2017" s="88" t="n">
        <v>51100</v>
      </c>
      <c r="D2017" s="170" t="n"/>
      <c r="E2017" s="170" t="n"/>
      <c r="F2017" s="170" t="n"/>
      <c r="G2017" s="170" t="n"/>
      <c r="H2017" s="170" t="n"/>
      <c r="I2017" s="170" t="n"/>
      <c r="J2017" s="170" t="n"/>
      <c r="K2017" s="170" t="n"/>
      <c r="L2017" s="30" t="n"/>
      <c r="M2017" s="170" t="n"/>
      <c r="N2017" s="96" t="n"/>
      <c r="O2017" s="117">
        <f>C2017*P2017</f>
        <v/>
      </c>
      <c r="P2017" s="150" t="n">
        <v>1.1</v>
      </c>
      <c r="Q2017" s="30" t="n"/>
      <c r="R2017" s="170" t="n"/>
      <c r="S2017" s="30" t="n"/>
      <c r="T2017" s="170" t="n"/>
      <c r="U2017" s="30" t="n"/>
      <c r="V2017" s="30" t="n"/>
      <c r="W2017" s="30" t="n"/>
      <c r="X2017" s="30" t="n"/>
      <c r="Y2017" s="30" t="n"/>
      <c r="Z2017" s="30" t="n"/>
      <c r="AA2017" s="30" t="n"/>
      <c r="AB2017" s="30" t="n"/>
      <c r="AC2017" s="30" t="n"/>
      <c r="AD2017" s="30" t="n"/>
      <c r="AE2017" s="30" t="n"/>
      <c r="AF2017" s="30" t="n"/>
      <c r="AG2017" s="30" t="n"/>
      <c r="AH2017" s="30" t="n"/>
      <c r="AI2017" s="30" t="n"/>
      <c r="AJ2017" s="30" t="n"/>
      <c r="AK2017" s="30" t="n"/>
      <c r="AL2017" s="30" t="n"/>
      <c r="AM2017" s="30" t="n"/>
      <c r="AN2017" s="30" t="n"/>
    </row>
    <row r="2018">
      <c r="A2018" s="89" t="inlineStr">
        <is>
          <t>6332XXX</t>
        </is>
      </c>
      <c r="B2018" s="135" t="inlineStr">
        <is>
          <t>TAVERNITI  REM M/C</t>
        </is>
      </c>
      <c r="C2018" s="88" t="n">
        <v>43700</v>
      </c>
      <c r="D2018" s="111" t="n"/>
      <c r="E2018" s="170" t="n"/>
      <c r="F2018" s="170" t="n"/>
      <c r="G2018" s="170" t="n"/>
      <c r="H2018" s="170" t="n"/>
      <c r="I2018" s="170" t="n"/>
      <c r="J2018" s="170" t="n"/>
      <c r="K2018" s="170" t="n"/>
      <c r="L2018" s="30" t="n"/>
      <c r="M2018" s="170" t="n"/>
      <c r="O2018" s="117">
        <f>C2018*P2018</f>
        <v/>
      </c>
      <c r="P2018" s="150" t="n">
        <v>1.1</v>
      </c>
      <c r="Q2018" s="30" t="n"/>
      <c r="R2018" s="170" t="n"/>
      <c r="S2018" s="30" t="n"/>
      <c r="T2018" s="170" t="n"/>
      <c r="U2018" s="30" t="n"/>
      <c r="V2018" s="30" t="n"/>
      <c r="W2018" s="30" t="n"/>
      <c r="X2018" s="30" t="n"/>
      <c r="Y2018" s="30" t="n"/>
      <c r="Z2018" s="30" t="n"/>
      <c r="AA2018" s="30" t="n"/>
      <c r="AB2018" s="30" t="n"/>
      <c r="AC2018" s="30" t="n"/>
      <c r="AD2018" s="30" t="n"/>
      <c r="AE2018" s="30" t="n"/>
      <c r="AF2018" s="30" t="n"/>
      <c r="AG2018" s="30" t="n"/>
      <c r="AH2018" s="30" t="n"/>
      <c r="AI2018" s="30" t="n"/>
      <c r="AJ2018" s="30" t="n"/>
      <c r="AK2018" s="30" t="n"/>
      <c r="AL2018" s="30" t="n"/>
      <c r="AM2018" s="30" t="n"/>
      <c r="AN2018" s="30" t="n"/>
    </row>
    <row r="2019">
      <c r="A2019" s="89" t="inlineStr">
        <is>
          <t>6334XXX</t>
        </is>
      </c>
      <c r="B2019" s="135" t="inlineStr">
        <is>
          <t>TAVERNITI  REM M/C</t>
        </is>
      </c>
      <c r="C2019" s="88" t="n">
        <v>51100</v>
      </c>
      <c r="D2019" s="170" t="n"/>
      <c r="E2019" s="170" t="n"/>
      <c r="F2019" s="170" t="n"/>
      <c r="G2019" s="170" t="n"/>
      <c r="H2019" s="170" t="n"/>
      <c r="I2019" s="170" t="n"/>
      <c r="J2019" s="170" t="n"/>
      <c r="K2019" s="170" t="n"/>
      <c r="L2019" s="30" t="n"/>
      <c r="M2019" s="170" t="n"/>
      <c r="N2019" s="96" t="n"/>
      <c r="O2019" s="117">
        <f>C2019*P2019</f>
        <v/>
      </c>
      <c r="P2019" s="150" t="n">
        <v>1.1</v>
      </c>
      <c r="Q2019" s="30" t="n"/>
      <c r="R2019" s="170" t="n"/>
      <c r="S2019" s="30" t="n"/>
      <c r="T2019" s="170" t="n"/>
      <c r="U2019" s="30" t="n"/>
      <c r="V2019" s="30" t="n"/>
      <c r="W2019" s="30" t="n"/>
      <c r="X2019" s="30" t="n"/>
      <c r="Y2019" s="30" t="n"/>
      <c r="Z2019" s="30" t="n"/>
      <c r="AA2019" s="30" t="n"/>
      <c r="AB2019" s="30" t="n"/>
      <c r="AC2019" s="30" t="n"/>
      <c r="AD2019" s="30" t="n"/>
      <c r="AE2019" s="30" t="n"/>
      <c r="AF2019" s="30" t="n"/>
      <c r="AG2019" s="30" t="n"/>
      <c r="AH2019" s="30" t="n"/>
      <c r="AI2019" s="30" t="n"/>
      <c r="AJ2019" s="30" t="n"/>
      <c r="AK2019" s="30" t="n"/>
      <c r="AL2019" s="30" t="n"/>
      <c r="AM2019" s="30" t="n"/>
      <c r="AN2019" s="30" t="n"/>
    </row>
    <row r="2020">
      <c r="A2020" s="89" t="inlineStr">
        <is>
          <t>6336XXX</t>
        </is>
      </c>
      <c r="B2020" s="135" t="inlineStr">
        <is>
          <t>TAVERNITI  REM M/C</t>
        </is>
      </c>
      <c r="C2020" s="88" t="n">
        <v>51100</v>
      </c>
      <c r="D2020" s="170" t="n"/>
      <c r="E2020" s="170" t="n"/>
      <c r="F2020" s="170" t="n"/>
      <c r="G2020" s="170" t="n"/>
      <c r="H2020" s="170" t="n"/>
      <c r="I2020" s="170" t="n"/>
      <c r="J2020" s="170" t="n"/>
      <c r="K2020" s="170" t="n"/>
      <c r="L2020" s="30" t="n"/>
      <c r="M2020" s="170" t="n"/>
      <c r="N2020" s="96" t="n"/>
      <c r="O2020" s="117">
        <f>C2020*P2020</f>
        <v/>
      </c>
      <c r="P2020" s="150" t="n">
        <v>1.1</v>
      </c>
      <c r="Q2020" s="30" t="n"/>
      <c r="R2020" s="170" t="n"/>
      <c r="S2020" s="30" t="n"/>
      <c r="T2020" s="170" t="n"/>
      <c r="U2020" s="30" t="n"/>
      <c r="V2020" s="30" t="n"/>
      <c r="W2020" s="30" t="n"/>
      <c r="X2020" s="30" t="n"/>
      <c r="Y2020" s="30" t="n"/>
      <c r="Z2020" s="30" t="n"/>
      <c r="AA2020" s="30" t="n"/>
      <c r="AB2020" s="30" t="n"/>
      <c r="AC2020" s="30" t="n"/>
      <c r="AD2020" s="30" t="n"/>
      <c r="AE2020" s="30" t="n"/>
      <c r="AF2020" s="30" t="n"/>
      <c r="AG2020" s="30" t="n"/>
      <c r="AH2020" s="30" t="n"/>
      <c r="AI2020" s="30" t="n"/>
      <c r="AJ2020" s="30" t="n"/>
      <c r="AK2020" s="30" t="n"/>
      <c r="AL2020" s="30" t="n"/>
      <c r="AM2020" s="30" t="n"/>
      <c r="AN2020" s="30" t="n"/>
    </row>
    <row r="2021">
      <c r="A2021" s="89" t="inlineStr">
        <is>
          <t>6340XXX</t>
        </is>
      </c>
      <c r="B2021" s="135" t="inlineStr">
        <is>
          <t>TAVERNITI  REM M/C</t>
        </is>
      </c>
      <c r="C2021" s="88" t="n">
        <v>51100</v>
      </c>
      <c r="D2021" s="170" t="n"/>
      <c r="E2021" s="170" t="n"/>
      <c r="F2021" s="170" t="n"/>
      <c r="G2021" s="170" t="n"/>
      <c r="H2021" s="170" t="n"/>
      <c r="I2021" s="170" t="n"/>
      <c r="J2021" s="170" t="n"/>
      <c r="K2021" s="170" t="n"/>
      <c r="L2021" s="30" t="n"/>
      <c r="M2021" s="170" t="n"/>
      <c r="N2021" s="96" t="n"/>
      <c r="O2021" s="117">
        <f>C2021*P2021</f>
        <v/>
      </c>
      <c r="P2021" s="150" t="n">
        <v>1.1</v>
      </c>
      <c r="Q2021" s="30" t="n"/>
      <c r="R2021" s="170" t="n"/>
      <c r="S2021" s="30" t="n"/>
      <c r="T2021" s="170" t="n"/>
      <c r="U2021" s="30" t="n"/>
      <c r="V2021" s="30" t="n"/>
      <c r="W2021" s="30" t="n"/>
      <c r="X2021" s="30" t="n"/>
      <c r="Y2021" s="30" t="n"/>
      <c r="Z2021" s="30" t="n"/>
      <c r="AA2021" s="30" t="n"/>
      <c r="AB2021" s="30" t="n"/>
      <c r="AC2021" s="30" t="n"/>
      <c r="AD2021" s="30" t="n"/>
      <c r="AE2021" s="30" t="n"/>
      <c r="AF2021" s="30" t="n"/>
      <c r="AG2021" s="30" t="n"/>
      <c r="AH2021" s="30" t="n"/>
      <c r="AI2021" s="30" t="n"/>
      <c r="AJ2021" s="30" t="n"/>
      <c r="AK2021" s="30" t="n"/>
      <c r="AL2021" s="30" t="n"/>
      <c r="AM2021" s="30" t="n"/>
      <c r="AN2021" s="30" t="n"/>
    </row>
    <row r="2022">
      <c r="A2022" s="134" t="inlineStr">
        <is>
          <t>6344XXX</t>
        </is>
      </c>
      <c r="B2022" s="246" t="inlineStr">
        <is>
          <t>TAVERNITI  REM M/C</t>
        </is>
      </c>
      <c r="C2022" s="22" t="n">
        <v>42000</v>
      </c>
      <c r="D2022" s="153" t="n"/>
      <c r="E2022" s="219" t="n"/>
      <c r="F2022" s="219" t="n"/>
      <c r="G2022" s="219" t="n"/>
      <c r="H2022" s="219" t="n"/>
      <c r="I2022" s="219" t="n"/>
      <c r="J2022" s="219" t="n"/>
      <c r="K2022" s="219" t="n"/>
      <c r="M2022" s="219" t="n"/>
      <c r="O2022" s="117">
        <f>C2022*P2022</f>
        <v/>
      </c>
      <c r="P2022" s="150" t="n">
        <v>1.1</v>
      </c>
      <c r="R2022" s="117" t="n"/>
      <c r="T2022" s="117" t="n"/>
    </row>
    <row r="2023">
      <c r="A2023" s="134" t="inlineStr">
        <is>
          <t>6446XXX</t>
        </is>
      </c>
      <c r="B2023" s="246" t="inlineStr">
        <is>
          <t>TAVERNITI  REM M/C</t>
        </is>
      </c>
      <c r="C2023" s="22" t="n">
        <v>36000</v>
      </c>
      <c r="D2023" s="153" t="n"/>
      <c r="E2023" s="219" t="n"/>
      <c r="F2023" s="219" t="n"/>
      <c r="G2023" s="219" t="n"/>
      <c r="H2023" s="219" t="n"/>
      <c r="I2023" s="219" t="n"/>
      <c r="J2023" s="219" t="n"/>
      <c r="K2023" s="219" t="n"/>
      <c r="M2023" s="219" t="n"/>
      <c r="O2023" s="117">
        <f>C2023*P2023</f>
        <v/>
      </c>
      <c r="P2023" s="150" t="n">
        <v>1.1</v>
      </c>
      <c r="R2023" s="117" t="n"/>
      <c r="T2023" s="117" t="n"/>
    </row>
    <row r="2024">
      <c r="A2024" s="134" t="inlineStr">
        <is>
          <t>6450XXX</t>
        </is>
      </c>
      <c r="B2024" s="246" t="inlineStr">
        <is>
          <t>TAVERNITI  REM M/C</t>
        </is>
      </c>
      <c r="C2024" s="22" t="n">
        <v>34100</v>
      </c>
      <c r="D2024" s="153" t="n"/>
      <c r="E2024" s="219" t="n"/>
      <c r="F2024" s="219" t="n"/>
      <c r="G2024" s="219" t="n"/>
      <c r="H2024" s="219" t="n"/>
      <c r="I2024" s="219" t="n"/>
      <c r="J2024" s="219" t="n"/>
      <c r="K2024" s="219" t="n"/>
      <c r="M2024" s="219" t="n"/>
      <c r="O2024" s="117">
        <f>C2024*P2024</f>
        <v/>
      </c>
      <c r="P2024" s="150" t="n">
        <v>1.1</v>
      </c>
      <c r="R2024" s="117" t="n"/>
      <c r="T2024" s="117" t="n"/>
    </row>
    <row r="2025">
      <c r="A2025" s="134" t="inlineStr">
        <is>
          <t>6452XXX</t>
        </is>
      </c>
      <c r="B2025" s="246" t="inlineStr">
        <is>
          <t>TAVERNITI  REM M/C</t>
        </is>
      </c>
      <c r="C2025" s="22" t="n">
        <v>41100</v>
      </c>
      <c r="D2025" s="153" t="n"/>
      <c r="E2025" s="219" t="n"/>
      <c r="F2025" s="219" t="n"/>
      <c r="G2025" s="219" t="n"/>
      <c r="H2025" s="219" t="n"/>
      <c r="I2025" s="219" t="n"/>
      <c r="J2025" s="219" t="n"/>
      <c r="K2025" s="219" t="n"/>
      <c r="M2025" s="219" t="n"/>
      <c r="O2025" s="117">
        <f>C2025*P2025</f>
        <v/>
      </c>
      <c r="P2025" s="150" t="n">
        <v>1.1</v>
      </c>
      <c r="R2025" s="117" t="n"/>
      <c r="T2025" s="117" t="n"/>
    </row>
    <row r="2026">
      <c r="A2026" s="134" t="inlineStr">
        <is>
          <t>6474XXX</t>
        </is>
      </c>
      <c r="B2026" s="246" t="inlineStr">
        <is>
          <t>TAVERNITI  REM M/C</t>
        </is>
      </c>
      <c r="C2026" s="22" t="n">
        <v>42700</v>
      </c>
      <c r="D2026" s="153" t="n"/>
      <c r="E2026" s="219" t="n"/>
      <c r="F2026" s="219" t="n"/>
      <c r="G2026" s="219" t="n"/>
      <c r="H2026" s="219" t="n"/>
      <c r="I2026" s="219" t="n"/>
      <c r="J2026" s="219" t="n"/>
      <c r="K2026" s="219" t="n"/>
      <c r="M2026" s="219" t="n"/>
      <c r="O2026" s="117">
        <f>C2026*P2026</f>
        <v/>
      </c>
      <c r="P2026" s="150" t="n">
        <v>1.1</v>
      </c>
      <c r="R2026" s="117" t="n"/>
      <c r="T2026" s="117" t="n"/>
    </row>
    <row r="2027">
      <c r="A2027" s="134" t="inlineStr">
        <is>
          <t>6478XXX</t>
        </is>
      </c>
      <c r="B2027" s="246" t="inlineStr">
        <is>
          <t>TAVERNITI  REM M/C</t>
        </is>
      </c>
      <c r="C2027" s="22" t="n">
        <v>42700</v>
      </c>
      <c r="D2027" s="153" t="n"/>
      <c r="E2027" s="219" t="n"/>
      <c r="F2027" s="219" t="n"/>
      <c r="G2027" s="219" t="n"/>
      <c r="H2027" s="219" t="n"/>
      <c r="I2027" s="219" t="n"/>
      <c r="J2027" s="219" t="n"/>
      <c r="K2027" s="219" t="n"/>
      <c r="M2027" s="219" t="n"/>
      <c r="O2027" s="117">
        <f>C2027*P2027</f>
        <v/>
      </c>
      <c r="P2027" s="150" t="n">
        <v>1.1</v>
      </c>
      <c r="R2027" s="117" t="n"/>
      <c r="T2027" s="117" t="n"/>
    </row>
    <row r="2028">
      <c r="A2028" s="134" t="inlineStr">
        <is>
          <t>6480XXX</t>
        </is>
      </c>
      <c r="B2028" s="246" t="inlineStr">
        <is>
          <t>TAVERNITI  REM M/C</t>
        </is>
      </c>
      <c r="C2028" s="22" t="n">
        <v>43200</v>
      </c>
      <c r="D2028" s="153" t="n"/>
      <c r="E2028" s="219" t="n"/>
      <c r="F2028" s="219" t="n"/>
      <c r="G2028" s="219" t="n"/>
      <c r="H2028" s="219" t="n"/>
      <c r="I2028" s="219" t="n"/>
      <c r="J2028" s="219" t="n"/>
      <c r="K2028" s="219" t="n"/>
      <c r="M2028" s="219" t="n"/>
      <c r="O2028" s="117">
        <f>C2028*P2028</f>
        <v/>
      </c>
      <c r="P2028" s="150" t="n">
        <v>1.1</v>
      </c>
      <c r="R2028" s="117" t="n"/>
      <c r="T2028" s="117" t="n"/>
    </row>
    <row r="2029">
      <c r="A2029" s="134" t="inlineStr">
        <is>
          <t>6482XXX</t>
        </is>
      </c>
      <c r="B2029" s="246" t="inlineStr">
        <is>
          <t>TAVERNITI  REM M/C</t>
        </is>
      </c>
      <c r="C2029" s="22" t="n">
        <v>42700</v>
      </c>
      <c r="D2029" s="153" t="n"/>
      <c r="E2029" s="219" t="n"/>
      <c r="F2029" s="219" t="n"/>
      <c r="G2029" s="219" t="n"/>
      <c r="H2029" s="219" t="n"/>
      <c r="I2029" s="219" t="n"/>
      <c r="J2029" s="219" t="n"/>
      <c r="K2029" s="219" t="n"/>
      <c r="M2029" s="219" t="n"/>
      <c r="O2029" s="117">
        <f>C2029*P2029</f>
        <v/>
      </c>
      <c r="P2029" s="150" t="n">
        <v>1.1</v>
      </c>
      <c r="R2029" s="117" t="n"/>
      <c r="T2029" s="117" t="n"/>
    </row>
    <row r="2030">
      <c r="A2030" s="134" t="inlineStr">
        <is>
          <t>6484XXX</t>
        </is>
      </c>
      <c r="B2030" s="246" t="inlineStr">
        <is>
          <t>TAVERNITI  REM M/C</t>
        </is>
      </c>
      <c r="C2030" s="22" t="n">
        <v>42700</v>
      </c>
      <c r="D2030" s="153" t="n"/>
      <c r="E2030" s="219" t="n"/>
      <c r="F2030" s="219" t="n"/>
      <c r="G2030" s="219" t="n"/>
      <c r="H2030" s="219" t="n"/>
      <c r="I2030" s="219" t="n"/>
      <c r="J2030" s="219" t="n"/>
      <c r="K2030" s="219" t="n"/>
      <c r="M2030" s="219" t="n"/>
      <c r="O2030" s="117">
        <f>C2030*P2030</f>
        <v/>
      </c>
      <c r="P2030" s="150" t="n">
        <v>1.1</v>
      </c>
      <c r="R2030" s="117" t="n"/>
      <c r="T2030" s="117" t="n"/>
    </row>
    <row r="2031">
      <c r="A2031" s="134" t="inlineStr">
        <is>
          <t>6580XXX</t>
        </is>
      </c>
      <c r="B2031" s="246" t="inlineStr">
        <is>
          <t>TAVERNITI  REM M/C</t>
        </is>
      </c>
      <c r="C2031" s="88" t="n">
        <v>38100</v>
      </c>
      <c r="D2031" s="22" t="n"/>
      <c r="E2031" s="219" t="n"/>
      <c r="F2031" s="219" t="n"/>
      <c r="G2031" s="219" t="n"/>
      <c r="H2031" s="219" t="n"/>
      <c r="I2031" s="219" t="n"/>
      <c r="J2031" s="219" t="n"/>
      <c r="K2031" s="219" t="n"/>
      <c r="L2031" s="219" t="n"/>
      <c r="M2031" s="219" t="n"/>
      <c r="O2031" s="117">
        <f>C2031*P2031</f>
        <v/>
      </c>
      <c r="P2031" s="150" t="n">
        <v>1.1</v>
      </c>
      <c r="R2031" s="117" t="n"/>
      <c r="T2031" s="117" t="n"/>
    </row>
    <row r="2032">
      <c r="A2032" s="89" t="inlineStr">
        <is>
          <t>7976XXX</t>
        </is>
      </c>
      <c r="B2032" s="135" t="inlineStr">
        <is>
          <t>TAVERNITI  REM M/C</t>
        </is>
      </c>
      <c r="C2032" s="88" t="n">
        <v>42100</v>
      </c>
      <c r="D2032" s="170" t="n"/>
      <c r="E2032" s="170" t="n"/>
      <c r="F2032" s="170" t="n"/>
      <c r="G2032" s="170" t="n"/>
      <c r="H2032" s="170" t="n"/>
      <c r="I2032" s="170" t="n"/>
      <c r="J2032" s="170" t="n"/>
      <c r="K2032" s="170" t="n"/>
      <c r="L2032" s="170" t="n"/>
      <c r="M2032" s="170" t="n"/>
      <c r="N2032" s="30" t="n"/>
      <c r="O2032" s="150">
        <f>C2032*P2032</f>
        <v/>
      </c>
      <c r="P2032" s="150" t="n">
        <v>1.1</v>
      </c>
      <c r="Q2032" s="30" t="n"/>
      <c r="R2032" s="170" t="n"/>
      <c r="S2032" s="30" t="n"/>
      <c r="T2032" s="170" t="n"/>
      <c r="U2032" s="30" t="n"/>
      <c r="V2032" s="30" t="n"/>
      <c r="W2032" s="30" t="n"/>
      <c r="X2032" s="30" t="n"/>
      <c r="Y2032" s="30" t="n"/>
      <c r="Z2032" s="30" t="n"/>
      <c r="AA2032" s="30" t="n"/>
      <c r="AB2032" s="30" t="n"/>
      <c r="AC2032" s="30" t="n"/>
      <c r="AD2032" s="30" t="n"/>
      <c r="AE2032" s="30" t="n"/>
      <c r="AF2032" s="30" t="n"/>
      <c r="AG2032" s="30" t="n"/>
      <c r="AH2032" s="30" t="n"/>
      <c r="AI2032" s="30" t="n"/>
      <c r="AJ2032" s="30" t="n"/>
      <c r="AK2032" s="30" t="n"/>
      <c r="AL2032" s="30" t="n"/>
      <c r="AM2032" s="30" t="n"/>
      <c r="AN2032" s="30" t="n"/>
      <c r="AO2032" s="30" t="n"/>
    </row>
    <row r="2033">
      <c r="A2033" s="134" t="inlineStr">
        <is>
          <t>7990XXX</t>
        </is>
      </c>
      <c r="B2033" s="246" t="inlineStr">
        <is>
          <t>TAVERNITI  REM M/C</t>
        </is>
      </c>
      <c r="C2033" s="88" t="n">
        <v>43800</v>
      </c>
      <c r="D2033" s="22" t="n"/>
      <c r="E2033" s="219" t="n"/>
      <c r="F2033" s="219" t="n"/>
      <c r="G2033" s="219" t="n"/>
      <c r="H2033" s="219" t="n"/>
      <c r="I2033" s="219" t="n"/>
      <c r="J2033" s="219" t="n"/>
      <c r="K2033" s="219" t="n"/>
      <c r="L2033" s="219" t="n"/>
      <c r="M2033" s="219" t="n"/>
      <c r="O2033" s="117">
        <f>C2033*P2033</f>
        <v/>
      </c>
      <c r="P2033" s="150" t="n">
        <v>1.1</v>
      </c>
      <c r="R2033" s="117" t="n"/>
      <c r="T2033" s="117" t="n"/>
    </row>
    <row r="2034">
      <c r="A2034" s="134" t="inlineStr">
        <is>
          <t>7992XXX</t>
        </is>
      </c>
      <c r="B2034" s="246" t="inlineStr">
        <is>
          <t>TAVERNITI  REM M/C</t>
        </is>
      </c>
      <c r="C2034" s="88" t="n">
        <v>43800</v>
      </c>
      <c r="D2034" s="22" t="n"/>
      <c r="E2034" s="219" t="n"/>
      <c r="F2034" s="219" t="n"/>
      <c r="G2034" s="219" t="n"/>
      <c r="H2034" s="219" t="n"/>
      <c r="I2034" s="219" t="n"/>
      <c r="J2034" s="219" t="n"/>
      <c r="K2034" s="219" t="n"/>
      <c r="L2034" s="219" t="n"/>
      <c r="M2034" s="219" t="n"/>
      <c r="O2034" s="117">
        <f>C2034*P2034</f>
        <v/>
      </c>
      <c r="P2034" s="150" t="n">
        <v>1.1</v>
      </c>
      <c r="R2034" s="117" t="n"/>
      <c r="T2034" s="117" t="n"/>
    </row>
    <row r="2035">
      <c r="A2035" s="134" t="inlineStr">
        <is>
          <t>7994XXX</t>
        </is>
      </c>
      <c r="B2035" s="246" t="inlineStr">
        <is>
          <t>TAVERNITI  REM M/C</t>
        </is>
      </c>
      <c r="C2035" s="88" t="n">
        <v>38900</v>
      </c>
      <c r="D2035" s="22" t="n"/>
      <c r="E2035" s="219" t="n"/>
      <c r="F2035" s="219" t="n"/>
      <c r="G2035" s="219" t="n"/>
      <c r="H2035" s="219" t="n"/>
      <c r="I2035" s="219" t="n"/>
      <c r="J2035" s="219" t="n"/>
      <c r="K2035" s="219" t="n"/>
      <c r="L2035" s="219" t="n"/>
      <c r="M2035" s="219" t="n"/>
      <c r="O2035" s="117">
        <f>C2035*P2035</f>
        <v/>
      </c>
      <c r="P2035" s="150" t="n">
        <v>1.1</v>
      </c>
      <c r="R2035" s="117" t="n"/>
      <c r="T2035" s="117" t="n"/>
    </row>
    <row r="2036">
      <c r="A2036" s="134" t="inlineStr">
        <is>
          <t>8776634</t>
        </is>
      </c>
      <c r="B2036" s="246" t="inlineStr">
        <is>
          <t>TAVERNITI  REM M/C</t>
        </is>
      </c>
      <c r="C2036" s="88" t="n">
        <v>43700</v>
      </c>
      <c r="D2036" s="22" t="n"/>
      <c r="E2036" s="219" t="n"/>
      <c r="F2036" s="219" t="n"/>
      <c r="G2036" s="219" t="n"/>
      <c r="H2036" s="219" t="n"/>
      <c r="I2036" s="219" t="n"/>
      <c r="J2036" s="219" t="n"/>
      <c r="K2036" s="219" t="n"/>
      <c r="L2036" s="219" t="n"/>
      <c r="M2036" s="219" t="n"/>
      <c r="O2036" s="117">
        <f>C2036*P2036</f>
        <v/>
      </c>
      <c r="P2036" s="150" t="n">
        <v>1.1</v>
      </c>
      <c r="R2036" s="117" t="n"/>
      <c r="T2036" s="117" t="n"/>
    </row>
    <row r="2037">
      <c r="A2037" s="134" t="inlineStr">
        <is>
          <t>8776653</t>
        </is>
      </c>
      <c r="B2037" s="246" t="inlineStr">
        <is>
          <t>TAVERNITI  REM M/C</t>
        </is>
      </c>
      <c r="C2037" s="88" t="n">
        <v>39900</v>
      </c>
      <c r="D2037" s="22" t="n"/>
      <c r="E2037" s="219" t="n"/>
      <c r="F2037" s="219" t="n"/>
      <c r="G2037" s="219" t="n"/>
      <c r="H2037" s="219" t="n"/>
      <c r="I2037" s="219" t="n"/>
      <c r="J2037" s="219" t="n"/>
      <c r="K2037" s="219" t="n"/>
      <c r="L2037" s="219" t="n"/>
      <c r="M2037" s="219" t="n"/>
      <c r="O2037" s="117">
        <f>C2037*P2037</f>
        <v/>
      </c>
      <c r="P2037" s="150" t="n">
        <v>1.1</v>
      </c>
      <c r="R2037" s="117" t="n"/>
      <c r="T2037" s="117" t="n"/>
    </row>
    <row r="2038">
      <c r="A2038" s="134" t="inlineStr">
        <is>
          <t>8838869</t>
        </is>
      </c>
      <c r="B2038" s="246" t="inlineStr">
        <is>
          <t>TAVERNITI  REM M/C</t>
        </is>
      </c>
      <c r="C2038" s="88" t="n">
        <v>43700</v>
      </c>
      <c r="D2038" s="22" t="n"/>
      <c r="E2038" s="219" t="n"/>
      <c r="F2038" s="219" t="n"/>
      <c r="G2038" s="219" t="n"/>
      <c r="H2038" s="219" t="n"/>
      <c r="I2038" s="219" t="n"/>
      <c r="J2038" s="219" t="n"/>
      <c r="K2038" s="219" t="n"/>
      <c r="L2038" s="219" t="n"/>
      <c r="M2038" s="219" t="n"/>
      <c r="O2038" s="117">
        <f>C2038*P2038</f>
        <v/>
      </c>
      <c r="P2038" s="150" t="n">
        <v>1.1</v>
      </c>
      <c r="R2038" s="117" t="n"/>
      <c r="T2038" s="117" t="n"/>
    </row>
    <row r="2039">
      <c r="A2039" s="134" t="inlineStr">
        <is>
          <t>8838988</t>
        </is>
      </c>
      <c r="B2039" s="246" t="inlineStr">
        <is>
          <t>TAVERNITI  REM M/C</t>
        </is>
      </c>
      <c r="C2039" s="88" t="n">
        <v>43700</v>
      </c>
      <c r="D2039" s="22" t="n"/>
      <c r="E2039" s="219" t="n"/>
      <c r="F2039" s="219" t="n"/>
      <c r="G2039" s="219" t="n"/>
      <c r="H2039" s="219" t="n"/>
      <c r="I2039" s="219" t="n"/>
      <c r="J2039" s="219" t="n"/>
      <c r="K2039" s="219" t="n"/>
      <c r="L2039" s="219" t="n"/>
      <c r="M2039" s="219" t="n"/>
      <c r="O2039" s="117">
        <f>C2039*P2039</f>
        <v/>
      </c>
      <c r="P2039" s="150" t="n">
        <v>1.1</v>
      </c>
      <c r="R2039" s="117" t="n"/>
      <c r="T2039" s="117" t="n"/>
    </row>
    <row r="2040">
      <c r="A2040" s="134" t="inlineStr">
        <is>
          <t>8920640</t>
        </is>
      </c>
      <c r="B2040" s="246" t="inlineStr">
        <is>
          <t>TAVERNITI  REM M/C</t>
        </is>
      </c>
      <c r="C2040" s="88" t="n">
        <v>37300</v>
      </c>
      <c r="D2040" s="22" t="n"/>
      <c r="E2040" s="219" t="n"/>
      <c r="F2040" s="219" t="n"/>
      <c r="G2040" s="219" t="n"/>
      <c r="H2040" s="219" t="n"/>
      <c r="I2040" s="219" t="n"/>
      <c r="J2040" s="219" t="n"/>
      <c r="K2040" s="219" t="n"/>
      <c r="L2040" s="219" t="n"/>
      <c r="M2040" s="219" t="n"/>
      <c r="O2040" s="117">
        <f>C2040*P2040</f>
        <v/>
      </c>
      <c r="P2040" s="150" t="n">
        <v>1.1</v>
      </c>
      <c r="R2040" s="117" t="n"/>
      <c r="T2040" s="117" t="n"/>
    </row>
    <row r="2041">
      <c r="A2041" s="134" t="inlineStr">
        <is>
          <t>9070XXX</t>
        </is>
      </c>
      <c r="B2041" s="246" t="inlineStr">
        <is>
          <t>TAVERNITI  REM M/C</t>
        </is>
      </c>
      <c r="C2041" s="88" t="n">
        <v>43000</v>
      </c>
      <c r="D2041" s="22" t="n"/>
      <c r="E2041" s="219" t="n"/>
      <c r="F2041" s="219" t="n"/>
      <c r="G2041" s="219" t="n"/>
      <c r="H2041" s="219" t="n"/>
      <c r="I2041" s="219" t="n"/>
      <c r="J2041" s="219" t="n"/>
      <c r="K2041" s="219" t="n"/>
      <c r="L2041" s="219" t="n"/>
      <c r="M2041" s="219" t="n"/>
      <c r="O2041" s="117">
        <f>C2041*P2041</f>
        <v/>
      </c>
      <c r="P2041" s="150" t="n">
        <v>1.1</v>
      </c>
      <c r="R2041" s="117" t="n"/>
      <c r="T2041" s="117" t="n"/>
    </row>
    <row r="2042">
      <c r="A2042" s="134" t="inlineStr">
        <is>
          <t>9084640</t>
        </is>
      </c>
      <c r="B2042" s="246" t="inlineStr">
        <is>
          <t>TAVERNITI  REM M/C</t>
        </is>
      </c>
      <c r="C2042" s="88" t="n">
        <v>43700</v>
      </c>
      <c r="D2042" s="22" t="n"/>
      <c r="E2042" s="219" t="n"/>
      <c r="F2042" s="219" t="n"/>
      <c r="G2042" s="219" t="n"/>
      <c r="H2042" s="219" t="n"/>
      <c r="I2042" s="219" t="n"/>
      <c r="J2042" s="219" t="n"/>
      <c r="K2042" s="219" t="n"/>
      <c r="L2042" s="219" t="n"/>
      <c r="M2042" s="219" t="n"/>
      <c r="O2042" s="117">
        <f>C2042*P2042</f>
        <v/>
      </c>
      <c r="P2042" s="150" t="n">
        <v>1.1</v>
      </c>
      <c r="R2042" s="117" t="n"/>
      <c r="T2042" s="117" t="n"/>
    </row>
    <row r="2043">
      <c r="A2043" s="134" t="inlineStr">
        <is>
          <t>9120XXX</t>
        </is>
      </c>
      <c r="B2043" s="246" t="inlineStr">
        <is>
          <t>TAVERNITI  REM M/C</t>
        </is>
      </c>
      <c r="C2043" s="88" t="n">
        <v>39900</v>
      </c>
      <c r="D2043" s="22" t="n"/>
      <c r="E2043" s="219" t="n"/>
      <c r="F2043" s="219" t="n"/>
      <c r="G2043" s="219" t="n"/>
      <c r="H2043" s="219" t="n"/>
      <c r="I2043" s="219" t="n"/>
      <c r="J2043" s="219" t="n"/>
      <c r="K2043" s="219" t="n"/>
      <c r="L2043" s="219" t="n"/>
      <c r="M2043" s="219" t="n"/>
      <c r="O2043" s="117">
        <f>C2043*P2043</f>
        <v/>
      </c>
      <c r="P2043" s="150" t="n">
        <v>1.1</v>
      </c>
      <c r="R2043" s="117" t="n"/>
      <c r="T2043" s="117" t="n"/>
    </row>
    <row r="2044">
      <c r="A2044" s="134" t="inlineStr">
        <is>
          <t>09234XXX</t>
        </is>
      </c>
      <c r="B2044" s="246" t="inlineStr">
        <is>
          <t>TAVERNITI  REM M/C</t>
        </is>
      </c>
      <c r="C2044" s="88" t="n">
        <v>35100</v>
      </c>
      <c r="D2044" s="22" t="n"/>
      <c r="E2044" s="219" t="n"/>
      <c r="F2044" s="219" t="n"/>
      <c r="G2044" s="219" t="n"/>
      <c r="H2044" s="219" t="n"/>
      <c r="I2044" s="219" t="n"/>
      <c r="J2044" s="219" t="n"/>
      <c r="K2044" s="219" t="n"/>
      <c r="L2044" s="219" t="n"/>
      <c r="M2044" s="219" t="n"/>
      <c r="O2044" s="117">
        <f>C2044*P2044</f>
        <v/>
      </c>
      <c r="P2044" s="150" t="n">
        <v>1.1</v>
      </c>
      <c r="R2044" s="117" t="n"/>
      <c r="T2044" s="117" t="n"/>
    </row>
    <row r="2045">
      <c r="A2045" s="89" t="inlineStr">
        <is>
          <t>13472XXX</t>
        </is>
      </c>
      <c r="B2045" s="135" t="inlineStr">
        <is>
          <t>TAVERNITI  REM M/C</t>
        </is>
      </c>
      <c r="C2045" s="88" t="n">
        <v>47500</v>
      </c>
      <c r="D2045" s="170" t="n"/>
      <c r="E2045" s="170" t="n"/>
      <c r="F2045" s="170" t="n"/>
      <c r="G2045" s="170" t="n"/>
      <c r="H2045" s="170" t="n"/>
      <c r="I2045" s="170" t="n"/>
      <c r="J2045" s="170" t="n"/>
      <c r="K2045" s="170" t="n"/>
      <c r="L2045" s="170" t="n"/>
      <c r="M2045" s="170" t="n"/>
      <c r="N2045" s="30" t="n"/>
      <c r="O2045" s="150">
        <f>C2045*P2045</f>
        <v/>
      </c>
      <c r="P2045" s="150" t="n">
        <v>1.1</v>
      </c>
      <c r="Q2045" s="30" t="n"/>
      <c r="R2045" s="170" t="n"/>
      <c r="S2045" s="30" t="n"/>
      <c r="T2045" s="170" t="n"/>
      <c r="U2045" s="30" t="n"/>
      <c r="V2045" s="30" t="n"/>
      <c r="W2045" s="30" t="n"/>
      <c r="X2045" s="30" t="n"/>
      <c r="Y2045" s="30" t="n"/>
      <c r="Z2045" s="30" t="n"/>
      <c r="AA2045" s="30" t="n"/>
      <c r="AB2045" s="30" t="n"/>
      <c r="AC2045" s="30" t="n"/>
      <c r="AD2045" s="30" t="n"/>
      <c r="AE2045" s="30" t="n"/>
      <c r="AF2045" s="30" t="n"/>
      <c r="AG2045" s="30" t="n"/>
      <c r="AH2045" s="30" t="n"/>
      <c r="AI2045" s="30" t="n"/>
      <c r="AJ2045" s="30" t="n"/>
      <c r="AK2045" s="30" t="n"/>
      <c r="AL2045" s="30" t="n"/>
      <c r="AM2045" s="30" t="n"/>
      <c r="AN2045" s="30" t="n"/>
      <c r="AO2045" s="30" t="n"/>
    </row>
    <row r="2046">
      <c r="A2046" s="89" t="inlineStr">
        <is>
          <t>13494XXX</t>
        </is>
      </c>
      <c r="B2046" s="135" t="inlineStr">
        <is>
          <t>TAVERNITI  REM M/C</t>
        </is>
      </c>
      <c r="C2046" s="88" t="n">
        <v>49100</v>
      </c>
      <c r="D2046" s="170" t="n"/>
      <c r="E2046" s="170" t="n"/>
      <c r="F2046" s="170" t="n"/>
      <c r="G2046" s="170" t="n"/>
      <c r="H2046" s="170" t="n"/>
      <c r="I2046" s="170" t="n"/>
      <c r="J2046" s="170" t="n"/>
      <c r="K2046" s="170" t="n"/>
      <c r="L2046" s="170" t="n"/>
      <c r="M2046" s="170" t="n"/>
      <c r="N2046" s="30" t="n"/>
      <c r="O2046" s="150">
        <f>C2046*P2046</f>
        <v/>
      </c>
      <c r="P2046" s="150" t="n">
        <v>1.1</v>
      </c>
      <c r="Q2046" s="30" t="n"/>
      <c r="R2046" s="170" t="n"/>
      <c r="S2046" s="30" t="n"/>
      <c r="T2046" s="170" t="n"/>
      <c r="U2046" s="30" t="n"/>
      <c r="V2046" s="30" t="n"/>
      <c r="W2046" s="30" t="n"/>
      <c r="X2046" s="30" t="n"/>
      <c r="Y2046" s="30" t="n"/>
      <c r="Z2046" s="30" t="n"/>
      <c r="AA2046" s="30" t="n"/>
      <c r="AB2046" s="30" t="n"/>
      <c r="AC2046" s="30" t="n"/>
      <c r="AD2046" s="30" t="n"/>
      <c r="AE2046" s="30" t="n"/>
      <c r="AF2046" s="30" t="n"/>
      <c r="AG2046" s="30" t="n"/>
      <c r="AH2046" s="30" t="n"/>
      <c r="AI2046" s="30" t="n"/>
      <c r="AJ2046" s="30" t="n"/>
      <c r="AK2046" s="30" t="n"/>
      <c r="AL2046" s="30" t="n"/>
      <c r="AM2046" s="30" t="n"/>
      <c r="AN2046" s="30" t="n"/>
      <c r="AO2046" s="30" t="n"/>
    </row>
    <row r="2047">
      <c r="A2047" s="89" t="inlineStr">
        <is>
          <t>13518XXX</t>
        </is>
      </c>
      <c r="B2047" s="135" t="inlineStr">
        <is>
          <t>TAVERNITI  REM M/C</t>
        </is>
      </c>
      <c r="C2047" s="88" t="n">
        <v>50500</v>
      </c>
      <c r="D2047" s="170" t="n"/>
      <c r="E2047" s="170" t="n"/>
      <c r="F2047" s="170" t="n"/>
      <c r="G2047" s="170" t="n"/>
      <c r="H2047" s="170" t="n"/>
      <c r="I2047" s="170" t="n"/>
      <c r="J2047" s="170" t="n"/>
      <c r="K2047" s="170" t="n"/>
      <c r="L2047" s="170" t="n"/>
      <c r="M2047" s="170" t="n"/>
      <c r="N2047" s="30" t="n"/>
      <c r="O2047" s="150">
        <f>C2047*P2047</f>
        <v/>
      </c>
      <c r="P2047" s="150" t="n">
        <v>1.1</v>
      </c>
      <c r="Q2047" s="30" t="n"/>
      <c r="R2047" s="170" t="n"/>
      <c r="S2047" s="30" t="n"/>
      <c r="T2047" s="170" t="n"/>
      <c r="U2047" s="30" t="n"/>
      <c r="V2047" s="30" t="n"/>
      <c r="W2047" s="30" t="n"/>
      <c r="X2047" s="30" t="n"/>
      <c r="Y2047" s="30" t="n"/>
      <c r="Z2047" s="30" t="n"/>
      <c r="AA2047" s="30" t="n"/>
      <c r="AB2047" s="30" t="n"/>
      <c r="AC2047" s="30" t="n"/>
      <c r="AD2047" s="30" t="n"/>
      <c r="AE2047" s="30" t="n"/>
      <c r="AF2047" s="30" t="n"/>
      <c r="AG2047" s="30" t="n"/>
      <c r="AH2047" s="30" t="n"/>
      <c r="AI2047" s="30" t="n"/>
      <c r="AJ2047" s="30" t="n"/>
      <c r="AK2047" s="30" t="n"/>
      <c r="AL2047" s="30" t="n"/>
      <c r="AM2047" s="30" t="n"/>
      <c r="AN2047" s="30" t="n"/>
      <c r="AO2047" s="30" t="n"/>
    </row>
    <row r="2048">
      <c r="A2048" s="134" t="inlineStr">
        <is>
          <t>14122XXX</t>
        </is>
      </c>
      <c r="B2048" s="246" t="inlineStr">
        <is>
          <t>TAVERNITI  REM M/C</t>
        </is>
      </c>
      <c r="C2048" s="88" t="n">
        <v>38500</v>
      </c>
      <c r="D2048" s="22" t="n"/>
      <c r="E2048" s="22" t="n"/>
      <c r="F2048" s="22" t="n"/>
      <c r="G2048" s="22" t="n"/>
      <c r="H2048" s="22" t="n"/>
      <c r="I2048" s="22" t="n"/>
      <c r="J2048" s="22" t="n"/>
      <c r="K2048" s="22" t="n"/>
      <c r="L2048" s="22" t="n"/>
      <c r="M2048" s="219" t="n"/>
      <c r="O2048" s="117">
        <f>C2048*P2048</f>
        <v/>
      </c>
      <c r="P2048" s="150" t="n">
        <v>1.1</v>
      </c>
      <c r="R2048" s="117" t="n"/>
      <c r="T2048" s="117" t="n"/>
    </row>
    <row r="2049">
      <c r="A2049" s="134" t="inlineStr">
        <is>
          <t>14124XXX</t>
        </is>
      </c>
      <c r="B2049" s="246" t="inlineStr">
        <is>
          <t>TAVERNITI  REM M/C</t>
        </is>
      </c>
      <c r="C2049" s="88" t="n">
        <v>38500</v>
      </c>
      <c r="D2049" s="22" t="n"/>
      <c r="E2049" s="22" t="n"/>
      <c r="F2049" s="22" t="n"/>
      <c r="G2049" s="22" t="n"/>
      <c r="H2049" s="22" t="n"/>
      <c r="I2049" s="22" t="n"/>
      <c r="J2049" s="22" t="n"/>
      <c r="K2049" s="22" t="n"/>
      <c r="L2049" s="22" t="n"/>
      <c r="M2049" s="219" t="n"/>
      <c r="O2049" s="117">
        <f>C2049*P2049</f>
        <v/>
      </c>
      <c r="P2049" s="150" t="n">
        <v>1.1</v>
      </c>
      <c r="R2049" s="117" t="n"/>
      <c r="T2049" s="117" t="n"/>
    </row>
    <row r="2050">
      <c r="A2050" s="134" t="inlineStr">
        <is>
          <t>14126XXX</t>
        </is>
      </c>
      <c r="B2050" s="246" t="inlineStr">
        <is>
          <t>TAVERNITI  REM M/C</t>
        </is>
      </c>
      <c r="C2050" s="88" t="n">
        <v>38500</v>
      </c>
      <c r="D2050" s="22" t="n"/>
      <c r="E2050" s="22" t="n"/>
      <c r="F2050" s="22" t="n"/>
      <c r="G2050" s="22" t="n"/>
      <c r="H2050" s="22" t="n"/>
      <c r="I2050" s="22" t="n"/>
      <c r="J2050" s="22" t="n"/>
      <c r="K2050" s="22" t="n"/>
      <c r="L2050" s="22" t="n"/>
      <c r="M2050" s="219" t="n"/>
      <c r="O2050" s="117">
        <f>C2050*P2050</f>
        <v/>
      </c>
      <c r="P2050" s="150" t="n">
        <v>1.1</v>
      </c>
      <c r="R2050" s="117" t="n"/>
      <c r="T2050" s="117" t="n"/>
    </row>
    <row r="2051">
      <c r="A2051" s="134" t="inlineStr">
        <is>
          <t>14128XXX</t>
        </is>
      </c>
      <c r="B2051" s="246" t="inlineStr">
        <is>
          <t>TAVERNITI  REM M/C</t>
        </is>
      </c>
      <c r="C2051" s="88" t="n">
        <v>38500</v>
      </c>
      <c r="D2051" s="22" t="n"/>
      <c r="E2051" s="22" t="n"/>
      <c r="F2051" s="22" t="n"/>
      <c r="G2051" s="22" t="n"/>
      <c r="H2051" s="22" t="n"/>
      <c r="I2051" s="22" t="n"/>
      <c r="J2051" s="22" t="n"/>
      <c r="K2051" s="22" t="n"/>
      <c r="L2051" s="22" t="n"/>
      <c r="M2051" s="219" t="n"/>
      <c r="O2051" s="117">
        <f>C2051*P2051</f>
        <v/>
      </c>
      <c r="P2051" s="150" t="n">
        <v>1.1</v>
      </c>
      <c r="R2051" s="117" t="n"/>
      <c r="T2051" s="117" t="n"/>
    </row>
    <row r="2052">
      <c r="A2052" s="134" t="inlineStr">
        <is>
          <t>14130XXX</t>
        </is>
      </c>
      <c r="B2052" s="246" t="inlineStr">
        <is>
          <t>TAVERNITI  REM M/C</t>
        </is>
      </c>
      <c r="C2052" s="88" t="n">
        <v>38500</v>
      </c>
      <c r="D2052" s="22" t="n"/>
      <c r="E2052" s="22" t="n"/>
      <c r="F2052" s="22" t="n"/>
      <c r="G2052" s="22" t="n"/>
      <c r="H2052" s="22" t="n"/>
      <c r="I2052" s="22" t="n"/>
      <c r="J2052" s="22" t="n"/>
      <c r="K2052" s="22" t="n"/>
      <c r="L2052" s="22" t="n"/>
      <c r="M2052" s="219" t="n"/>
      <c r="O2052" s="117">
        <f>C2052*P2052</f>
        <v/>
      </c>
      <c r="P2052" s="150" t="n">
        <v>1.1</v>
      </c>
      <c r="R2052" s="117" t="n"/>
      <c r="T2052" s="117" t="n"/>
    </row>
    <row r="2053">
      <c r="A2053" s="134" t="inlineStr">
        <is>
          <t>14132XXX</t>
        </is>
      </c>
      <c r="B2053" s="246" t="inlineStr">
        <is>
          <t>TAVERNITI  REM M/C</t>
        </is>
      </c>
      <c r="C2053" s="88" t="n">
        <v>38500</v>
      </c>
      <c r="D2053" s="22" t="n"/>
      <c r="E2053" s="22" t="n"/>
      <c r="F2053" s="22" t="n"/>
      <c r="G2053" s="22" t="n"/>
      <c r="H2053" s="22" t="n"/>
      <c r="I2053" s="22" t="n"/>
      <c r="J2053" s="22" t="n"/>
      <c r="K2053" s="22" t="n"/>
      <c r="L2053" s="22" t="n"/>
      <c r="M2053" s="219" t="n"/>
      <c r="O2053" s="117">
        <f>C2053*P2053</f>
        <v/>
      </c>
      <c r="P2053" s="150" t="n">
        <v>1.1</v>
      </c>
      <c r="R2053" s="117" t="n"/>
      <c r="T2053" s="117" t="n"/>
    </row>
    <row r="2054">
      <c r="A2054" s="134" t="inlineStr">
        <is>
          <t>14134XXX</t>
        </is>
      </c>
      <c r="B2054" s="246" t="inlineStr">
        <is>
          <t>TAVERNITI  REM M/C</t>
        </is>
      </c>
      <c r="C2054" s="88" t="n">
        <v>38500</v>
      </c>
      <c r="D2054" s="22" t="n"/>
      <c r="E2054" s="22" t="n"/>
      <c r="F2054" s="22" t="n"/>
      <c r="G2054" s="22" t="n"/>
      <c r="H2054" s="22" t="n"/>
      <c r="I2054" s="22" t="n"/>
      <c r="J2054" s="22" t="n"/>
      <c r="K2054" s="22" t="n"/>
      <c r="L2054" s="22" t="n"/>
      <c r="M2054" s="219" t="n"/>
      <c r="O2054" s="117">
        <f>C2054*P2054</f>
        <v/>
      </c>
      <c r="P2054" s="150" t="n">
        <v>1.1</v>
      </c>
      <c r="R2054" s="117" t="n"/>
      <c r="T2054" s="117" t="n"/>
    </row>
    <row r="2055">
      <c r="A2055" s="134" t="inlineStr">
        <is>
          <t>14136XXX</t>
        </is>
      </c>
      <c r="B2055" s="246" t="inlineStr">
        <is>
          <t>TAVERNITI  REM M/C</t>
        </is>
      </c>
      <c r="C2055" s="88" t="n">
        <v>38500</v>
      </c>
      <c r="D2055" s="22" t="n"/>
      <c r="E2055" s="22" t="n"/>
      <c r="F2055" s="22" t="n"/>
      <c r="G2055" s="22" t="n"/>
      <c r="H2055" s="22" t="n"/>
      <c r="I2055" s="22" t="n"/>
      <c r="J2055" s="22" t="n"/>
      <c r="K2055" s="22" t="n"/>
      <c r="L2055" s="22" t="n"/>
      <c r="M2055" s="219" t="n"/>
      <c r="O2055" s="117">
        <f>C2055*P2055</f>
        <v/>
      </c>
      <c r="P2055" s="150" t="n">
        <v>1.1</v>
      </c>
      <c r="R2055" s="117" t="n"/>
      <c r="T2055" s="117" t="n"/>
    </row>
    <row r="2056">
      <c r="A2056" s="134" t="inlineStr">
        <is>
          <t>14140XXX</t>
        </is>
      </c>
      <c r="B2056" s="246" t="inlineStr">
        <is>
          <t>TAVERNITI  REM M/C</t>
        </is>
      </c>
      <c r="C2056" s="88" t="n">
        <v>38500</v>
      </c>
      <c r="D2056" s="22" t="n"/>
      <c r="E2056" s="22" t="n"/>
      <c r="F2056" s="22" t="n"/>
      <c r="G2056" s="22" t="n"/>
      <c r="H2056" s="22" t="n"/>
      <c r="I2056" s="22" t="n"/>
      <c r="J2056" s="22" t="n"/>
      <c r="K2056" s="22" t="n"/>
      <c r="L2056" s="22" t="n"/>
      <c r="M2056" s="219" t="n"/>
      <c r="O2056" s="117">
        <f>C2056*P2056</f>
        <v/>
      </c>
      <c r="P2056" s="150" t="n">
        <v>1.1</v>
      </c>
      <c r="R2056" s="117" t="n"/>
      <c r="T2056" s="117" t="n"/>
    </row>
    <row r="2057">
      <c r="A2057" s="134" t="inlineStr">
        <is>
          <t>14142XXX</t>
        </is>
      </c>
      <c r="B2057" s="246" t="inlineStr">
        <is>
          <t>TAVERNITI  REM M/C</t>
        </is>
      </c>
      <c r="C2057" s="88" t="n">
        <v>38500</v>
      </c>
      <c r="D2057" s="22" t="n"/>
      <c r="E2057" s="22" t="n"/>
      <c r="F2057" s="22" t="n"/>
      <c r="G2057" s="22" t="n"/>
      <c r="H2057" s="22" t="n"/>
      <c r="I2057" s="22" t="n"/>
      <c r="J2057" s="22" t="n"/>
      <c r="K2057" s="22" t="n"/>
      <c r="L2057" s="22" t="n"/>
      <c r="M2057" s="219" t="n"/>
      <c r="O2057" s="117">
        <f>C2057*P2057</f>
        <v/>
      </c>
      <c r="P2057" s="150" t="n">
        <v>1.1</v>
      </c>
      <c r="R2057" s="117" t="n"/>
      <c r="T2057" s="117" t="n"/>
    </row>
    <row r="2058">
      <c r="A2058" s="134" t="inlineStr">
        <is>
          <t>14144XXX</t>
        </is>
      </c>
      <c r="B2058" s="246" t="inlineStr">
        <is>
          <t>TAVERNITI  REM M/C</t>
        </is>
      </c>
      <c r="C2058" s="88" t="n">
        <v>38500</v>
      </c>
      <c r="D2058" s="22" t="n"/>
      <c r="E2058" s="22" t="n"/>
      <c r="F2058" s="22" t="n"/>
      <c r="G2058" s="22" t="n"/>
      <c r="H2058" s="22" t="n"/>
      <c r="I2058" s="22" t="n"/>
      <c r="J2058" s="22" t="n"/>
      <c r="K2058" s="22" t="n"/>
      <c r="L2058" s="22" t="n"/>
      <c r="M2058" s="219" t="n"/>
      <c r="O2058" s="117">
        <f>C2058*P2058</f>
        <v/>
      </c>
      <c r="P2058" s="150" t="n">
        <v>1.1</v>
      </c>
      <c r="R2058" s="117" t="n"/>
      <c r="T2058" s="117" t="n"/>
    </row>
    <row r="2059">
      <c r="A2059" s="134" t="inlineStr">
        <is>
          <t>14146XXX</t>
        </is>
      </c>
      <c r="B2059" s="246" t="inlineStr">
        <is>
          <t>TAVERNITI  REM M/C</t>
        </is>
      </c>
      <c r="C2059" s="88" t="n">
        <v>38500</v>
      </c>
      <c r="D2059" s="22" t="n"/>
      <c r="E2059" s="22" t="n"/>
      <c r="F2059" s="22" t="n"/>
      <c r="G2059" s="22" t="n"/>
      <c r="H2059" s="22" t="n"/>
      <c r="I2059" s="22" t="n"/>
      <c r="J2059" s="22" t="n"/>
      <c r="K2059" s="22" t="n"/>
      <c r="L2059" s="22" t="n"/>
      <c r="M2059" s="219" t="n"/>
      <c r="O2059" s="117">
        <f>C2059*P2059</f>
        <v/>
      </c>
      <c r="P2059" s="150" t="n">
        <v>1.1</v>
      </c>
      <c r="R2059" s="117" t="n"/>
      <c r="T2059" s="117" t="n"/>
    </row>
    <row r="2060">
      <c r="A2060" s="134" t="inlineStr">
        <is>
          <t>14148XXX</t>
        </is>
      </c>
      <c r="B2060" s="246" t="inlineStr">
        <is>
          <t>TAVERNITI  REM M/C</t>
        </is>
      </c>
      <c r="C2060" s="88" t="n">
        <v>38500</v>
      </c>
      <c r="D2060" s="22" t="n"/>
      <c r="E2060" s="22" t="n"/>
      <c r="F2060" s="22" t="n"/>
      <c r="G2060" s="22" t="n"/>
      <c r="H2060" s="22" t="n"/>
      <c r="I2060" s="22" t="n"/>
      <c r="J2060" s="22" t="n"/>
      <c r="K2060" s="22" t="n"/>
      <c r="L2060" s="22" t="n"/>
      <c r="M2060" s="219" t="n"/>
      <c r="O2060" s="117">
        <f>C2060*P2060</f>
        <v/>
      </c>
      <c r="P2060" s="150" t="n">
        <v>1.1</v>
      </c>
      <c r="R2060" s="117" t="n"/>
      <c r="T2060" s="117" t="n"/>
    </row>
    <row r="2061">
      <c r="A2061" s="134" t="inlineStr">
        <is>
          <t>14150XXX</t>
        </is>
      </c>
      <c r="B2061" s="246" t="inlineStr">
        <is>
          <t>TAVERNITI  REM M/C</t>
        </is>
      </c>
      <c r="C2061" s="88" t="n">
        <v>46200</v>
      </c>
      <c r="D2061" s="22" t="n"/>
      <c r="E2061" s="22" t="n"/>
      <c r="F2061" s="22" t="n"/>
      <c r="G2061" s="22" t="n"/>
      <c r="H2061" s="22" t="n"/>
      <c r="I2061" s="22" t="n"/>
      <c r="J2061" s="22" t="n"/>
      <c r="K2061" s="22" t="n"/>
      <c r="L2061" s="22" t="n"/>
      <c r="M2061" s="219" t="n"/>
      <c r="O2061" s="117">
        <f>C2061*P2061</f>
        <v/>
      </c>
      <c r="P2061" s="150" t="n">
        <v>1.1</v>
      </c>
      <c r="R2061" s="117" t="n"/>
      <c r="T2061" s="117" t="n"/>
    </row>
    <row r="2062">
      <c r="A2062" s="134" t="inlineStr">
        <is>
          <t>14152XXX</t>
        </is>
      </c>
      <c r="B2062" s="246" t="inlineStr">
        <is>
          <t>TAVERNITI  REM M/C</t>
        </is>
      </c>
      <c r="C2062" s="88" t="n">
        <v>33400</v>
      </c>
      <c r="D2062" s="22" t="n"/>
      <c r="E2062" s="22" t="n"/>
      <c r="F2062" s="22" t="n"/>
      <c r="G2062" s="22" t="n"/>
      <c r="H2062" s="22" t="n"/>
      <c r="I2062" s="22" t="n"/>
      <c r="J2062" s="22" t="n"/>
      <c r="K2062" s="22" t="n"/>
      <c r="L2062" s="22" t="n"/>
      <c r="M2062" s="219" t="n"/>
      <c r="O2062" s="117">
        <f>C2062*P2062</f>
        <v/>
      </c>
      <c r="P2062" s="150" t="n">
        <v>1.1</v>
      </c>
      <c r="R2062" s="117" t="n"/>
      <c r="T2062" s="117" t="n"/>
    </row>
    <row r="2063">
      <c r="A2063" s="134" t="inlineStr">
        <is>
          <t>14154XXX</t>
        </is>
      </c>
      <c r="B2063" s="246" t="inlineStr">
        <is>
          <t>TAVERNITI  REM M/C</t>
        </is>
      </c>
      <c r="C2063" s="88" t="n">
        <v>33400</v>
      </c>
      <c r="D2063" s="22" t="n"/>
      <c r="E2063" s="22" t="n"/>
      <c r="F2063" s="22" t="n"/>
      <c r="G2063" s="22" t="n"/>
      <c r="H2063" s="22" t="n"/>
      <c r="I2063" s="22" t="n"/>
      <c r="J2063" s="22" t="n"/>
      <c r="K2063" s="22" t="n"/>
      <c r="L2063" s="22" t="n"/>
      <c r="M2063" s="219" t="n"/>
      <c r="O2063" s="117">
        <f>C2063*P2063</f>
        <v/>
      </c>
      <c r="P2063" s="150" t="n">
        <v>1.1</v>
      </c>
      <c r="R2063" s="117" t="n"/>
      <c r="T2063" s="117" t="n"/>
    </row>
    <row r="2064">
      <c r="A2064" s="134" t="inlineStr">
        <is>
          <t>14162XXX</t>
        </is>
      </c>
      <c r="B2064" s="246" t="inlineStr">
        <is>
          <t>TAVERNITI  REM M/C</t>
        </is>
      </c>
      <c r="C2064" s="88" t="n">
        <v>37800</v>
      </c>
      <c r="D2064" s="22" t="n"/>
      <c r="E2064" s="22" t="n"/>
      <c r="F2064" s="22" t="n"/>
      <c r="G2064" s="22" t="n"/>
      <c r="H2064" s="22" t="n"/>
      <c r="I2064" s="22" t="n"/>
      <c r="J2064" s="22" t="n"/>
      <c r="K2064" s="22" t="n"/>
      <c r="L2064" s="22" t="n"/>
      <c r="M2064" s="219" t="n"/>
      <c r="O2064" s="117">
        <f>C2064*P2064</f>
        <v/>
      </c>
      <c r="P2064" s="150" t="n">
        <v>1.1</v>
      </c>
      <c r="R2064" s="117" t="n"/>
      <c r="T2064" s="117" t="n"/>
    </row>
    <row r="2065">
      <c r="A2065" s="134" t="inlineStr">
        <is>
          <t>14164XXX</t>
        </is>
      </c>
      <c r="B2065" s="246" t="inlineStr">
        <is>
          <t>TAVERNITI  REM M/C</t>
        </is>
      </c>
      <c r="C2065" s="88" t="n">
        <v>33400</v>
      </c>
      <c r="D2065" s="22" t="n"/>
      <c r="E2065" s="22" t="n"/>
      <c r="F2065" s="22" t="n"/>
      <c r="G2065" s="22" t="n"/>
      <c r="H2065" s="22" t="n"/>
      <c r="I2065" s="22" t="n"/>
      <c r="J2065" s="22" t="n"/>
      <c r="K2065" s="22" t="n"/>
      <c r="L2065" s="22" t="n"/>
      <c r="M2065" s="219" t="n"/>
      <c r="O2065" s="117">
        <f>C2065*P2065</f>
        <v/>
      </c>
      <c r="P2065" s="150" t="n">
        <v>1.1</v>
      </c>
      <c r="R2065" s="117" t="n"/>
      <c r="T2065" s="117" t="n"/>
    </row>
    <row r="2066">
      <c r="A2066" s="134" t="inlineStr">
        <is>
          <t>14166XXX</t>
        </is>
      </c>
      <c r="B2066" s="246" t="inlineStr">
        <is>
          <t>TAVERNITI  REM M/C</t>
        </is>
      </c>
      <c r="C2066" s="88" t="n">
        <v>46200</v>
      </c>
      <c r="D2066" s="22" t="n"/>
      <c r="E2066" s="22" t="n"/>
      <c r="F2066" s="22" t="n"/>
      <c r="G2066" s="22" t="n"/>
      <c r="H2066" s="22" t="n"/>
      <c r="I2066" s="22" t="n"/>
      <c r="J2066" s="22" t="n"/>
      <c r="K2066" s="22" t="n"/>
      <c r="L2066" s="22" t="n"/>
      <c r="M2066" s="219" t="n"/>
      <c r="O2066" s="117">
        <f>C2066*P2066</f>
        <v/>
      </c>
      <c r="P2066" s="150" t="n">
        <v>1.1</v>
      </c>
      <c r="R2066" s="117" t="n"/>
      <c r="T2066" s="117" t="n"/>
    </row>
    <row r="2067">
      <c r="A2067" s="134" t="inlineStr">
        <is>
          <t>14168XXX</t>
        </is>
      </c>
      <c r="B2067" s="246" t="inlineStr">
        <is>
          <t>TAVERNITI  REM M/C</t>
        </is>
      </c>
      <c r="C2067" s="88" t="n">
        <v>28800</v>
      </c>
      <c r="D2067" s="22" t="n"/>
      <c r="E2067" s="22" t="n"/>
      <c r="F2067" s="22" t="n"/>
      <c r="G2067" s="22" t="n"/>
      <c r="H2067" s="22" t="n"/>
      <c r="I2067" s="22" t="n"/>
      <c r="J2067" s="22" t="n"/>
      <c r="K2067" s="22" t="n"/>
      <c r="L2067" s="22" t="n"/>
      <c r="M2067" s="219" t="n"/>
      <c r="O2067" s="117">
        <f>C2067*P2067</f>
        <v/>
      </c>
      <c r="P2067" s="150" t="n">
        <v>1.1</v>
      </c>
      <c r="R2067" s="117" t="n"/>
      <c r="T2067" s="117" t="n"/>
    </row>
    <row r="2068">
      <c r="A2068" s="134" t="inlineStr">
        <is>
          <t>14172XXX</t>
        </is>
      </c>
      <c r="B2068" s="246" t="inlineStr">
        <is>
          <t>TAVERNITI  REM M/C</t>
        </is>
      </c>
      <c r="C2068" s="88" t="n">
        <v>33400</v>
      </c>
      <c r="D2068" s="22" t="n"/>
      <c r="E2068" s="22" t="n"/>
      <c r="F2068" s="22" t="n"/>
      <c r="G2068" s="22" t="n"/>
      <c r="H2068" s="22" t="n"/>
      <c r="I2068" s="22" t="n"/>
      <c r="J2068" s="22" t="n"/>
      <c r="K2068" s="22" t="n"/>
      <c r="L2068" s="22" t="n"/>
      <c r="M2068" s="219" t="n"/>
      <c r="O2068" s="117">
        <f>C2068*P2068</f>
        <v/>
      </c>
      <c r="P2068" s="150" t="n">
        <v>1.1</v>
      </c>
      <c r="R2068" s="117" t="n"/>
      <c r="T2068" s="117" t="n"/>
    </row>
    <row r="2069">
      <c r="A2069" s="134" t="inlineStr">
        <is>
          <t>14180XXX</t>
        </is>
      </c>
      <c r="B2069" s="246" t="inlineStr">
        <is>
          <t>TAVERNITI  REM M/C</t>
        </is>
      </c>
      <c r="C2069" s="88" t="n">
        <v>29600</v>
      </c>
      <c r="D2069" s="22" t="n"/>
      <c r="E2069" s="22" t="n"/>
      <c r="F2069" s="22" t="n"/>
      <c r="G2069" s="22" t="n"/>
      <c r="H2069" s="22" t="n"/>
      <c r="I2069" s="22" t="n"/>
      <c r="J2069" s="22" t="n"/>
      <c r="K2069" s="22" t="n"/>
      <c r="L2069" s="22" t="n"/>
      <c r="M2069" s="219" t="n"/>
      <c r="O2069" s="117">
        <f>C2069*P2069</f>
        <v/>
      </c>
      <c r="P2069" s="150" t="n">
        <v>1.1</v>
      </c>
      <c r="R2069" s="117" t="n"/>
      <c r="T2069" s="117" t="n"/>
    </row>
    <row r="2070">
      <c r="A2070" s="134" t="inlineStr">
        <is>
          <t>14184XXX</t>
        </is>
      </c>
      <c r="B2070" s="246" t="inlineStr">
        <is>
          <t>TAVERNITI  REM M/C</t>
        </is>
      </c>
      <c r="C2070" s="88" t="n">
        <v>46200</v>
      </c>
      <c r="D2070" s="22" t="n"/>
      <c r="E2070" s="22" t="n"/>
      <c r="F2070" s="22" t="n"/>
      <c r="G2070" s="22" t="n"/>
      <c r="H2070" s="22" t="n"/>
      <c r="I2070" s="22" t="n"/>
      <c r="J2070" s="22" t="n"/>
      <c r="K2070" s="22" t="n"/>
      <c r="L2070" s="22" t="n"/>
      <c r="M2070" s="219" t="n"/>
      <c r="O2070" s="117">
        <f>C2070*P2070</f>
        <v/>
      </c>
      <c r="P2070" s="150" t="n">
        <v>1.1</v>
      </c>
      <c r="R2070" s="117" t="n"/>
      <c r="T2070" s="117" t="n"/>
    </row>
    <row r="2071">
      <c r="A2071" s="134" t="inlineStr">
        <is>
          <t>14186XXX</t>
        </is>
      </c>
      <c r="B2071" s="246" t="inlineStr">
        <is>
          <t>TAVERNITI  REM M/C</t>
        </is>
      </c>
      <c r="C2071" s="88" t="n">
        <v>46200</v>
      </c>
      <c r="D2071" s="22" t="n"/>
      <c r="E2071" s="22" t="n"/>
      <c r="F2071" s="22" t="n"/>
      <c r="G2071" s="22" t="n"/>
      <c r="H2071" s="22" t="n"/>
      <c r="I2071" s="22" t="n"/>
      <c r="J2071" s="22" t="n"/>
      <c r="K2071" s="22" t="n"/>
      <c r="L2071" s="22" t="n"/>
      <c r="M2071" s="219" t="n"/>
      <c r="O2071" s="117">
        <f>C2071*P2071</f>
        <v/>
      </c>
      <c r="P2071" s="150" t="n">
        <v>1.1</v>
      </c>
      <c r="R2071" s="117" t="n"/>
      <c r="T2071" s="117" t="n"/>
    </row>
    <row r="2072">
      <c r="A2072" s="134" t="inlineStr">
        <is>
          <t>14194XXX</t>
        </is>
      </c>
      <c r="B2072" s="246" t="inlineStr">
        <is>
          <t>TAVERNITI  REM M/C</t>
        </is>
      </c>
      <c r="C2072" s="88" t="n">
        <v>29600</v>
      </c>
      <c r="D2072" s="22" t="n"/>
      <c r="E2072" s="22" t="n"/>
      <c r="F2072" s="22" t="n"/>
      <c r="G2072" s="22" t="n"/>
      <c r="H2072" s="22" t="n"/>
      <c r="I2072" s="22" t="n"/>
      <c r="J2072" s="22" t="n"/>
      <c r="K2072" s="22" t="n"/>
      <c r="L2072" s="22" t="n"/>
      <c r="M2072" s="219" t="n"/>
      <c r="O2072" s="117">
        <f>C2072*P2072</f>
        <v/>
      </c>
      <c r="P2072" s="150" t="n">
        <v>1.1</v>
      </c>
      <c r="R2072" s="117" t="n"/>
      <c r="T2072" s="117" t="n"/>
    </row>
    <row r="2073">
      <c r="A2073" s="134" t="inlineStr">
        <is>
          <t>14200XXX</t>
        </is>
      </c>
      <c r="B2073" s="246" t="inlineStr">
        <is>
          <t>TAVERNITI  REM M/C</t>
        </is>
      </c>
      <c r="C2073" s="88" t="n">
        <v>33100</v>
      </c>
      <c r="D2073" s="22" t="n"/>
      <c r="E2073" s="22" t="n"/>
      <c r="F2073" s="22" t="n"/>
      <c r="G2073" s="22" t="n"/>
      <c r="H2073" s="22" t="n"/>
      <c r="I2073" s="22" t="n"/>
      <c r="J2073" s="22" t="n"/>
      <c r="K2073" s="22" t="n"/>
      <c r="L2073" s="22" t="n"/>
      <c r="M2073" s="219" t="n"/>
      <c r="O2073" s="117">
        <f>C2073*P2073</f>
        <v/>
      </c>
      <c r="P2073" s="150" t="n">
        <v>1.1</v>
      </c>
      <c r="R2073" s="117" t="n"/>
      <c r="T2073" s="117" t="n"/>
    </row>
    <row r="2074">
      <c r="A2074" s="134" t="inlineStr">
        <is>
          <t>14202XXX</t>
        </is>
      </c>
      <c r="B2074" s="246" t="inlineStr">
        <is>
          <t>TAVERNITI  REM M/C</t>
        </is>
      </c>
      <c r="C2074" s="88" t="n">
        <v>33400</v>
      </c>
      <c r="D2074" s="22" t="n"/>
      <c r="E2074" s="22" t="n"/>
      <c r="F2074" s="22" t="n"/>
      <c r="G2074" s="22" t="n"/>
      <c r="H2074" s="22" t="n"/>
      <c r="I2074" s="22" t="n"/>
      <c r="J2074" s="22" t="n"/>
      <c r="K2074" s="22" t="n"/>
      <c r="L2074" s="22" t="n"/>
      <c r="M2074" s="219" t="n"/>
      <c r="O2074" s="117">
        <f>C2074*P2074</f>
        <v/>
      </c>
      <c r="P2074" s="150" t="n">
        <v>1.1</v>
      </c>
      <c r="R2074" s="117" t="n"/>
      <c r="T2074" s="117" t="n"/>
    </row>
    <row r="2075">
      <c r="A2075" s="134" t="inlineStr">
        <is>
          <t>14206XXX</t>
        </is>
      </c>
      <c r="B2075" s="246" t="inlineStr">
        <is>
          <t>TAVERNITI  REM M/C</t>
        </is>
      </c>
      <c r="C2075" s="88" t="n">
        <v>46200</v>
      </c>
      <c r="D2075" s="22" t="n"/>
      <c r="E2075" s="22" t="n"/>
      <c r="F2075" s="22" t="n"/>
      <c r="G2075" s="22" t="n"/>
      <c r="H2075" s="22" t="n"/>
      <c r="I2075" s="22" t="n"/>
      <c r="J2075" s="22" t="n"/>
      <c r="K2075" s="22" t="n"/>
      <c r="L2075" s="22" t="n"/>
      <c r="M2075" s="219" t="n"/>
      <c r="O2075" s="117">
        <f>C2075*P2075</f>
        <v/>
      </c>
      <c r="P2075" s="150" t="n">
        <v>1.1</v>
      </c>
      <c r="R2075" s="117" t="n"/>
      <c r="T2075" s="117" t="n"/>
    </row>
    <row r="2076">
      <c r="A2076" s="134" t="inlineStr">
        <is>
          <t>14208XXX</t>
        </is>
      </c>
      <c r="B2076" s="246" t="inlineStr">
        <is>
          <t>TAVERNITI  REM M/C</t>
        </is>
      </c>
      <c r="C2076" s="88" t="n">
        <v>29600</v>
      </c>
      <c r="D2076" s="22" t="n"/>
      <c r="E2076" s="22" t="n"/>
      <c r="F2076" s="22" t="n"/>
      <c r="G2076" s="22" t="n"/>
      <c r="H2076" s="22" t="n"/>
      <c r="I2076" s="22" t="n"/>
      <c r="J2076" s="22" t="n"/>
      <c r="K2076" s="22" t="n"/>
      <c r="L2076" s="22" t="n"/>
      <c r="M2076" s="219" t="n"/>
      <c r="O2076" s="117">
        <f>C2076*P2076</f>
        <v/>
      </c>
      <c r="P2076" s="150" t="n">
        <v>1.1</v>
      </c>
      <c r="R2076" s="117" t="n"/>
      <c r="T2076" s="117" t="n"/>
    </row>
    <row r="2077">
      <c r="A2077" s="134" t="inlineStr">
        <is>
          <t>14210XXX</t>
        </is>
      </c>
      <c r="B2077" s="246" t="inlineStr">
        <is>
          <t>TAVERNITI  REM M/C</t>
        </is>
      </c>
      <c r="C2077" s="88" t="n">
        <v>31900</v>
      </c>
      <c r="D2077" s="22" t="n"/>
      <c r="E2077" s="22" t="n"/>
      <c r="F2077" s="22" t="n"/>
      <c r="G2077" s="22" t="n"/>
      <c r="H2077" s="22" t="n"/>
      <c r="I2077" s="22" t="n"/>
      <c r="J2077" s="22" t="n"/>
      <c r="K2077" s="22" t="n"/>
      <c r="L2077" s="22" t="n"/>
      <c r="M2077" s="219" t="n"/>
      <c r="O2077" s="117">
        <f>C2077*P2077</f>
        <v/>
      </c>
      <c r="P2077" s="150" t="n">
        <v>1.1</v>
      </c>
      <c r="R2077" s="117" t="n"/>
      <c r="T2077" s="117" t="n"/>
    </row>
    <row r="2078">
      <c r="A2078" s="134" t="inlineStr">
        <is>
          <t>14214XXX</t>
        </is>
      </c>
      <c r="B2078" s="246" t="inlineStr">
        <is>
          <t>TAVERNITI  REM M/C</t>
        </is>
      </c>
      <c r="C2078" s="88" t="n">
        <v>41700</v>
      </c>
      <c r="D2078" s="22" t="n"/>
      <c r="E2078" s="22" t="n"/>
      <c r="F2078" s="22" t="n"/>
      <c r="G2078" s="22" t="n"/>
      <c r="H2078" s="22" t="n"/>
      <c r="I2078" s="22" t="n"/>
      <c r="J2078" s="22" t="n"/>
      <c r="K2078" s="22" t="n"/>
      <c r="L2078" s="22" t="n"/>
      <c r="M2078" s="219" t="n"/>
      <c r="O2078" s="117">
        <f>C2078*P2078</f>
        <v/>
      </c>
      <c r="P2078" s="150" t="n">
        <v>1.1</v>
      </c>
      <c r="R2078" s="117" t="n"/>
      <c r="T2078" s="117" t="n"/>
    </row>
    <row r="2079">
      <c r="A2079" s="134" t="inlineStr">
        <is>
          <t>14218XXX</t>
        </is>
      </c>
      <c r="B2079" s="246" t="inlineStr">
        <is>
          <t>TAVERNITI  REM M/C</t>
        </is>
      </c>
      <c r="C2079" s="88" t="n">
        <v>41700</v>
      </c>
      <c r="D2079" s="22" t="n"/>
      <c r="E2079" s="22" t="n"/>
      <c r="F2079" s="22" t="n"/>
      <c r="G2079" s="22" t="n"/>
      <c r="H2079" s="22" t="n"/>
      <c r="I2079" s="22" t="n"/>
      <c r="J2079" s="22" t="n"/>
      <c r="K2079" s="22" t="n"/>
      <c r="L2079" s="22" t="n"/>
      <c r="M2079" s="219" t="n"/>
      <c r="O2079" s="117">
        <f>C2079*P2079</f>
        <v/>
      </c>
      <c r="P2079" s="150" t="n">
        <v>1.1</v>
      </c>
      <c r="R2079" s="117" t="n"/>
      <c r="T2079" s="117" t="n"/>
    </row>
    <row r="2080">
      <c r="A2080" s="134" t="inlineStr">
        <is>
          <t>14290XXX</t>
        </is>
      </c>
      <c r="B2080" s="246" t="inlineStr">
        <is>
          <t>TAVERNITI  REM M/C</t>
        </is>
      </c>
      <c r="C2080" s="88" t="n">
        <v>36500</v>
      </c>
      <c r="D2080" s="22" t="n"/>
      <c r="E2080" s="22" t="n"/>
      <c r="F2080" s="22" t="n"/>
      <c r="G2080" s="22" t="n"/>
      <c r="H2080" s="22" t="n"/>
      <c r="I2080" s="22" t="n"/>
      <c r="J2080" s="22" t="n"/>
      <c r="K2080" s="22" t="n"/>
      <c r="L2080" s="22" t="n"/>
      <c r="M2080" s="219" t="n"/>
      <c r="O2080" s="117">
        <f>C2080*P2080</f>
        <v/>
      </c>
      <c r="P2080" s="150" t="n">
        <v>1.1</v>
      </c>
      <c r="R2080" s="117" t="n"/>
      <c r="T2080" s="117" t="n"/>
    </row>
    <row r="2081">
      <c r="A2081" s="134" t="inlineStr">
        <is>
          <t>14292XXX</t>
        </is>
      </c>
      <c r="B2081" s="246" t="inlineStr">
        <is>
          <t>TAVERNITI  REM M/C</t>
        </is>
      </c>
      <c r="C2081" s="88" t="n">
        <v>38600</v>
      </c>
      <c r="D2081" s="22" t="n"/>
      <c r="E2081" s="22" t="n"/>
      <c r="F2081" s="22" t="n"/>
      <c r="G2081" s="22" t="n"/>
      <c r="H2081" s="22" t="n"/>
      <c r="I2081" s="22" t="n"/>
      <c r="J2081" s="22" t="n"/>
      <c r="K2081" s="22" t="n"/>
      <c r="L2081" s="22" t="n"/>
      <c r="M2081" s="219" t="n"/>
      <c r="O2081" s="117">
        <f>C2081*P2081</f>
        <v/>
      </c>
      <c r="P2081" s="150" t="n">
        <v>1.1</v>
      </c>
      <c r="R2081" s="117" t="n"/>
      <c r="T2081" s="117" t="n"/>
    </row>
    <row r="2082">
      <c r="A2082" s="134" t="inlineStr">
        <is>
          <t>14296XXX</t>
        </is>
      </c>
      <c r="B2082" s="246" t="inlineStr">
        <is>
          <t>TAVERNITI  REM M/C</t>
        </is>
      </c>
      <c r="C2082" s="88" t="n">
        <v>39900</v>
      </c>
      <c r="D2082" s="22" t="n"/>
      <c r="E2082" s="22" t="n"/>
      <c r="F2082" s="22" t="n"/>
      <c r="G2082" s="22" t="n"/>
      <c r="H2082" s="22" t="n"/>
      <c r="I2082" s="22" t="n"/>
      <c r="J2082" s="22" t="n"/>
      <c r="K2082" s="22" t="n"/>
      <c r="L2082" s="22" t="n"/>
      <c r="M2082" s="219" t="n"/>
      <c r="O2082" s="117">
        <f>C2082*P2082</f>
        <v/>
      </c>
      <c r="P2082" s="150" t="n">
        <v>1.1</v>
      </c>
      <c r="R2082" s="117" t="n"/>
      <c r="T2082" s="117" t="n"/>
    </row>
    <row r="2083">
      <c r="A2083" s="134" t="inlineStr">
        <is>
          <t>14298XXX</t>
        </is>
      </c>
      <c r="B2083" s="246" t="inlineStr">
        <is>
          <t>TAVERNITI  REM M/C</t>
        </is>
      </c>
      <c r="C2083" s="88" t="n">
        <v>39900</v>
      </c>
      <c r="D2083" s="22" t="n"/>
      <c r="E2083" s="22" t="n"/>
      <c r="F2083" s="22" t="n"/>
      <c r="G2083" s="22" t="n"/>
      <c r="H2083" s="22" t="n"/>
      <c r="I2083" s="22" t="n"/>
      <c r="J2083" s="22" t="n"/>
      <c r="K2083" s="22" t="n"/>
      <c r="L2083" s="22" t="n"/>
      <c r="M2083" s="219" t="n"/>
      <c r="O2083" s="117">
        <f>C2083*P2083</f>
        <v/>
      </c>
      <c r="P2083" s="150" t="n">
        <v>1.1</v>
      </c>
      <c r="R2083" s="117" t="n"/>
      <c r="T2083" s="117" t="n"/>
    </row>
    <row r="2084">
      <c r="A2084" s="134" t="inlineStr">
        <is>
          <t>14302XXX</t>
        </is>
      </c>
      <c r="B2084" s="246" t="inlineStr">
        <is>
          <t>TAVERNITI  REM M/C</t>
        </is>
      </c>
      <c r="C2084" s="88" t="n">
        <v>39900</v>
      </c>
      <c r="D2084" s="22" t="n"/>
      <c r="E2084" s="22" t="n"/>
      <c r="F2084" s="22" t="n"/>
      <c r="G2084" s="22" t="n"/>
      <c r="H2084" s="22" t="n"/>
      <c r="I2084" s="22" t="n"/>
      <c r="J2084" s="22" t="n"/>
      <c r="K2084" s="22" t="n"/>
      <c r="L2084" s="22" t="n"/>
      <c r="M2084" s="219" t="n"/>
      <c r="O2084" s="117">
        <f>C2084*P2084</f>
        <v/>
      </c>
      <c r="P2084" s="150" t="n">
        <v>1.1</v>
      </c>
      <c r="R2084" s="117" t="n"/>
      <c r="T2084" s="117" t="n"/>
    </row>
    <row r="2085">
      <c r="A2085" s="134" t="inlineStr">
        <is>
          <t>14304XXX</t>
        </is>
      </c>
      <c r="B2085" s="246" t="inlineStr">
        <is>
          <t>TAVERNITI  REM M/C</t>
        </is>
      </c>
      <c r="C2085" s="88" t="n">
        <v>41700</v>
      </c>
      <c r="D2085" s="22" t="n"/>
      <c r="E2085" s="22" t="n"/>
      <c r="F2085" s="22" t="n"/>
      <c r="G2085" s="22" t="n"/>
      <c r="H2085" s="22" t="n"/>
      <c r="I2085" s="22" t="n"/>
      <c r="J2085" s="22" t="n"/>
      <c r="K2085" s="22" t="n"/>
      <c r="L2085" s="22" t="n"/>
      <c r="M2085" s="219" t="n"/>
      <c r="O2085" s="117">
        <f>C2085*P2085</f>
        <v/>
      </c>
      <c r="P2085" s="150" t="n">
        <v>1.1</v>
      </c>
      <c r="R2085" s="117" t="n"/>
      <c r="T2085" s="117" t="n"/>
    </row>
    <row r="2086">
      <c r="A2086" s="134" t="inlineStr">
        <is>
          <t>14306XXX</t>
        </is>
      </c>
      <c r="B2086" s="246" t="inlineStr">
        <is>
          <t>TAVERNITI  REM M/C</t>
        </is>
      </c>
      <c r="C2086" s="88" t="n">
        <v>41700</v>
      </c>
      <c r="D2086" s="22" t="n"/>
      <c r="E2086" s="22" t="n"/>
      <c r="F2086" s="22" t="n"/>
      <c r="G2086" s="22" t="n"/>
      <c r="H2086" s="22" t="n"/>
      <c r="I2086" s="22" t="n"/>
      <c r="J2086" s="22" t="n"/>
      <c r="K2086" s="22" t="n"/>
      <c r="L2086" s="22" t="n"/>
      <c r="M2086" s="219" t="n"/>
      <c r="O2086" s="117">
        <f>C2086*P2086</f>
        <v/>
      </c>
      <c r="P2086" s="150" t="n">
        <v>1.1</v>
      </c>
      <c r="R2086" s="117" t="n"/>
      <c r="T2086" s="117" t="n"/>
    </row>
    <row r="2087">
      <c r="A2087" s="134" t="inlineStr">
        <is>
          <t>14314XXX</t>
        </is>
      </c>
      <c r="B2087" s="246" t="inlineStr">
        <is>
          <t>TAVERNITI  REM M/C</t>
        </is>
      </c>
      <c r="C2087" s="88" t="n">
        <v>41700</v>
      </c>
      <c r="D2087" s="22" t="n"/>
      <c r="E2087" s="22" t="n"/>
      <c r="F2087" s="22" t="n"/>
      <c r="G2087" s="22" t="n"/>
      <c r="H2087" s="22" t="n"/>
      <c r="I2087" s="22" t="n"/>
      <c r="J2087" s="22" t="n"/>
      <c r="K2087" s="22" t="n"/>
      <c r="L2087" s="22" t="n"/>
      <c r="M2087" s="219" t="n"/>
      <c r="O2087" s="117">
        <f>C2087*P2087</f>
        <v/>
      </c>
      <c r="P2087" s="150" t="n">
        <v>1.1</v>
      </c>
      <c r="R2087" s="117" t="n"/>
      <c r="T2087" s="117" t="n"/>
    </row>
    <row r="2088">
      <c r="A2088" s="134" t="inlineStr">
        <is>
          <t>14322XXX</t>
        </is>
      </c>
      <c r="B2088" s="246" t="inlineStr">
        <is>
          <t>TAVERNITI  REM M/C</t>
        </is>
      </c>
      <c r="C2088" s="88" t="n">
        <v>41700</v>
      </c>
      <c r="D2088" s="22" t="n"/>
      <c r="E2088" s="22" t="n"/>
      <c r="F2088" s="22" t="n"/>
      <c r="G2088" s="22" t="n"/>
      <c r="H2088" s="22" t="n"/>
      <c r="I2088" s="22" t="n"/>
      <c r="J2088" s="22" t="n"/>
      <c r="K2088" s="22" t="n"/>
      <c r="L2088" s="22" t="n"/>
      <c r="M2088" s="219" t="n"/>
      <c r="O2088" s="117">
        <f>C2088*P2088</f>
        <v/>
      </c>
      <c r="P2088" s="150" t="n">
        <v>1.1</v>
      </c>
      <c r="R2088" s="117" t="n"/>
      <c r="T2088" s="117" t="n"/>
    </row>
    <row r="2089">
      <c r="A2089" s="134" t="inlineStr">
        <is>
          <t>14328XXX</t>
        </is>
      </c>
      <c r="B2089" s="246" t="inlineStr">
        <is>
          <t>TAVERNITI  REM M/C</t>
        </is>
      </c>
      <c r="C2089" s="88" t="n">
        <v>41700</v>
      </c>
      <c r="D2089" s="22" t="n"/>
      <c r="E2089" s="22" t="n"/>
      <c r="F2089" s="22" t="n"/>
      <c r="G2089" s="22" t="n"/>
      <c r="H2089" s="22" t="n"/>
      <c r="I2089" s="22" t="n"/>
      <c r="J2089" s="22" t="n"/>
      <c r="K2089" s="22" t="n"/>
      <c r="L2089" s="22" t="n"/>
      <c r="M2089" s="219" t="n"/>
      <c r="O2089" s="117">
        <f>C2089*P2089</f>
        <v/>
      </c>
      <c r="P2089" s="150" t="n">
        <v>1.1</v>
      </c>
      <c r="R2089" s="117" t="n"/>
      <c r="T2089" s="117" t="n"/>
    </row>
    <row r="2090">
      <c r="A2090" s="134" t="inlineStr">
        <is>
          <t>14336XXX</t>
        </is>
      </c>
      <c r="B2090" s="246" t="inlineStr">
        <is>
          <t>TAVERNITI  REM M/C</t>
        </is>
      </c>
      <c r="C2090" s="88" t="n">
        <v>41700</v>
      </c>
      <c r="D2090" s="22" t="n"/>
      <c r="E2090" s="22" t="n"/>
      <c r="F2090" s="22" t="n"/>
      <c r="G2090" s="22" t="n"/>
      <c r="H2090" s="22" t="n"/>
      <c r="I2090" s="22" t="n"/>
      <c r="J2090" s="22" t="n"/>
      <c r="K2090" s="22" t="n"/>
      <c r="L2090" s="22" t="n"/>
      <c r="M2090" s="219" t="n"/>
      <c r="O2090" s="117">
        <f>C2090*P2090</f>
        <v/>
      </c>
      <c r="P2090" s="150" t="n">
        <v>1.1</v>
      </c>
      <c r="R2090" s="117" t="n"/>
      <c r="T2090" s="117" t="n"/>
    </row>
    <row r="2091">
      <c r="A2091" s="134" t="inlineStr">
        <is>
          <t>14338XXX</t>
        </is>
      </c>
      <c r="B2091" s="246" t="inlineStr">
        <is>
          <t>TAVERNITI  REM M/C</t>
        </is>
      </c>
      <c r="C2091" s="88" t="n">
        <v>41700</v>
      </c>
      <c r="D2091" s="22" t="n"/>
      <c r="E2091" s="22" t="n"/>
      <c r="F2091" s="22" t="n"/>
      <c r="G2091" s="22" t="n"/>
      <c r="H2091" s="22" t="n"/>
      <c r="I2091" s="22" t="n"/>
      <c r="J2091" s="22" t="n"/>
      <c r="K2091" s="22" t="n"/>
      <c r="L2091" s="22" t="n"/>
      <c r="M2091" s="219" t="n"/>
      <c r="O2091" s="117">
        <f>C2091*P2091</f>
        <v/>
      </c>
      <c r="P2091" s="150" t="n">
        <v>1.1</v>
      </c>
      <c r="R2091" s="117" t="n"/>
      <c r="T2091" s="117" t="n"/>
    </row>
    <row r="2092">
      <c r="A2092" s="134" t="inlineStr">
        <is>
          <t>14344XXX</t>
        </is>
      </c>
      <c r="B2092" s="246" t="inlineStr">
        <is>
          <t>TAVERNITI  REM M/C</t>
        </is>
      </c>
      <c r="C2092" s="88" t="n">
        <v>41700</v>
      </c>
      <c r="D2092" s="22" t="n"/>
      <c r="E2092" s="22" t="n"/>
      <c r="F2092" s="22" t="n"/>
      <c r="G2092" s="22" t="n"/>
      <c r="H2092" s="22" t="n"/>
      <c r="I2092" s="22" t="n"/>
      <c r="J2092" s="22" t="n"/>
      <c r="K2092" s="22" t="n"/>
      <c r="L2092" s="22" t="n"/>
      <c r="M2092" s="219" t="n"/>
      <c r="O2092" s="117">
        <f>C2092*P2092</f>
        <v/>
      </c>
      <c r="P2092" s="150" t="n">
        <v>1.1</v>
      </c>
      <c r="R2092" s="117" t="n"/>
      <c r="T2092" s="117" t="n"/>
    </row>
    <row r="2093">
      <c r="A2093" s="134" t="inlineStr">
        <is>
          <t>14346XXX</t>
        </is>
      </c>
      <c r="B2093" s="246" t="inlineStr">
        <is>
          <t>TAVERNITI  REM M/C</t>
        </is>
      </c>
      <c r="C2093" s="88" t="n">
        <v>41700</v>
      </c>
      <c r="D2093" s="22" t="n"/>
      <c r="E2093" s="22" t="n"/>
      <c r="F2093" s="22" t="n"/>
      <c r="G2093" s="22" t="n"/>
      <c r="H2093" s="22" t="n"/>
      <c r="I2093" s="22" t="n"/>
      <c r="J2093" s="22" t="n"/>
      <c r="K2093" s="22" t="n"/>
      <c r="L2093" s="22" t="n"/>
      <c r="M2093" s="219" t="n"/>
      <c r="O2093" s="117">
        <f>C2093*P2093</f>
        <v/>
      </c>
      <c r="P2093" s="150" t="n">
        <v>1.1</v>
      </c>
      <c r="R2093" s="117" t="n"/>
      <c r="T2093" s="117" t="n"/>
    </row>
    <row r="2094">
      <c r="A2094" s="134" t="inlineStr">
        <is>
          <t>14348</t>
        </is>
      </c>
      <c r="B2094" s="246" t="inlineStr">
        <is>
          <t>TAVERNITI  REM M/C</t>
        </is>
      </c>
      <c r="C2094" s="88" t="n">
        <v>41700</v>
      </c>
      <c r="D2094" s="22" t="n"/>
      <c r="E2094" s="22" t="n"/>
      <c r="F2094" s="22" t="n"/>
      <c r="G2094" s="22" t="n"/>
      <c r="H2094" s="22" t="n"/>
      <c r="I2094" s="22" t="n"/>
      <c r="J2094" s="22" t="n"/>
      <c r="K2094" s="22" t="n"/>
      <c r="L2094" s="22" t="n"/>
      <c r="M2094" s="219" t="n"/>
      <c r="O2094" s="117">
        <f>C2094*P2094</f>
        <v/>
      </c>
      <c r="P2094" s="150" t="n">
        <v>1.1</v>
      </c>
      <c r="R2094" s="117" t="n"/>
      <c r="T2094" s="117" t="n"/>
    </row>
    <row r="2095">
      <c r="A2095" s="134" t="inlineStr">
        <is>
          <t>14354</t>
        </is>
      </c>
      <c r="B2095" s="246" t="inlineStr">
        <is>
          <t>TAVERNITI  REM M/C</t>
        </is>
      </c>
      <c r="C2095" s="88" t="n">
        <v>41700</v>
      </c>
      <c r="D2095" s="22" t="n"/>
      <c r="E2095" s="22" t="n"/>
      <c r="F2095" s="22" t="n"/>
      <c r="G2095" s="22" t="n"/>
      <c r="H2095" s="22" t="n"/>
      <c r="I2095" s="22" t="n"/>
      <c r="J2095" s="22" t="n"/>
      <c r="K2095" s="22" t="n"/>
      <c r="L2095" s="22" t="n"/>
      <c r="M2095" s="219" t="n"/>
      <c r="O2095" s="117">
        <f>C2095*P2095</f>
        <v/>
      </c>
      <c r="P2095" s="150" t="n">
        <v>1.1</v>
      </c>
      <c r="R2095" s="117" t="n"/>
      <c r="T2095" s="117" t="n"/>
    </row>
    <row r="2096">
      <c r="A2096" s="134" t="inlineStr">
        <is>
          <t>14356</t>
        </is>
      </c>
      <c r="B2096" s="246" t="inlineStr">
        <is>
          <t>TAVERNITI  REM M/C</t>
        </is>
      </c>
      <c r="C2096" s="88" t="n">
        <v>41700</v>
      </c>
      <c r="D2096" s="22" t="n"/>
      <c r="E2096" s="22" t="n"/>
      <c r="F2096" s="22" t="n"/>
      <c r="G2096" s="22" t="n"/>
      <c r="H2096" s="22" t="n"/>
      <c r="I2096" s="22" t="n"/>
      <c r="J2096" s="22" t="n"/>
      <c r="K2096" s="22" t="n"/>
      <c r="L2096" s="22" t="n"/>
      <c r="M2096" s="219" t="n"/>
      <c r="O2096" s="117">
        <f>C2096*P2096</f>
        <v/>
      </c>
      <c r="P2096" s="150" t="n">
        <v>1.1</v>
      </c>
      <c r="R2096" s="117" t="n"/>
      <c r="T2096" s="117" t="n"/>
    </row>
    <row r="2097">
      <c r="A2097" s="134" t="inlineStr">
        <is>
          <t>14358</t>
        </is>
      </c>
      <c r="B2097" s="246" t="inlineStr">
        <is>
          <t>TAVERNITI  REM M/C</t>
        </is>
      </c>
      <c r="C2097" s="88" t="n">
        <v>41700</v>
      </c>
      <c r="D2097" s="22" t="n"/>
      <c r="E2097" s="22" t="n"/>
      <c r="F2097" s="22" t="n"/>
      <c r="G2097" s="22" t="n"/>
      <c r="H2097" s="22" t="n"/>
      <c r="I2097" s="22" t="n"/>
      <c r="J2097" s="22" t="n"/>
      <c r="K2097" s="22" t="n"/>
      <c r="L2097" s="22" t="n"/>
      <c r="M2097" s="219" t="n"/>
      <c r="O2097" s="117">
        <f>C2097*P2097</f>
        <v/>
      </c>
      <c r="P2097" s="150" t="n">
        <v>1.1</v>
      </c>
      <c r="R2097" s="117" t="n"/>
      <c r="T2097" s="117" t="n"/>
    </row>
    <row r="2098">
      <c r="A2098" s="134" t="inlineStr">
        <is>
          <t>14360</t>
        </is>
      </c>
      <c r="B2098" s="246" t="inlineStr">
        <is>
          <t>TAVERNITI  REM M/C</t>
        </is>
      </c>
      <c r="C2098" s="88" t="n">
        <v>41700</v>
      </c>
      <c r="D2098" s="22" t="n"/>
      <c r="E2098" s="22" t="n"/>
      <c r="F2098" s="22" t="n"/>
      <c r="G2098" s="22" t="n"/>
      <c r="H2098" s="22" t="n"/>
      <c r="I2098" s="22" t="n"/>
      <c r="J2098" s="22" t="n"/>
      <c r="K2098" s="22" t="n"/>
      <c r="L2098" s="22" t="n"/>
      <c r="M2098" s="219" t="n"/>
      <c r="O2098" s="117">
        <f>C2098*P2098</f>
        <v/>
      </c>
      <c r="P2098" s="150" t="n">
        <v>1.1</v>
      </c>
      <c r="R2098" s="117" t="n"/>
      <c r="T2098" s="117" t="n"/>
    </row>
    <row r="2099">
      <c r="A2099" s="134" t="inlineStr">
        <is>
          <t>14362</t>
        </is>
      </c>
      <c r="B2099" s="246" t="inlineStr">
        <is>
          <t>TAVERNITI  REM M/C</t>
        </is>
      </c>
      <c r="C2099" s="88" t="n">
        <v>41700</v>
      </c>
      <c r="D2099" s="22" t="n"/>
      <c r="E2099" s="22" t="n"/>
      <c r="F2099" s="22" t="n"/>
      <c r="G2099" s="22" t="n"/>
      <c r="H2099" s="22" t="n"/>
      <c r="I2099" s="22" t="n"/>
      <c r="J2099" s="22" t="n"/>
      <c r="K2099" s="22" t="n"/>
      <c r="L2099" s="22" t="n"/>
      <c r="M2099" s="219" t="n"/>
      <c r="O2099" s="117">
        <f>C2099*P2099</f>
        <v/>
      </c>
      <c r="P2099" s="150" t="n">
        <v>1.1</v>
      </c>
      <c r="R2099" s="117" t="n"/>
      <c r="T2099" s="117" t="n"/>
    </row>
    <row r="2100">
      <c r="A2100" s="134" t="inlineStr">
        <is>
          <t>14364</t>
        </is>
      </c>
      <c r="B2100" s="246" t="inlineStr">
        <is>
          <t>TAVERNITI  REM M/C</t>
        </is>
      </c>
      <c r="C2100" s="88" t="n">
        <v>41700</v>
      </c>
      <c r="D2100" s="22" t="n"/>
      <c r="E2100" s="22" t="n"/>
      <c r="F2100" s="22" t="n"/>
      <c r="G2100" s="22" t="n"/>
      <c r="H2100" s="22" t="n"/>
      <c r="I2100" s="22" t="n"/>
      <c r="J2100" s="22" t="n"/>
      <c r="K2100" s="22" t="n"/>
      <c r="L2100" s="22" t="n"/>
      <c r="M2100" s="219" t="n"/>
      <c r="O2100" s="117">
        <f>C2100*P2100</f>
        <v/>
      </c>
      <c r="P2100" s="150" t="n">
        <v>1.1</v>
      </c>
      <c r="R2100" s="117" t="n"/>
      <c r="T2100" s="117" t="n"/>
    </row>
    <row r="2101">
      <c r="A2101" s="134" t="inlineStr">
        <is>
          <t>14366</t>
        </is>
      </c>
      <c r="B2101" s="246" t="inlineStr">
        <is>
          <t>TAVERNITI  REM M/C</t>
        </is>
      </c>
      <c r="C2101" s="88" t="n">
        <v>41700</v>
      </c>
      <c r="D2101" s="22" t="n"/>
      <c r="E2101" s="22" t="n"/>
      <c r="F2101" s="22" t="n"/>
      <c r="G2101" s="22" t="n"/>
      <c r="H2101" s="22" t="n"/>
      <c r="I2101" s="22" t="n"/>
      <c r="J2101" s="22" t="n"/>
      <c r="K2101" s="22" t="n"/>
      <c r="L2101" s="22" t="n"/>
      <c r="M2101" s="219" t="n"/>
      <c r="O2101" s="117">
        <f>C2101*P2101</f>
        <v/>
      </c>
      <c r="P2101" s="150" t="n">
        <v>1.1</v>
      </c>
      <c r="R2101" s="117" t="n"/>
      <c r="T2101" s="117" t="n"/>
    </row>
    <row r="2102">
      <c r="A2102" s="134" t="inlineStr">
        <is>
          <t>14368</t>
        </is>
      </c>
      <c r="B2102" s="246" t="inlineStr">
        <is>
          <t>TAVERNITI  REM M/C</t>
        </is>
      </c>
      <c r="C2102" s="88" t="n">
        <v>41700</v>
      </c>
      <c r="D2102" s="22" t="n"/>
      <c r="E2102" s="22" t="n"/>
      <c r="F2102" s="22" t="n"/>
      <c r="G2102" s="22" t="n"/>
      <c r="H2102" s="22" t="n"/>
      <c r="I2102" s="22" t="n"/>
      <c r="J2102" s="22" t="n"/>
      <c r="K2102" s="22" t="n"/>
      <c r="L2102" s="22" t="n"/>
      <c r="M2102" s="219" t="n"/>
      <c r="O2102" s="117">
        <f>C2102*P2102</f>
        <v/>
      </c>
      <c r="P2102" s="150" t="n">
        <v>1.1</v>
      </c>
      <c r="R2102" s="117" t="n"/>
      <c r="T2102" s="117" t="n"/>
    </row>
    <row r="2103">
      <c r="A2103" s="134" t="inlineStr">
        <is>
          <t>14372</t>
        </is>
      </c>
      <c r="B2103" s="246" t="inlineStr">
        <is>
          <t>TAVERNITI  REM M/C</t>
        </is>
      </c>
      <c r="C2103" s="88" t="n">
        <v>41700</v>
      </c>
      <c r="D2103" s="22" t="n"/>
      <c r="E2103" s="22" t="n"/>
      <c r="F2103" s="22" t="n"/>
      <c r="G2103" s="22" t="n"/>
      <c r="H2103" s="22" t="n"/>
      <c r="I2103" s="22" t="n"/>
      <c r="J2103" s="22" t="n"/>
      <c r="K2103" s="22" t="n"/>
      <c r="L2103" s="22" t="n"/>
      <c r="M2103" s="219" t="n"/>
      <c r="O2103" s="117">
        <f>C2103*P2103</f>
        <v/>
      </c>
      <c r="P2103" s="150" t="n">
        <v>1.1</v>
      </c>
      <c r="R2103" s="117" t="n"/>
      <c r="T2103" s="117" t="n"/>
    </row>
    <row r="2104">
      <c r="A2104" s="134" t="inlineStr">
        <is>
          <t>14374</t>
        </is>
      </c>
      <c r="B2104" s="246" t="inlineStr">
        <is>
          <t>TAVERNITI  REM M/C</t>
        </is>
      </c>
      <c r="C2104" s="88" t="n">
        <v>41700</v>
      </c>
      <c r="D2104" s="22" t="n"/>
      <c r="E2104" s="22" t="n"/>
      <c r="F2104" s="22" t="n"/>
      <c r="G2104" s="22" t="n"/>
      <c r="H2104" s="22" t="n"/>
      <c r="I2104" s="22" t="n"/>
      <c r="J2104" s="22" t="n"/>
      <c r="K2104" s="22" t="n"/>
      <c r="L2104" s="22" t="n"/>
      <c r="M2104" s="219" t="n"/>
      <c r="O2104" s="117">
        <f>C2104*P2104</f>
        <v/>
      </c>
      <c r="P2104" s="150" t="n">
        <v>1.1</v>
      </c>
      <c r="R2104" s="117" t="n"/>
      <c r="T2104" s="117" t="n"/>
    </row>
    <row r="2105">
      <c r="A2105" s="134" t="inlineStr">
        <is>
          <t>14380</t>
        </is>
      </c>
      <c r="B2105" s="246" t="inlineStr">
        <is>
          <t>TAVERNITI  REM M/C</t>
        </is>
      </c>
      <c r="C2105" s="88" t="n">
        <v>41700</v>
      </c>
      <c r="D2105" s="22" t="n"/>
      <c r="E2105" s="22" t="n"/>
      <c r="F2105" s="22" t="n"/>
      <c r="G2105" s="22" t="n"/>
      <c r="H2105" s="22" t="n"/>
      <c r="I2105" s="22" t="n"/>
      <c r="J2105" s="22" t="n"/>
      <c r="K2105" s="22" t="n"/>
      <c r="L2105" s="22" t="n"/>
      <c r="M2105" s="219" t="n"/>
      <c r="O2105" s="117">
        <f>C2105*P2105</f>
        <v/>
      </c>
      <c r="P2105" s="150" t="n">
        <v>1.1</v>
      </c>
      <c r="R2105" s="117" t="n"/>
      <c r="T2105" s="117" t="n"/>
    </row>
    <row r="2106">
      <c r="A2106" s="134" t="inlineStr">
        <is>
          <t>14382</t>
        </is>
      </c>
      <c r="B2106" s="246" t="inlineStr">
        <is>
          <t>TAVERNITI  REM M/C</t>
        </is>
      </c>
      <c r="C2106" s="88" t="n">
        <v>41700</v>
      </c>
      <c r="D2106" s="22" t="n"/>
      <c r="E2106" s="22" t="n"/>
      <c r="F2106" s="22" t="n"/>
      <c r="G2106" s="22" t="n"/>
      <c r="H2106" s="22" t="n"/>
      <c r="I2106" s="22" t="n"/>
      <c r="J2106" s="22" t="n"/>
      <c r="K2106" s="22" t="n"/>
      <c r="L2106" s="22" t="n"/>
      <c r="M2106" s="219" t="n"/>
      <c r="O2106" s="117">
        <f>C2106*P2106</f>
        <v/>
      </c>
      <c r="P2106" s="150" t="n">
        <v>1.1</v>
      </c>
      <c r="R2106" s="117" t="n"/>
      <c r="T2106" s="117" t="n"/>
    </row>
    <row r="2107">
      <c r="A2107" s="134" t="inlineStr">
        <is>
          <t>14390</t>
        </is>
      </c>
      <c r="B2107" s="246" t="inlineStr">
        <is>
          <t>TAVERNITI  REM M/C</t>
        </is>
      </c>
      <c r="C2107" s="88" t="n">
        <v>41700</v>
      </c>
      <c r="D2107" s="22" t="n"/>
      <c r="E2107" s="22" t="n"/>
      <c r="F2107" s="22" t="n"/>
      <c r="G2107" s="22" t="n"/>
      <c r="H2107" s="22" t="n"/>
      <c r="I2107" s="22" t="n"/>
      <c r="J2107" s="22" t="n"/>
      <c r="K2107" s="22" t="n"/>
      <c r="L2107" s="22" t="n"/>
      <c r="M2107" s="219" t="n"/>
      <c r="O2107" s="117">
        <f>C2107*P2107</f>
        <v/>
      </c>
      <c r="P2107" s="150" t="n">
        <v>1.1</v>
      </c>
      <c r="R2107" s="117" t="n"/>
      <c r="T2107" s="117" t="n"/>
    </row>
    <row r="2108">
      <c r="A2108" s="134" t="inlineStr">
        <is>
          <t>14450</t>
        </is>
      </c>
      <c r="B2108" s="246" t="inlineStr">
        <is>
          <t>TAVERNITI  REM M/C</t>
        </is>
      </c>
      <c r="C2108" s="88" t="n">
        <v>41700</v>
      </c>
      <c r="D2108" s="22" t="n"/>
      <c r="E2108" s="22" t="n"/>
      <c r="F2108" s="22" t="n"/>
      <c r="G2108" s="22" t="n"/>
      <c r="H2108" s="22" t="n"/>
      <c r="I2108" s="22" t="n"/>
      <c r="J2108" s="22" t="n"/>
      <c r="K2108" s="22" t="n"/>
      <c r="L2108" s="22" t="n"/>
      <c r="M2108" s="219" t="n"/>
      <c r="O2108" s="117">
        <f>C2108*P2108</f>
        <v/>
      </c>
      <c r="P2108" s="150" t="n">
        <v>1.1</v>
      </c>
      <c r="R2108" s="117" t="n"/>
      <c r="T2108" s="117" t="n"/>
    </row>
    <row r="2109">
      <c r="A2109" s="134" t="inlineStr">
        <is>
          <t>14452</t>
        </is>
      </c>
      <c r="B2109" s="246" t="inlineStr">
        <is>
          <t>TAVERNITI  REM M/C</t>
        </is>
      </c>
      <c r="C2109" s="88" t="n">
        <v>41700</v>
      </c>
      <c r="D2109" s="22" t="n"/>
      <c r="E2109" s="22" t="n"/>
      <c r="F2109" s="22" t="n"/>
      <c r="G2109" s="22" t="n"/>
      <c r="H2109" s="22" t="n"/>
      <c r="I2109" s="22" t="n"/>
      <c r="J2109" s="22" t="n"/>
      <c r="K2109" s="22" t="n"/>
      <c r="L2109" s="22" t="n"/>
      <c r="M2109" s="219" t="n"/>
      <c r="O2109" s="117">
        <f>C2109*P2109</f>
        <v/>
      </c>
      <c r="P2109" s="150" t="n">
        <v>1.1</v>
      </c>
      <c r="R2109" s="117" t="n"/>
      <c r="T2109" s="117" t="n"/>
    </row>
    <row r="2110">
      <c r="A2110" s="134" t="inlineStr">
        <is>
          <t>14454</t>
        </is>
      </c>
      <c r="B2110" s="246" t="inlineStr">
        <is>
          <t>TAVERNITI  REM M/C</t>
        </is>
      </c>
      <c r="C2110" s="88" t="n">
        <v>41700</v>
      </c>
      <c r="D2110" s="22" t="n"/>
      <c r="E2110" s="22" t="n"/>
      <c r="F2110" s="22" t="n"/>
      <c r="G2110" s="22" t="n"/>
      <c r="H2110" s="22" t="n"/>
      <c r="I2110" s="22" t="n"/>
      <c r="J2110" s="22" t="n"/>
      <c r="K2110" s="22" t="n"/>
      <c r="L2110" s="22" t="n"/>
      <c r="M2110" s="219" t="n"/>
      <c r="O2110" s="117">
        <f>C2110*P2110</f>
        <v/>
      </c>
      <c r="P2110" s="150" t="n">
        <v>1.1</v>
      </c>
      <c r="R2110" s="117" t="n"/>
      <c r="T2110" s="117" t="n"/>
    </row>
    <row r="2111">
      <c r="A2111" s="134" t="inlineStr">
        <is>
          <t>14456</t>
        </is>
      </c>
      <c r="B2111" s="246" t="inlineStr">
        <is>
          <t>TAVERNITI  REM M/C</t>
        </is>
      </c>
      <c r="C2111" s="88" t="n">
        <v>41700</v>
      </c>
      <c r="D2111" s="22" t="n"/>
      <c r="E2111" s="22" t="n"/>
      <c r="F2111" s="22" t="n"/>
      <c r="G2111" s="22" t="n"/>
      <c r="H2111" s="22" t="n"/>
      <c r="I2111" s="22" t="n"/>
      <c r="J2111" s="22" t="n"/>
      <c r="K2111" s="22" t="n"/>
      <c r="L2111" s="22" t="n"/>
      <c r="M2111" s="219" t="n"/>
      <c r="O2111" s="117">
        <f>C2111*P2111</f>
        <v/>
      </c>
      <c r="P2111" s="150" t="n">
        <v>1.1</v>
      </c>
      <c r="R2111" s="117" t="n"/>
      <c r="T2111" s="117" t="n"/>
    </row>
    <row r="2112">
      <c r="A2112" s="134" t="inlineStr">
        <is>
          <t>14484XXX</t>
        </is>
      </c>
      <c r="B2112" s="246" t="inlineStr">
        <is>
          <t>TAVERNITI  REM M/C</t>
        </is>
      </c>
      <c r="C2112" s="88" t="n">
        <v>41700</v>
      </c>
      <c r="D2112" s="22" t="n"/>
      <c r="E2112" s="22" t="n"/>
      <c r="F2112" s="22" t="n"/>
      <c r="G2112" s="22" t="n"/>
      <c r="H2112" s="22" t="n"/>
      <c r="I2112" s="22" t="n"/>
      <c r="J2112" s="22" t="n"/>
      <c r="K2112" s="22" t="n"/>
      <c r="L2112" s="22" t="n"/>
      <c r="M2112" s="219" t="n"/>
      <c r="O2112" s="117">
        <f>C2112*P2112</f>
        <v/>
      </c>
      <c r="P2112" s="150" t="n">
        <v>1.1</v>
      </c>
      <c r="R2112" s="117" t="n"/>
      <c r="T2112" s="117" t="n"/>
    </row>
    <row r="2113">
      <c r="A2113" s="134" t="inlineStr">
        <is>
          <t>14504</t>
        </is>
      </c>
      <c r="B2113" s="246" t="inlineStr">
        <is>
          <t>TAVERNITI  REM M/C</t>
        </is>
      </c>
      <c r="C2113" s="88" t="n">
        <v>39900</v>
      </c>
      <c r="D2113" s="22" t="n"/>
      <c r="E2113" s="22" t="n"/>
      <c r="F2113" s="22" t="n"/>
      <c r="G2113" s="22" t="n"/>
      <c r="H2113" s="22" t="n"/>
      <c r="I2113" s="22" t="n"/>
      <c r="J2113" s="22" t="n"/>
      <c r="K2113" s="22" t="n"/>
      <c r="L2113" s="22" t="n"/>
      <c r="M2113" s="219" t="n"/>
      <c r="O2113" s="117">
        <f>C2113*P2113</f>
        <v/>
      </c>
      <c r="P2113" s="150" t="n">
        <v>1.1</v>
      </c>
      <c r="R2113" s="117" t="n"/>
      <c r="T2113" s="117" t="n"/>
    </row>
    <row r="2114">
      <c r="A2114" s="134" t="inlineStr">
        <is>
          <t>14506</t>
        </is>
      </c>
      <c r="B2114" s="246" t="inlineStr">
        <is>
          <t>TAVERNITI  REM M/C</t>
        </is>
      </c>
      <c r="C2114" s="88" t="n">
        <v>39900</v>
      </c>
      <c r="D2114" s="22" t="n"/>
      <c r="E2114" s="22" t="n"/>
      <c r="F2114" s="22" t="n"/>
      <c r="G2114" s="22" t="n"/>
      <c r="H2114" s="22" t="n"/>
      <c r="I2114" s="22" t="n"/>
      <c r="J2114" s="22" t="n"/>
      <c r="K2114" s="22" t="n"/>
      <c r="L2114" s="22" t="n"/>
      <c r="M2114" s="219" t="n"/>
      <c r="O2114" s="117">
        <f>C2114*P2114</f>
        <v/>
      </c>
      <c r="P2114" s="150" t="n">
        <v>1.1</v>
      </c>
      <c r="R2114" s="117" t="n"/>
      <c r="T2114" s="117" t="n"/>
    </row>
    <row r="2115">
      <c r="A2115" s="134" t="inlineStr">
        <is>
          <t>14514</t>
        </is>
      </c>
      <c r="B2115" s="246" t="inlineStr">
        <is>
          <t>TAVERNITI  REM M/C</t>
        </is>
      </c>
      <c r="C2115" s="88" t="n">
        <v>39600</v>
      </c>
      <c r="D2115" s="22" t="n"/>
      <c r="E2115" s="22" t="n"/>
      <c r="F2115" s="22" t="n"/>
      <c r="G2115" s="22" t="n"/>
      <c r="H2115" s="22" t="n"/>
      <c r="I2115" s="22" t="n"/>
      <c r="J2115" s="22" t="n"/>
      <c r="K2115" s="22" t="n"/>
      <c r="L2115" s="22" t="n"/>
      <c r="M2115" s="219" t="n"/>
      <c r="O2115" s="117">
        <f>C2115*P2115</f>
        <v/>
      </c>
      <c r="P2115" s="150" t="n">
        <v>1.1</v>
      </c>
      <c r="R2115" s="117" t="n"/>
      <c r="T2115" s="117" t="n"/>
    </row>
    <row r="2116">
      <c r="A2116" s="134" t="inlineStr">
        <is>
          <t>14516</t>
        </is>
      </c>
      <c r="B2116" s="246" t="inlineStr">
        <is>
          <t>TAVERNITI  REM M/C</t>
        </is>
      </c>
      <c r="C2116" s="88" t="n">
        <v>39900</v>
      </c>
      <c r="D2116" s="22" t="n"/>
      <c r="E2116" s="22" t="n"/>
      <c r="F2116" s="22" t="n"/>
      <c r="G2116" s="22" t="n"/>
      <c r="H2116" s="22" t="n"/>
      <c r="I2116" s="22" t="n"/>
      <c r="J2116" s="22" t="n"/>
      <c r="K2116" s="22" t="n"/>
      <c r="L2116" s="22" t="n"/>
      <c r="M2116" s="219" t="n"/>
      <c r="O2116" s="117">
        <f>C2116*P2116</f>
        <v/>
      </c>
      <c r="P2116" s="150" t="n">
        <v>1.1</v>
      </c>
      <c r="R2116" s="117" t="n"/>
      <c r="T2116" s="117" t="n"/>
    </row>
    <row r="2117">
      <c r="A2117" s="134" t="inlineStr">
        <is>
          <t>14518</t>
        </is>
      </c>
      <c r="B2117" s="246" t="inlineStr">
        <is>
          <t>TAVERNITI  REM M/C</t>
        </is>
      </c>
      <c r="C2117" s="88" t="n">
        <v>38600</v>
      </c>
      <c r="D2117" s="22" t="n"/>
      <c r="E2117" s="22" t="n"/>
      <c r="F2117" s="22" t="n"/>
      <c r="G2117" s="22" t="n"/>
      <c r="H2117" s="22" t="n"/>
      <c r="I2117" s="22" t="n"/>
      <c r="J2117" s="22" t="n"/>
      <c r="K2117" s="22" t="n"/>
      <c r="L2117" s="22" t="n"/>
      <c r="M2117" s="219" t="n"/>
      <c r="O2117" s="117">
        <f>C2117*P2117</f>
        <v/>
      </c>
      <c r="P2117" s="150" t="n">
        <v>1.1</v>
      </c>
      <c r="R2117" s="117" t="n"/>
      <c r="T2117" s="117" t="n"/>
    </row>
    <row r="2118">
      <c r="A2118" s="134" t="inlineStr">
        <is>
          <t>14520</t>
        </is>
      </c>
      <c r="B2118" s="246" t="inlineStr">
        <is>
          <t>TAVERNITI  REM M/C</t>
        </is>
      </c>
      <c r="C2118" s="88" t="n">
        <v>38600</v>
      </c>
      <c r="D2118" s="22" t="n"/>
      <c r="E2118" s="22" t="n"/>
      <c r="F2118" s="22" t="n"/>
      <c r="G2118" s="22" t="n"/>
      <c r="H2118" s="22" t="n"/>
      <c r="I2118" s="22" t="n"/>
      <c r="J2118" s="22" t="n"/>
      <c r="K2118" s="22" t="n"/>
      <c r="L2118" s="22" t="n"/>
      <c r="M2118" s="219" t="n"/>
      <c r="O2118" s="117">
        <f>C2118*P2118</f>
        <v/>
      </c>
      <c r="P2118" s="150" t="n">
        <v>1.1</v>
      </c>
      <c r="R2118" s="117" t="n"/>
      <c r="T2118" s="117" t="n"/>
    </row>
    <row r="2119">
      <c r="A2119" s="134" t="inlineStr">
        <is>
          <t>14522</t>
        </is>
      </c>
      <c r="B2119" s="246" t="inlineStr">
        <is>
          <t>TAVERNITI  REM M/C</t>
        </is>
      </c>
      <c r="C2119" s="88" t="n">
        <v>38600</v>
      </c>
      <c r="D2119" s="22" t="n"/>
      <c r="E2119" s="22" t="n"/>
      <c r="F2119" s="22" t="n"/>
      <c r="G2119" s="22" t="n"/>
      <c r="H2119" s="22" t="n"/>
      <c r="I2119" s="22" t="n"/>
      <c r="J2119" s="22" t="n"/>
      <c r="K2119" s="22" t="n"/>
      <c r="L2119" s="22" t="n"/>
      <c r="M2119" s="219" t="n"/>
      <c r="O2119" s="117">
        <f>C2119*P2119</f>
        <v/>
      </c>
      <c r="P2119" s="150" t="n">
        <v>1.1</v>
      </c>
      <c r="R2119" s="117" t="n"/>
      <c r="T2119" s="117" t="n"/>
    </row>
    <row r="2120">
      <c r="A2120" s="134" t="inlineStr">
        <is>
          <t>14530</t>
        </is>
      </c>
      <c r="B2120" s="246" t="inlineStr">
        <is>
          <t>TAVERNITI  REM M/C</t>
        </is>
      </c>
      <c r="C2120" s="88" t="n">
        <v>37300</v>
      </c>
      <c r="D2120" s="22" t="n"/>
      <c r="E2120" s="22" t="n"/>
      <c r="F2120" s="22" t="n"/>
      <c r="G2120" s="22" t="n"/>
      <c r="H2120" s="22" t="n"/>
      <c r="I2120" s="22" t="n"/>
      <c r="J2120" s="22" t="n"/>
      <c r="K2120" s="22" t="n"/>
      <c r="L2120" s="22" t="n"/>
      <c r="M2120" s="219" t="n"/>
      <c r="O2120" s="117">
        <f>C2120*P2120</f>
        <v/>
      </c>
      <c r="P2120" s="150" t="n">
        <v>1.1</v>
      </c>
      <c r="R2120" s="117" t="n"/>
      <c r="T2120" s="117" t="n"/>
    </row>
    <row r="2121">
      <c r="A2121" s="134" t="inlineStr">
        <is>
          <t>14534</t>
        </is>
      </c>
      <c r="B2121" s="246" t="inlineStr">
        <is>
          <t>TAVERNITI  REM M/C</t>
        </is>
      </c>
      <c r="C2121" s="88" t="n">
        <v>39900</v>
      </c>
      <c r="D2121" s="22" t="n"/>
      <c r="E2121" s="22" t="n"/>
      <c r="F2121" s="22" t="n"/>
      <c r="G2121" s="22" t="n"/>
      <c r="H2121" s="22" t="n"/>
      <c r="I2121" s="22" t="n"/>
      <c r="J2121" s="22" t="n"/>
      <c r="K2121" s="22" t="n"/>
      <c r="L2121" s="22" t="n"/>
      <c r="M2121" s="219" t="n"/>
      <c r="O2121" s="117">
        <f>C2121*P2121</f>
        <v/>
      </c>
      <c r="P2121" s="150" t="n">
        <v>1.1</v>
      </c>
      <c r="R2121" s="117" t="n"/>
      <c r="T2121" s="117" t="n"/>
    </row>
    <row r="2122">
      <c r="A2122" s="134" t="inlineStr">
        <is>
          <t>14540</t>
        </is>
      </c>
      <c r="B2122" s="246" t="inlineStr">
        <is>
          <t>TAVERNITI  REM M/C</t>
        </is>
      </c>
      <c r="C2122" s="88" t="n">
        <v>35300</v>
      </c>
      <c r="D2122" s="22" t="n"/>
      <c r="E2122" s="22" t="n"/>
      <c r="F2122" s="22" t="n"/>
      <c r="G2122" s="22" t="n"/>
      <c r="H2122" s="22" t="n"/>
      <c r="I2122" s="22" t="n"/>
      <c r="J2122" s="22" t="n"/>
      <c r="K2122" s="22" t="n"/>
      <c r="L2122" s="22" t="n"/>
      <c r="M2122" s="219" t="n"/>
      <c r="O2122" s="117">
        <f>C2122*P2122</f>
        <v/>
      </c>
      <c r="P2122" s="150" t="n">
        <v>1.1</v>
      </c>
      <c r="R2122" s="117" t="n"/>
      <c r="T2122" s="117" t="n"/>
    </row>
    <row r="2123">
      <c r="A2123" s="134" t="inlineStr">
        <is>
          <t>14564</t>
        </is>
      </c>
      <c r="B2123" s="246" t="inlineStr">
        <is>
          <t>TAVERNITI  REM M/C</t>
        </is>
      </c>
      <c r="C2123" s="88" t="n">
        <v>39900</v>
      </c>
      <c r="D2123" s="22" t="n"/>
      <c r="E2123" s="22" t="n"/>
      <c r="F2123" s="22" t="n"/>
      <c r="G2123" s="22" t="n"/>
      <c r="H2123" s="22" t="n"/>
      <c r="I2123" s="22" t="n"/>
      <c r="J2123" s="22" t="n"/>
      <c r="K2123" s="22" t="n"/>
      <c r="L2123" s="22" t="n"/>
      <c r="M2123" s="219" t="n"/>
      <c r="O2123" s="117">
        <f>C2123*P2123</f>
        <v/>
      </c>
      <c r="P2123" s="150" t="n">
        <v>1.1</v>
      </c>
      <c r="R2123" s="117" t="n"/>
      <c r="T2123" s="117" t="n"/>
    </row>
    <row r="2124">
      <c r="A2124" s="134" t="inlineStr">
        <is>
          <t>14568</t>
        </is>
      </c>
      <c r="B2124" s="246" t="inlineStr">
        <is>
          <t>TAVERNITI  REM M/C</t>
        </is>
      </c>
      <c r="C2124" s="88" t="n">
        <v>44200</v>
      </c>
      <c r="D2124" s="22" t="n"/>
      <c r="E2124" s="22" t="n"/>
      <c r="F2124" s="22" t="n"/>
      <c r="G2124" s="22" t="n"/>
      <c r="H2124" s="22" t="n"/>
      <c r="I2124" s="22" t="n"/>
      <c r="J2124" s="22" t="n"/>
      <c r="K2124" s="22" t="n"/>
      <c r="L2124" s="22" t="n"/>
      <c r="M2124" s="219" t="n"/>
      <c r="O2124" s="117">
        <f>C2124*P2124</f>
        <v/>
      </c>
      <c r="P2124" s="150" t="n">
        <v>1.1</v>
      </c>
      <c r="R2124" s="117" t="n"/>
      <c r="T2124" s="117" t="n"/>
    </row>
    <row r="2125">
      <c r="A2125" s="134" t="inlineStr">
        <is>
          <t>14678</t>
        </is>
      </c>
      <c r="B2125" s="246" t="inlineStr">
        <is>
          <t>TAVERNITI  REM M/C</t>
        </is>
      </c>
      <c r="C2125" s="88" t="n">
        <v>41100</v>
      </c>
      <c r="D2125" s="22" t="n"/>
      <c r="E2125" s="22" t="n"/>
      <c r="F2125" s="22" t="n"/>
      <c r="G2125" s="22" t="n"/>
      <c r="H2125" s="22" t="n"/>
      <c r="I2125" s="22" t="n"/>
      <c r="J2125" s="22" t="n"/>
      <c r="K2125" s="22" t="n"/>
      <c r="L2125" s="22" t="n"/>
      <c r="M2125" s="219" t="n"/>
      <c r="O2125" s="117">
        <f>C2125*P2125</f>
        <v/>
      </c>
      <c r="P2125" s="150" t="n">
        <v>1.1</v>
      </c>
      <c r="R2125" s="117" t="n"/>
      <c r="T2125" s="117" t="n"/>
    </row>
    <row r="2126">
      <c r="A2126" s="134" t="inlineStr">
        <is>
          <t>14680</t>
        </is>
      </c>
      <c r="B2126" s="246" t="inlineStr">
        <is>
          <t>TAVERNITI  REM M/C</t>
        </is>
      </c>
      <c r="C2126" s="88" t="n">
        <v>36400</v>
      </c>
      <c r="D2126" s="22" t="n"/>
      <c r="E2126" s="22" t="n"/>
      <c r="F2126" s="22" t="n"/>
      <c r="G2126" s="22" t="n"/>
      <c r="H2126" s="22" t="n"/>
      <c r="I2126" s="22" t="n"/>
      <c r="J2126" s="22" t="n"/>
      <c r="K2126" s="22" t="n"/>
      <c r="L2126" s="22" t="n"/>
      <c r="M2126" s="219" t="n"/>
      <c r="O2126" s="117">
        <f>C2126*P2126</f>
        <v/>
      </c>
      <c r="P2126" s="150" t="n">
        <v>1.1</v>
      </c>
      <c r="R2126" s="117" t="n"/>
      <c r="T2126" s="117" t="n"/>
    </row>
    <row r="2127">
      <c r="A2127" s="134" t="inlineStr">
        <is>
          <t>14682</t>
        </is>
      </c>
      <c r="B2127" s="246" t="inlineStr">
        <is>
          <t>TAVERNITI  REM M/C</t>
        </is>
      </c>
      <c r="C2127" s="88" t="n">
        <v>42500</v>
      </c>
      <c r="D2127" s="22" t="n"/>
      <c r="E2127" s="22" t="n"/>
      <c r="F2127" s="22" t="n"/>
      <c r="G2127" s="22" t="n"/>
      <c r="H2127" s="22" t="n"/>
      <c r="I2127" s="22" t="n"/>
      <c r="J2127" s="22" t="n"/>
      <c r="K2127" s="22" t="n"/>
      <c r="L2127" s="22" t="n"/>
      <c r="M2127" s="219" t="n"/>
      <c r="O2127" s="117">
        <f>C2127*P2127</f>
        <v/>
      </c>
      <c r="P2127" s="150" t="n">
        <v>1.1</v>
      </c>
      <c r="R2127" s="117" t="n"/>
      <c r="T2127" s="117" t="n"/>
    </row>
    <row r="2128">
      <c r="A2128" s="134" t="inlineStr">
        <is>
          <t>14774</t>
        </is>
      </c>
      <c r="B2128" s="246" t="inlineStr">
        <is>
          <t>TAVERNITI  REM M/C</t>
        </is>
      </c>
      <c r="C2128" s="88" t="n">
        <v>45100</v>
      </c>
      <c r="D2128" s="22" t="n"/>
      <c r="E2128" s="22" t="n"/>
      <c r="F2128" s="22" t="n"/>
      <c r="G2128" s="22" t="n"/>
      <c r="H2128" s="22" t="n"/>
      <c r="I2128" s="22" t="n"/>
      <c r="J2128" s="22" t="n"/>
      <c r="K2128" s="22" t="n"/>
      <c r="L2128" s="22" t="n"/>
      <c r="M2128" s="219" t="n"/>
      <c r="O2128" s="117">
        <f>C2128*P2128</f>
        <v/>
      </c>
      <c r="P2128" s="150" t="n">
        <v>1.1</v>
      </c>
      <c r="R2128" s="117" t="n"/>
      <c r="T2128" s="117" t="n"/>
    </row>
    <row r="2129">
      <c r="A2129" s="134" t="inlineStr">
        <is>
          <t>14812</t>
        </is>
      </c>
      <c r="B2129" s="246" t="inlineStr">
        <is>
          <t>TAVERNITI  REM M/C</t>
        </is>
      </c>
      <c r="C2129" s="88" t="n">
        <v>41800</v>
      </c>
      <c r="D2129" s="22" t="n"/>
      <c r="E2129" s="22" t="n"/>
      <c r="F2129" s="22" t="n"/>
      <c r="G2129" s="22" t="n"/>
      <c r="H2129" s="22" t="n"/>
      <c r="I2129" s="22" t="n"/>
      <c r="J2129" s="22" t="n"/>
      <c r="K2129" s="22" t="n"/>
      <c r="L2129" s="22" t="n"/>
      <c r="M2129" s="219" t="n"/>
      <c r="O2129" s="117">
        <f>C2129*P2129</f>
        <v/>
      </c>
      <c r="P2129" s="150" t="n">
        <v>1.1</v>
      </c>
      <c r="R2129" s="117" t="n"/>
      <c r="T2129" s="117" t="n"/>
    </row>
    <row r="2130">
      <c r="A2130" s="134" t="inlineStr">
        <is>
          <t>14814</t>
        </is>
      </c>
      <c r="B2130" s="246" t="inlineStr">
        <is>
          <t>TAVERNITI  REM M/C</t>
        </is>
      </c>
      <c r="C2130" s="88" t="n">
        <v>41800</v>
      </c>
      <c r="D2130" s="22" t="n"/>
      <c r="E2130" s="22" t="n"/>
      <c r="F2130" s="22" t="n"/>
      <c r="G2130" s="22" t="n"/>
      <c r="H2130" s="22" t="n"/>
      <c r="I2130" s="22" t="n"/>
      <c r="J2130" s="22" t="n"/>
      <c r="K2130" s="22" t="n"/>
      <c r="L2130" s="22" t="n"/>
      <c r="M2130" s="219" t="n"/>
      <c r="O2130" s="117">
        <f>C2130*P2130</f>
        <v/>
      </c>
      <c r="P2130" s="150" t="n">
        <v>1.1</v>
      </c>
      <c r="R2130" s="117" t="n"/>
      <c r="T2130" s="117" t="n"/>
    </row>
    <row r="2131">
      <c r="A2131" s="134" t="inlineStr">
        <is>
          <t>14816</t>
        </is>
      </c>
      <c r="B2131" s="246" t="inlineStr">
        <is>
          <t>TAVERNITI  REM M/C</t>
        </is>
      </c>
      <c r="C2131" s="88" t="n">
        <v>41800</v>
      </c>
      <c r="D2131" s="22" t="n"/>
      <c r="E2131" s="22" t="n"/>
      <c r="F2131" s="22" t="n"/>
      <c r="G2131" s="22" t="n"/>
      <c r="H2131" s="22" t="n"/>
      <c r="I2131" s="22" t="n"/>
      <c r="J2131" s="22" t="n"/>
      <c r="K2131" s="22" t="n"/>
      <c r="L2131" s="22" t="n"/>
      <c r="M2131" s="219" t="n"/>
      <c r="O2131" s="117">
        <f>C2131*P2131</f>
        <v/>
      </c>
      <c r="P2131" s="150" t="n">
        <v>1.1</v>
      </c>
      <c r="R2131" s="117" t="n"/>
      <c r="T2131" s="117" t="n"/>
    </row>
    <row r="2132">
      <c r="A2132" s="134" t="inlineStr">
        <is>
          <t>14818</t>
        </is>
      </c>
      <c r="B2132" s="246" t="inlineStr">
        <is>
          <t>TAVERNITI  REM M/C</t>
        </is>
      </c>
      <c r="C2132" s="88" t="n">
        <v>41800</v>
      </c>
      <c r="D2132" s="22" t="n"/>
      <c r="E2132" s="22" t="n"/>
      <c r="F2132" s="22" t="n"/>
      <c r="G2132" s="22" t="n"/>
      <c r="H2132" s="22" t="n"/>
      <c r="I2132" s="22" t="n"/>
      <c r="J2132" s="22" t="n"/>
      <c r="K2132" s="22" t="n"/>
      <c r="L2132" s="22" t="n"/>
      <c r="M2132" s="219" t="n"/>
      <c r="O2132" s="117">
        <f>C2132*P2132</f>
        <v/>
      </c>
      <c r="P2132" s="150" t="n">
        <v>1.1</v>
      </c>
      <c r="R2132" s="117" t="n"/>
      <c r="T2132" s="117" t="n"/>
    </row>
    <row r="2133">
      <c r="A2133" s="134" t="inlineStr">
        <is>
          <t>14822</t>
        </is>
      </c>
      <c r="B2133" s="246" t="inlineStr">
        <is>
          <t>TAVERNITI  REM M/C</t>
        </is>
      </c>
      <c r="C2133" s="88" t="n">
        <v>41800</v>
      </c>
      <c r="D2133" s="22" t="n"/>
      <c r="E2133" s="22" t="n"/>
      <c r="F2133" s="22" t="n"/>
      <c r="G2133" s="22" t="n"/>
      <c r="H2133" s="22" t="n"/>
      <c r="I2133" s="22" t="n"/>
      <c r="J2133" s="22" t="n"/>
      <c r="K2133" s="22" t="n"/>
      <c r="L2133" s="22" t="n"/>
      <c r="M2133" s="219" t="n"/>
      <c r="O2133" s="117">
        <f>C2133*P2133</f>
        <v/>
      </c>
      <c r="P2133" s="150" t="n">
        <v>1.1</v>
      </c>
      <c r="R2133" s="117" t="n"/>
      <c r="T2133" s="117" t="n"/>
    </row>
    <row r="2134">
      <c r="A2134" s="134" t="inlineStr">
        <is>
          <t>14824</t>
        </is>
      </c>
      <c r="B2134" s="246" t="inlineStr">
        <is>
          <t>TAVERNITI  REM M/C</t>
        </is>
      </c>
      <c r="C2134" s="88" t="n">
        <v>41800</v>
      </c>
      <c r="D2134" s="22" t="n"/>
      <c r="E2134" s="22" t="n"/>
      <c r="F2134" s="22" t="n"/>
      <c r="G2134" s="22" t="n"/>
      <c r="H2134" s="22" t="n"/>
      <c r="I2134" s="22" t="n"/>
      <c r="J2134" s="22" t="n"/>
      <c r="K2134" s="22" t="n"/>
      <c r="L2134" s="22" t="n"/>
      <c r="M2134" s="219" t="n"/>
      <c r="O2134" s="117">
        <f>C2134*P2134</f>
        <v/>
      </c>
      <c r="P2134" s="150" t="n">
        <v>1.1</v>
      </c>
      <c r="R2134" s="117" t="n"/>
      <c r="T2134" s="117" t="n"/>
    </row>
    <row r="2135">
      <c r="A2135" s="134" t="inlineStr">
        <is>
          <t>14830</t>
        </is>
      </c>
      <c r="B2135" s="246" t="inlineStr">
        <is>
          <t>TAVERNITI  REM M/C</t>
        </is>
      </c>
      <c r="C2135" s="88" t="n">
        <v>41800</v>
      </c>
      <c r="D2135" s="22" t="n"/>
      <c r="E2135" s="22" t="n"/>
      <c r="F2135" s="22" t="n"/>
      <c r="G2135" s="22" t="n"/>
      <c r="H2135" s="22" t="n"/>
      <c r="I2135" s="22" t="n"/>
      <c r="J2135" s="22" t="n"/>
      <c r="K2135" s="22" t="n"/>
      <c r="L2135" s="22" t="n"/>
      <c r="M2135" s="219" t="n"/>
      <c r="O2135" s="117">
        <f>C2135*P2135</f>
        <v/>
      </c>
      <c r="P2135" s="150" t="n">
        <v>1.1</v>
      </c>
      <c r="R2135" s="117" t="n"/>
      <c r="T2135" s="117" t="n"/>
    </row>
    <row r="2136">
      <c r="A2136" s="134" t="inlineStr">
        <is>
          <t>14832</t>
        </is>
      </c>
      <c r="B2136" s="246" t="inlineStr">
        <is>
          <t>TAVERNITI  REM M/C</t>
        </is>
      </c>
      <c r="C2136" s="88" t="n">
        <v>41800</v>
      </c>
      <c r="D2136" s="22" t="n"/>
      <c r="E2136" s="22" t="n"/>
      <c r="F2136" s="22" t="n"/>
      <c r="G2136" s="22" t="n"/>
      <c r="H2136" s="22" t="n"/>
      <c r="I2136" s="22" t="n"/>
      <c r="J2136" s="22" t="n"/>
      <c r="K2136" s="22" t="n"/>
      <c r="L2136" s="22" t="n"/>
      <c r="M2136" s="219" t="n"/>
      <c r="O2136" s="117">
        <f>C2136*P2136</f>
        <v/>
      </c>
      <c r="P2136" s="150" t="n">
        <v>1.1</v>
      </c>
      <c r="R2136" s="117" t="n"/>
      <c r="T2136" s="117" t="n"/>
    </row>
    <row r="2137">
      <c r="A2137" s="134" t="inlineStr">
        <is>
          <t>14838</t>
        </is>
      </c>
      <c r="B2137" s="246" t="inlineStr">
        <is>
          <t>TAVERNITI  REM M/C</t>
        </is>
      </c>
      <c r="C2137" s="88" t="n">
        <v>45100</v>
      </c>
      <c r="D2137" s="22" t="n"/>
      <c r="E2137" s="22" t="n"/>
      <c r="F2137" s="22" t="n"/>
      <c r="G2137" s="22" t="n"/>
      <c r="H2137" s="22" t="n"/>
      <c r="I2137" s="22" t="n"/>
      <c r="J2137" s="22" t="n"/>
      <c r="K2137" s="22" t="n"/>
      <c r="L2137" s="22" t="n"/>
      <c r="M2137" s="219" t="n"/>
      <c r="O2137" s="117">
        <f>C2137*P2137</f>
        <v/>
      </c>
      <c r="P2137" s="150" t="n">
        <v>1.1</v>
      </c>
      <c r="R2137" s="117" t="n"/>
      <c r="T2137" s="117" t="n"/>
    </row>
    <row r="2138">
      <c r="A2138" s="134" t="inlineStr">
        <is>
          <t>14872</t>
        </is>
      </c>
      <c r="B2138" s="246" t="inlineStr">
        <is>
          <t>TAVERNITI  REM M/C</t>
        </is>
      </c>
      <c r="C2138" s="88" t="n">
        <v>39600</v>
      </c>
      <c r="D2138" s="22" t="n"/>
      <c r="E2138" s="22" t="n"/>
      <c r="F2138" s="22" t="n"/>
      <c r="G2138" s="22" t="n"/>
      <c r="H2138" s="22" t="n"/>
      <c r="I2138" s="22" t="n"/>
      <c r="J2138" s="22" t="n"/>
      <c r="K2138" s="22" t="n"/>
      <c r="L2138" s="22" t="n"/>
      <c r="M2138" s="219" t="n"/>
      <c r="O2138" s="117">
        <f>C2138*P2138</f>
        <v/>
      </c>
      <c r="P2138" s="150" t="n">
        <v>1.1</v>
      </c>
      <c r="R2138" s="117" t="n"/>
      <c r="T2138" s="117" t="n"/>
    </row>
    <row r="2139">
      <c r="A2139" s="134" t="inlineStr">
        <is>
          <t>14876</t>
        </is>
      </c>
      <c r="B2139" s="246" t="inlineStr">
        <is>
          <t>TAVERNITI  REM M/C</t>
        </is>
      </c>
      <c r="C2139" s="88" t="n">
        <v>37300</v>
      </c>
      <c r="D2139" s="22" t="n"/>
      <c r="E2139" s="22" t="n"/>
      <c r="F2139" s="22" t="n"/>
      <c r="G2139" s="22" t="n"/>
      <c r="H2139" s="22" t="n"/>
      <c r="I2139" s="22" t="n"/>
      <c r="J2139" s="22" t="n"/>
      <c r="K2139" s="22" t="n"/>
      <c r="L2139" s="22" t="n"/>
      <c r="M2139" s="219" t="n"/>
      <c r="O2139" s="117">
        <f>C2139*P2139</f>
        <v/>
      </c>
      <c r="P2139" s="150" t="n">
        <v>1.1</v>
      </c>
      <c r="R2139" s="117" t="n"/>
      <c r="T2139" s="117" t="n"/>
    </row>
    <row r="2140">
      <c r="A2140" s="134" t="inlineStr">
        <is>
          <t>14884</t>
        </is>
      </c>
      <c r="B2140" s="246" t="inlineStr">
        <is>
          <t>TAVERNITI  REM M/C</t>
        </is>
      </c>
      <c r="C2140" s="88" t="n">
        <v>37800</v>
      </c>
      <c r="D2140" s="22" t="n"/>
      <c r="E2140" s="22" t="n"/>
      <c r="F2140" s="22" t="n"/>
      <c r="G2140" s="22" t="n"/>
      <c r="H2140" s="22" t="n"/>
      <c r="I2140" s="22" t="n"/>
      <c r="J2140" s="22" t="n"/>
      <c r="K2140" s="22" t="n"/>
      <c r="L2140" s="22" t="n"/>
      <c r="M2140" s="219" t="n"/>
      <c r="O2140" s="117">
        <f>C2140*P2140</f>
        <v/>
      </c>
      <c r="P2140" s="150" t="n">
        <v>1.1</v>
      </c>
      <c r="R2140" s="117" t="n"/>
      <c r="T2140" s="117" t="n"/>
    </row>
    <row r="2141">
      <c r="A2141" s="134" t="inlineStr">
        <is>
          <t>14890XXX</t>
        </is>
      </c>
      <c r="B2141" s="246" t="inlineStr">
        <is>
          <t>TAVERNITI  REM M/C</t>
        </is>
      </c>
      <c r="C2141" s="88" t="n">
        <v>37500</v>
      </c>
      <c r="D2141" s="22" t="n"/>
      <c r="E2141" s="22" t="n"/>
      <c r="F2141" s="22" t="n"/>
      <c r="G2141" s="22" t="n"/>
      <c r="H2141" s="22" t="n"/>
      <c r="I2141" s="22" t="n"/>
      <c r="J2141" s="22" t="n"/>
      <c r="K2141" s="22" t="n"/>
      <c r="L2141" s="22" t="n"/>
      <c r="M2141" s="219" t="n"/>
      <c r="O2141" s="117">
        <f>C2141*P2141</f>
        <v/>
      </c>
      <c r="P2141" s="150" t="n">
        <v>1.1</v>
      </c>
      <c r="R2141" s="117" t="n"/>
      <c r="T2141" s="117" t="n"/>
    </row>
    <row r="2142">
      <c r="A2142" s="134" t="inlineStr">
        <is>
          <t>14892</t>
        </is>
      </c>
      <c r="B2142" s="246" t="inlineStr">
        <is>
          <t>TAVERNITI  REM M/C</t>
        </is>
      </c>
      <c r="C2142" s="88" t="n">
        <v>38600</v>
      </c>
      <c r="D2142" s="22" t="n"/>
      <c r="E2142" s="22" t="n"/>
      <c r="F2142" s="22" t="n"/>
      <c r="G2142" s="22" t="n"/>
      <c r="H2142" s="22" t="n"/>
      <c r="I2142" s="22" t="n"/>
      <c r="J2142" s="22" t="n"/>
      <c r="K2142" s="22" t="n"/>
      <c r="L2142" s="22" t="n"/>
      <c r="M2142" s="219" t="n"/>
      <c r="O2142" s="117">
        <f>C2142*P2142</f>
        <v/>
      </c>
      <c r="P2142" s="150" t="n">
        <v>1.1</v>
      </c>
      <c r="R2142" s="117" t="n"/>
      <c r="T2142" s="117" t="n"/>
    </row>
    <row r="2143">
      <c r="A2143" s="134" t="inlineStr">
        <is>
          <t>14894</t>
        </is>
      </c>
      <c r="B2143" s="246" t="inlineStr">
        <is>
          <t>TAVERNITI  REM M/C</t>
        </is>
      </c>
      <c r="C2143" s="88" t="n">
        <v>41100</v>
      </c>
      <c r="D2143" s="22" t="n"/>
      <c r="E2143" s="22" t="n"/>
      <c r="F2143" s="22" t="n"/>
      <c r="G2143" s="22" t="n"/>
      <c r="H2143" s="22" t="n"/>
      <c r="I2143" s="22" t="n"/>
      <c r="J2143" s="22" t="n"/>
      <c r="K2143" s="22" t="n"/>
      <c r="L2143" s="22" t="n"/>
      <c r="M2143" s="219" t="n"/>
      <c r="O2143" s="117">
        <f>C2143*P2143</f>
        <v/>
      </c>
      <c r="P2143" s="150" t="n">
        <v>1.1</v>
      </c>
      <c r="R2143" s="117" t="n"/>
      <c r="T2143" s="117" t="n"/>
    </row>
    <row r="2144">
      <c r="A2144" s="134" t="inlineStr">
        <is>
          <t>14898</t>
        </is>
      </c>
      <c r="B2144" s="246" t="inlineStr">
        <is>
          <t>TAVERNITI  REM M/C</t>
        </is>
      </c>
      <c r="C2144" s="88" t="n">
        <v>36500</v>
      </c>
      <c r="D2144" s="22" t="n"/>
      <c r="E2144" s="22" t="n"/>
      <c r="F2144" s="22" t="n"/>
      <c r="G2144" s="22" t="n"/>
      <c r="H2144" s="22" t="n"/>
      <c r="I2144" s="22" t="n"/>
      <c r="J2144" s="22" t="n"/>
      <c r="K2144" s="22" t="n"/>
      <c r="L2144" s="22" t="n"/>
      <c r="M2144" s="219" t="n"/>
      <c r="O2144" s="117">
        <f>C2144*P2144</f>
        <v/>
      </c>
      <c r="P2144" s="150" t="n">
        <v>1.1</v>
      </c>
      <c r="R2144" s="117" t="n"/>
      <c r="T2144" s="117" t="n"/>
    </row>
    <row r="2145">
      <c r="A2145" s="134" t="inlineStr">
        <is>
          <t>14904</t>
        </is>
      </c>
      <c r="B2145" s="246" t="inlineStr">
        <is>
          <t>TAVERNITI  REM M/C</t>
        </is>
      </c>
      <c r="C2145" s="88" t="n">
        <v>41100</v>
      </c>
      <c r="D2145" s="22" t="n"/>
      <c r="E2145" s="22" t="n"/>
      <c r="F2145" s="22" t="n"/>
      <c r="G2145" s="22" t="n"/>
      <c r="H2145" s="22" t="n"/>
      <c r="I2145" s="22" t="n"/>
      <c r="J2145" s="22" t="n"/>
      <c r="K2145" s="22" t="n"/>
      <c r="L2145" s="22" t="n"/>
      <c r="M2145" s="219" t="n"/>
      <c r="O2145" s="117">
        <f>C2145*P2145</f>
        <v/>
      </c>
      <c r="P2145" s="150" t="n">
        <v>1.1</v>
      </c>
      <c r="R2145" s="117" t="n"/>
      <c r="T2145" s="117" t="n"/>
    </row>
    <row r="2146">
      <c r="A2146" s="134" t="inlineStr">
        <is>
          <t>14908</t>
        </is>
      </c>
      <c r="B2146" s="246" t="inlineStr">
        <is>
          <t>TAVERNITI  REM M/C</t>
        </is>
      </c>
      <c r="C2146" s="88" t="n">
        <v>37800</v>
      </c>
      <c r="D2146" s="22" t="n"/>
      <c r="E2146" s="22" t="n"/>
      <c r="F2146" s="22" t="n"/>
      <c r="G2146" s="22" t="n"/>
      <c r="H2146" s="22" t="n"/>
      <c r="I2146" s="22" t="n"/>
      <c r="J2146" s="22" t="n"/>
      <c r="K2146" s="22" t="n"/>
      <c r="L2146" s="22" t="n"/>
      <c r="M2146" s="219" t="n"/>
      <c r="O2146" s="117">
        <f>C2146*P2146</f>
        <v/>
      </c>
      <c r="P2146" s="150" t="n">
        <v>1.1</v>
      </c>
      <c r="R2146" s="117" t="n"/>
      <c r="T2146" s="117" t="n"/>
    </row>
    <row r="2147">
      <c r="A2147" s="134" t="inlineStr">
        <is>
          <t>14910</t>
        </is>
      </c>
      <c r="B2147" s="246" t="inlineStr">
        <is>
          <t>TAVERNITI  REM M/C</t>
        </is>
      </c>
      <c r="C2147" s="88" t="n">
        <v>38600</v>
      </c>
      <c r="D2147" s="22" t="n"/>
      <c r="E2147" s="22" t="n"/>
      <c r="F2147" s="22" t="n"/>
      <c r="G2147" s="22" t="n"/>
      <c r="H2147" s="22" t="n"/>
      <c r="I2147" s="22" t="n"/>
      <c r="J2147" s="22" t="n"/>
      <c r="K2147" s="22" t="n"/>
      <c r="L2147" s="22" t="n"/>
      <c r="M2147" s="219" t="n"/>
      <c r="O2147" s="117">
        <f>C2147*P2147</f>
        <v/>
      </c>
      <c r="P2147" s="150" t="n">
        <v>1.1</v>
      </c>
      <c r="R2147" s="117" t="n"/>
      <c r="T2147" s="117" t="n"/>
    </row>
    <row r="2148">
      <c r="A2148" s="134" t="inlineStr">
        <is>
          <t>14912</t>
        </is>
      </c>
      <c r="B2148" s="246" t="inlineStr">
        <is>
          <t>TAVERNITI  REM M/C</t>
        </is>
      </c>
      <c r="C2148" s="88" t="n">
        <v>37800</v>
      </c>
      <c r="D2148" s="22" t="n"/>
      <c r="E2148" s="22" t="n"/>
      <c r="F2148" s="22" t="n"/>
      <c r="G2148" s="22" t="n"/>
      <c r="H2148" s="22" t="n"/>
      <c r="I2148" s="22" t="n"/>
      <c r="J2148" s="22" t="n"/>
      <c r="K2148" s="22" t="n"/>
      <c r="L2148" s="22" t="n"/>
      <c r="M2148" s="219" t="n"/>
      <c r="O2148" s="117">
        <f>C2148*P2148</f>
        <v/>
      </c>
      <c r="P2148" s="150" t="n">
        <v>1.1</v>
      </c>
      <c r="R2148" s="117" t="n"/>
      <c r="T2148" s="117" t="n"/>
    </row>
    <row r="2149">
      <c r="A2149" s="134" t="inlineStr">
        <is>
          <t>14916</t>
        </is>
      </c>
      <c r="B2149" s="246" t="inlineStr">
        <is>
          <t>TAVERNITI  REM M/C</t>
        </is>
      </c>
      <c r="C2149" s="88" t="n">
        <v>38600</v>
      </c>
      <c r="D2149" s="22" t="n"/>
      <c r="E2149" s="22" t="n"/>
      <c r="F2149" s="22" t="n"/>
      <c r="G2149" s="22" t="n"/>
      <c r="H2149" s="22" t="n"/>
      <c r="I2149" s="22" t="n"/>
      <c r="J2149" s="22" t="n"/>
      <c r="K2149" s="22" t="n"/>
      <c r="L2149" s="22" t="n"/>
      <c r="M2149" s="219" t="n"/>
      <c r="O2149" s="117">
        <f>C2149*P2149</f>
        <v/>
      </c>
      <c r="P2149" s="150" t="n">
        <v>1.1</v>
      </c>
      <c r="R2149" s="117" t="n"/>
      <c r="T2149" s="117" t="n"/>
    </row>
    <row r="2150">
      <c r="A2150" s="134" t="inlineStr">
        <is>
          <t>149XXX</t>
        </is>
      </c>
      <c r="B2150" s="246" t="inlineStr">
        <is>
          <t>TAVERNITI  REM M/C</t>
        </is>
      </c>
      <c r="C2150" s="88" t="n">
        <v>32400</v>
      </c>
      <c r="D2150" s="22" t="n"/>
      <c r="E2150" s="22" t="n"/>
      <c r="F2150" s="22" t="n"/>
      <c r="G2150" s="22" t="n"/>
      <c r="H2150" s="22" t="n"/>
      <c r="I2150" s="22" t="n"/>
      <c r="J2150" s="22" t="n"/>
      <c r="K2150" s="22" t="n"/>
      <c r="L2150" s="22" t="n"/>
      <c r="M2150" s="219" t="n"/>
      <c r="O2150" s="117">
        <f>C2150*P2150</f>
        <v/>
      </c>
      <c r="P2150" s="150" t="n">
        <v>1.1</v>
      </c>
      <c r="R2150" s="117" t="n"/>
      <c r="T2150" s="117" t="n"/>
    </row>
    <row r="2151">
      <c r="A2151" s="134" t="inlineStr">
        <is>
          <t>14924XXX</t>
        </is>
      </c>
      <c r="B2151" s="246" t="inlineStr">
        <is>
          <t>TAVERNITI  REM M/C</t>
        </is>
      </c>
      <c r="C2151" s="88" t="n">
        <v>36500</v>
      </c>
      <c r="D2151" s="22" t="n"/>
      <c r="E2151" s="22" t="n"/>
      <c r="F2151" s="22" t="n"/>
      <c r="G2151" s="22" t="n"/>
      <c r="H2151" s="22" t="n"/>
      <c r="I2151" s="22" t="n"/>
      <c r="J2151" s="22" t="n"/>
      <c r="K2151" s="22" t="n"/>
      <c r="L2151" s="22" t="n"/>
      <c r="M2151" s="219" t="n"/>
      <c r="O2151" s="117">
        <f>C2151*P2151</f>
        <v/>
      </c>
      <c r="P2151" s="150" t="n">
        <v>1.1</v>
      </c>
      <c r="R2151" s="117" t="n"/>
      <c r="T2151" s="117" t="n"/>
    </row>
    <row r="2152">
      <c r="A2152" s="134" t="inlineStr">
        <is>
          <t>14928</t>
        </is>
      </c>
      <c r="B2152" s="246" t="inlineStr">
        <is>
          <t>TAVERNITI  REM M/C</t>
        </is>
      </c>
      <c r="C2152" s="88" t="n">
        <v>37800</v>
      </c>
      <c r="D2152" s="22" t="n"/>
      <c r="E2152" s="22" t="n"/>
      <c r="F2152" s="22" t="n"/>
      <c r="G2152" s="22" t="n"/>
      <c r="H2152" s="22" t="n"/>
      <c r="I2152" s="22" t="n"/>
      <c r="J2152" s="22" t="n"/>
      <c r="K2152" s="22" t="n"/>
      <c r="L2152" s="22" t="n"/>
      <c r="M2152" s="219" t="n"/>
      <c r="O2152" s="117">
        <f>C2152*P2152</f>
        <v/>
      </c>
      <c r="P2152" s="150" t="n">
        <v>1.1</v>
      </c>
      <c r="R2152" s="117" t="n"/>
      <c r="T2152" s="117" t="n"/>
    </row>
    <row r="2153">
      <c r="A2153" s="134" t="inlineStr">
        <is>
          <t>14930</t>
        </is>
      </c>
      <c r="B2153" s="246" t="inlineStr">
        <is>
          <t>TAVERNITI  REM M/C</t>
        </is>
      </c>
      <c r="C2153" s="88" t="n">
        <v>37800</v>
      </c>
      <c r="D2153" s="22" t="n"/>
      <c r="E2153" s="22" t="n"/>
      <c r="F2153" s="22" t="n"/>
      <c r="G2153" s="22" t="n"/>
      <c r="H2153" s="22" t="n"/>
      <c r="I2153" s="22" t="n"/>
      <c r="J2153" s="22" t="n"/>
      <c r="K2153" s="22" t="n"/>
      <c r="L2153" s="22" t="n"/>
      <c r="M2153" s="219" t="n"/>
      <c r="O2153" s="117">
        <f>C2153*P2153</f>
        <v/>
      </c>
      <c r="P2153" s="150" t="n">
        <v>1.1</v>
      </c>
      <c r="R2153" s="117" t="n"/>
      <c r="T2153" s="117" t="n"/>
    </row>
    <row r="2154">
      <c r="A2154" s="134" t="inlineStr">
        <is>
          <t>14932</t>
        </is>
      </c>
      <c r="B2154" s="246" t="inlineStr">
        <is>
          <t>TAVERNITI  REM M/C</t>
        </is>
      </c>
      <c r="C2154" s="88" t="n">
        <v>37800</v>
      </c>
      <c r="D2154" s="22" t="n"/>
      <c r="E2154" s="22" t="n"/>
      <c r="F2154" s="22" t="n"/>
      <c r="G2154" s="22" t="n"/>
      <c r="H2154" s="22" t="n"/>
      <c r="I2154" s="22" t="n"/>
      <c r="J2154" s="22" t="n"/>
      <c r="K2154" s="22" t="n"/>
      <c r="L2154" s="22" t="n"/>
      <c r="M2154" s="219" t="n"/>
      <c r="O2154" s="117">
        <f>C2154*P2154</f>
        <v/>
      </c>
      <c r="P2154" s="150" t="n">
        <v>1.1</v>
      </c>
      <c r="R2154" s="117" t="n"/>
      <c r="T2154" s="117" t="n"/>
    </row>
    <row r="2155">
      <c r="A2155" s="134" t="inlineStr">
        <is>
          <t>14936</t>
        </is>
      </c>
      <c r="B2155" s="246" t="inlineStr">
        <is>
          <t>TAVERNITI  REM M/C</t>
        </is>
      </c>
      <c r="C2155" s="88" t="n">
        <v>38600</v>
      </c>
      <c r="D2155" s="22" t="n"/>
      <c r="E2155" s="22" t="n"/>
      <c r="F2155" s="22" t="n"/>
      <c r="G2155" s="22" t="n"/>
      <c r="H2155" s="22" t="n"/>
      <c r="I2155" s="22" t="n"/>
      <c r="J2155" s="22" t="n"/>
      <c r="K2155" s="22" t="n"/>
      <c r="L2155" s="22" t="n"/>
      <c r="M2155" s="219" t="n"/>
      <c r="O2155" s="117">
        <f>C2155*P2155</f>
        <v/>
      </c>
      <c r="P2155" s="150" t="n">
        <v>1.1</v>
      </c>
      <c r="R2155" s="117" t="n"/>
      <c r="T2155" s="117" t="n"/>
    </row>
    <row r="2156">
      <c r="A2156" s="134" t="inlineStr">
        <is>
          <t>14940</t>
        </is>
      </c>
      <c r="B2156" s="246" t="inlineStr">
        <is>
          <t>TAVERNITI  REM M/C</t>
        </is>
      </c>
      <c r="C2156" s="88" t="n">
        <v>39100</v>
      </c>
      <c r="D2156" s="22" t="n"/>
      <c r="E2156" s="22" t="n"/>
      <c r="F2156" s="22" t="n"/>
      <c r="G2156" s="22" t="n"/>
      <c r="H2156" s="22" t="n"/>
      <c r="I2156" s="22" t="n"/>
      <c r="J2156" s="22" t="n"/>
      <c r="K2156" s="22" t="n"/>
      <c r="L2156" s="22" t="n"/>
      <c r="M2156" s="219" t="n"/>
      <c r="O2156" s="117">
        <f>C2156*P2156</f>
        <v/>
      </c>
      <c r="P2156" s="150" t="n">
        <v>1.1</v>
      </c>
      <c r="R2156" s="117" t="n"/>
      <c r="T2156" s="117" t="n"/>
    </row>
    <row r="2157">
      <c r="A2157" s="134" t="inlineStr">
        <is>
          <t>14944</t>
        </is>
      </c>
      <c r="B2157" s="246" t="inlineStr">
        <is>
          <t>TAVERNITI  REM M/C</t>
        </is>
      </c>
      <c r="C2157" s="88" t="n">
        <v>38600</v>
      </c>
      <c r="D2157" s="22" t="n"/>
      <c r="E2157" s="22" t="n"/>
      <c r="F2157" s="22" t="n"/>
      <c r="G2157" s="22" t="n"/>
      <c r="H2157" s="22" t="n"/>
      <c r="I2157" s="22" t="n"/>
      <c r="J2157" s="22" t="n"/>
      <c r="K2157" s="22" t="n"/>
      <c r="L2157" s="22" t="n"/>
      <c r="M2157" s="219" t="n"/>
      <c r="O2157" s="117">
        <f>C2157*P2157</f>
        <v/>
      </c>
      <c r="P2157" s="150" t="n">
        <v>1.1</v>
      </c>
      <c r="R2157" s="117" t="n"/>
      <c r="T2157" s="117" t="n"/>
    </row>
    <row r="2158">
      <c r="A2158" s="134" t="inlineStr">
        <is>
          <t>14950</t>
        </is>
      </c>
      <c r="B2158" s="246" t="inlineStr">
        <is>
          <t>TAVERNITI  REM M/C</t>
        </is>
      </c>
      <c r="C2158" s="88" t="n">
        <v>42500</v>
      </c>
      <c r="D2158" s="22" t="n"/>
      <c r="E2158" s="22" t="n"/>
      <c r="F2158" s="22" t="n"/>
      <c r="G2158" s="22" t="n"/>
      <c r="H2158" s="22" t="n"/>
      <c r="I2158" s="22" t="n"/>
      <c r="J2158" s="22" t="n"/>
      <c r="K2158" s="22" t="n"/>
      <c r="L2158" s="22" t="n"/>
      <c r="M2158" s="219" t="n"/>
      <c r="O2158" s="117">
        <f>C2158*P2158</f>
        <v/>
      </c>
      <c r="P2158" s="150" t="n">
        <v>1.1</v>
      </c>
      <c r="R2158" s="117" t="n"/>
      <c r="T2158" s="117" t="n"/>
    </row>
    <row r="2159">
      <c r="A2159" s="134" t="inlineStr">
        <is>
          <t>14952</t>
        </is>
      </c>
      <c r="B2159" s="246" t="inlineStr">
        <is>
          <t>TAVERNITI  REM M/C</t>
        </is>
      </c>
      <c r="C2159" s="88" t="n">
        <v>42500</v>
      </c>
      <c r="D2159" s="22" t="n"/>
      <c r="E2159" s="22" t="n"/>
      <c r="F2159" s="22" t="n"/>
      <c r="G2159" s="22" t="n"/>
      <c r="H2159" s="22" t="n"/>
      <c r="I2159" s="22" t="n"/>
      <c r="J2159" s="22" t="n"/>
      <c r="K2159" s="22" t="n"/>
      <c r="L2159" s="22" t="n"/>
      <c r="M2159" s="219" t="n"/>
      <c r="O2159" s="117">
        <f>C2159*P2159</f>
        <v/>
      </c>
      <c r="P2159" s="150" t="n">
        <v>1.1</v>
      </c>
      <c r="R2159" s="117" t="n"/>
      <c r="T2159" s="117" t="n"/>
    </row>
    <row r="2160">
      <c r="A2160" s="134" t="inlineStr">
        <is>
          <t>14954</t>
        </is>
      </c>
      <c r="B2160" s="246" t="inlineStr">
        <is>
          <t>TAVERNITI  REM M/C</t>
        </is>
      </c>
      <c r="C2160" s="88" t="n">
        <v>41700</v>
      </c>
      <c r="D2160" s="22" t="n"/>
      <c r="E2160" s="22" t="n"/>
      <c r="F2160" s="22" t="n"/>
      <c r="G2160" s="22" t="n"/>
      <c r="H2160" s="22" t="n"/>
      <c r="I2160" s="22" t="n"/>
      <c r="J2160" s="22" t="n"/>
      <c r="K2160" s="22" t="n"/>
      <c r="L2160" s="22" t="n"/>
      <c r="M2160" s="219" t="n"/>
      <c r="O2160" s="117">
        <f>C2160*P2160</f>
        <v/>
      </c>
      <c r="P2160" s="150" t="n">
        <v>1.1</v>
      </c>
      <c r="R2160" s="117" t="n"/>
      <c r="T2160" s="117" t="n"/>
    </row>
    <row r="2161">
      <c r="A2161" s="134" t="inlineStr">
        <is>
          <t>14958</t>
        </is>
      </c>
      <c r="B2161" s="246" t="inlineStr">
        <is>
          <t>TAVERNITI  REM M/C</t>
        </is>
      </c>
      <c r="C2161" s="88" t="n">
        <v>42500</v>
      </c>
      <c r="D2161" s="22" t="n"/>
      <c r="E2161" s="22" t="n"/>
      <c r="F2161" s="22" t="n"/>
      <c r="G2161" s="22" t="n"/>
      <c r="H2161" s="22" t="n"/>
      <c r="I2161" s="22" t="n"/>
      <c r="J2161" s="22" t="n"/>
      <c r="K2161" s="22" t="n"/>
      <c r="L2161" s="22" t="n"/>
      <c r="M2161" s="219" t="n"/>
      <c r="O2161" s="117">
        <f>C2161*P2161</f>
        <v/>
      </c>
      <c r="P2161" s="150" t="n">
        <v>1.1</v>
      </c>
      <c r="R2161" s="117" t="n"/>
      <c r="T2161" s="117" t="n"/>
    </row>
    <row r="2162">
      <c r="A2162" s="134" t="inlineStr">
        <is>
          <t>14962</t>
        </is>
      </c>
      <c r="B2162" s="246" t="inlineStr">
        <is>
          <t>TAVERNITI  REM M/C</t>
        </is>
      </c>
      <c r="C2162" s="88" t="n">
        <v>42500</v>
      </c>
      <c r="D2162" s="22" t="n"/>
      <c r="E2162" s="22" t="n"/>
      <c r="F2162" s="22" t="n"/>
      <c r="G2162" s="22" t="n"/>
      <c r="H2162" s="22" t="n"/>
      <c r="I2162" s="22" t="n"/>
      <c r="J2162" s="22" t="n"/>
      <c r="K2162" s="22" t="n"/>
      <c r="L2162" s="22" t="n"/>
      <c r="M2162" s="219" t="n"/>
      <c r="O2162" s="117">
        <f>C2162*P2162</f>
        <v/>
      </c>
      <c r="P2162" s="150" t="n">
        <v>1.1</v>
      </c>
      <c r="R2162" s="117" t="n"/>
      <c r="T2162" s="117" t="n"/>
    </row>
    <row r="2163">
      <c r="A2163" s="134" t="inlineStr">
        <is>
          <t>14964</t>
        </is>
      </c>
      <c r="B2163" s="246" t="inlineStr">
        <is>
          <t>TAVERNITI  REM M/C</t>
        </is>
      </c>
      <c r="C2163" s="88" t="n">
        <v>42500</v>
      </c>
      <c r="D2163" s="22" t="n"/>
      <c r="E2163" s="22" t="n"/>
      <c r="F2163" s="22" t="n"/>
      <c r="G2163" s="22" t="n"/>
      <c r="H2163" s="22" t="n"/>
      <c r="I2163" s="22" t="n"/>
      <c r="J2163" s="22" t="n"/>
      <c r="K2163" s="22" t="n"/>
      <c r="L2163" s="22" t="n"/>
      <c r="M2163" s="219" t="n"/>
      <c r="O2163" s="117">
        <f>C2163*P2163</f>
        <v/>
      </c>
      <c r="P2163" s="150" t="n">
        <v>1.1</v>
      </c>
      <c r="R2163" s="117" t="n"/>
      <c r="T2163" s="117" t="n"/>
    </row>
    <row r="2164">
      <c r="A2164" s="134" t="inlineStr">
        <is>
          <t>14966XXX</t>
        </is>
      </c>
      <c r="B2164" s="246" t="inlineStr">
        <is>
          <t>TAVERNITI  REM M/C</t>
        </is>
      </c>
      <c r="C2164" s="88" t="n">
        <v>29800</v>
      </c>
      <c r="D2164" s="22" t="n"/>
      <c r="E2164" s="22" t="n"/>
      <c r="F2164" s="22" t="n"/>
      <c r="G2164" s="22" t="n"/>
      <c r="H2164" s="22" t="n"/>
      <c r="I2164" s="22" t="n"/>
      <c r="J2164" s="22" t="n"/>
      <c r="K2164" s="22" t="n"/>
      <c r="L2164" s="22" t="n"/>
      <c r="M2164" s="219" t="n"/>
      <c r="O2164" s="117">
        <f>C2164*P2164</f>
        <v/>
      </c>
      <c r="P2164" s="150" t="n">
        <v>1.1</v>
      </c>
      <c r="R2164" s="117" t="n"/>
      <c r="T2164" s="117" t="n"/>
    </row>
    <row r="2165">
      <c r="A2165" s="134" t="inlineStr">
        <is>
          <t>14968</t>
        </is>
      </c>
      <c r="B2165" s="246" t="inlineStr">
        <is>
          <t>TAVERNITI  REM M/C</t>
        </is>
      </c>
      <c r="C2165" s="88" t="n">
        <v>40400</v>
      </c>
      <c r="D2165" s="22" t="n"/>
      <c r="E2165" s="22" t="n"/>
      <c r="F2165" s="22" t="n"/>
      <c r="G2165" s="22" t="n"/>
      <c r="H2165" s="22" t="n"/>
      <c r="I2165" s="22" t="n"/>
      <c r="J2165" s="22" t="n"/>
      <c r="K2165" s="22" t="n"/>
      <c r="L2165" s="22" t="n"/>
      <c r="M2165" s="219" t="n"/>
      <c r="O2165" s="117">
        <f>C2165*P2165</f>
        <v/>
      </c>
      <c r="P2165" s="150" t="n">
        <v>1.1</v>
      </c>
      <c r="R2165" s="117" t="n"/>
      <c r="T2165" s="117" t="n"/>
    </row>
    <row r="2166">
      <c r="A2166" s="134" t="inlineStr">
        <is>
          <t>14970</t>
        </is>
      </c>
      <c r="B2166" s="246" t="inlineStr">
        <is>
          <t>TAVERNITI  REM M/C</t>
        </is>
      </c>
      <c r="C2166" s="88" t="n">
        <v>41100</v>
      </c>
      <c r="D2166" s="22" t="n"/>
      <c r="E2166" s="22" t="n"/>
      <c r="F2166" s="22" t="n"/>
      <c r="G2166" s="22" t="n"/>
      <c r="H2166" s="22" t="n"/>
      <c r="I2166" s="22" t="n"/>
      <c r="J2166" s="22" t="n"/>
      <c r="K2166" s="22" t="n"/>
      <c r="L2166" s="22" t="n"/>
      <c r="M2166" s="219" t="n"/>
      <c r="O2166" s="117">
        <f>C2166*P2166</f>
        <v/>
      </c>
      <c r="P2166" s="150" t="n">
        <v>1.1</v>
      </c>
      <c r="R2166" s="117" t="n"/>
      <c r="T2166" s="117" t="n"/>
    </row>
    <row r="2167">
      <c r="A2167" s="134" t="inlineStr">
        <is>
          <t>14972</t>
        </is>
      </c>
      <c r="B2167" s="246" t="inlineStr">
        <is>
          <t>TAVERNITI  REM M/C</t>
        </is>
      </c>
      <c r="C2167" s="88" t="n">
        <v>41100</v>
      </c>
      <c r="D2167" s="22" t="n"/>
      <c r="E2167" s="22" t="n"/>
      <c r="F2167" s="22" t="n"/>
      <c r="G2167" s="22" t="n"/>
      <c r="H2167" s="22" t="n"/>
      <c r="I2167" s="22" t="n"/>
      <c r="J2167" s="22" t="n"/>
      <c r="K2167" s="22" t="n"/>
      <c r="L2167" s="22" t="n"/>
      <c r="M2167" s="219" t="n"/>
      <c r="O2167" s="117">
        <f>C2167*P2167</f>
        <v/>
      </c>
      <c r="P2167" s="150" t="n">
        <v>1.1</v>
      </c>
      <c r="R2167" s="117" t="n"/>
      <c r="T2167" s="117" t="n"/>
    </row>
    <row r="2168">
      <c r="A2168" s="134" t="inlineStr">
        <is>
          <t>14974</t>
        </is>
      </c>
      <c r="B2168" s="246" t="inlineStr">
        <is>
          <t>TAVERNITI  REM M/C</t>
        </is>
      </c>
      <c r="C2168" s="88" t="n">
        <v>41100</v>
      </c>
      <c r="D2168" s="22" t="n"/>
      <c r="E2168" s="22" t="n"/>
      <c r="F2168" s="22" t="n"/>
      <c r="G2168" s="22" t="n"/>
      <c r="H2168" s="22" t="n"/>
      <c r="I2168" s="22" t="n"/>
      <c r="J2168" s="22" t="n"/>
      <c r="K2168" s="22" t="n"/>
      <c r="L2168" s="22" t="n"/>
      <c r="M2168" s="219" t="n"/>
      <c r="O2168" s="117">
        <f>C2168*P2168</f>
        <v/>
      </c>
      <c r="P2168" s="150" t="n">
        <v>1.1</v>
      </c>
      <c r="R2168" s="117" t="n"/>
      <c r="T2168" s="117" t="n"/>
    </row>
    <row r="2169">
      <c r="A2169" s="134" t="inlineStr">
        <is>
          <t>14976</t>
        </is>
      </c>
      <c r="B2169" s="246" t="inlineStr">
        <is>
          <t>TAVERNITI  REM M/C</t>
        </is>
      </c>
      <c r="C2169" s="88" t="n">
        <v>45800</v>
      </c>
      <c r="D2169" s="22" t="n"/>
      <c r="E2169" s="22" t="n"/>
      <c r="F2169" s="22" t="n"/>
      <c r="G2169" s="22" t="n"/>
      <c r="H2169" s="22" t="n"/>
      <c r="I2169" s="22" t="n"/>
      <c r="J2169" s="22" t="n"/>
      <c r="K2169" s="22" t="n"/>
      <c r="L2169" s="22" t="n"/>
      <c r="M2169" s="219" t="n"/>
      <c r="O2169" s="117">
        <f>C2169*P2169</f>
        <v/>
      </c>
      <c r="P2169" s="150" t="n">
        <v>1.1</v>
      </c>
      <c r="R2169" s="117" t="n"/>
      <c r="T2169" s="117" t="n"/>
    </row>
    <row r="2170">
      <c r="A2170" s="134" t="inlineStr">
        <is>
          <t>14978</t>
        </is>
      </c>
      <c r="B2170" s="246" t="inlineStr">
        <is>
          <t>TAVERNITI  REM M/C</t>
        </is>
      </c>
      <c r="C2170" s="88" t="n">
        <v>41100</v>
      </c>
      <c r="D2170" s="22" t="n"/>
      <c r="E2170" s="22" t="n"/>
      <c r="F2170" s="22" t="n"/>
      <c r="G2170" s="22" t="n"/>
      <c r="H2170" s="22" t="n"/>
      <c r="I2170" s="22" t="n"/>
      <c r="J2170" s="22" t="n"/>
      <c r="K2170" s="22" t="n"/>
      <c r="L2170" s="22" t="n"/>
      <c r="M2170" s="219" t="n"/>
      <c r="O2170" s="117">
        <f>C2170*P2170</f>
        <v/>
      </c>
      <c r="P2170" s="150" t="n">
        <v>1.1</v>
      </c>
      <c r="R2170" s="117" t="n"/>
      <c r="T2170" s="117" t="n"/>
    </row>
    <row r="2171">
      <c r="A2171" s="134" t="inlineStr">
        <is>
          <t>14986</t>
        </is>
      </c>
      <c r="B2171" s="246" t="inlineStr">
        <is>
          <t>TAVERNITI  REM M/C</t>
        </is>
      </c>
      <c r="C2171" s="88" t="n">
        <v>38600</v>
      </c>
      <c r="D2171" s="22" t="n"/>
      <c r="E2171" s="22" t="n"/>
      <c r="F2171" s="22" t="n"/>
      <c r="G2171" s="22" t="n"/>
      <c r="H2171" s="22" t="n"/>
      <c r="I2171" s="22" t="n"/>
      <c r="J2171" s="22" t="n"/>
      <c r="K2171" s="22" t="n"/>
      <c r="L2171" s="22" t="n"/>
      <c r="M2171" s="219" t="n"/>
      <c r="O2171" s="117">
        <f>C2171*P2171</f>
        <v/>
      </c>
      <c r="P2171" s="150" t="n">
        <v>1.1</v>
      </c>
      <c r="R2171" s="117" t="n"/>
      <c r="T2171" s="117" t="n"/>
    </row>
    <row r="2172">
      <c r="A2172" s="134" t="inlineStr">
        <is>
          <t>14994</t>
        </is>
      </c>
      <c r="B2172" s="246" t="inlineStr">
        <is>
          <t>TAVERNITI  REM M/C</t>
        </is>
      </c>
      <c r="C2172" s="88" t="n">
        <v>40100</v>
      </c>
      <c r="D2172" s="22" t="n"/>
      <c r="E2172" s="22" t="n"/>
      <c r="F2172" s="22" t="n"/>
      <c r="G2172" s="22" t="n"/>
      <c r="H2172" s="22" t="n"/>
      <c r="I2172" s="22" t="n"/>
      <c r="J2172" s="22" t="n"/>
      <c r="K2172" s="22" t="n"/>
      <c r="L2172" s="22" t="n"/>
      <c r="M2172" s="219" t="n"/>
      <c r="O2172" s="117">
        <f>C2172*P2172</f>
        <v/>
      </c>
      <c r="P2172" s="150" t="n">
        <v>1.1</v>
      </c>
      <c r="R2172" s="117" t="n"/>
      <c r="T2172" s="117" t="n"/>
    </row>
    <row r="2173" ht="16.5" customHeight="1" s="253">
      <c r="A2173" s="89" t="inlineStr">
        <is>
          <t>15002XXX</t>
        </is>
      </c>
      <c r="B2173" s="135" t="inlineStr">
        <is>
          <t>TAVERNITI  REM M/C</t>
        </is>
      </c>
      <c r="C2173" s="88" t="n">
        <v>40100</v>
      </c>
      <c r="D2173" s="170" t="n"/>
      <c r="E2173" s="170" t="n"/>
      <c r="F2173" s="170" t="n"/>
      <c r="G2173" s="170" t="n"/>
      <c r="H2173" s="170" t="n"/>
      <c r="I2173" s="170" t="n"/>
      <c r="J2173" s="170" t="n"/>
      <c r="K2173" s="30" t="n"/>
      <c r="L2173" s="170" t="n"/>
      <c r="M2173" s="170" t="n"/>
      <c r="O2173" s="117">
        <f>C2173*P2173</f>
        <v/>
      </c>
      <c r="P2173" s="150" t="n">
        <v>1.1</v>
      </c>
      <c r="Q2173" s="30" t="n"/>
      <c r="R2173" s="170" t="n"/>
      <c r="S2173" s="30" t="n"/>
      <c r="T2173" s="170" t="n"/>
      <c r="U2173" s="30" t="n"/>
      <c r="V2173" s="30" t="n"/>
      <c r="W2173" s="30" t="n"/>
      <c r="X2173" s="30" t="n"/>
      <c r="Y2173" s="30" t="n"/>
      <c r="Z2173" s="30" t="n"/>
      <c r="AA2173" s="30" t="n"/>
      <c r="AB2173" s="30" t="n"/>
      <c r="AC2173" s="30" t="n"/>
      <c r="AD2173" s="30" t="n"/>
      <c r="AE2173" s="30" t="n"/>
      <c r="AF2173" s="30" t="n"/>
      <c r="AG2173" s="30" t="n"/>
      <c r="AH2173" s="30" t="n"/>
      <c r="AI2173" s="30" t="n"/>
      <c r="AJ2173" s="30" t="n"/>
      <c r="AK2173" s="30" t="n"/>
      <c r="AL2173" s="30" t="n"/>
      <c r="AM2173" s="30" t="n"/>
      <c r="AN2173" s="30" t="n"/>
    </row>
    <row r="2174" ht="16.5" customHeight="1" s="253">
      <c r="A2174" s="89" t="inlineStr">
        <is>
          <t>15004XXX</t>
        </is>
      </c>
      <c r="B2174" s="135" t="inlineStr">
        <is>
          <t>TAVERNITI  REM M/C</t>
        </is>
      </c>
      <c r="C2174" s="88" t="n">
        <v>40100</v>
      </c>
      <c r="D2174" s="170" t="n"/>
      <c r="E2174" s="170" t="n"/>
      <c r="F2174" s="170" t="n"/>
      <c r="G2174" s="170" t="n"/>
      <c r="H2174" s="170" t="n"/>
      <c r="I2174" s="170" t="n"/>
      <c r="J2174" s="170" t="n"/>
      <c r="K2174" s="30" t="n"/>
      <c r="L2174" s="170" t="n"/>
      <c r="M2174" s="170" t="n"/>
      <c r="O2174" s="117">
        <f>C2174*P2174</f>
        <v/>
      </c>
      <c r="P2174" s="150" t="n">
        <v>1.1</v>
      </c>
      <c r="Q2174" s="30" t="n"/>
      <c r="R2174" s="170" t="n"/>
      <c r="S2174" s="30" t="n"/>
      <c r="T2174" s="170" t="n"/>
      <c r="U2174" s="30" t="n"/>
      <c r="V2174" s="30" t="n"/>
      <c r="W2174" s="30" t="n"/>
      <c r="X2174" s="30" t="n"/>
      <c r="Y2174" s="30" t="n"/>
      <c r="Z2174" s="30" t="n"/>
      <c r="AA2174" s="30" t="n"/>
      <c r="AB2174" s="30" t="n"/>
      <c r="AC2174" s="30" t="n"/>
      <c r="AD2174" s="30" t="n"/>
      <c r="AE2174" s="30" t="n"/>
      <c r="AF2174" s="30" t="n"/>
      <c r="AG2174" s="30" t="n"/>
      <c r="AH2174" s="30" t="n"/>
      <c r="AI2174" s="30" t="n"/>
      <c r="AJ2174" s="30" t="n"/>
      <c r="AK2174" s="30" t="n"/>
      <c r="AL2174" s="30" t="n"/>
      <c r="AM2174" s="30" t="n"/>
      <c r="AN2174" s="30" t="n"/>
    </row>
    <row r="2175" ht="16.5" customHeight="1" s="253">
      <c r="A2175" s="89" t="inlineStr">
        <is>
          <t>15014XXX</t>
        </is>
      </c>
      <c r="B2175" s="135" t="inlineStr">
        <is>
          <t>TAVERNITI  REM M/C</t>
        </is>
      </c>
      <c r="C2175" s="88" t="n">
        <v>40200</v>
      </c>
      <c r="D2175" s="170" t="n"/>
      <c r="E2175" s="170" t="n"/>
      <c r="F2175" s="170" t="n"/>
      <c r="G2175" s="170" t="n"/>
      <c r="H2175" s="170" t="n"/>
      <c r="I2175" s="170" t="n"/>
      <c r="J2175" s="170" t="n"/>
      <c r="K2175" s="30" t="n"/>
      <c r="L2175" s="170" t="n"/>
      <c r="M2175" s="170" t="n"/>
      <c r="O2175" s="117">
        <f>C2175*P2175</f>
        <v/>
      </c>
      <c r="P2175" s="150" t="n">
        <v>1.1</v>
      </c>
      <c r="Q2175" s="30" t="n"/>
      <c r="R2175" s="170" t="n"/>
      <c r="S2175" s="30" t="n"/>
      <c r="T2175" s="170" t="n"/>
      <c r="U2175" s="30" t="n"/>
      <c r="V2175" s="30" t="n"/>
      <c r="W2175" s="30" t="n"/>
      <c r="X2175" s="30" t="n"/>
      <c r="Y2175" s="30" t="n"/>
      <c r="Z2175" s="30" t="n"/>
      <c r="AA2175" s="30" t="n"/>
      <c r="AB2175" s="30" t="n"/>
      <c r="AC2175" s="30" t="n"/>
      <c r="AD2175" s="30" t="n"/>
      <c r="AE2175" s="30" t="n"/>
      <c r="AF2175" s="30" t="n"/>
      <c r="AG2175" s="30" t="n"/>
      <c r="AH2175" s="30" t="n"/>
      <c r="AI2175" s="30" t="n"/>
      <c r="AJ2175" s="30" t="n"/>
      <c r="AK2175" s="30" t="n"/>
      <c r="AL2175" s="30" t="n"/>
      <c r="AM2175" s="30" t="n"/>
      <c r="AN2175" s="30" t="n"/>
    </row>
    <row r="2176" ht="16.5" customHeight="1" s="253">
      <c r="A2176" s="89" t="inlineStr">
        <is>
          <t>15020XXX</t>
        </is>
      </c>
      <c r="B2176" s="135" t="inlineStr">
        <is>
          <t>TAVERNITI  REM M/C</t>
        </is>
      </c>
      <c r="C2176" s="88" t="n">
        <v>41100</v>
      </c>
      <c r="D2176" s="170" t="n"/>
      <c r="E2176" s="170" t="n"/>
      <c r="F2176" s="170" t="n"/>
      <c r="G2176" s="170" t="n"/>
      <c r="H2176" s="170" t="n"/>
      <c r="I2176" s="170" t="n"/>
      <c r="J2176" s="170" t="n"/>
      <c r="K2176" s="30" t="n"/>
      <c r="L2176" s="170" t="n"/>
      <c r="M2176" s="170" t="n"/>
      <c r="O2176" s="117">
        <f>C2176*P2176</f>
        <v/>
      </c>
      <c r="P2176" s="150" t="n">
        <v>1.1</v>
      </c>
      <c r="Q2176" s="30" t="n"/>
      <c r="R2176" s="170" t="n"/>
      <c r="S2176" s="30" t="n"/>
      <c r="T2176" s="170" t="n"/>
      <c r="U2176" s="30" t="n"/>
      <c r="V2176" s="30" t="n"/>
      <c r="W2176" s="30" t="n"/>
      <c r="X2176" s="30" t="n"/>
      <c r="Y2176" s="30" t="n"/>
      <c r="Z2176" s="30" t="n"/>
      <c r="AA2176" s="30" t="n"/>
      <c r="AB2176" s="30" t="n"/>
      <c r="AC2176" s="30" t="n"/>
      <c r="AD2176" s="30" t="n"/>
      <c r="AE2176" s="30" t="n"/>
      <c r="AF2176" s="30" t="n"/>
      <c r="AG2176" s="30" t="n"/>
      <c r="AH2176" s="30" t="n"/>
      <c r="AI2176" s="30" t="n"/>
      <c r="AJ2176" s="30" t="n"/>
      <c r="AK2176" s="30" t="n"/>
      <c r="AL2176" s="30" t="n"/>
      <c r="AM2176" s="30" t="n"/>
      <c r="AN2176" s="30" t="n"/>
    </row>
    <row r="2177" ht="16.5" customHeight="1" s="253">
      <c r="A2177" s="89" t="inlineStr">
        <is>
          <t>15034XXX</t>
        </is>
      </c>
      <c r="B2177" s="135" t="inlineStr">
        <is>
          <t>TAVERNITI  REM M/C</t>
        </is>
      </c>
      <c r="C2177" s="88" t="n">
        <v>41100</v>
      </c>
      <c r="D2177" s="170" t="n"/>
      <c r="E2177" s="170" t="n"/>
      <c r="F2177" s="170" t="n"/>
      <c r="G2177" s="170" t="n"/>
      <c r="H2177" s="170" t="n"/>
      <c r="I2177" s="170" t="n"/>
      <c r="J2177" s="170" t="n"/>
      <c r="K2177" s="30" t="n"/>
      <c r="L2177" s="170" t="n"/>
      <c r="M2177" s="170" t="n"/>
      <c r="O2177" s="117">
        <f>C2177*P2177</f>
        <v/>
      </c>
      <c r="P2177" s="150" t="n">
        <v>1.1</v>
      </c>
      <c r="Q2177" s="30" t="n"/>
      <c r="R2177" s="170" t="n"/>
      <c r="S2177" s="30" t="n"/>
      <c r="T2177" s="170" t="n"/>
      <c r="U2177" s="30" t="n"/>
      <c r="V2177" s="30" t="n"/>
      <c r="W2177" s="30" t="n"/>
      <c r="X2177" s="30" t="n"/>
      <c r="Y2177" s="30" t="n"/>
      <c r="Z2177" s="30" t="n"/>
      <c r="AA2177" s="30" t="n"/>
      <c r="AB2177" s="30" t="n"/>
      <c r="AC2177" s="30" t="n"/>
      <c r="AD2177" s="30" t="n"/>
      <c r="AE2177" s="30" t="n"/>
      <c r="AF2177" s="30" t="n"/>
      <c r="AG2177" s="30" t="n"/>
      <c r="AH2177" s="30" t="n"/>
      <c r="AI2177" s="30" t="n"/>
      <c r="AJ2177" s="30" t="n"/>
      <c r="AK2177" s="30" t="n"/>
      <c r="AL2177" s="30" t="n"/>
      <c r="AM2177" s="30" t="n"/>
      <c r="AN2177" s="30" t="n"/>
    </row>
    <row r="2178" ht="16.5" customHeight="1" s="253">
      <c r="A2178" s="89" t="inlineStr">
        <is>
          <t>15042XXX</t>
        </is>
      </c>
      <c r="B2178" s="135" t="inlineStr">
        <is>
          <t>TAVERNITI  REM M/C</t>
        </is>
      </c>
      <c r="C2178" s="88" t="n">
        <v>43100</v>
      </c>
      <c r="D2178" s="170" t="n"/>
      <c r="E2178" s="170" t="n"/>
      <c r="F2178" s="170" t="n"/>
      <c r="G2178" s="170" t="n"/>
      <c r="H2178" s="170" t="n"/>
      <c r="I2178" s="170" t="n"/>
      <c r="J2178" s="170" t="n"/>
      <c r="K2178" s="30" t="n"/>
      <c r="L2178" s="170" t="n"/>
      <c r="M2178" s="170" t="n"/>
      <c r="O2178" s="117">
        <f>C2178*P2178</f>
        <v/>
      </c>
      <c r="P2178" s="150" t="n">
        <v>1.1</v>
      </c>
      <c r="Q2178" s="30" t="n"/>
      <c r="R2178" s="170" t="n"/>
      <c r="S2178" s="30" t="n"/>
      <c r="T2178" s="170" t="n"/>
      <c r="U2178" s="30" t="n"/>
      <c r="V2178" s="30" t="n"/>
      <c r="W2178" s="30" t="n"/>
      <c r="X2178" s="30" t="n"/>
      <c r="Y2178" s="30" t="n"/>
      <c r="Z2178" s="30" t="n"/>
      <c r="AA2178" s="30" t="n"/>
      <c r="AB2178" s="30" t="n"/>
      <c r="AC2178" s="30" t="n"/>
      <c r="AD2178" s="30" t="n"/>
      <c r="AE2178" s="30" t="n"/>
      <c r="AF2178" s="30" t="n"/>
      <c r="AG2178" s="30" t="n"/>
      <c r="AH2178" s="30" t="n"/>
      <c r="AI2178" s="30" t="n"/>
      <c r="AJ2178" s="30" t="n"/>
      <c r="AK2178" s="30" t="n"/>
      <c r="AL2178" s="30" t="n"/>
      <c r="AM2178" s="30" t="n"/>
      <c r="AN2178" s="30" t="n"/>
    </row>
    <row r="2179" ht="16.5" customHeight="1" s="253">
      <c r="A2179" s="89" t="inlineStr">
        <is>
          <t>15060XXX</t>
        </is>
      </c>
      <c r="B2179" s="135" t="inlineStr">
        <is>
          <t>TAVERNITI  REM M/C</t>
        </is>
      </c>
      <c r="C2179" s="88" t="n">
        <v>37700</v>
      </c>
      <c r="D2179" s="111" t="n"/>
      <c r="E2179" s="170" t="n"/>
      <c r="F2179" s="170" t="n"/>
      <c r="G2179" s="170" t="n"/>
      <c r="H2179" s="170" t="n"/>
      <c r="I2179" s="170" t="n"/>
      <c r="J2179" s="170" t="n"/>
      <c r="K2179" s="30" t="n"/>
      <c r="L2179" s="170" t="n"/>
      <c r="M2179" s="170" t="n"/>
      <c r="O2179" s="117">
        <f>C2179*P2179</f>
        <v/>
      </c>
      <c r="P2179" s="150" t="n">
        <v>1.1</v>
      </c>
      <c r="Q2179" s="30" t="n"/>
      <c r="R2179" s="170" t="n"/>
      <c r="S2179" s="30" t="n"/>
      <c r="T2179" s="170" t="n"/>
      <c r="U2179" s="30" t="n"/>
      <c r="V2179" s="30" t="n"/>
      <c r="W2179" s="30" t="n"/>
      <c r="X2179" s="30" t="n"/>
      <c r="Y2179" s="30" t="n"/>
      <c r="Z2179" s="30" t="n"/>
      <c r="AA2179" s="30" t="n"/>
      <c r="AB2179" s="30" t="n"/>
      <c r="AC2179" s="30" t="n"/>
      <c r="AD2179" s="30" t="n"/>
      <c r="AE2179" s="30" t="n"/>
      <c r="AF2179" s="30" t="n"/>
      <c r="AG2179" s="30" t="n"/>
      <c r="AH2179" s="30" t="n"/>
      <c r="AI2179" s="30" t="n"/>
      <c r="AJ2179" s="30" t="n"/>
      <c r="AK2179" s="30" t="n"/>
      <c r="AL2179" s="30" t="n"/>
      <c r="AM2179" s="30" t="n"/>
      <c r="AN2179" s="30" t="n"/>
    </row>
    <row r="2180" ht="16.5" customHeight="1" s="253">
      <c r="A2180" s="89" t="inlineStr">
        <is>
          <t>15080XXX</t>
        </is>
      </c>
      <c r="B2180" s="135" t="inlineStr">
        <is>
          <t>TAVERNITI  REM M/C</t>
        </is>
      </c>
      <c r="C2180" s="88" t="n">
        <v>59900</v>
      </c>
      <c r="D2180" s="170" t="n"/>
      <c r="E2180" s="170" t="n"/>
      <c r="F2180" s="170" t="n"/>
      <c r="G2180" s="170" t="n"/>
      <c r="H2180" s="170" t="n"/>
      <c r="I2180" s="170" t="n"/>
      <c r="J2180" s="170" t="n"/>
      <c r="K2180" s="30" t="n"/>
      <c r="L2180" s="170" t="n"/>
      <c r="M2180" s="170" t="n"/>
      <c r="O2180" s="117">
        <f>C2180*P2180</f>
        <v/>
      </c>
      <c r="P2180" s="150" t="n">
        <v>1.1</v>
      </c>
      <c r="Q2180" s="30" t="n"/>
      <c r="R2180" s="170" t="n"/>
      <c r="S2180" s="30" t="n"/>
      <c r="T2180" s="170" t="n"/>
      <c r="U2180" s="30" t="n"/>
      <c r="V2180" s="30" t="n"/>
      <c r="W2180" s="30" t="n"/>
      <c r="X2180" s="30" t="n"/>
      <c r="Y2180" s="30" t="n"/>
      <c r="Z2180" s="30" t="n"/>
      <c r="AA2180" s="30" t="n"/>
      <c r="AB2180" s="30" t="n"/>
      <c r="AC2180" s="30" t="n"/>
      <c r="AD2180" s="30" t="n"/>
      <c r="AE2180" s="30" t="n"/>
      <c r="AF2180" s="30" t="n"/>
      <c r="AG2180" s="30" t="n"/>
      <c r="AH2180" s="30" t="n"/>
      <c r="AI2180" s="30" t="n"/>
      <c r="AJ2180" s="30" t="n"/>
      <c r="AK2180" s="30" t="n"/>
      <c r="AL2180" s="30" t="n"/>
      <c r="AM2180" s="30" t="n"/>
      <c r="AN2180" s="30" t="n"/>
    </row>
    <row r="2181" ht="16.5" customHeight="1" s="253">
      <c r="A2181" s="89" t="inlineStr">
        <is>
          <t>15082XXX</t>
        </is>
      </c>
      <c r="B2181" s="135" t="inlineStr">
        <is>
          <t>TAVERNITI  REM M/C</t>
        </is>
      </c>
      <c r="C2181" s="88" t="n">
        <v>53000</v>
      </c>
      <c r="D2181" s="170" t="n"/>
      <c r="E2181" s="170" t="n"/>
      <c r="F2181" s="170" t="n"/>
      <c r="G2181" s="170" t="n"/>
      <c r="H2181" s="170" t="n"/>
      <c r="I2181" s="170" t="n"/>
      <c r="J2181" s="170" t="n"/>
      <c r="K2181" s="30" t="n"/>
      <c r="L2181" s="170" t="n"/>
      <c r="M2181" s="170" t="n"/>
      <c r="O2181" s="117">
        <f>C2181*P2181</f>
        <v/>
      </c>
      <c r="P2181" s="150" t="n">
        <v>1.1</v>
      </c>
      <c r="Q2181" s="30" t="n"/>
      <c r="R2181" s="170" t="n"/>
      <c r="S2181" s="30" t="n"/>
      <c r="T2181" s="170" t="n"/>
      <c r="U2181" s="30" t="n"/>
      <c r="V2181" s="30" t="n"/>
      <c r="W2181" s="30" t="n"/>
      <c r="X2181" s="30" t="n"/>
      <c r="Y2181" s="30" t="n"/>
      <c r="Z2181" s="30" t="n"/>
      <c r="AA2181" s="30" t="n"/>
      <c r="AB2181" s="30" t="n"/>
      <c r="AC2181" s="30" t="n"/>
      <c r="AD2181" s="30" t="n"/>
      <c r="AE2181" s="30" t="n"/>
      <c r="AF2181" s="30" t="n"/>
      <c r="AG2181" s="30" t="n"/>
      <c r="AH2181" s="30" t="n"/>
      <c r="AI2181" s="30" t="n"/>
      <c r="AJ2181" s="30" t="n"/>
      <c r="AK2181" s="30" t="n"/>
      <c r="AL2181" s="30" t="n"/>
      <c r="AM2181" s="30" t="n"/>
      <c r="AN2181" s="30" t="n"/>
    </row>
    <row r="2182" ht="16.5" customHeight="1" s="253">
      <c r="A2182" s="89" t="inlineStr">
        <is>
          <t>15086XXX</t>
        </is>
      </c>
      <c r="B2182" s="135" t="inlineStr">
        <is>
          <t>TAVERNITI  REM M/C</t>
        </is>
      </c>
      <c r="C2182" s="88" t="n">
        <v>46200</v>
      </c>
      <c r="D2182" s="170" t="n"/>
      <c r="E2182" s="170" t="n"/>
      <c r="F2182" s="170" t="n"/>
      <c r="G2182" s="170" t="n"/>
      <c r="H2182" s="170" t="n"/>
      <c r="I2182" s="170" t="n"/>
      <c r="J2182" s="170" t="n"/>
      <c r="K2182" s="30" t="n"/>
      <c r="L2182" s="170" t="n"/>
      <c r="M2182" s="170" t="n"/>
      <c r="O2182" s="117">
        <f>C2182*P2182</f>
        <v/>
      </c>
      <c r="P2182" s="150" t="n">
        <v>1.1</v>
      </c>
      <c r="Q2182" s="30" t="n"/>
      <c r="R2182" s="170" t="n"/>
      <c r="S2182" s="30" t="n"/>
      <c r="T2182" s="170" t="n"/>
      <c r="U2182" s="30" t="n"/>
      <c r="V2182" s="30" t="n"/>
      <c r="W2182" s="30" t="n"/>
      <c r="X2182" s="30" t="n"/>
      <c r="Y2182" s="30" t="n"/>
      <c r="Z2182" s="30" t="n"/>
      <c r="AA2182" s="30" t="n"/>
      <c r="AB2182" s="30" t="n"/>
      <c r="AC2182" s="30" t="n"/>
      <c r="AD2182" s="30" t="n"/>
      <c r="AE2182" s="30" t="n"/>
      <c r="AF2182" s="30" t="n"/>
      <c r="AG2182" s="30" t="n"/>
      <c r="AH2182" s="30" t="n"/>
      <c r="AI2182" s="30" t="n"/>
      <c r="AJ2182" s="30" t="n"/>
      <c r="AK2182" s="30" t="n"/>
      <c r="AL2182" s="30" t="n"/>
      <c r="AM2182" s="30" t="n"/>
      <c r="AN2182" s="30" t="n"/>
    </row>
    <row r="2183" ht="16.5" customHeight="1" s="253">
      <c r="A2183" s="89" t="inlineStr">
        <is>
          <t>15092XXX</t>
        </is>
      </c>
      <c r="B2183" s="135" t="inlineStr">
        <is>
          <t>TAVERNITI  REM M/C</t>
        </is>
      </c>
      <c r="C2183" s="88" t="n">
        <v>43200</v>
      </c>
      <c r="D2183" s="111" t="n"/>
      <c r="E2183" s="170" t="n"/>
      <c r="F2183" s="170" t="n"/>
      <c r="G2183" s="170" t="n"/>
      <c r="H2183" s="170" t="n"/>
      <c r="I2183" s="170" t="n"/>
      <c r="J2183" s="170" t="n"/>
      <c r="K2183" s="30" t="n"/>
      <c r="L2183" s="170" t="n"/>
      <c r="M2183" s="170" t="n"/>
      <c r="O2183" s="117">
        <f>C2183*P2183</f>
        <v/>
      </c>
      <c r="P2183" s="150" t="n">
        <v>1.1</v>
      </c>
      <c r="Q2183" s="30" t="n"/>
      <c r="R2183" s="170" t="n"/>
      <c r="S2183" s="30" t="n"/>
      <c r="T2183" s="170" t="n"/>
      <c r="U2183" s="30" t="n"/>
      <c r="V2183" s="30" t="n"/>
      <c r="W2183" s="30" t="n"/>
      <c r="X2183" s="30" t="n"/>
      <c r="Y2183" s="30" t="n"/>
      <c r="Z2183" s="30" t="n"/>
      <c r="AA2183" s="30" t="n"/>
      <c r="AB2183" s="30" t="n"/>
      <c r="AC2183" s="30" t="n"/>
      <c r="AD2183" s="30" t="n"/>
      <c r="AE2183" s="30" t="n"/>
      <c r="AF2183" s="30" t="n"/>
      <c r="AG2183" s="30" t="n"/>
      <c r="AH2183" s="30" t="n"/>
      <c r="AI2183" s="30" t="n"/>
      <c r="AJ2183" s="30" t="n"/>
      <c r="AK2183" s="30" t="n"/>
      <c r="AL2183" s="30" t="n"/>
      <c r="AM2183" s="30" t="n"/>
      <c r="AN2183" s="30" t="n"/>
    </row>
    <row r="2184" ht="16.5" customHeight="1" s="253">
      <c r="A2184" s="89" t="inlineStr">
        <is>
          <t>15096XXX</t>
        </is>
      </c>
      <c r="B2184" s="135" t="inlineStr">
        <is>
          <t>TAVERNITI  REM M/C</t>
        </is>
      </c>
      <c r="C2184" s="88" t="n">
        <v>43200</v>
      </c>
      <c r="D2184" s="111" t="n"/>
      <c r="E2184" s="170" t="n"/>
      <c r="F2184" s="170" t="n"/>
      <c r="G2184" s="170" t="n"/>
      <c r="H2184" s="170" t="n"/>
      <c r="I2184" s="170" t="n"/>
      <c r="J2184" s="170" t="n"/>
      <c r="K2184" s="30" t="n"/>
      <c r="L2184" s="170" t="n"/>
      <c r="M2184" s="170" t="n"/>
      <c r="O2184" s="117">
        <f>C2184*P2184</f>
        <v/>
      </c>
      <c r="P2184" s="150" t="n">
        <v>1.1</v>
      </c>
      <c r="Q2184" s="30" t="n"/>
      <c r="R2184" s="170" t="n"/>
      <c r="S2184" s="30" t="n"/>
      <c r="T2184" s="170" t="n"/>
      <c r="U2184" s="30" t="n"/>
      <c r="V2184" s="30" t="n"/>
      <c r="W2184" s="30" t="n"/>
      <c r="X2184" s="30" t="n"/>
      <c r="Y2184" s="30" t="n"/>
      <c r="Z2184" s="30" t="n"/>
      <c r="AA2184" s="30" t="n"/>
      <c r="AB2184" s="30" t="n"/>
      <c r="AC2184" s="30" t="n"/>
      <c r="AD2184" s="30" t="n"/>
      <c r="AE2184" s="30" t="n"/>
      <c r="AF2184" s="30" t="n"/>
      <c r="AG2184" s="30" t="n"/>
      <c r="AH2184" s="30" t="n"/>
      <c r="AI2184" s="30" t="n"/>
      <c r="AJ2184" s="30" t="n"/>
      <c r="AK2184" s="30" t="n"/>
      <c r="AL2184" s="30" t="n"/>
      <c r="AM2184" s="30" t="n"/>
      <c r="AN2184" s="30" t="n"/>
    </row>
    <row r="2185" ht="16.5" customHeight="1" s="253">
      <c r="A2185" s="89" t="inlineStr">
        <is>
          <t>15106XXX</t>
        </is>
      </c>
      <c r="B2185" s="135" t="inlineStr">
        <is>
          <t>TAVERNITI  REM M/C</t>
        </is>
      </c>
      <c r="C2185" s="88" t="n">
        <v>43200</v>
      </c>
      <c r="D2185" s="111" t="n"/>
      <c r="E2185" s="170" t="n"/>
      <c r="F2185" s="170" t="n"/>
      <c r="G2185" s="170" t="n"/>
      <c r="H2185" s="170" t="n"/>
      <c r="I2185" s="170" t="n"/>
      <c r="J2185" s="170" t="n"/>
      <c r="K2185" s="30" t="n"/>
      <c r="L2185" s="170" t="n"/>
      <c r="M2185" s="170" t="n"/>
      <c r="O2185" s="117">
        <f>C2185*P2185</f>
        <v/>
      </c>
      <c r="P2185" s="150" t="n">
        <v>1.1</v>
      </c>
      <c r="Q2185" s="30" t="n"/>
      <c r="R2185" s="170" t="n"/>
      <c r="S2185" s="30" t="n"/>
      <c r="T2185" s="170" t="n"/>
      <c r="U2185" s="30" t="n"/>
      <c r="V2185" s="30" t="n"/>
      <c r="W2185" s="30" t="n"/>
      <c r="X2185" s="30" t="n"/>
      <c r="Y2185" s="30" t="n"/>
      <c r="Z2185" s="30" t="n"/>
      <c r="AA2185" s="30" t="n"/>
      <c r="AB2185" s="30" t="n"/>
      <c r="AC2185" s="30" t="n"/>
      <c r="AD2185" s="30" t="n"/>
      <c r="AE2185" s="30" t="n"/>
      <c r="AF2185" s="30" t="n"/>
      <c r="AG2185" s="30" t="n"/>
      <c r="AH2185" s="30" t="n"/>
      <c r="AI2185" s="30" t="n"/>
      <c r="AJ2185" s="30" t="n"/>
      <c r="AK2185" s="30" t="n"/>
      <c r="AL2185" s="30" t="n"/>
      <c r="AM2185" s="30" t="n"/>
      <c r="AN2185" s="30" t="n"/>
    </row>
    <row r="2186" ht="16.5" customHeight="1" s="253">
      <c r="A2186" s="89" t="inlineStr">
        <is>
          <t>15110XXX</t>
        </is>
      </c>
      <c r="B2186" s="135" t="inlineStr">
        <is>
          <t>TAVERNITI  REM M/C</t>
        </is>
      </c>
      <c r="C2186" s="88" t="n">
        <v>53100</v>
      </c>
      <c r="D2186" s="170" t="n"/>
      <c r="E2186" s="170" t="n"/>
      <c r="F2186" s="170" t="n"/>
      <c r="G2186" s="170" t="n"/>
      <c r="H2186" s="170" t="n"/>
      <c r="I2186" s="170" t="n"/>
      <c r="J2186" s="170" t="n"/>
      <c r="K2186" s="30" t="n"/>
      <c r="L2186" s="170" t="n"/>
      <c r="M2186" s="170" t="n"/>
      <c r="O2186" s="117">
        <f>C2186*P2186</f>
        <v/>
      </c>
      <c r="P2186" s="150" t="n">
        <v>1.1</v>
      </c>
      <c r="Q2186" s="30" t="n"/>
      <c r="R2186" s="170" t="n"/>
      <c r="S2186" s="30" t="n"/>
      <c r="T2186" s="170" t="n"/>
      <c r="U2186" s="30" t="n"/>
      <c r="V2186" s="30" t="n"/>
      <c r="W2186" s="30" t="n"/>
      <c r="X2186" s="30" t="n"/>
      <c r="Y2186" s="30" t="n"/>
      <c r="Z2186" s="30" t="n"/>
      <c r="AA2186" s="30" t="n"/>
      <c r="AB2186" s="30" t="n"/>
      <c r="AC2186" s="30" t="n"/>
      <c r="AD2186" s="30" t="n"/>
      <c r="AE2186" s="30" t="n"/>
      <c r="AF2186" s="30" t="n"/>
      <c r="AG2186" s="30" t="n"/>
      <c r="AH2186" s="30" t="n"/>
      <c r="AI2186" s="30" t="n"/>
      <c r="AJ2186" s="30" t="n"/>
      <c r="AK2186" s="30" t="n"/>
      <c r="AL2186" s="30" t="n"/>
      <c r="AM2186" s="30" t="n"/>
      <c r="AN2186" s="30" t="n"/>
    </row>
    <row r="2187" ht="16.5" customHeight="1" s="253">
      <c r="A2187" s="89" t="inlineStr">
        <is>
          <t>15140XXX</t>
        </is>
      </c>
      <c r="B2187" s="135" t="inlineStr">
        <is>
          <t>TAVERNITI  REM M/C</t>
        </is>
      </c>
      <c r="C2187" s="88" t="n">
        <v>43200</v>
      </c>
      <c r="D2187" s="170" t="n"/>
      <c r="E2187" s="170" t="n"/>
      <c r="F2187" s="170" t="n"/>
      <c r="G2187" s="170" t="n"/>
      <c r="H2187" s="170" t="n"/>
      <c r="I2187" s="170" t="n"/>
      <c r="J2187" s="170" t="n"/>
      <c r="K2187" s="30" t="n"/>
      <c r="L2187" s="170" t="n"/>
      <c r="M2187" s="170" t="n"/>
      <c r="O2187" s="117">
        <f>C2187*P2187</f>
        <v/>
      </c>
      <c r="P2187" s="150" t="n">
        <v>1.1</v>
      </c>
      <c r="Q2187" s="30" t="n"/>
      <c r="R2187" s="170" t="n"/>
      <c r="S2187" s="30" t="n"/>
      <c r="T2187" s="170" t="n"/>
      <c r="U2187" s="30" t="n"/>
      <c r="V2187" s="30" t="n"/>
      <c r="W2187" s="30" t="n"/>
      <c r="X2187" s="30" t="n"/>
      <c r="Y2187" s="30" t="n"/>
      <c r="Z2187" s="30" t="n"/>
      <c r="AA2187" s="30" t="n"/>
      <c r="AB2187" s="30" t="n"/>
      <c r="AC2187" s="30" t="n"/>
      <c r="AD2187" s="30" t="n"/>
      <c r="AE2187" s="30" t="n"/>
      <c r="AF2187" s="30" t="n"/>
      <c r="AG2187" s="30" t="n"/>
      <c r="AH2187" s="30" t="n"/>
      <c r="AI2187" s="30" t="n"/>
      <c r="AJ2187" s="30" t="n"/>
      <c r="AK2187" s="30" t="n"/>
      <c r="AL2187" s="30" t="n"/>
      <c r="AM2187" s="30" t="n"/>
      <c r="AN2187" s="30" t="n"/>
    </row>
    <row r="2188" ht="16.5" customHeight="1" s="253">
      <c r="A2188" s="89" t="inlineStr">
        <is>
          <t>15142XXX</t>
        </is>
      </c>
      <c r="B2188" s="135" t="inlineStr">
        <is>
          <t>TAVERNITI  REM M/C</t>
        </is>
      </c>
      <c r="C2188" s="88" t="n">
        <v>43200</v>
      </c>
      <c r="D2188" s="111" t="n"/>
      <c r="E2188" s="170" t="n"/>
      <c r="F2188" s="170" t="n"/>
      <c r="G2188" s="170" t="n"/>
      <c r="H2188" s="170" t="n"/>
      <c r="I2188" s="170" t="n"/>
      <c r="J2188" s="170" t="n"/>
      <c r="K2188" s="30" t="n"/>
      <c r="L2188" s="170" t="n"/>
      <c r="M2188" s="170" t="n"/>
      <c r="O2188" s="117">
        <f>C2188*P2188</f>
        <v/>
      </c>
      <c r="P2188" s="150" t="n">
        <v>1.1</v>
      </c>
      <c r="Q2188" s="30" t="n"/>
      <c r="R2188" s="170" t="n"/>
      <c r="S2188" s="30" t="n"/>
      <c r="T2188" s="170" t="n"/>
      <c r="U2188" s="30" t="n"/>
      <c r="V2188" s="30" t="n"/>
      <c r="W2188" s="30" t="n"/>
      <c r="X2188" s="30" t="n"/>
      <c r="Y2188" s="30" t="n"/>
      <c r="Z2188" s="30" t="n"/>
      <c r="AA2188" s="30" t="n"/>
      <c r="AB2188" s="30" t="n"/>
      <c r="AC2188" s="30" t="n"/>
      <c r="AD2188" s="30" t="n"/>
      <c r="AE2188" s="30" t="n"/>
      <c r="AF2188" s="30" t="n"/>
      <c r="AG2188" s="30" t="n"/>
      <c r="AH2188" s="30" t="n"/>
      <c r="AI2188" s="30" t="n"/>
      <c r="AJ2188" s="30" t="n"/>
      <c r="AK2188" s="30" t="n"/>
      <c r="AL2188" s="30" t="n"/>
      <c r="AM2188" s="30" t="n"/>
      <c r="AN2188" s="30" t="n"/>
    </row>
    <row r="2189" ht="16.5" customHeight="1" s="253">
      <c r="A2189" s="89" t="inlineStr">
        <is>
          <t>15144XXX</t>
        </is>
      </c>
      <c r="B2189" s="135" t="inlineStr">
        <is>
          <t>TAVERNITI  REM M/C</t>
        </is>
      </c>
      <c r="C2189" s="88" t="n">
        <v>43200</v>
      </c>
      <c r="D2189" s="111" t="n"/>
      <c r="E2189" s="170" t="n"/>
      <c r="F2189" s="170" t="n"/>
      <c r="G2189" s="170" t="n"/>
      <c r="H2189" s="170" t="n"/>
      <c r="I2189" s="170" t="n"/>
      <c r="J2189" s="170" t="n"/>
      <c r="K2189" s="30" t="n"/>
      <c r="L2189" s="170" t="n"/>
      <c r="M2189" s="170" t="n"/>
      <c r="O2189" s="117">
        <f>C2189*P2189</f>
        <v/>
      </c>
      <c r="P2189" s="150" t="n">
        <v>1.1</v>
      </c>
      <c r="Q2189" s="30" t="n"/>
      <c r="R2189" s="170" t="n"/>
      <c r="S2189" s="30" t="n"/>
      <c r="T2189" s="170" t="n"/>
      <c r="U2189" s="30" t="n"/>
      <c r="V2189" s="30" t="n"/>
      <c r="W2189" s="30" t="n"/>
      <c r="X2189" s="30" t="n"/>
      <c r="Y2189" s="30" t="n"/>
      <c r="Z2189" s="30" t="n"/>
      <c r="AA2189" s="30" t="n"/>
      <c r="AB2189" s="30" t="n"/>
      <c r="AC2189" s="30" t="n"/>
      <c r="AD2189" s="30" t="n"/>
      <c r="AE2189" s="30" t="n"/>
      <c r="AF2189" s="30" t="n"/>
      <c r="AG2189" s="30" t="n"/>
      <c r="AH2189" s="30" t="n"/>
      <c r="AI2189" s="30" t="n"/>
      <c r="AJ2189" s="30" t="n"/>
      <c r="AK2189" s="30" t="n"/>
      <c r="AL2189" s="30" t="n"/>
      <c r="AM2189" s="30" t="n"/>
      <c r="AN2189" s="30" t="n"/>
    </row>
    <row r="2190" ht="16.5" customHeight="1" s="253">
      <c r="A2190" s="89" t="inlineStr">
        <is>
          <t>15146XXX</t>
        </is>
      </c>
      <c r="B2190" s="135" t="inlineStr">
        <is>
          <t>TAVERNITI  REM M/C</t>
        </is>
      </c>
      <c r="C2190" s="88" t="n">
        <v>43200</v>
      </c>
      <c r="D2190" s="111" t="n"/>
      <c r="E2190" s="170" t="n"/>
      <c r="F2190" s="170" t="n"/>
      <c r="G2190" s="170" t="n"/>
      <c r="H2190" s="170" t="n"/>
      <c r="I2190" s="170" t="n"/>
      <c r="J2190" s="170" t="n"/>
      <c r="K2190" s="30" t="n"/>
      <c r="L2190" s="170" t="n"/>
      <c r="M2190" s="170" t="n"/>
      <c r="O2190" s="117">
        <f>C2190*P2190</f>
        <v/>
      </c>
      <c r="P2190" s="150" t="n">
        <v>1.1</v>
      </c>
      <c r="Q2190" s="30" t="n"/>
      <c r="R2190" s="170" t="n"/>
      <c r="S2190" s="30" t="n"/>
      <c r="T2190" s="170" t="n"/>
      <c r="U2190" s="30" t="n"/>
      <c r="V2190" s="30" t="n"/>
      <c r="W2190" s="30" t="n"/>
      <c r="X2190" s="30" t="n"/>
      <c r="Y2190" s="30" t="n"/>
      <c r="Z2190" s="30" t="n"/>
      <c r="AA2190" s="30" t="n"/>
      <c r="AB2190" s="30" t="n"/>
      <c r="AC2190" s="30" t="n"/>
      <c r="AD2190" s="30" t="n"/>
      <c r="AE2190" s="30" t="n"/>
      <c r="AF2190" s="30" t="n"/>
      <c r="AG2190" s="30" t="n"/>
      <c r="AH2190" s="30" t="n"/>
      <c r="AI2190" s="30" t="n"/>
      <c r="AJ2190" s="30" t="n"/>
      <c r="AK2190" s="30" t="n"/>
      <c r="AL2190" s="30" t="n"/>
      <c r="AM2190" s="30" t="n"/>
      <c r="AN2190" s="30" t="n"/>
    </row>
    <row r="2191" ht="16.5" customHeight="1" s="253">
      <c r="A2191" s="89" t="inlineStr">
        <is>
          <t>15148XXX</t>
        </is>
      </c>
      <c r="B2191" s="135" t="inlineStr">
        <is>
          <t>TAVERNITI  REM M/C</t>
        </is>
      </c>
      <c r="C2191" s="88" t="n">
        <v>43200</v>
      </c>
      <c r="D2191" s="111" t="n"/>
      <c r="E2191" s="170" t="n"/>
      <c r="F2191" s="170" t="n"/>
      <c r="G2191" s="170" t="n"/>
      <c r="H2191" s="170" t="n"/>
      <c r="I2191" s="170" t="n"/>
      <c r="J2191" s="170" t="n"/>
      <c r="K2191" s="30" t="n"/>
      <c r="L2191" s="170" t="n"/>
      <c r="M2191" s="170" t="n"/>
      <c r="O2191" s="117">
        <f>C2191*P2191</f>
        <v/>
      </c>
      <c r="P2191" s="150" t="n">
        <v>1.1</v>
      </c>
      <c r="Q2191" s="30" t="n"/>
      <c r="R2191" s="170" t="n"/>
      <c r="S2191" s="30" t="n"/>
      <c r="T2191" s="170" t="n"/>
      <c r="U2191" s="30" t="n"/>
      <c r="V2191" s="30" t="n"/>
      <c r="W2191" s="30" t="n"/>
      <c r="X2191" s="30" t="n"/>
      <c r="Y2191" s="30" t="n"/>
      <c r="Z2191" s="30" t="n"/>
      <c r="AA2191" s="30" t="n"/>
      <c r="AB2191" s="30" t="n"/>
      <c r="AC2191" s="30" t="n"/>
      <c r="AD2191" s="30" t="n"/>
      <c r="AE2191" s="30" t="n"/>
      <c r="AF2191" s="30" t="n"/>
      <c r="AG2191" s="30" t="n"/>
      <c r="AH2191" s="30" t="n"/>
      <c r="AI2191" s="30" t="n"/>
      <c r="AJ2191" s="30" t="n"/>
      <c r="AK2191" s="30" t="n"/>
      <c r="AL2191" s="30" t="n"/>
      <c r="AM2191" s="30" t="n"/>
      <c r="AN2191" s="30" t="n"/>
    </row>
    <row r="2192" ht="16.5" customHeight="1" s="253">
      <c r="A2192" s="89" t="inlineStr">
        <is>
          <t>15152XXX</t>
        </is>
      </c>
      <c r="B2192" s="135" t="inlineStr">
        <is>
          <t>TAVERNITI  REM M/C</t>
        </is>
      </c>
      <c r="C2192" s="88" t="n">
        <v>43200</v>
      </c>
      <c r="D2192" s="170" t="n"/>
      <c r="E2192" s="170" t="n"/>
      <c r="F2192" s="170" t="n"/>
      <c r="G2192" s="170" t="n"/>
      <c r="H2192" s="170" t="n"/>
      <c r="I2192" s="170" t="n"/>
      <c r="J2192" s="170" t="n"/>
      <c r="K2192" s="30" t="n"/>
      <c r="L2192" s="170" t="n"/>
      <c r="M2192" s="170" t="n"/>
      <c r="O2192" s="117">
        <f>C2192*P2192</f>
        <v/>
      </c>
      <c r="P2192" s="150" t="n">
        <v>1.1</v>
      </c>
      <c r="Q2192" s="30" t="n"/>
      <c r="R2192" s="170" t="n"/>
      <c r="S2192" s="30" t="n"/>
      <c r="T2192" s="170" t="n"/>
      <c r="U2192" s="30" t="n"/>
      <c r="V2192" s="30" t="n"/>
      <c r="W2192" s="30" t="n"/>
      <c r="X2192" s="30" t="n"/>
      <c r="Y2192" s="30" t="n"/>
      <c r="Z2192" s="30" t="n"/>
      <c r="AA2192" s="30" t="n"/>
      <c r="AB2192" s="30" t="n"/>
      <c r="AC2192" s="30" t="n"/>
      <c r="AD2192" s="30" t="n"/>
      <c r="AE2192" s="30" t="n"/>
      <c r="AF2192" s="30" t="n"/>
      <c r="AG2192" s="30" t="n"/>
      <c r="AH2192" s="30" t="n"/>
      <c r="AI2192" s="30" t="n"/>
      <c r="AJ2192" s="30" t="n"/>
      <c r="AK2192" s="30" t="n"/>
      <c r="AL2192" s="30" t="n"/>
      <c r="AM2192" s="30" t="n"/>
      <c r="AN2192" s="30" t="n"/>
    </row>
    <row r="2193" ht="16.5" customHeight="1" s="253">
      <c r="A2193" s="89" t="inlineStr">
        <is>
          <t>15160XXX</t>
        </is>
      </c>
      <c r="B2193" s="135" t="inlineStr">
        <is>
          <t>TAVERNITI  REM M/C</t>
        </is>
      </c>
      <c r="C2193" s="88" t="n">
        <v>43200</v>
      </c>
      <c r="D2193" s="170" t="n"/>
      <c r="E2193" s="170" t="n"/>
      <c r="F2193" s="170" t="n"/>
      <c r="G2193" s="170" t="n"/>
      <c r="H2193" s="170" t="n"/>
      <c r="I2193" s="170" t="n"/>
      <c r="J2193" s="170" t="n"/>
      <c r="K2193" s="30" t="n"/>
      <c r="L2193" s="170" t="n"/>
      <c r="M2193" s="170" t="n"/>
      <c r="O2193" s="117">
        <f>C2193*P2193</f>
        <v/>
      </c>
      <c r="P2193" s="150" t="n">
        <v>1.1</v>
      </c>
      <c r="Q2193" s="30" t="n"/>
      <c r="R2193" s="170" t="n"/>
      <c r="S2193" s="30" t="n"/>
      <c r="T2193" s="170" t="n"/>
      <c r="U2193" s="30" t="n"/>
      <c r="V2193" s="30" t="n"/>
      <c r="W2193" s="30" t="n"/>
      <c r="X2193" s="30" t="n"/>
      <c r="Y2193" s="30" t="n"/>
      <c r="Z2193" s="30" t="n"/>
      <c r="AA2193" s="30" t="n"/>
      <c r="AB2193" s="30" t="n"/>
      <c r="AC2193" s="30" t="n"/>
      <c r="AD2193" s="30" t="n"/>
      <c r="AE2193" s="30" t="n"/>
      <c r="AF2193" s="30" t="n"/>
      <c r="AG2193" s="30" t="n"/>
      <c r="AH2193" s="30" t="n"/>
      <c r="AI2193" s="30" t="n"/>
      <c r="AJ2193" s="30" t="n"/>
      <c r="AK2193" s="30" t="n"/>
      <c r="AL2193" s="30" t="n"/>
      <c r="AM2193" s="30" t="n"/>
      <c r="AN2193" s="30" t="n"/>
    </row>
    <row r="2194" ht="18" customHeight="1" s="253">
      <c r="A2194" s="89" t="inlineStr">
        <is>
          <t>15162XXX</t>
        </is>
      </c>
      <c r="B2194" s="135" t="inlineStr">
        <is>
          <t>TAVERNITI  REM M/C</t>
        </is>
      </c>
      <c r="C2194" s="88" t="n">
        <v>43200</v>
      </c>
      <c r="D2194" s="170" t="n"/>
      <c r="E2194" s="170" t="n"/>
      <c r="F2194" s="170" t="n"/>
      <c r="G2194" s="170" t="n"/>
      <c r="H2194" s="170" t="n"/>
      <c r="I2194" s="170" t="n"/>
      <c r="J2194" s="170" t="n"/>
      <c r="K2194" s="30" t="n"/>
      <c r="L2194" s="170" t="n"/>
      <c r="M2194" s="170" t="n"/>
      <c r="O2194" s="117">
        <f>C2194*P2194</f>
        <v/>
      </c>
      <c r="P2194" s="150" t="n">
        <v>1.1</v>
      </c>
      <c r="Q2194" s="30" t="n"/>
      <c r="R2194" s="170" t="n"/>
      <c r="S2194" s="30" t="n"/>
      <c r="T2194" s="170" t="n"/>
      <c r="U2194" s="30" t="n"/>
      <c r="V2194" s="30" t="n"/>
      <c r="W2194" s="30" t="n"/>
      <c r="X2194" s="30" t="n"/>
      <c r="Y2194" s="30" t="n"/>
      <c r="Z2194" s="30" t="n"/>
      <c r="AA2194" s="30" t="n"/>
      <c r="AB2194" s="30" t="n"/>
      <c r="AC2194" s="30" t="n"/>
      <c r="AD2194" s="30" t="n"/>
      <c r="AE2194" s="30" t="n"/>
      <c r="AF2194" s="30" t="n"/>
      <c r="AG2194" s="30" t="n"/>
      <c r="AH2194" s="30" t="n"/>
      <c r="AI2194" s="30" t="n"/>
      <c r="AJ2194" s="30" t="n"/>
      <c r="AK2194" s="30" t="n"/>
      <c r="AL2194" s="30" t="n"/>
      <c r="AM2194" s="30" t="n"/>
      <c r="AN2194" s="30" t="n"/>
    </row>
    <row r="2195" ht="18" customHeight="1" s="253">
      <c r="A2195" s="89" t="inlineStr">
        <is>
          <t>15172XXX</t>
        </is>
      </c>
      <c r="B2195" s="135" t="inlineStr">
        <is>
          <t>TAVERNITI  REM M/C</t>
        </is>
      </c>
      <c r="C2195" s="88" t="n">
        <v>41900</v>
      </c>
      <c r="D2195" s="111" t="n"/>
      <c r="E2195" s="170" t="n"/>
      <c r="F2195" s="170" t="n"/>
      <c r="G2195" s="170" t="n"/>
      <c r="H2195" s="170" t="n"/>
      <c r="I2195" s="170" t="n"/>
      <c r="J2195" s="170" t="n"/>
      <c r="K2195" s="30" t="n"/>
      <c r="L2195" s="170" t="n"/>
      <c r="M2195" s="170" t="n"/>
      <c r="O2195" s="117">
        <f>C2195*P2195</f>
        <v/>
      </c>
      <c r="P2195" s="150" t="n">
        <v>1.1</v>
      </c>
      <c r="Q2195" s="30" t="n"/>
      <c r="R2195" s="170" t="n"/>
      <c r="S2195" s="30" t="n"/>
      <c r="T2195" s="170" t="n"/>
      <c r="U2195" s="30" t="n"/>
      <c r="V2195" s="30" t="n"/>
      <c r="W2195" s="30" t="n"/>
      <c r="X2195" s="30" t="n"/>
      <c r="Y2195" s="30" t="n"/>
      <c r="Z2195" s="30" t="n"/>
      <c r="AA2195" s="30" t="n"/>
      <c r="AB2195" s="30" t="n"/>
      <c r="AC2195" s="30" t="n"/>
      <c r="AD2195" s="30" t="n"/>
      <c r="AE2195" s="30" t="n"/>
      <c r="AF2195" s="30" t="n"/>
      <c r="AG2195" s="30" t="n"/>
      <c r="AH2195" s="30" t="n"/>
      <c r="AI2195" s="30" t="n"/>
      <c r="AJ2195" s="30" t="n"/>
      <c r="AK2195" s="30" t="n"/>
      <c r="AL2195" s="30" t="n"/>
      <c r="AM2195" s="30" t="n"/>
      <c r="AN2195" s="30" t="n"/>
    </row>
    <row r="2196" ht="18" customHeight="1" s="253">
      <c r="A2196" s="89" t="inlineStr">
        <is>
          <t>15178XXX</t>
        </is>
      </c>
      <c r="B2196" s="135" t="inlineStr">
        <is>
          <t>TAVERNITI  REM M/C</t>
        </is>
      </c>
      <c r="C2196" s="88" t="n">
        <v>41900</v>
      </c>
      <c r="D2196" s="170" t="n"/>
      <c r="E2196" s="170" t="n"/>
      <c r="F2196" s="170" t="n"/>
      <c r="G2196" s="170" t="n"/>
      <c r="H2196" s="170" t="n"/>
      <c r="I2196" s="170" t="n"/>
      <c r="J2196" s="170" t="n"/>
      <c r="K2196" s="30" t="n"/>
      <c r="L2196" s="170" t="n"/>
      <c r="M2196" s="170" t="n"/>
      <c r="N2196" s="96" t="n"/>
      <c r="O2196" s="117">
        <f>C2196*P2196</f>
        <v/>
      </c>
      <c r="P2196" s="150" t="n">
        <v>1.1</v>
      </c>
      <c r="Q2196" s="30" t="n"/>
      <c r="R2196" s="170" t="n"/>
      <c r="S2196" s="30" t="n"/>
      <c r="T2196" s="170" t="n"/>
      <c r="U2196" s="30" t="n"/>
      <c r="V2196" s="30" t="n"/>
      <c r="W2196" s="30" t="n"/>
      <c r="X2196" s="30" t="n"/>
      <c r="Y2196" s="30" t="n"/>
      <c r="Z2196" s="30" t="n"/>
      <c r="AA2196" s="30" t="n"/>
      <c r="AB2196" s="30" t="n"/>
      <c r="AC2196" s="30" t="n"/>
      <c r="AD2196" s="30" t="n"/>
      <c r="AE2196" s="30" t="n"/>
      <c r="AF2196" s="30" t="n"/>
      <c r="AG2196" s="30" t="n"/>
      <c r="AH2196" s="30" t="n"/>
      <c r="AI2196" s="30" t="n"/>
      <c r="AJ2196" s="30" t="n"/>
      <c r="AK2196" s="30" t="n"/>
      <c r="AL2196" s="30" t="n"/>
      <c r="AM2196" s="30" t="n"/>
      <c r="AN2196" s="30" t="n"/>
    </row>
    <row r="2197" ht="18" customHeight="1" s="253">
      <c r="A2197" s="89" t="inlineStr">
        <is>
          <t>15190XXX</t>
        </is>
      </c>
      <c r="B2197" s="135" t="inlineStr">
        <is>
          <t>TAVERNITI  REM M/C</t>
        </is>
      </c>
      <c r="C2197" s="88" t="n">
        <v>45300</v>
      </c>
      <c r="D2197" s="111" t="n"/>
      <c r="E2197" s="170" t="n"/>
      <c r="F2197" s="170" t="n"/>
      <c r="G2197" s="170" t="n"/>
      <c r="H2197" s="170" t="n"/>
      <c r="I2197" s="170" t="n"/>
      <c r="J2197" s="170" t="n"/>
      <c r="K2197" s="30" t="n"/>
      <c r="L2197" s="170" t="n"/>
      <c r="M2197" s="170" t="n"/>
      <c r="O2197" s="117">
        <f>C2197*P2197</f>
        <v/>
      </c>
      <c r="P2197" s="150" t="n">
        <v>1.1</v>
      </c>
      <c r="Q2197" s="30" t="n"/>
      <c r="R2197" s="170" t="n"/>
      <c r="S2197" s="30" t="n"/>
      <c r="T2197" s="170" t="n"/>
      <c r="U2197" s="30" t="n"/>
      <c r="V2197" s="30" t="n"/>
      <c r="W2197" s="30" t="n"/>
      <c r="X2197" s="30" t="n"/>
      <c r="Y2197" s="30" t="n"/>
      <c r="Z2197" s="30" t="n"/>
      <c r="AA2197" s="30" t="n"/>
      <c r="AB2197" s="30" t="n"/>
      <c r="AC2197" s="30" t="n"/>
      <c r="AD2197" s="30" t="n"/>
      <c r="AE2197" s="30" t="n"/>
      <c r="AF2197" s="30" t="n"/>
      <c r="AG2197" s="30" t="n"/>
      <c r="AH2197" s="30" t="n"/>
      <c r="AI2197" s="30" t="n"/>
      <c r="AJ2197" s="30" t="n"/>
      <c r="AK2197" s="30" t="n"/>
      <c r="AL2197" s="30" t="n"/>
      <c r="AM2197" s="30" t="n"/>
      <c r="AN2197" s="30" t="n"/>
    </row>
    <row r="2198" ht="16.5" customHeight="1" s="253">
      <c r="A2198" s="89" t="inlineStr">
        <is>
          <t>15278XXX</t>
        </is>
      </c>
      <c r="B2198" s="135" t="inlineStr">
        <is>
          <t>TAVERNITI  REM M/C</t>
        </is>
      </c>
      <c r="C2198" s="88" t="n">
        <v>45300</v>
      </c>
      <c r="D2198" s="170" t="n"/>
      <c r="E2198" s="170" t="n"/>
      <c r="F2198" s="170" t="n"/>
      <c r="G2198" s="170" t="n"/>
      <c r="H2198" s="170" t="n"/>
      <c r="I2198" s="170" t="n"/>
      <c r="J2198" s="170" t="n"/>
      <c r="K2198" s="30" t="n"/>
      <c r="L2198" s="170" t="n"/>
      <c r="M2198" s="170" t="n"/>
      <c r="O2198" s="117">
        <f>C2198*P2198</f>
        <v/>
      </c>
      <c r="P2198" s="150" t="n">
        <v>1.1</v>
      </c>
      <c r="Q2198" s="30" t="n"/>
      <c r="R2198" s="170" t="n"/>
      <c r="S2198" s="30" t="n"/>
      <c r="T2198" s="170" t="n"/>
      <c r="U2198" s="30" t="n"/>
      <c r="V2198" s="30" t="n"/>
      <c r="W2198" s="30" t="n"/>
      <c r="X2198" s="30" t="n"/>
      <c r="Y2198" s="30" t="n"/>
      <c r="Z2198" s="30" t="n"/>
      <c r="AA2198" s="30" t="n"/>
      <c r="AB2198" s="30" t="n"/>
      <c r="AC2198" s="30" t="n"/>
      <c r="AD2198" s="30" t="n"/>
      <c r="AE2198" s="30" t="n"/>
      <c r="AF2198" s="30" t="n"/>
      <c r="AG2198" s="30" t="n"/>
      <c r="AH2198" s="30" t="n"/>
      <c r="AI2198" s="30" t="n"/>
      <c r="AJ2198" s="30" t="n"/>
      <c r="AK2198" s="30" t="n"/>
      <c r="AL2198" s="30" t="n"/>
      <c r="AM2198" s="30" t="n"/>
      <c r="AN2198" s="30" t="n"/>
    </row>
    <row r="2199" ht="16.5" customHeight="1" s="253">
      <c r="A2199" s="89" t="inlineStr">
        <is>
          <t>15282XXX</t>
        </is>
      </c>
      <c r="B2199" s="135" t="inlineStr">
        <is>
          <t>TAVERNITI  REM M/C</t>
        </is>
      </c>
      <c r="C2199" s="88" t="n">
        <v>43700</v>
      </c>
      <c r="D2199" s="170" t="n"/>
      <c r="E2199" s="170" t="n"/>
      <c r="F2199" s="170" t="n"/>
      <c r="G2199" s="170" t="n"/>
      <c r="H2199" s="170" t="n"/>
      <c r="I2199" s="170" t="n"/>
      <c r="J2199" s="170" t="n"/>
      <c r="K2199" s="30" t="n"/>
      <c r="L2199" s="170" t="n"/>
      <c r="M2199" s="170" t="n"/>
      <c r="O2199" s="117">
        <f>C2199*P2199</f>
        <v/>
      </c>
      <c r="P2199" s="150" t="n">
        <v>1.1</v>
      </c>
      <c r="Q2199" s="30" t="n"/>
      <c r="R2199" s="170" t="n"/>
      <c r="S2199" s="30" t="n"/>
      <c r="T2199" s="170" t="n"/>
      <c r="U2199" s="30" t="n"/>
      <c r="V2199" s="30" t="n"/>
      <c r="W2199" s="30" t="n"/>
      <c r="X2199" s="30" t="n"/>
      <c r="Y2199" s="30" t="n"/>
      <c r="Z2199" s="30" t="n"/>
      <c r="AA2199" s="30" t="n"/>
      <c r="AB2199" s="30" t="n"/>
      <c r="AC2199" s="30" t="n"/>
      <c r="AD2199" s="30" t="n"/>
      <c r="AE2199" s="30" t="n"/>
      <c r="AF2199" s="30" t="n"/>
      <c r="AG2199" s="30" t="n"/>
      <c r="AH2199" s="30" t="n"/>
      <c r="AI2199" s="30" t="n"/>
      <c r="AJ2199" s="30" t="n"/>
      <c r="AK2199" s="30" t="n"/>
      <c r="AL2199" s="30" t="n"/>
      <c r="AM2199" s="30" t="n"/>
      <c r="AN2199" s="30" t="n"/>
    </row>
    <row r="2200" ht="16.5" customHeight="1" s="253">
      <c r="A2200" s="89" t="inlineStr">
        <is>
          <t>15332XXX</t>
        </is>
      </c>
      <c r="B2200" s="135" t="inlineStr">
        <is>
          <t>TAVERNITI  REM M/C</t>
        </is>
      </c>
      <c r="C2200" s="88" t="n">
        <v>44600</v>
      </c>
      <c r="D2200" s="170" t="n"/>
      <c r="E2200" s="170" t="n"/>
      <c r="F2200" s="170" t="n"/>
      <c r="G2200" s="170" t="n"/>
      <c r="H2200" s="170" t="n"/>
      <c r="I2200" s="170" t="n"/>
      <c r="J2200" s="170" t="n"/>
      <c r="K2200" s="30" t="n"/>
      <c r="L2200" s="170" t="n"/>
      <c r="M2200" s="170" t="n"/>
      <c r="N2200" s="96" t="n"/>
      <c r="O2200" s="117">
        <f>C2200*P2200</f>
        <v/>
      </c>
      <c r="P2200" s="150" t="n">
        <v>1.1</v>
      </c>
      <c r="Q2200" s="30" t="n"/>
      <c r="R2200" s="170" t="n"/>
      <c r="S2200" s="30" t="n"/>
      <c r="T2200" s="170" t="n"/>
      <c r="U2200" s="30" t="n"/>
      <c r="V2200" s="30" t="n"/>
      <c r="W2200" s="30" t="n"/>
      <c r="X2200" s="30" t="n"/>
      <c r="Y2200" s="30" t="n"/>
      <c r="Z2200" s="30" t="n"/>
      <c r="AA2200" s="30" t="n"/>
      <c r="AB2200" s="30" t="n"/>
      <c r="AC2200" s="30" t="n"/>
      <c r="AD2200" s="30" t="n"/>
      <c r="AE2200" s="30" t="n"/>
      <c r="AF2200" s="30" t="n"/>
      <c r="AG2200" s="30" t="n"/>
      <c r="AH2200" s="30" t="n"/>
      <c r="AI2200" s="30" t="n"/>
      <c r="AJ2200" s="30" t="n"/>
      <c r="AK2200" s="30" t="n"/>
      <c r="AL2200" s="30" t="n"/>
      <c r="AM2200" s="30" t="n"/>
      <c r="AN2200" s="30" t="n"/>
    </row>
    <row r="2201" ht="16.5" customHeight="1" s="253">
      <c r="A2201" s="89" t="inlineStr">
        <is>
          <t>15358XXX</t>
        </is>
      </c>
      <c r="B2201" s="135" t="inlineStr">
        <is>
          <t>TAVERNITI  REM M/C</t>
        </is>
      </c>
      <c r="C2201" s="88" t="n">
        <v>44600</v>
      </c>
      <c r="D2201" s="170" t="n"/>
      <c r="E2201" s="170" t="n"/>
      <c r="F2201" s="170" t="n"/>
      <c r="G2201" s="170" t="n"/>
      <c r="H2201" s="170" t="n"/>
      <c r="I2201" s="170" t="n"/>
      <c r="J2201" s="170" t="n"/>
      <c r="K2201" s="30" t="n"/>
      <c r="L2201" s="170" t="n"/>
      <c r="M2201" s="170" t="n"/>
      <c r="N2201" s="96" t="n"/>
      <c r="O2201" s="117">
        <f>C2201*P2201</f>
        <v/>
      </c>
      <c r="P2201" s="150" t="n">
        <v>1.1</v>
      </c>
      <c r="Q2201" s="30" t="n"/>
      <c r="R2201" s="170" t="n"/>
      <c r="S2201" s="30" t="n"/>
      <c r="T2201" s="170" t="n"/>
      <c r="U2201" s="30" t="n"/>
      <c r="V2201" s="30" t="n"/>
      <c r="W2201" s="30" t="n"/>
      <c r="X2201" s="30" t="n"/>
      <c r="Y2201" s="30" t="n"/>
      <c r="Z2201" s="30" t="n"/>
      <c r="AA2201" s="30" t="n"/>
      <c r="AB2201" s="30" t="n"/>
      <c r="AC2201" s="30" t="n"/>
      <c r="AD2201" s="30" t="n"/>
      <c r="AE2201" s="30" t="n"/>
      <c r="AF2201" s="30" t="n"/>
      <c r="AG2201" s="30" t="n"/>
      <c r="AH2201" s="30" t="n"/>
      <c r="AI2201" s="30" t="n"/>
      <c r="AJ2201" s="30" t="n"/>
      <c r="AK2201" s="30" t="n"/>
      <c r="AL2201" s="30" t="n"/>
      <c r="AM2201" s="30" t="n"/>
      <c r="AN2201" s="30" t="n"/>
    </row>
    <row r="2202" ht="16.5" customHeight="1" s="253">
      <c r="A2202" s="89" t="inlineStr">
        <is>
          <t>15370XXX</t>
        </is>
      </c>
      <c r="B2202" s="135" t="inlineStr">
        <is>
          <t>TAVERNITI  REM M/C</t>
        </is>
      </c>
      <c r="C2202" s="88" t="n">
        <v>44600</v>
      </c>
      <c r="D2202" s="170" t="n"/>
      <c r="E2202" s="170" t="n"/>
      <c r="F2202" s="170" t="n"/>
      <c r="G2202" s="170" t="n"/>
      <c r="H2202" s="170" t="n"/>
      <c r="I2202" s="170" t="n"/>
      <c r="J2202" s="170" t="n"/>
      <c r="K2202" s="30" t="n"/>
      <c r="L2202" s="170" t="n"/>
      <c r="M2202" s="170" t="n"/>
      <c r="N2202" s="96" t="n"/>
      <c r="O2202" s="117">
        <f>C2202*P2202</f>
        <v/>
      </c>
      <c r="P2202" s="150" t="n">
        <v>1.1</v>
      </c>
      <c r="Q2202" s="30" t="n"/>
      <c r="R2202" s="170" t="n"/>
      <c r="S2202" s="30" t="n"/>
      <c r="T2202" s="170" t="n"/>
      <c r="U2202" s="30" t="n"/>
      <c r="V2202" s="30" t="n"/>
      <c r="W2202" s="30" t="n"/>
      <c r="X2202" s="30" t="n"/>
      <c r="Y2202" s="30" t="n"/>
      <c r="Z2202" s="30" t="n"/>
      <c r="AA2202" s="30" t="n"/>
      <c r="AB2202" s="30" t="n"/>
      <c r="AC2202" s="30" t="n"/>
      <c r="AD2202" s="30" t="n"/>
      <c r="AE2202" s="30" t="n"/>
      <c r="AF2202" s="30" t="n"/>
      <c r="AG2202" s="30" t="n"/>
      <c r="AH2202" s="30" t="n"/>
      <c r="AI2202" s="30" t="n"/>
      <c r="AJ2202" s="30" t="n"/>
      <c r="AK2202" s="30" t="n"/>
      <c r="AL2202" s="30" t="n"/>
      <c r="AM2202" s="30" t="n"/>
      <c r="AN2202" s="30" t="n"/>
    </row>
    <row r="2203" ht="16.5" customHeight="1" s="253">
      <c r="A2203" s="89" t="inlineStr">
        <is>
          <t>15410XXX</t>
        </is>
      </c>
      <c r="B2203" s="135" t="inlineStr">
        <is>
          <t>TAVERNITI  REM M/C</t>
        </is>
      </c>
      <c r="C2203" s="88" t="n">
        <v>39000</v>
      </c>
      <c r="D2203" s="111" t="n"/>
      <c r="E2203" s="170" t="n"/>
      <c r="F2203" s="170" t="n"/>
      <c r="G2203" s="170" t="n"/>
      <c r="H2203" s="170" t="n"/>
      <c r="I2203" s="170" t="n"/>
      <c r="J2203" s="170" t="n"/>
      <c r="K2203" s="30" t="n"/>
      <c r="L2203" s="170" t="n"/>
      <c r="M2203" s="170" t="n"/>
      <c r="O2203" s="117">
        <f>C2203*P2203</f>
        <v/>
      </c>
      <c r="P2203" s="150" t="n">
        <v>1.1</v>
      </c>
      <c r="Q2203" s="30" t="n"/>
      <c r="R2203" s="170" t="n"/>
      <c r="S2203" s="30" t="n"/>
      <c r="T2203" s="170" t="n"/>
      <c r="U2203" s="30" t="n"/>
      <c r="V2203" s="30" t="n"/>
      <c r="W2203" s="30" t="n"/>
      <c r="X2203" s="30" t="n"/>
      <c r="Y2203" s="30" t="n"/>
      <c r="Z2203" s="30" t="n"/>
      <c r="AA2203" s="30" t="n"/>
      <c r="AB2203" s="30" t="n"/>
      <c r="AC2203" s="30" t="n"/>
      <c r="AD2203" s="30" t="n"/>
      <c r="AE2203" s="30" t="n"/>
      <c r="AF2203" s="30" t="n"/>
      <c r="AG2203" s="30" t="n"/>
      <c r="AH2203" s="30" t="n"/>
      <c r="AI2203" s="30" t="n"/>
      <c r="AJ2203" s="30" t="n"/>
      <c r="AK2203" s="30" t="n"/>
      <c r="AL2203" s="30" t="n"/>
      <c r="AM2203" s="30" t="n"/>
      <c r="AN2203" s="30" t="n"/>
    </row>
    <row r="2204" ht="16.5" customHeight="1" s="253">
      <c r="A2204" s="89" t="inlineStr">
        <is>
          <t>15414XXX</t>
        </is>
      </c>
      <c r="B2204" s="135" t="inlineStr">
        <is>
          <t>TAVERNITI  REM M/C</t>
        </is>
      </c>
      <c r="C2204" s="88" t="n">
        <v>42400</v>
      </c>
      <c r="D2204" s="111" t="n"/>
      <c r="E2204" s="170" t="n"/>
      <c r="F2204" s="170" t="n"/>
      <c r="G2204" s="170" t="n"/>
      <c r="H2204" s="170" t="n"/>
      <c r="I2204" s="170" t="n"/>
      <c r="J2204" s="170" t="n"/>
      <c r="K2204" s="30" t="n"/>
      <c r="L2204" s="170" t="n"/>
      <c r="M2204" s="170" t="n"/>
      <c r="O2204" s="117">
        <f>C2204*P2204</f>
        <v/>
      </c>
      <c r="P2204" s="150" t="n">
        <v>1.1</v>
      </c>
      <c r="Q2204" s="30" t="n"/>
      <c r="R2204" s="170" t="n"/>
      <c r="S2204" s="30" t="n"/>
      <c r="T2204" s="170" t="n"/>
      <c r="U2204" s="30" t="n"/>
      <c r="V2204" s="30" t="n"/>
      <c r="W2204" s="30" t="n"/>
      <c r="X2204" s="30" t="n"/>
      <c r="Y2204" s="30" t="n"/>
      <c r="Z2204" s="30" t="n"/>
      <c r="AA2204" s="30" t="n"/>
      <c r="AB2204" s="30" t="n"/>
      <c r="AC2204" s="30" t="n"/>
      <c r="AD2204" s="30" t="n"/>
      <c r="AE2204" s="30" t="n"/>
      <c r="AF2204" s="30" t="n"/>
      <c r="AG2204" s="30" t="n"/>
      <c r="AH2204" s="30" t="n"/>
      <c r="AI2204" s="30" t="n"/>
      <c r="AJ2204" s="30" t="n"/>
      <c r="AK2204" s="30" t="n"/>
      <c r="AL2204" s="30" t="n"/>
      <c r="AM2204" s="30" t="n"/>
      <c r="AN2204" s="30" t="n"/>
    </row>
    <row r="2205" ht="16.5" customHeight="1" s="253">
      <c r="A2205" s="134" t="inlineStr">
        <is>
          <t>15442XXX</t>
        </is>
      </c>
      <c r="B2205" s="246" t="inlineStr">
        <is>
          <t>TAVERNITI  REM M/C</t>
        </is>
      </c>
      <c r="C2205" s="22" t="n">
        <v>47800</v>
      </c>
      <c r="D2205" s="153" t="n"/>
      <c r="E2205" s="219" t="n"/>
      <c r="F2205" s="219" t="n"/>
      <c r="G2205" s="219" t="n"/>
      <c r="H2205" s="219" t="n"/>
      <c r="I2205" s="219" t="n"/>
      <c r="J2205" s="219" t="n"/>
      <c r="L2205" s="219" t="n"/>
      <c r="M2205" s="219" t="n"/>
      <c r="O2205" s="117">
        <f>C2205*P2205</f>
        <v/>
      </c>
      <c r="P2205" s="150" t="n">
        <v>1.1</v>
      </c>
      <c r="R2205" s="117" t="n"/>
      <c r="T2205" s="117" t="n"/>
    </row>
    <row r="2206" ht="16.5" customHeight="1" s="253">
      <c r="A2206" s="134" t="inlineStr">
        <is>
          <t>16002XXX</t>
        </is>
      </c>
      <c r="B2206" s="246" t="inlineStr">
        <is>
          <t>TAVERNITI  REM M/C</t>
        </is>
      </c>
      <c r="C2206" s="22" t="n">
        <v>43700</v>
      </c>
      <c r="D2206" s="153" t="n"/>
      <c r="E2206" s="219" t="n"/>
      <c r="F2206" s="219" t="n"/>
      <c r="G2206" s="219" t="n"/>
      <c r="H2206" s="219" t="n"/>
      <c r="I2206" s="219" t="n"/>
      <c r="J2206" s="219" t="n"/>
      <c r="L2206" s="219" t="n"/>
      <c r="M2206" s="219" t="n"/>
      <c r="O2206" s="117">
        <f>C2206*P2206</f>
        <v/>
      </c>
      <c r="P2206" s="150" t="n">
        <v>1.1</v>
      </c>
      <c r="R2206" s="117" t="n"/>
      <c r="T2206" s="117" t="n"/>
    </row>
    <row r="2207" ht="16.5" customHeight="1" s="253">
      <c r="A2207" s="134" t="inlineStr">
        <is>
          <t>16004XXX</t>
        </is>
      </c>
      <c r="B2207" s="246" t="inlineStr">
        <is>
          <t>TAVERNITI  REM M/C</t>
        </is>
      </c>
      <c r="C2207" s="22" t="n">
        <v>43800</v>
      </c>
      <c r="D2207" s="153" t="n"/>
      <c r="E2207" s="219" t="n"/>
      <c r="F2207" s="219" t="n"/>
      <c r="G2207" s="219" t="n"/>
      <c r="H2207" s="219" t="n"/>
      <c r="I2207" s="219" t="n"/>
      <c r="J2207" s="219" t="n"/>
      <c r="L2207" s="219" t="n"/>
      <c r="M2207" s="219" t="n"/>
      <c r="O2207" s="117">
        <f>C2207*P2207</f>
        <v/>
      </c>
      <c r="P2207" s="150" t="n">
        <v>1.1</v>
      </c>
      <c r="R2207" s="117" t="n"/>
      <c r="T2207" s="117" t="n"/>
    </row>
    <row r="2208" ht="16.5" customHeight="1" s="253">
      <c r="A2208" s="134" t="inlineStr">
        <is>
          <t>16008XXX</t>
        </is>
      </c>
      <c r="B2208" s="246" t="inlineStr">
        <is>
          <t>TAVERNITI  REM M/C</t>
        </is>
      </c>
      <c r="C2208" s="22" t="n">
        <v>43700</v>
      </c>
      <c r="D2208" s="153" t="n"/>
      <c r="E2208" s="219" t="n"/>
      <c r="F2208" s="219" t="n"/>
      <c r="G2208" s="219" t="n"/>
      <c r="H2208" s="219" t="n"/>
      <c r="I2208" s="219" t="n"/>
      <c r="J2208" s="219" t="n"/>
      <c r="L2208" s="219" t="n"/>
      <c r="M2208" s="219" t="n"/>
      <c r="O2208" s="117">
        <f>C2208*P2208</f>
        <v/>
      </c>
      <c r="P2208" s="150" t="n">
        <v>1.1</v>
      </c>
      <c r="R2208" s="117" t="n"/>
      <c r="T2208" s="117" t="n"/>
    </row>
    <row r="2209" ht="16.5" customHeight="1" s="253">
      <c r="A2209" s="134" t="inlineStr">
        <is>
          <t>16012XXX</t>
        </is>
      </c>
      <c r="B2209" s="246" t="inlineStr">
        <is>
          <t>TAVERNITI  REM M/C</t>
        </is>
      </c>
      <c r="C2209" s="22" t="n">
        <v>33700</v>
      </c>
      <c r="D2209" s="153" t="n"/>
      <c r="E2209" s="219" t="n"/>
      <c r="F2209" s="219" t="n"/>
      <c r="G2209" s="219" t="n"/>
      <c r="H2209" s="219" t="n"/>
      <c r="I2209" s="219" t="n"/>
      <c r="J2209" s="219" t="n"/>
      <c r="L2209" s="219" t="n"/>
      <c r="M2209" s="219" t="n"/>
      <c r="O2209" s="117">
        <f>C2209*P2209</f>
        <v/>
      </c>
      <c r="P2209" s="150" t="n">
        <v>1.1</v>
      </c>
      <c r="R2209" s="117" t="n"/>
      <c r="T2209" s="117" t="n"/>
    </row>
    <row r="2210" ht="16.5" customHeight="1" s="253">
      <c r="A2210" s="134" t="inlineStr">
        <is>
          <t>16044XXX</t>
        </is>
      </c>
      <c r="B2210" s="246" t="inlineStr">
        <is>
          <t>TAVERNITI  REM M/C</t>
        </is>
      </c>
      <c r="C2210" s="22" t="n">
        <v>43000</v>
      </c>
      <c r="D2210" s="153" t="n"/>
      <c r="E2210" s="219" t="n"/>
      <c r="F2210" s="219" t="n"/>
      <c r="G2210" s="219" t="n"/>
      <c r="H2210" s="219" t="n"/>
      <c r="I2210" s="219" t="n"/>
      <c r="J2210" s="219" t="n"/>
      <c r="L2210" s="219" t="n"/>
      <c r="M2210" s="219" t="n"/>
      <c r="O2210" s="117">
        <f>C2210*P2210</f>
        <v/>
      </c>
      <c r="P2210" s="150" t="n">
        <v>1.1</v>
      </c>
      <c r="R2210" s="117" t="n"/>
      <c r="T2210" s="117" t="n"/>
    </row>
    <row r="2211" ht="16.5" customHeight="1" s="253">
      <c r="A2211" s="134" t="inlineStr">
        <is>
          <t>16046XXX</t>
        </is>
      </c>
      <c r="B2211" s="246" t="inlineStr">
        <is>
          <t>TAVERNITI  REM M/C</t>
        </is>
      </c>
      <c r="C2211" s="22" t="n">
        <v>36500</v>
      </c>
      <c r="D2211" s="153" t="n"/>
      <c r="E2211" s="219" t="n"/>
      <c r="F2211" s="219" t="n"/>
      <c r="G2211" s="219" t="n"/>
      <c r="H2211" s="219" t="n"/>
      <c r="I2211" s="219" t="n"/>
      <c r="J2211" s="219" t="n"/>
      <c r="L2211" s="219" t="n"/>
      <c r="M2211" s="219" t="n"/>
      <c r="O2211" s="117">
        <f>C2211*P2211</f>
        <v/>
      </c>
      <c r="P2211" s="150" t="n">
        <v>1.1</v>
      </c>
      <c r="R2211" s="117" t="n"/>
      <c r="T2211" s="117" t="n"/>
    </row>
    <row r="2212" ht="16.5" customHeight="1" s="253">
      <c r="A2212" s="134" t="inlineStr">
        <is>
          <t>16062XXX</t>
        </is>
      </c>
      <c r="B2212" s="246" t="inlineStr">
        <is>
          <t>TAVERNITI  REM M/C</t>
        </is>
      </c>
      <c r="C2212" s="22" t="n">
        <v>35500</v>
      </c>
      <c r="D2212" s="153" t="n"/>
      <c r="E2212" s="219" t="n"/>
      <c r="F2212" s="219" t="n"/>
      <c r="G2212" s="219" t="n"/>
      <c r="H2212" s="219" t="n"/>
      <c r="I2212" s="219" t="n"/>
      <c r="J2212" s="219" t="n"/>
      <c r="L2212" s="219" t="n"/>
      <c r="M2212" s="219" t="n"/>
      <c r="O2212" s="117">
        <f>C2212*P2212</f>
        <v/>
      </c>
      <c r="P2212" s="150" t="n">
        <v>1.1</v>
      </c>
      <c r="R2212" s="117" t="n"/>
      <c r="T2212" s="117" t="n"/>
    </row>
    <row r="2213" ht="16.5" customHeight="1" s="253">
      <c r="A2213" s="134" t="inlineStr">
        <is>
          <t>16072XXX</t>
        </is>
      </c>
      <c r="B2213" s="246" t="inlineStr">
        <is>
          <t>TAVERNITI  REM M/C</t>
        </is>
      </c>
      <c r="C2213" s="22" t="n">
        <v>35600</v>
      </c>
      <c r="D2213" s="153" t="n"/>
      <c r="E2213" s="219" t="n"/>
      <c r="F2213" s="219" t="n"/>
      <c r="G2213" s="219" t="n"/>
      <c r="H2213" s="219" t="n"/>
      <c r="I2213" s="219" t="n"/>
      <c r="J2213" s="219" t="n"/>
      <c r="L2213" s="219" t="n"/>
      <c r="M2213" s="219" t="n"/>
      <c r="O2213" s="117">
        <f>C2213*P2213</f>
        <v/>
      </c>
      <c r="P2213" s="150" t="n">
        <v>1.1</v>
      </c>
      <c r="R2213" s="117" t="n"/>
      <c r="T2213" s="117" t="n"/>
    </row>
    <row r="2214" ht="16.5" customHeight="1" s="253">
      <c r="A2214" s="134" t="inlineStr">
        <is>
          <t>16076XXX</t>
        </is>
      </c>
      <c r="B2214" s="246" t="inlineStr">
        <is>
          <t>TAVERNITI  REM M/C</t>
        </is>
      </c>
      <c r="C2214" s="22" t="n">
        <v>33400</v>
      </c>
      <c r="D2214" s="153" t="n"/>
      <c r="E2214" s="219" t="n"/>
      <c r="F2214" s="219" t="n"/>
      <c r="G2214" s="219" t="n"/>
      <c r="H2214" s="219" t="n"/>
      <c r="I2214" s="219" t="n"/>
      <c r="J2214" s="219" t="n"/>
      <c r="L2214" s="219" t="n"/>
      <c r="M2214" s="219" t="n"/>
      <c r="O2214" s="117">
        <f>C2214*P2214</f>
        <v/>
      </c>
      <c r="P2214" s="150" t="n">
        <v>1.1</v>
      </c>
      <c r="R2214" s="117" t="n"/>
      <c r="T2214" s="117" t="n"/>
    </row>
    <row r="2215" ht="16.5" customHeight="1" s="253">
      <c r="A2215" s="134" t="inlineStr">
        <is>
          <t>16078XXX</t>
        </is>
      </c>
      <c r="B2215" s="246" t="inlineStr">
        <is>
          <t>TAVERNITI  REM M/C</t>
        </is>
      </c>
      <c r="C2215" s="22" t="n">
        <v>33400</v>
      </c>
      <c r="D2215" s="153" t="n"/>
      <c r="E2215" s="219" t="n"/>
      <c r="F2215" s="219" t="n"/>
      <c r="G2215" s="219" t="n"/>
      <c r="H2215" s="219" t="n"/>
      <c r="I2215" s="219" t="n"/>
      <c r="J2215" s="219" t="n"/>
      <c r="L2215" s="219" t="n"/>
      <c r="M2215" s="219" t="n"/>
      <c r="O2215" s="117">
        <f>C2215*P2215</f>
        <v/>
      </c>
      <c r="P2215" s="150" t="n">
        <v>1.1</v>
      </c>
      <c r="R2215" s="117" t="n"/>
      <c r="T2215" s="117" t="n"/>
    </row>
    <row r="2216" ht="16.5" customHeight="1" s="253">
      <c r="A2216" s="134" t="inlineStr">
        <is>
          <t>16112XXX</t>
        </is>
      </c>
      <c r="B2216" s="246" t="inlineStr">
        <is>
          <t>TAVERNITI  REM M/C</t>
        </is>
      </c>
      <c r="C2216" s="22" t="n">
        <v>38100</v>
      </c>
      <c r="D2216" s="153" t="n"/>
      <c r="E2216" s="219" t="n"/>
      <c r="F2216" s="219" t="n"/>
      <c r="G2216" s="219" t="n"/>
      <c r="H2216" s="219" t="n"/>
      <c r="I2216" s="219" t="n"/>
      <c r="J2216" s="219" t="n"/>
      <c r="L2216" s="219" t="n"/>
      <c r="M2216" s="219" t="n"/>
      <c r="O2216" s="117">
        <f>C2216*P2216</f>
        <v/>
      </c>
      <c r="P2216" s="150" t="n">
        <v>1.1</v>
      </c>
      <c r="R2216" s="117" t="n"/>
      <c r="T2216" s="117" t="n"/>
    </row>
    <row r="2217" ht="16.5" customHeight="1" s="253">
      <c r="A2217" s="134" t="inlineStr">
        <is>
          <t>16114XXX</t>
        </is>
      </c>
      <c r="B2217" s="246" t="inlineStr">
        <is>
          <t>TAVERNITI  REM M/C</t>
        </is>
      </c>
      <c r="C2217" s="22" t="n">
        <v>33400</v>
      </c>
      <c r="D2217" s="153" t="n"/>
      <c r="E2217" s="219" t="n"/>
      <c r="F2217" s="219" t="n"/>
      <c r="G2217" s="219" t="n"/>
      <c r="H2217" s="219" t="n"/>
      <c r="I2217" s="219" t="n"/>
      <c r="J2217" s="219" t="n"/>
      <c r="L2217" s="219" t="n"/>
      <c r="M2217" s="219" t="n"/>
      <c r="O2217" s="117">
        <f>C2217*P2217</f>
        <v/>
      </c>
      <c r="P2217" s="150" t="n">
        <v>1.1</v>
      </c>
      <c r="R2217" s="117" t="n"/>
      <c r="T2217" s="117" t="n"/>
    </row>
    <row r="2218" ht="16.5" customHeight="1" s="253">
      <c r="A2218" s="134" t="inlineStr">
        <is>
          <t>16120XXX</t>
        </is>
      </c>
      <c r="B2218" s="246" t="inlineStr">
        <is>
          <t>TAVERNITI  REM M/C</t>
        </is>
      </c>
      <c r="C2218" s="22" t="n">
        <v>36000</v>
      </c>
      <c r="D2218" s="153" t="n"/>
      <c r="E2218" s="219" t="n"/>
      <c r="F2218" s="219" t="n"/>
      <c r="G2218" s="219" t="n"/>
      <c r="H2218" s="219" t="n"/>
      <c r="I2218" s="219" t="n"/>
      <c r="J2218" s="219" t="n"/>
      <c r="L2218" s="219" t="n"/>
      <c r="M2218" s="219" t="n"/>
      <c r="O2218" s="117">
        <f>C2218*P2218</f>
        <v/>
      </c>
      <c r="P2218" s="150" t="n">
        <v>1.1</v>
      </c>
      <c r="R2218" s="117" t="n"/>
      <c r="T2218" s="117" t="n"/>
    </row>
    <row r="2219" ht="16.5" customHeight="1" s="253">
      <c r="A2219" s="134" t="inlineStr">
        <is>
          <t>16134XXX</t>
        </is>
      </c>
      <c r="B2219" s="246" t="inlineStr">
        <is>
          <t>TAVERNITI  REM M/C</t>
        </is>
      </c>
      <c r="C2219" s="22" t="n">
        <v>36000</v>
      </c>
      <c r="D2219" s="153" t="n"/>
      <c r="E2219" s="219" t="n"/>
      <c r="F2219" s="219" t="n"/>
      <c r="G2219" s="219" t="n"/>
      <c r="H2219" s="219" t="n"/>
      <c r="I2219" s="219" t="n"/>
      <c r="J2219" s="219" t="n"/>
      <c r="L2219" s="219" t="n"/>
      <c r="M2219" s="219" t="n"/>
      <c r="O2219" s="117">
        <f>C2219*P2219</f>
        <v/>
      </c>
      <c r="P2219" s="150" t="n">
        <v>1.1</v>
      </c>
      <c r="R2219" s="117" t="n"/>
      <c r="T2219" s="117" t="n"/>
    </row>
    <row r="2220" ht="16.5" customHeight="1" s="253">
      <c r="A2220" s="134" t="inlineStr">
        <is>
          <t>16136XXX</t>
        </is>
      </c>
      <c r="B2220" s="246" t="inlineStr">
        <is>
          <t>TAVERNITI  REM M/C</t>
        </is>
      </c>
      <c r="C2220" s="22" t="n">
        <v>36000</v>
      </c>
      <c r="D2220" s="153" t="n"/>
      <c r="E2220" s="219" t="n"/>
      <c r="F2220" s="219" t="n"/>
      <c r="G2220" s="219" t="n"/>
      <c r="H2220" s="219" t="n"/>
      <c r="I2220" s="219" t="n"/>
      <c r="J2220" s="219" t="n"/>
      <c r="L2220" s="219" t="n"/>
      <c r="M2220" s="219" t="n"/>
      <c r="O2220" s="117">
        <f>C2220*P2220</f>
        <v/>
      </c>
      <c r="P2220" s="150" t="n">
        <v>1.1</v>
      </c>
      <c r="R2220" s="117" t="n"/>
      <c r="T2220" s="117" t="n"/>
    </row>
    <row r="2221" ht="16.5" customHeight="1" s="253">
      <c r="A2221" s="134" t="inlineStr">
        <is>
          <t>16172XXX</t>
        </is>
      </c>
      <c r="B2221" s="246" t="inlineStr">
        <is>
          <t>TAVERNITI  REM M/C</t>
        </is>
      </c>
      <c r="C2221" s="22" t="n">
        <v>33900</v>
      </c>
      <c r="D2221" s="153" t="n"/>
      <c r="E2221" s="219" t="n"/>
      <c r="F2221" s="219" t="n"/>
      <c r="G2221" s="219" t="n"/>
      <c r="H2221" s="219" t="n"/>
      <c r="I2221" s="219" t="n"/>
      <c r="J2221" s="219" t="n"/>
      <c r="L2221" s="219" t="n"/>
      <c r="M2221" s="219" t="n"/>
      <c r="O2221" s="117">
        <f>C2221*P2221</f>
        <v/>
      </c>
      <c r="P2221" s="150" t="n">
        <v>1.1</v>
      </c>
      <c r="R2221" s="117" t="n"/>
      <c r="T2221" s="117" t="n"/>
    </row>
    <row r="2222" ht="16.5" customHeight="1" s="253">
      <c r="A2222" s="134" t="inlineStr">
        <is>
          <t>16198XXX</t>
        </is>
      </c>
      <c r="B2222" s="246" t="inlineStr">
        <is>
          <t>TAVERNITI  REM M/C</t>
        </is>
      </c>
      <c r="C2222" s="22" t="n">
        <v>29800</v>
      </c>
      <c r="D2222" s="153" t="n"/>
      <c r="E2222" s="219" t="n"/>
      <c r="F2222" s="219" t="n"/>
      <c r="G2222" s="219" t="n"/>
      <c r="H2222" s="219" t="n"/>
      <c r="I2222" s="219" t="n"/>
      <c r="J2222" s="219" t="n"/>
      <c r="L2222" s="219" t="n"/>
      <c r="M2222" s="219" t="n"/>
      <c r="O2222" s="117">
        <f>C2222*P2222</f>
        <v/>
      </c>
      <c r="P2222" s="150" t="n">
        <v>1.1</v>
      </c>
      <c r="R2222" s="117" t="n"/>
      <c r="T2222" s="117" t="n"/>
    </row>
    <row r="2223" ht="16.5" customHeight="1" s="253">
      <c r="A2223" s="134" t="inlineStr">
        <is>
          <t>16200XXX</t>
        </is>
      </c>
      <c r="B2223" s="246" t="inlineStr">
        <is>
          <t>TAVERNITI  REM M/C</t>
        </is>
      </c>
      <c r="C2223" s="22" t="n">
        <v>34200</v>
      </c>
      <c r="D2223" s="153" t="n"/>
      <c r="E2223" s="219" t="n"/>
      <c r="F2223" s="219" t="n"/>
      <c r="G2223" s="219" t="n"/>
      <c r="H2223" s="219" t="n"/>
      <c r="I2223" s="219" t="n"/>
      <c r="J2223" s="219" t="n"/>
      <c r="L2223" s="219" t="n"/>
      <c r="M2223" s="219" t="n"/>
      <c r="O2223" s="117">
        <f>C2223*P2223</f>
        <v/>
      </c>
      <c r="P2223" s="150" t="n">
        <v>1.1</v>
      </c>
      <c r="R2223" s="117" t="n"/>
      <c r="T2223" s="117" t="n"/>
    </row>
    <row r="2224" ht="16.5" customHeight="1" s="253">
      <c r="A2224" s="134" t="inlineStr">
        <is>
          <t>16202XXX</t>
        </is>
      </c>
      <c r="B2224" s="246" t="inlineStr">
        <is>
          <t>TAVERNITI  REM M/C</t>
        </is>
      </c>
      <c r="C2224" s="22" t="n">
        <v>35000</v>
      </c>
      <c r="D2224" s="153" t="n"/>
      <c r="E2224" s="219" t="n"/>
      <c r="F2224" s="219" t="n"/>
      <c r="G2224" s="219" t="n"/>
      <c r="H2224" s="219" t="n"/>
      <c r="I2224" s="219" t="n"/>
      <c r="J2224" s="219" t="n"/>
      <c r="L2224" s="219" t="n"/>
      <c r="M2224" s="219" t="n"/>
      <c r="O2224" s="117">
        <f>C2224*P2224</f>
        <v/>
      </c>
      <c r="P2224" s="150" t="n">
        <v>1.1</v>
      </c>
      <c r="R2224" s="117" t="n"/>
      <c r="T2224" s="117" t="n"/>
    </row>
    <row r="2225" ht="16.5" customHeight="1" s="253">
      <c r="A2225" s="134" t="inlineStr">
        <is>
          <t>16234XXX</t>
        </is>
      </c>
      <c r="B2225" s="246" t="inlineStr">
        <is>
          <t>TAVERNITI  REM M/C</t>
        </is>
      </c>
      <c r="C2225" s="22" t="n">
        <v>35000</v>
      </c>
      <c r="D2225" s="153" t="n"/>
      <c r="E2225" s="219" t="n"/>
      <c r="F2225" s="219" t="n"/>
      <c r="G2225" s="219" t="n"/>
      <c r="H2225" s="219" t="n"/>
      <c r="I2225" s="219" t="n"/>
      <c r="J2225" s="219" t="n"/>
      <c r="L2225" s="219" t="n"/>
      <c r="M2225" s="219" t="n"/>
      <c r="O2225" s="117">
        <f>C2225*P2225</f>
        <v/>
      </c>
      <c r="P2225" s="150" t="n">
        <v>1.1</v>
      </c>
      <c r="R2225" s="117" t="n"/>
      <c r="T2225" s="117" t="n"/>
    </row>
    <row r="2226" ht="16.5" customHeight="1" s="253">
      <c r="A2226" s="134" t="inlineStr">
        <is>
          <t>16236XXX</t>
        </is>
      </c>
      <c r="B2226" s="246" t="inlineStr">
        <is>
          <t>TAVERNITI  REM M/C</t>
        </is>
      </c>
      <c r="C2226" s="22" t="n">
        <v>35000</v>
      </c>
      <c r="D2226" s="153" t="n"/>
      <c r="E2226" s="219" t="n"/>
      <c r="F2226" s="219" t="n"/>
      <c r="G2226" s="219" t="n"/>
      <c r="H2226" s="219" t="n"/>
      <c r="I2226" s="219" t="n"/>
      <c r="J2226" s="219" t="n"/>
      <c r="L2226" s="219" t="n"/>
      <c r="M2226" s="219" t="n"/>
      <c r="O2226" s="117">
        <f>C2226*P2226</f>
        <v/>
      </c>
      <c r="P2226" s="150" t="n">
        <v>1.1</v>
      </c>
      <c r="R2226" s="117" t="n"/>
      <c r="T2226" s="117" t="n"/>
    </row>
    <row r="2227" ht="16.5" customHeight="1" s="253">
      <c r="A2227" s="134" t="inlineStr">
        <is>
          <t>16238XXX</t>
        </is>
      </c>
      <c r="B2227" s="246" t="inlineStr">
        <is>
          <t>TAVERNITI  REM M/C</t>
        </is>
      </c>
      <c r="C2227" s="22" t="n">
        <v>35000</v>
      </c>
      <c r="D2227" s="153" t="n"/>
      <c r="E2227" s="219" t="n"/>
      <c r="F2227" s="219" t="n"/>
      <c r="G2227" s="219" t="n"/>
      <c r="H2227" s="219" t="n"/>
      <c r="I2227" s="219" t="n"/>
      <c r="J2227" s="219" t="n"/>
      <c r="L2227" s="219" t="n"/>
      <c r="M2227" s="219" t="n"/>
      <c r="O2227" s="117">
        <f>C2227*P2227</f>
        <v/>
      </c>
      <c r="P2227" s="150" t="n">
        <v>1.1</v>
      </c>
      <c r="R2227" s="117" t="n"/>
      <c r="T2227" s="117" t="n"/>
    </row>
    <row r="2228" ht="16.5" customHeight="1" s="253">
      <c r="A2228" s="134" t="inlineStr">
        <is>
          <t>16248XXX</t>
        </is>
      </c>
      <c r="B2228" s="246" t="inlineStr">
        <is>
          <t>TAVERNITI  REM M/C</t>
        </is>
      </c>
      <c r="C2228" s="22" t="n">
        <v>37500</v>
      </c>
      <c r="D2228" s="153" t="n"/>
      <c r="E2228" s="219" t="n"/>
      <c r="F2228" s="219" t="n"/>
      <c r="G2228" s="219" t="n"/>
      <c r="H2228" s="219" t="n"/>
      <c r="I2228" s="219" t="n"/>
      <c r="J2228" s="219" t="n"/>
      <c r="L2228" s="219" t="n"/>
      <c r="M2228" s="219" t="n"/>
      <c r="O2228" s="117">
        <f>C2228*P2228</f>
        <v/>
      </c>
      <c r="P2228" s="150" t="n">
        <v>1.1</v>
      </c>
      <c r="R2228" s="117" t="n"/>
      <c r="T2228" s="117" t="n"/>
    </row>
    <row r="2229" ht="16.5" customHeight="1" s="253">
      <c r="A2229" s="134" t="inlineStr">
        <is>
          <t>16252XXX</t>
        </is>
      </c>
      <c r="B2229" s="246" t="inlineStr">
        <is>
          <t>TAVERNITI  REM M/C</t>
        </is>
      </c>
      <c r="C2229" s="22" t="n">
        <v>37500</v>
      </c>
      <c r="D2229" s="153" t="n"/>
      <c r="E2229" s="219" t="n"/>
      <c r="F2229" s="219" t="n"/>
      <c r="G2229" s="219" t="n"/>
      <c r="H2229" s="219" t="n"/>
      <c r="I2229" s="219" t="n"/>
      <c r="J2229" s="219" t="n"/>
      <c r="L2229" s="219" t="n"/>
      <c r="M2229" s="219" t="n"/>
      <c r="O2229" s="117">
        <f>C2229*P2229</f>
        <v/>
      </c>
      <c r="P2229" s="150" t="n">
        <v>1.1</v>
      </c>
      <c r="R2229" s="117" t="n"/>
      <c r="T2229" s="117" t="n"/>
    </row>
    <row r="2230" ht="16.5" customHeight="1" s="253">
      <c r="A2230" s="134" t="inlineStr">
        <is>
          <t>16260XXX</t>
        </is>
      </c>
      <c r="B2230" s="246" t="inlineStr">
        <is>
          <t>TAVERNITI  REM M/C</t>
        </is>
      </c>
      <c r="C2230" s="22" t="n">
        <v>36500</v>
      </c>
      <c r="D2230" s="153" t="n"/>
      <c r="E2230" s="219" t="n"/>
      <c r="F2230" s="219" t="n"/>
      <c r="G2230" s="219" t="n"/>
      <c r="H2230" s="219" t="n"/>
      <c r="I2230" s="219" t="n"/>
      <c r="J2230" s="219" t="n"/>
      <c r="L2230" s="219" t="n"/>
      <c r="M2230" s="219" t="n"/>
      <c r="O2230" s="117">
        <f>C2230*P2230</f>
        <v/>
      </c>
      <c r="P2230" s="150" t="n">
        <v>1.1</v>
      </c>
      <c r="R2230" s="117" t="n"/>
      <c r="T2230" s="117" t="n"/>
    </row>
    <row r="2231" ht="16.5" customHeight="1" s="253">
      <c r="A2231" s="134" t="inlineStr">
        <is>
          <t>16262XXX</t>
        </is>
      </c>
      <c r="B2231" s="246" t="inlineStr">
        <is>
          <t>TAVERNITI  REM M/C</t>
        </is>
      </c>
      <c r="C2231" s="22" t="n">
        <v>37500</v>
      </c>
      <c r="D2231" s="153" t="n"/>
      <c r="E2231" s="219" t="n"/>
      <c r="F2231" s="219" t="n"/>
      <c r="G2231" s="219" t="n"/>
      <c r="H2231" s="219" t="n"/>
      <c r="I2231" s="219" t="n"/>
      <c r="J2231" s="219" t="n"/>
      <c r="L2231" s="219" t="n"/>
      <c r="M2231" s="219" t="n"/>
      <c r="O2231" s="117">
        <f>C2231*P2231</f>
        <v/>
      </c>
      <c r="P2231" s="150" t="n">
        <v>1.1</v>
      </c>
      <c r="R2231" s="117" t="n"/>
      <c r="T2231" s="117" t="n"/>
    </row>
    <row r="2232" ht="16.5" customHeight="1" s="253">
      <c r="A2232" s="134" t="inlineStr">
        <is>
          <t>16264XXX</t>
        </is>
      </c>
      <c r="B2232" s="246" t="inlineStr">
        <is>
          <t>TAVERNITI  REM M/C</t>
        </is>
      </c>
      <c r="C2232" s="22" t="n">
        <v>36000</v>
      </c>
      <c r="D2232" s="153" t="n"/>
      <c r="E2232" s="219" t="n"/>
      <c r="F2232" s="219" t="n"/>
      <c r="G2232" s="219" t="n"/>
      <c r="H2232" s="219" t="n"/>
      <c r="I2232" s="219" t="n"/>
      <c r="J2232" s="219" t="n"/>
      <c r="L2232" s="219" t="n"/>
      <c r="M2232" s="219" t="n"/>
      <c r="O2232" s="117">
        <f>C2232*P2232</f>
        <v/>
      </c>
      <c r="P2232" s="150" t="n">
        <v>1.1</v>
      </c>
      <c r="R2232" s="117" t="n"/>
      <c r="T2232" s="117" t="n"/>
    </row>
    <row r="2233" ht="16.5" customHeight="1" s="253">
      <c r="A2233" s="134" t="inlineStr">
        <is>
          <t>16268XXX</t>
        </is>
      </c>
      <c r="B2233" s="246" t="inlineStr">
        <is>
          <t>TAVERNITI  REM M/C</t>
        </is>
      </c>
      <c r="C2233" s="22" t="n">
        <v>36800</v>
      </c>
      <c r="D2233" s="153" t="n"/>
      <c r="E2233" s="219" t="n"/>
      <c r="F2233" s="219" t="n"/>
      <c r="G2233" s="219" t="n"/>
      <c r="H2233" s="219" t="n"/>
      <c r="I2233" s="219" t="n"/>
      <c r="J2233" s="219" t="n"/>
      <c r="L2233" s="219" t="n"/>
      <c r="M2233" s="219" t="n"/>
      <c r="O2233" s="117">
        <f>C2233*P2233</f>
        <v/>
      </c>
      <c r="P2233" s="150" t="n">
        <v>1.1</v>
      </c>
      <c r="R2233" s="117" t="n"/>
      <c r="T2233" s="117" t="n"/>
    </row>
    <row r="2234" ht="16.5" customHeight="1" s="253">
      <c r="A2234" s="134" t="inlineStr">
        <is>
          <t>16276XXX</t>
        </is>
      </c>
      <c r="B2234" s="246" t="inlineStr">
        <is>
          <t>TAVERNITI  REM M/C</t>
        </is>
      </c>
      <c r="C2234" s="22" t="n">
        <v>37300</v>
      </c>
      <c r="D2234" s="153" t="n"/>
      <c r="E2234" s="219" t="n"/>
      <c r="F2234" s="219" t="n"/>
      <c r="G2234" s="219" t="n"/>
      <c r="H2234" s="219" t="n"/>
      <c r="I2234" s="219" t="n"/>
      <c r="J2234" s="219" t="n"/>
      <c r="L2234" s="219" t="n"/>
      <c r="M2234" s="219" t="n"/>
      <c r="O2234" s="117">
        <f>C2234*P2234</f>
        <v/>
      </c>
      <c r="P2234" s="150" t="n">
        <v>1.1</v>
      </c>
      <c r="R2234" s="117" t="n"/>
      <c r="T2234" s="117" t="n"/>
    </row>
    <row r="2235" ht="16.5" customHeight="1" s="253">
      <c r="A2235" s="134" t="inlineStr">
        <is>
          <t>16278XXX</t>
        </is>
      </c>
      <c r="B2235" s="246" t="inlineStr">
        <is>
          <t>TAVERNITI  REM M/C</t>
        </is>
      </c>
      <c r="C2235" s="22" t="n">
        <v>36000</v>
      </c>
      <c r="D2235" s="153" t="n"/>
      <c r="E2235" s="219" t="n"/>
      <c r="F2235" s="219" t="n"/>
      <c r="G2235" s="219" t="n"/>
      <c r="H2235" s="219" t="n"/>
      <c r="I2235" s="219" t="n"/>
      <c r="J2235" s="219" t="n"/>
      <c r="L2235" s="219" t="n"/>
      <c r="M2235" s="219" t="n"/>
      <c r="O2235" s="117">
        <f>C2235*P2235</f>
        <v/>
      </c>
      <c r="P2235" s="150" t="n">
        <v>1.1</v>
      </c>
      <c r="R2235" s="117" t="n"/>
      <c r="T2235" s="117" t="n"/>
    </row>
    <row r="2236" ht="16.5" customHeight="1" s="253">
      <c r="A2236" s="134" t="inlineStr">
        <is>
          <t>16294XXC</t>
        </is>
      </c>
      <c r="B2236" s="246" t="inlineStr">
        <is>
          <t>TAVERNITI  REM M/C</t>
        </is>
      </c>
      <c r="C2236" s="22" t="n">
        <v>38000</v>
      </c>
      <c r="D2236" s="153" t="n"/>
      <c r="E2236" s="219" t="n"/>
      <c r="F2236" s="219" t="n"/>
      <c r="G2236" s="219" t="n"/>
      <c r="H2236" s="219" t="n"/>
      <c r="I2236" s="219" t="n"/>
      <c r="J2236" s="219" t="n"/>
      <c r="L2236" s="219" t="n"/>
      <c r="M2236" s="219" t="n"/>
      <c r="O2236" s="117">
        <f>C2236*P2236</f>
        <v/>
      </c>
      <c r="P2236" s="150" t="n">
        <v>1.1</v>
      </c>
      <c r="R2236" s="117" t="n"/>
      <c r="T2236" s="117" t="n"/>
    </row>
    <row r="2237" ht="17.25" customHeight="1" s="253">
      <c r="A2237" s="134" t="inlineStr">
        <is>
          <t>16328XXX</t>
        </is>
      </c>
      <c r="B2237" s="246" t="inlineStr">
        <is>
          <t>TAVERNITI  REM M/C</t>
        </is>
      </c>
      <c r="C2237" s="22" t="n">
        <v>33000</v>
      </c>
      <c r="D2237" s="153" t="n"/>
      <c r="E2237" s="219" t="n"/>
      <c r="F2237" s="219" t="n"/>
      <c r="G2237" s="219" t="n"/>
      <c r="H2237" s="219" t="n"/>
      <c r="I2237" s="219" t="n"/>
      <c r="J2237" s="219" t="n"/>
      <c r="L2237" s="219" t="n"/>
      <c r="M2237" s="219" t="n"/>
      <c r="O2237" s="117">
        <f>C2237*P2237</f>
        <v/>
      </c>
      <c r="P2237" s="150" t="n">
        <v>1.1</v>
      </c>
      <c r="R2237" s="117" t="n"/>
      <c r="T2237" s="117" t="n"/>
    </row>
    <row r="2238" ht="16.5" customHeight="1" s="253">
      <c r="A2238" s="134" t="inlineStr">
        <is>
          <t>16330XXX</t>
        </is>
      </c>
      <c r="B2238" s="246" t="inlineStr">
        <is>
          <t>TAVERNITI  REM M/C</t>
        </is>
      </c>
      <c r="C2238" s="22" t="n">
        <v>36500</v>
      </c>
      <c r="D2238" s="153" t="n"/>
      <c r="E2238" s="219" t="n"/>
      <c r="F2238" s="219" t="n"/>
      <c r="G2238" s="219" t="n"/>
      <c r="H2238" s="219" t="n"/>
      <c r="I2238" s="219" t="n"/>
      <c r="J2238" s="219" t="n"/>
      <c r="L2238" s="219" t="n"/>
      <c r="M2238" s="219" t="n"/>
      <c r="O2238" s="117">
        <f>C2238*P2238</f>
        <v/>
      </c>
      <c r="P2238" s="150" t="n">
        <v>1.1</v>
      </c>
      <c r="R2238" s="117" t="n"/>
      <c r="T2238" s="117" t="n"/>
    </row>
    <row r="2239" ht="16.5" customHeight="1" s="253">
      <c r="A2239" s="134" t="inlineStr">
        <is>
          <t>16506XXX</t>
        </is>
      </c>
      <c r="B2239" s="246" t="inlineStr">
        <is>
          <t>TAVERNITI  REM M/C</t>
        </is>
      </c>
      <c r="C2239" s="88" t="n">
        <v>34900</v>
      </c>
      <c r="D2239" s="22" t="n"/>
      <c r="E2239" s="22" t="n"/>
      <c r="F2239" s="22" t="n"/>
      <c r="G2239" s="219" t="n"/>
      <c r="H2239" s="219" t="n"/>
      <c r="I2239" s="219" t="n"/>
      <c r="J2239" s="219" t="n"/>
      <c r="K2239" s="219" t="n"/>
      <c r="L2239" s="219" t="n"/>
      <c r="M2239" s="219" t="n"/>
      <c r="O2239" s="117">
        <f>C2239*P2239</f>
        <v/>
      </c>
      <c r="P2239" s="150" t="n">
        <v>1.1</v>
      </c>
      <c r="R2239" s="117" t="n"/>
      <c r="T2239" s="117" t="n"/>
    </row>
    <row r="2240" ht="16.5" customHeight="1" s="253">
      <c r="A2240" s="134" t="inlineStr">
        <is>
          <t>16630XXX</t>
        </is>
      </c>
      <c r="B2240" s="246" t="inlineStr">
        <is>
          <t>TAVERNITI  REM M/C</t>
        </is>
      </c>
      <c r="C2240" s="88" t="n">
        <v>42300</v>
      </c>
      <c r="D2240" s="22" t="n"/>
      <c r="E2240" s="22" t="n"/>
      <c r="F2240" s="22" t="n"/>
      <c r="G2240" s="219" t="n"/>
      <c r="H2240" s="219" t="n"/>
      <c r="I2240" s="219" t="n"/>
      <c r="J2240" s="219" t="n"/>
      <c r="K2240" s="219" t="n"/>
      <c r="L2240" s="219" t="n"/>
      <c r="M2240" s="219" t="n"/>
      <c r="O2240" s="117">
        <f>C2240*P2240</f>
        <v/>
      </c>
      <c r="P2240" s="150" t="n">
        <v>1.1</v>
      </c>
      <c r="R2240" s="117" t="n"/>
      <c r="T2240" s="117" t="n"/>
    </row>
    <row r="2241" ht="16.5" customHeight="1" s="253">
      <c r="A2241" s="134" t="inlineStr">
        <is>
          <t>16630XXX</t>
        </is>
      </c>
      <c r="B2241" s="246" t="inlineStr">
        <is>
          <t>TAVERNITI  REM M/C</t>
        </is>
      </c>
      <c r="C2241" s="88" t="n">
        <v>42300</v>
      </c>
      <c r="D2241" s="22" t="n"/>
      <c r="E2241" s="22" t="n"/>
      <c r="F2241" s="22" t="n"/>
      <c r="G2241" s="219" t="n"/>
      <c r="H2241" s="219" t="n"/>
      <c r="I2241" s="219" t="n"/>
      <c r="J2241" s="219" t="n"/>
      <c r="K2241" s="219" t="n"/>
      <c r="L2241" s="219" t="n"/>
      <c r="M2241" s="219" t="n"/>
      <c r="O2241" s="117">
        <f>C2241*P2241</f>
        <v/>
      </c>
      <c r="P2241" s="150" t="n">
        <v>1.1</v>
      </c>
      <c r="R2241" s="117" t="n"/>
      <c r="T2241" s="117" t="n"/>
    </row>
    <row r="2242" ht="16.5" customHeight="1" s="253">
      <c r="A2242" s="89" t="inlineStr">
        <is>
          <t>16716XXX</t>
        </is>
      </c>
      <c r="B2242" s="135" t="inlineStr">
        <is>
          <t>TAVERNITI  REM M/C</t>
        </is>
      </c>
      <c r="C2242" s="88" t="n">
        <v>46700</v>
      </c>
      <c r="D2242" s="170" t="n"/>
      <c r="E2242" s="170" t="n"/>
      <c r="F2242" s="170" t="n"/>
      <c r="G2242" s="170" t="n"/>
      <c r="H2242" s="170" t="n"/>
      <c r="I2242" s="170" t="n"/>
      <c r="J2242" s="170" t="n"/>
      <c r="K2242" s="170" t="n"/>
      <c r="L2242" s="170" t="n"/>
      <c r="M2242" s="170" t="n"/>
      <c r="N2242" s="96" t="n"/>
      <c r="O2242" s="117">
        <f>C2242*P2242</f>
        <v/>
      </c>
      <c r="P2242" s="150" t="n">
        <v>1.1</v>
      </c>
      <c r="Q2242" s="30" t="n"/>
      <c r="R2242" s="170" t="n"/>
      <c r="S2242" s="30" t="n"/>
      <c r="T2242" s="170" t="n"/>
      <c r="U2242" s="30" t="n"/>
      <c r="V2242" s="30" t="n"/>
      <c r="W2242" s="30" t="n"/>
      <c r="X2242" s="30" t="n"/>
      <c r="Y2242" s="30" t="n"/>
      <c r="Z2242" s="30" t="n"/>
      <c r="AA2242" s="30" t="n"/>
      <c r="AB2242" s="30" t="n"/>
      <c r="AC2242" s="30" t="n"/>
      <c r="AD2242" s="30" t="n"/>
      <c r="AE2242" s="30" t="n"/>
      <c r="AF2242" s="30" t="n"/>
      <c r="AG2242" s="30" t="n"/>
      <c r="AH2242" s="30" t="n"/>
      <c r="AI2242" s="30" t="n"/>
      <c r="AJ2242" s="30" t="n"/>
      <c r="AK2242" s="30" t="n"/>
      <c r="AL2242" s="30" t="n"/>
      <c r="AM2242" s="30" t="n"/>
      <c r="AN2242" s="30" t="n"/>
    </row>
    <row r="2243" ht="16.5" customHeight="1" s="253">
      <c r="A2243" s="89" t="inlineStr">
        <is>
          <t>16722XXX</t>
        </is>
      </c>
      <c r="B2243" s="135" t="inlineStr">
        <is>
          <t>TAVERNITI  REM M/C</t>
        </is>
      </c>
      <c r="C2243" s="88" t="n">
        <v>42300</v>
      </c>
      <c r="D2243" s="170" t="n"/>
      <c r="E2243" s="170" t="n"/>
      <c r="F2243" s="170" t="n"/>
      <c r="G2243" s="170" t="n"/>
      <c r="H2243" s="170" t="n"/>
      <c r="I2243" s="170" t="n"/>
      <c r="J2243" s="170" t="n"/>
      <c r="K2243" s="170" t="n"/>
      <c r="L2243" s="170" t="n"/>
      <c r="M2243" s="170" t="n"/>
      <c r="O2243" s="117">
        <f>C2243*P2243</f>
        <v/>
      </c>
      <c r="P2243" s="150" t="n">
        <v>1.1</v>
      </c>
      <c r="Q2243" s="30" t="n"/>
      <c r="R2243" s="170" t="n"/>
      <c r="S2243" s="30" t="n"/>
      <c r="T2243" s="170" t="n"/>
      <c r="U2243" s="30" t="n"/>
      <c r="V2243" s="30" t="n"/>
      <c r="W2243" s="30" t="n"/>
      <c r="X2243" s="30" t="n"/>
      <c r="Y2243" s="30" t="n"/>
      <c r="Z2243" s="30" t="n"/>
      <c r="AA2243" s="30" t="n"/>
      <c r="AB2243" s="30" t="n"/>
      <c r="AC2243" s="30" t="n"/>
      <c r="AD2243" s="30" t="n"/>
      <c r="AE2243" s="30" t="n"/>
      <c r="AF2243" s="30" t="n"/>
      <c r="AG2243" s="30" t="n"/>
      <c r="AH2243" s="30" t="n"/>
      <c r="AI2243" s="30" t="n"/>
      <c r="AJ2243" s="30" t="n"/>
      <c r="AK2243" s="30" t="n"/>
      <c r="AL2243" s="30" t="n"/>
      <c r="AM2243" s="30" t="n"/>
      <c r="AN2243" s="30" t="n"/>
    </row>
    <row r="2244" ht="16.5" customHeight="1" s="253">
      <c r="A2244" s="89" t="inlineStr">
        <is>
          <t>16724XXX</t>
        </is>
      </c>
      <c r="B2244" s="135" t="inlineStr">
        <is>
          <t>TAVERNITI  REM M/C</t>
        </is>
      </c>
      <c r="C2244" s="88" t="n">
        <v>42300</v>
      </c>
      <c r="D2244" s="170" t="n"/>
      <c r="E2244" s="170" t="n"/>
      <c r="F2244" s="170" t="n"/>
      <c r="G2244" s="170" t="n"/>
      <c r="H2244" s="170" t="n"/>
      <c r="I2244" s="170" t="n"/>
      <c r="J2244" s="170" t="n"/>
      <c r="K2244" s="170" t="n"/>
      <c r="L2244" s="170" t="n"/>
      <c r="M2244" s="170" t="n"/>
      <c r="O2244" s="117">
        <f>C2244*P2244</f>
        <v/>
      </c>
      <c r="P2244" s="150" t="n">
        <v>1.1</v>
      </c>
      <c r="Q2244" s="30" t="n"/>
      <c r="R2244" s="170" t="n"/>
      <c r="S2244" s="30" t="n"/>
      <c r="T2244" s="170" t="n"/>
      <c r="U2244" s="30" t="n"/>
      <c r="V2244" s="30" t="n"/>
      <c r="W2244" s="30" t="n"/>
      <c r="X2244" s="30" t="n"/>
      <c r="Y2244" s="30" t="n"/>
      <c r="Z2244" s="30" t="n"/>
      <c r="AA2244" s="30" t="n"/>
      <c r="AB2244" s="30" t="n"/>
      <c r="AC2244" s="30" t="n"/>
      <c r="AD2244" s="30" t="n"/>
      <c r="AE2244" s="30" t="n"/>
      <c r="AF2244" s="30" t="n"/>
      <c r="AG2244" s="30" t="n"/>
      <c r="AH2244" s="30" t="n"/>
      <c r="AI2244" s="30" t="n"/>
      <c r="AJ2244" s="30" t="n"/>
      <c r="AK2244" s="30" t="n"/>
      <c r="AL2244" s="30" t="n"/>
      <c r="AM2244" s="30" t="n"/>
      <c r="AN2244" s="30" t="n"/>
    </row>
    <row r="2245" ht="16.5" customHeight="1" s="253">
      <c r="A2245" s="89" t="inlineStr">
        <is>
          <t>16726XXX</t>
        </is>
      </c>
      <c r="B2245" s="135" t="inlineStr">
        <is>
          <t>TAVERNITI  REM M/C</t>
        </is>
      </c>
      <c r="C2245" s="88" t="n">
        <v>42300</v>
      </c>
      <c r="D2245" s="170" t="n"/>
      <c r="E2245" s="170" t="n"/>
      <c r="F2245" s="170" t="n"/>
      <c r="G2245" s="170" t="n"/>
      <c r="H2245" s="170" t="n"/>
      <c r="I2245" s="170" t="n"/>
      <c r="J2245" s="170" t="n"/>
      <c r="K2245" s="170" t="n"/>
      <c r="L2245" s="170" t="n"/>
      <c r="M2245" s="170" t="n"/>
      <c r="O2245" s="117">
        <f>C2245*P2245</f>
        <v/>
      </c>
      <c r="P2245" s="150" t="n">
        <v>1.1</v>
      </c>
      <c r="Q2245" s="30" t="n"/>
      <c r="R2245" s="170" t="n"/>
      <c r="S2245" s="30" t="n"/>
      <c r="T2245" s="170" t="n"/>
      <c r="U2245" s="30" t="n"/>
      <c r="V2245" s="30" t="n"/>
      <c r="W2245" s="30" t="n"/>
      <c r="X2245" s="30" t="n"/>
      <c r="Y2245" s="30" t="n"/>
      <c r="Z2245" s="30" t="n"/>
      <c r="AA2245" s="30" t="n"/>
      <c r="AB2245" s="30" t="n"/>
      <c r="AC2245" s="30" t="n"/>
      <c r="AD2245" s="30" t="n"/>
      <c r="AE2245" s="30" t="n"/>
      <c r="AF2245" s="30" t="n"/>
      <c r="AG2245" s="30" t="n"/>
      <c r="AH2245" s="30" t="n"/>
      <c r="AI2245" s="30" t="n"/>
      <c r="AJ2245" s="30" t="n"/>
      <c r="AK2245" s="30" t="n"/>
      <c r="AL2245" s="30" t="n"/>
      <c r="AM2245" s="30" t="n"/>
      <c r="AN2245" s="30" t="n"/>
    </row>
    <row r="2246" ht="16.5" customHeight="1" s="253">
      <c r="A2246" s="89" t="inlineStr">
        <is>
          <t>16728XXX</t>
        </is>
      </c>
      <c r="B2246" s="135" t="inlineStr">
        <is>
          <t>TAVERNITI  REM M/C</t>
        </is>
      </c>
      <c r="C2246" s="88" t="n">
        <v>42300</v>
      </c>
      <c r="D2246" s="170" t="n"/>
      <c r="E2246" s="170" t="n"/>
      <c r="F2246" s="170" t="n"/>
      <c r="G2246" s="170" t="n"/>
      <c r="H2246" s="170" t="n"/>
      <c r="I2246" s="170" t="n"/>
      <c r="J2246" s="170" t="n"/>
      <c r="K2246" s="170" t="n"/>
      <c r="L2246" s="170" t="n"/>
      <c r="M2246" s="170" t="n"/>
      <c r="O2246" s="117">
        <f>C2246*P2246</f>
        <v/>
      </c>
      <c r="P2246" s="150" t="n">
        <v>1.1</v>
      </c>
      <c r="Q2246" s="30" t="n"/>
      <c r="R2246" s="170" t="n"/>
      <c r="S2246" s="30" t="n"/>
      <c r="T2246" s="170" t="n"/>
      <c r="U2246" s="30" t="n"/>
      <c r="V2246" s="30" t="n"/>
      <c r="W2246" s="30" t="n"/>
      <c r="X2246" s="30" t="n"/>
      <c r="Y2246" s="30" t="n"/>
      <c r="Z2246" s="30" t="n"/>
      <c r="AA2246" s="30" t="n"/>
      <c r="AB2246" s="30" t="n"/>
      <c r="AC2246" s="30" t="n"/>
      <c r="AD2246" s="30" t="n"/>
      <c r="AE2246" s="30" t="n"/>
      <c r="AF2246" s="30" t="n"/>
      <c r="AG2246" s="30" t="n"/>
      <c r="AH2246" s="30" t="n"/>
      <c r="AI2246" s="30" t="n"/>
      <c r="AJ2246" s="30" t="n"/>
      <c r="AK2246" s="30" t="n"/>
      <c r="AL2246" s="30" t="n"/>
      <c r="AM2246" s="30" t="n"/>
      <c r="AN2246" s="30" t="n"/>
    </row>
    <row r="2247" ht="16.5" customHeight="1" s="253">
      <c r="A2247" s="89" t="inlineStr">
        <is>
          <t>16734XXX</t>
        </is>
      </c>
      <c r="B2247" s="135" t="inlineStr">
        <is>
          <t>TAVERNITI  REM M/C</t>
        </is>
      </c>
      <c r="C2247" s="88" t="n">
        <v>42300</v>
      </c>
      <c r="D2247" s="170" t="n"/>
      <c r="E2247" s="170" t="n"/>
      <c r="F2247" s="170" t="n"/>
      <c r="G2247" s="170" t="n"/>
      <c r="H2247" s="170" t="n"/>
      <c r="I2247" s="170" t="n"/>
      <c r="J2247" s="170" t="n"/>
      <c r="K2247" s="170" t="n"/>
      <c r="L2247" s="170" t="n"/>
      <c r="M2247" s="170" t="n"/>
      <c r="O2247" s="117">
        <f>C2247*P2247</f>
        <v/>
      </c>
      <c r="P2247" s="150" t="n">
        <v>1.1</v>
      </c>
      <c r="Q2247" s="30" t="n"/>
      <c r="R2247" s="170" t="n"/>
      <c r="S2247" s="30" t="n"/>
      <c r="T2247" s="170" t="n"/>
      <c r="U2247" s="30" t="n"/>
      <c r="V2247" s="30" t="n"/>
      <c r="W2247" s="30" t="n"/>
      <c r="X2247" s="30" t="n"/>
      <c r="Y2247" s="30" t="n"/>
      <c r="Z2247" s="30" t="n"/>
      <c r="AA2247" s="30" t="n"/>
      <c r="AB2247" s="30" t="n"/>
      <c r="AC2247" s="30" t="n"/>
      <c r="AD2247" s="30" t="n"/>
      <c r="AE2247" s="30" t="n"/>
      <c r="AF2247" s="30" t="n"/>
      <c r="AG2247" s="30" t="n"/>
      <c r="AH2247" s="30" t="n"/>
      <c r="AI2247" s="30" t="n"/>
      <c r="AJ2247" s="30" t="n"/>
      <c r="AK2247" s="30" t="n"/>
      <c r="AL2247" s="30" t="n"/>
      <c r="AM2247" s="30" t="n"/>
      <c r="AN2247" s="30" t="n"/>
    </row>
    <row r="2248" ht="16.5" customHeight="1" s="253">
      <c r="A2248" s="89" t="inlineStr">
        <is>
          <t>16736XXX</t>
        </is>
      </c>
      <c r="B2248" s="135" t="inlineStr">
        <is>
          <t>TAVERNITI  REM M/C</t>
        </is>
      </c>
      <c r="C2248" s="88" t="n">
        <v>42300</v>
      </c>
      <c r="D2248" s="170" t="n"/>
      <c r="E2248" s="170" t="n"/>
      <c r="F2248" s="170" t="n"/>
      <c r="G2248" s="170" t="n"/>
      <c r="H2248" s="170" t="n"/>
      <c r="I2248" s="170" t="n"/>
      <c r="J2248" s="170" t="n"/>
      <c r="K2248" s="170" t="n"/>
      <c r="L2248" s="170" t="n"/>
      <c r="M2248" s="170" t="n"/>
      <c r="O2248" s="117">
        <f>C2248*P2248</f>
        <v/>
      </c>
      <c r="P2248" s="150" t="n">
        <v>1.1</v>
      </c>
      <c r="Q2248" s="30" t="n"/>
      <c r="R2248" s="170" t="n"/>
      <c r="S2248" s="30" t="n"/>
      <c r="T2248" s="170" t="n"/>
      <c r="U2248" s="30" t="n"/>
      <c r="V2248" s="30" t="n"/>
      <c r="W2248" s="30" t="n"/>
      <c r="X2248" s="30" t="n"/>
      <c r="Y2248" s="30" t="n"/>
      <c r="Z2248" s="30" t="n"/>
      <c r="AA2248" s="30" t="n"/>
      <c r="AB2248" s="30" t="n"/>
      <c r="AC2248" s="30" t="n"/>
      <c r="AD2248" s="30" t="n"/>
      <c r="AE2248" s="30" t="n"/>
      <c r="AF2248" s="30" t="n"/>
      <c r="AG2248" s="30" t="n"/>
      <c r="AH2248" s="30" t="n"/>
      <c r="AI2248" s="30" t="n"/>
      <c r="AJ2248" s="30" t="n"/>
      <c r="AK2248" s="30" t="n"/>
      <c r="AL2248" s="30" t="n"/>
      <c r="AM2248" s="30" t="n"/>
      <c r="AN2248" s="30" t="n"/>
    </row>
    <row r="2249" ht="16.5" customHeight="1" s="253">
      <c r="A2249" s="134" t="inlineStr">
        <is>
          <t>16742XXX</t>
        </is>
      </c>
      <c r="B2249" s="246" t="inlineStr">
        <is>
          <t>TAVERNITI  REM M/C</t>
        </is>
      </c>
      <c r="C2249" s="88" t="n">
        <v>42300</v>
      </c>
      <c r="D2249" s="22" t="n"/>
      <c r="E2249" s="22" t="n"/>
      <c r="F2249" s="22" t="n"/>
      <c r="G2249" s="219" t="n"/>
      <c r="H2249" s="219" t="n"/>
      <c r="I2249" s="219" t="n"/>
      <c r="J2249" s="219" t="n"/>
      <c r="K2249" s="219" t="n"/>
      <c r="L2249" s="219" t="n"/>
      <c r="M2249" s="219" t="n"/>
      <c r="O2249" s="117">
        <f>C2249*P2249</f>
        <v/>
      </c>
      <c r="P2249" s="150" t="n">
        <v>1.1</v>
      </c>
      <c r="R2249" s="117" t="n"/>
      <c r="T2249" s="117" t="n"/>
    </row>
    <row r="2250" ht="16.5" customHeight="1" s="253">
      <c r="A2250" s="134" t="inlineStr">
        <is>
          <t>16744XXX</t>
        </is>
      </c>
      <c r="B2250" s="246" t="inlineStr">
        <is>
          <t>TAVERNITI  REM M/C</t>
        </is>
      </c>
      <c r="C2250" s="88" t="n">
        <v>42300</v>
      </c>
      <c r="D2250" s="22" t="n"/>
      <c r="E2250" s="22" t="n"/>
      <c r="F2250" s="22" t="n"/>
      <c r="G2250" s="219" t="n"/>
      <c r="H2250" s="219" t="n"/>
      <c r="I2250" s="219" t="n"/>
      <c r="J2250" s="219" t="n"/>
      <c r="K2250" s="219" t="n"/>
      <c r="L2250" s="219" t="n"/>
      <c r="M2250" s="219" t="n"/>
      <c r="O2250" s="117">
        <f>C2250*P2250</f>
        <v/>
      </c>
      <c r="P2250" s="150" t="n">
        <v>1.1</v>
      </c>
      <c r="R2250" s="117" t="n"/>
      <c r="T2250" s="117" t="n"/>
    </row>
    <row r="2251" ht="16.5" customHeight="1" s="253">
      <c r="A2251" s="134" t="inlineStr">
        <is>
          <t>16746XXX</t>
        </is>
      </c>
      <c r="B2251" s="246" t="inlineStr">
        <is>
          <t>TAVERNITI  REM M/C</t>
        </is>
      </c>
      <c r="C2251" s="88" t="n">
        <v>42300</v>
      </c>
      <c r="D2251" s="22" t="n"/>
      <c r="E2251" s="22" t="n"/>
      <c r="F2251" s="22" t="n"/>
      <c r="G2251" s="219" t="n"/>
      <c r="H2251" s="219" t="n"/>
      <c r="I2251" s="219" t="n"/>
      <c r="J2251" s="219" t="n"/>
      <c r="K2251" s="219" t="n"/>
      <c r="L2251" s="219" t="n"/>
      <c r="M2251" s="219" t="n"/>
      <c r="O2251" s="117">
        <f>C2251*P2251</f>
        <v/>
      </c>
      <c r="P2251" s="150" t="n">
        <v>1.1</v>
      </c>
      <c r="R2251" s="117" t="n"/>
      <c r="T2251" s="117" t="n"/>
    </row>
    <row r="2252" ht="16.5" customHeight="1" s="253">
      <c r="A2252" s="134" t="inlineStr">
        <is>
          <t>16750XXX</t>
        </is>
      </c>
      <c r="B2252" s="246" t="inlineStr">
        <is>
          <t>TAVERNITI  REM M/C</t>
        </is>
      </c>
      <c r="C2252" s="88" t="n">
        <v>44000</v>
      </c>
      <c r="D2252" s="22" t="n"/>
      <c r="E2252" s="22" t="n"/>
      <c r="F2252" s="22" t="n"/>
      <c r="G2252" s="219" t="n"/>
      <c r="H2252" s="219" t="n"/>
      <c r="I2252" s="219" t="n"/>
      <c r="J2252" s="219" t="n"/>
      <c r="K2252" s="219" t="n"/>
      <c r="L2252" s="219" t="n"/>
      <c r="M2252" s="219" t="n"/>
      <c r="O2252" s="117">
        <f>C2252*P2252</f>
        <v/>
      </c>
      <c r="P2252" s="150" t="n">
        <v>1.1</v>
      </c>
      <c r="R2252" s="117" t="n"/>
      <c r="T2252" s="117" t="n"/>
    </row>
    <row r="2253" ht="16.5" customHeight="1" s="253">
      <c r="A2253" s="134" t="inlineStr">
        <is>
          <t>16782XXX</t>
        </is>
      </c>
      <c r="B2253" s="246" t="inlineStr">
        <is>
          <t>TAVERNITI  REM M/C</t>
        </is>
      </c>
      <c r="C2253" s="88" t="n">
        <v>45800</v>
      </c>
      <c r="D2253" s="22" t="n"/>
      <c r="E2253" s="22" t="n"/>
      <c r="F2253" s="22" t="n"/>
      <c r="G2253" s="219" t="n"/>
      <c r="H2253" s="219" t="n"/>
      <c r="I2253" s="219" t="n"/>
      <c r="J2253" s="219" t="n"/>
      <c r="K2253" s="219" t="n"/>
      <c r="L2253" s="219" t="n"/>
      <c r="M2253" s="219" t="n"/>
      <c r="O2253" s="117">
        <f>C2253*P2253</f>
        <v/>
      </c>
      <c r="P2253" s="150" t="n">
        <v>1.1</v>
      </c>
      <c r="R2253" s="117" t="n"/>
      <c r="T2253" s="117" t="n"/>
    </row>
    <row r="2254" ht="16.5" customHeight="1" s="253">
      <c r="A2254" s="134" t="inlineStr">
        <is>
          <t>16788XXX</t>
        </is>
      </c>
      <c r="B2254" s="246" t="inlineStr">
        <is>
          <t>TAVERNITI  REM M/C</t>
        </is>
      </c>
      <c r="C2254" s="88" t="n">
        <v>45800</v>
      </c>
      <c r="D2254" s="22" t="n"/>
      <c r="E2254" s="22" t="n"/>
      <c r="F2254" s="22" t="n"/>
      <c r="G2254" s="219" t="n"/>
      <c r="H2254" s="219" t="n"/>
      <c r="I2254" s="219" t="n"/>
      <c r="J2254" s="219" t="n"/>
      <c r="K2254" s="219" t="n"/>
      <c r="L2254" s="219" t="n"/>
      <c r="M2254" s="219" t="n"/>
      <c r="O2254" s="117">
        <f>C2254*P2254</f>
        <v/>
      </c>
      <c r="P2254" s="150" t="n">
        <v>1.1</v>
      </c>
      <c r="R2254" s="117" t="n"/>
      <c r="T2254" s="117" t="n"/>
    </row>
    <row r="2255" ht="16.5" customHeight="1" s="253">
      <c r="A2255" s="89" t="inlineStr">
        <is>
          <t>16798XXX</t>
        </is>
      </c>
      <c r="B2255" s="135" t="inlineStr">
        <is>
          <t>TAVERNITI  REM M/C</t>
        </is>
      </c>
      <c r="C2255" s="88" t="n">
        <v>45800</v>
      </c>
      <c r="D2255" s="170" t="n"/>
      <c r="E2255" s="170" t="n"/>
      <c r="F2255" s="170" t="n"/>
      <c r="G2255" s="170" t="n"/>
      <c r="H2255" s="170" t="n"/>
      <c r="I2255" s="170" t="n"/>
      <c r="J2255" s="170" t="n"/>
      <c r="K2255" s="170" t="n"/>
      <c r="L2255" s="170" t="n"/>
      <c r="M2255" s="170" t="n"/>
      <c r="O2255" s="117">
        <f>C2255*P2255</f>
        <v/>
      </c>
      <c r="P2255" s="150" t="n">
        <v>1.1</v>
      </c>
      <c r="Q2255" s="30" t="n"/>
      <c r="R2255" s="170" t="n"/>
      <c r="S2255" s="30" t="n"/>
      <c r="T2255" s="170" t="n"/>
      <c r="U2255" s="30" t="n"/>
      <c r="V2255" s="30" t="n"/>
      <c r="W2255" s="30" t="n"/>
      <c r="X2255" s="30" t="n"/>
      <c r="Y2255" s="30" t="n"/>
      <c r="Z2255" s="30" t="n"/>
      <c r="AA2255" s="30" t="n"/>
      <c r="AB2255" s="30" t="n"/>
      <c r="AC2255" s="30" t="n"/>
      <c r="AD2255" s="30" t="n"/>
      <c r="AE2255" s="30" t="n"/>
      <c r="AF2255" s="30" t="n"/>
      <c r="AG2255" s="30" t="n"/>
      <c r="AH2255" s="30" t="n"/>
      <c r="AI2255" s="30" t="n"/>
      <c r="AJ2255" s="30" t="n"/>
      <c r="AK2255" s="30" t="n"/>
      <c r="AL2255" s="30" t="n"/>
      <c r="AM2255" s="30" t="n"/>
      <c r="AN2255" s="30" t="n"/>
    </row>
    <row r="2256" ht="16.5" customHeight="1" s="253">
      <c r="A2256" s="134" t="inlineStr">
        <is>
          <t>16860XXX</t>
        </is>
      </c>
      <c r="B2256" s="246" t="inlineStr">
        <is>
          <t>TAVERNITI  REM M/C</t>
        </is>
      </c>
      <c r="C2256" s="88" t="n">
        <v>45800</v>
      </c>
      <c r="D2256" s="22" t="n"/>
      <c r="E2256" s="22" t="n"/>
      <c r="F2256" s="22" t="n"/>
      <c r="G2256" s="219" t="n"/>
      <c r="H2256" s="219" t="n"/>
      <c r="I2256" s="219" t="n"/>
      <c r="J2256" s="219" t="n"/>
      <c r="K2256" s="219" t="n"/>
      <c r="L2256" s="219" t="n"/>
      <c r="M2256" s="219" t="n"/>
      <c r="O2256" s="117">
        <f>C2256*P2256</f>
        <v/>
      </c>
      <c r="P2256" s="150" t="n">
        <v>1.1</v>
      </c>
      <c r="R2256" s="117" t="n"/>
      <c r="T2256" s="117" t="n"/>
    </row>
    <row r="2257" ht="16.5" customHeight="1" s="253">
      <c r="A2257" s="134" t="inlineStr">
        <is>
          <t>16862XXX</t>
        </is>
      </c>
      <c r="B2257" s="246" t="inlineStr">
        <is>
          <t>TAVERNITI  REM M/C</t>
        </is>
      </c>
      <c r="C2257" s="88" t="n">
        <v>42900</v>
      </c>
      <c r="D2257" s="22" t="n"/>
      <c r="E2257" s="22" t="n"/>
      <c r="F2257" s="22" t="n"/>
      <c r="G2257" s="219" t="n"/>
      <c r="H2257" s="219" t="n"/>
      <c r="I2257" s="219" t="n"/>
      <c r="J2257" s="219" t="n"/>
      <c r="K2257" s="219" t="n"/>
      <c r="L2257" s="219" t="n"/>
      <c r="M2257" s="219" t="n"/>
      <c r="O2257" s="117">
        <f>C2257*P2257</f>
        <v/>
      </c>
      <c r="P2257" s="150" t="n">
        <v>1.1</v>
      </c>
      <c r="R2257" s="117" t="n"/>
      <c r="T2257" s="117" t="n"/>
    </row>
    <row r="2258" ht="16.5" customHeight="1" s="253">
      <c r="A2258" s="134" t="inlineStr">
        <is>
          <t>16864XXX</t>
        </is>
      </c>
      <c r="B2258" s="246" t="inlineStr">
        <is>
          <t>TAVERNITI  REM M/C</t>
        </is>
      </c>
      <c r="C2258" s="88" t="n">
        <v>42900</v>
      </c>
      <c r="D2258" s="22" t="n"/>
      <c r="E2258" s="22" t="n"/>
      <c r="F2258" s="22" t="n"/>
      <c r="G2258" s="219" t="n"/>
      <c r="H2258" s="219" t="n"/>
      <c r="I2258" s="219" t="n"/>
      <c r="J2258" s="219" t="n"/>
      <c r="K2258" s="219" t="n"/>
      <c r="L2258" s="219" t="n"/>
      <c r="M2258" s="219" t="n"/>
      <c r="O2258" s="117">
        <f>C2258*P2258</f>
        <v/>
      </c>
      <c r="P2258" s="150" t="n">
        <v>1.1</v>
      </c>
      <c r="R2258" s="117" t="n"/>
      <c r="T2258" s="117" t="n"/>
    </row>
    <row r="2259" ht="16.5" customHeight="1" s="253">
      <c r="A2259" s="134" t="inlineStr">
        <is>
          <t>16868XXX</t>
        </is>
      </c>
      <c r="B2259" s="246" t="inlineStr">
        <is>
          <t>TAVERNITI  REM M/C</t>
        </is>
      </c>
      <c r="C2259" s="88" t="n">
        <v>42900</v>
      </c>
      <c r="D2259" s="22" t="n"/>
      <c r="E2259" s="22" t="n"/>
      <c r="F2259" s="22" t="n"/>
      <c r="G2259" s="219" t="n"/>
      <c r="H2259" s="219" t="n"/>
      <c r="I2259" s="219" t="n"/>
      <c r="J2259" s="219" t="n"/>
      <c r="K2259" s="219" t="n"/>
      <c r="L2259" s="219" t="n"/>
      <c r="M2259" s="219" t="n"/>
      <c r="O2259" s="117">
        <f>C2259*P2259</f>
        <v/>
      </c>
      <c r="P2259" s="150" t="n">
        <v>1.1</v>
      </c>
      <c r="R2259" s="117" t="n"/>
      <c r="T2259" s="117" t="n"/>
    </row>
    <row r="2260" ht="16.5" customHeight="1" s="253">
      <c r="A2260" s="134" t="inlineStr">
        <is>
          <t>16870XXX</t>
        </is>
      </c>
      <c r="B2260" s="246" t="inlineStr">
        <is>
          <t>TAVERNITI  REM M/C</t>
        </is>
      </c>
      <c r="C2260" s="88" t="n">
        <v>43100</v>
      </c>
      <c r="D2260" s="22" t="n"/>
      <c r="E2260" s="22" t="n"/>
      <c r="F2260" s="22" t="n"/>
      <c r="G2260" s="219" t="n"/>
      <c r="H2260" s="219" t="n"/>
      <c r="I2260" s="219" t="n"/>
      <c r="J2260" s="219" t="n"/>
      <c r="K2260" s="219" t="n"/>
      <c r="L2260" s="219" t="n"/>
      <c r="M2260" s="219" t="n"/>
      <c r="O2260" s="117">
        <f>C2260*P2260</f>
        <v/>
      </c>
      <c r="P2260" s="150" t="n">
        <v>1.1</v>
      </c>
      <c r="R2260" s="117" t="n"/>
      <c r="T2260" s="117" t="n"/>
    </row>
    <row r="2261" ht="16.5" customHeight="1" s="253">
      <c r="A2261" s="134" t="inlineStr">
        <is>
          <t>16874XXX</t>
        </is>
      </c>
      <c r="B2261" s="246" t="inlineStr">
        <is>
          <t>TAVERNITI  REM M/C</t>
        </is>
      </c>
      <c r="C2261" s="88" t="n">
        <v>42900</v>
      </c>
      <c r="D2261" s="22" t="n"/>
      <c r="E2261" s="22" t="n"/>
      <c r="F2261" s="22" t="n"/>
      <c r="G2261" s="219" t="n"/>
      <c r="H2261" s="219" t="n"/>
      <c r="I2261" s="219" t="n"/>
      <c r="J2261" s="219" t="n"/>
      <c r="K2261" s="219" t="n"/>
      <c r="L2261" s="219" t="n"/>
      <c r="M2261" s="219" t="n"/>
      <c r="O2261" s="117">
        <f>C2261*P2261</f>
        <v/>
      </c>
      <c r="P2261" s="150" t="n">
        <v>1.1</v>
      </c>
      <c r="R2261" s="117" t="n"/>
      <c r="T2261" s="117" t="n"/>
    </row>
    <row r="2262" ht="16.5" customHeight="1" s="253">
      <c r="A2262" s="134" t="inlineStr">
        <is>
          <t>16876XXX</t>
        </is>
      </c>
      <c r="B2262" s="246" t="inlineStr">
        <is>
          <t>TAVERNITI  REM M/C</t>
        </is>
      </c>
      <c r="C2262" s="88" t="n">
        <v>42900</v>
      </c>
      <c r="D2262" s="22" t="n"/>
      <c r="E2262" s="22" t="n"/>
      <c r="F2262" s="22" t="n"/>
      <c r="G2262" s="219" t="n"/>
      <c r="H2262" s="219" t="n"/>
      <c r="I2262" s="219" t="n"/>
      <c r="J2262" s="219" t="n"/>
      <c r="K2262" s="219" t="n"/>
      <c r="L2262" s="219" t="n"/>
      <c r="M2262" s="219" t="n"/>
      <c r="O2262" s="117">
        <f>C2262*P2262</f>
        <v/>
      </c>
      <c r="P2262" s="150" t="n">
        <v>1.1</v>
      </c>
      <c r="R2262" s="117" t="n"/>
      <c r="T2262" s="117" t="n"/>
    </row>
    <row r="2263" ht="16.5" customHeight="1" s="253">
      <c r="A2263" s="134" t="inlineStr">
        <is>
          <t>16878XXX</t>
        </is>
      </c>
      <c r="B2263" s="246" t="inlineStr">
        <is>
          <t>TAVERNITI  REM M/C</t>
        </is>
      </c>
      <c r="C2263" s="88" t="n">
        <v>42900</v>
      </c>
      <c r="D2263" s="22" t="n"/>
      <c r="E2263" s="22" t="n"/>
      <c r="F2263" s="22" t="n"/>
      <c r="G2263" s="219" t="n"/>
      <c r="H2263" s="219" t="n"/>
      <c r="I2263" s="219" t="n"/>
      <c r="J2263" s="219" t="n"/>
      <c r="K2263" s="219" t="n"/>
      <c r="L2263" s="219" t="n"/>
      <c r="M2263" s="219" t="n"/>
      <c r="O2263" s="117">
        <f>C2263*P2263</f>
        <v/>
      </c>
      <c r="P2263" s="150" t="n">
        <v>1.1</v>
      </c>
      <c r="R2263" s="117" t="n"/>
      <c r="T2263" s="117" t="n"/>
    </row>
    <row r="2264" ht="16.5" customHeight="1" s="253">
      <c r="A2264" s="134" t="inlineStr">
        <is>
          <t>16880XXX</t>
        </is>
      </c>
      <c r="B2264" s="246" t="inlineStr">
        <is>
          <t>TAVERNITI  REM M/C</t>
        </is>
      </c>
      <c r="C2264" s="88" t="n">
        <v>42900</v>
      </c>
      <c r="D2264" s="22" t="n"/>
      <c r="E2264" s="22" t="n"/>
      <c r="F2264" s="22" t="n"/>
      <c r="G2264" s="219" t="n"/>
      <c r="H2264" s="219" t="n"/>
      <c r="I2264" s="219" t="n"/>
      <c r="J2264" s="219" t="n"/>
      <c r="K2264" s="219" t="n"/>
      <c r="L2264" s="219" t="n"/>
      <c r="M2264" s="219" t="n"/>
      <c r="O2264" s="117">
        <f>C2264*P2264</f>
        <v/>
      </c>
      <c r="P2264" s="150" t="n">
        <v>1.1</v>
      </c>
      <c r="R2264" s="117" t="n"/>
      <c r="T2264" s="117" t="n"/>
    </row>
    <row r="2265" ht="16.5" customHeight="1" s="253">
      <c r="A2265" s="134" t="inlineStr">
        <is>
          <t>16882XXX</t>
        </is>
      </c>
      <c r="B2265" s="246" t="inlineStr">
        <is>
          <t>TAVERNITI  REM M/C</t>
        </is>
      </c>
      <c r="C2265" s="88" t="n">
        <v>43800</v>
      </c>
      <c r="D2265" s="22" t="n"/>
      <c r="E2265" s="22" t="n"/>
      <c r="F2265" s="22" t="n"/>
      <c r="G2265" s="219" t="n"/>
      <c r="H2265" s="219" t="n"/>
      <c r="I2265" s="219" t="n"/>
      <c r="J2265" s="219" t="n"/>
      <c r="K2265" s="219" t="n"/>
      <c r="L2265" s="219" t="n"/>
      <c r="M2265" s="219" t="n"/>
      <c r="O2265" s="117">
        <f>C2265*P2265</f>
        <v/>
      </c>
      <c r="P2265" s="150" t="n">
        <v>1.1</v>
      </c>
      <c r="R2265" s="117" t="n"/>
      <c r="T2265" s="117" t="n"/>
    </row>
    <row r="2266" ht="16.5" customHeight="1" s="253">
      <c r="A2266" s="134" t="inlineStr">
        <is>
          <t>16884XXX</t>
        </is>
      </c>
      <c r="B2266" s="246" t="inlineStr">
        <is>
          <t>TAVERNITI  REM M/C</t>
        </is>
      </c>
      <c r="C2266" s="88" t="n">
        <v>42900</v>
      </c>
      <c r="D2266" s="22" t="n"/>
      <c r="E2266" s="22" t="n"/>
      <c r="F2266" s="22" t="n"/>
      <c r="G2266" s="219" t="n"/>
      <c r="H2266" s="219" t="n"/>
      <c r="I2266" s="219" t="n"/>
      <c r="J2266" s="219" t="n"/>
      <c r="K2266" s="219" t="n"/>
      <c r="L2266" s="219" t="n"/>
      <c r="M2266" s="219" t="n"/>
      <c r="O2266" s="117">
        <f>C2266*P2266</f>
        <v/>
      </c>
      <c r="P2266" s="150" t="n">
        <v>1.1</v>
      </c>
      <c r="R2266" s="117" t="n"/>
      <c r="T2266" s="117" t="n"/>
    </row>
    <row r="2267" ht="16.5" customHeight="1" s="253">
      <c r="A2267" s="134" t="inlineStr">
        <is>
          <t>16886XXX</t>
        </is>
      </c>
      <c r="B2267" s="246" t="inlineStr">
        <is>
          <t>TAVERNITI  REM M/C</t>
        </is>
      </c>
      <c r="C2267" s="88" t="n">
        <v>42900</v>
      </c>
      <c r="D2267" s="22" t="n"/>
      <c r="E2267" s="22" t="n"/>
      <c r="F2267" s="22" t="n"/>
      <c r="G2267" s="219" t="n"/>
      <c r="H2267" s="219" t="n"/>
      <c r="I2267" s="219" t="n"/>
      <c r="J2267" s="219" t="n"/>
      <c r="K2267" s="219" t="n"/>
      <c r="L2267" s="219" t="n"/>
      <c r="M2267" s="219" t="n"/>
      <c r="O2267" s="117">
        <f>C2267*P2267</f>
        <v/>
      </c>
      <c r="P2267" s="150" t="n">
        <v>1.1</v>
      </c>
      <c r="R2267" s="117" t="n"/>
      <c r="T2267" s="117" t="n"/>
    </row>
    <row r="2268" ht="16.5" customHeight="1" s="253">
      <c r="A2268" s="134" t="inlineStr">
        <is>
          <t>16888XXX</t>
        </is>
      </c>
      <c r="B2268" s="246" t="inlineStr">
        <is>
          <t>TAVERNITI  REM M/C</t>
        </is>
      </c>
      <c r="C2268" s="88" t="n">
        <v>42100</v>
      </c>
      <c r="D2268" s="22" t="n"/>
      <c r="E2268" s="22" t="n"/>
      <c r="F2268" s="22" t="n"/>
      <c r="G2268" s="219" t="n"/>
      <c r="H2268" s="219" t="n"/>
      <c r="I2268" s="219" t="n"/>
      <c r="J2268" s="219" t="n"/>
      <c r="K2268" s="219" t="n"/>
      <c r="L2268" s="219" t="n"/>
      <c r="M2268" s="219" t="n"/>
      <c r="O2268" s="117">
        <f>C2268*P2268</f>
        <v/>
      </c>
      <c r="P2268" s="150" t="n">
        <v>1.1</v>
      </c>
      <c r="R2268" s="117" t="n"/>
      <c r="T2268" s="117" t="n"/>
    </row>
    <row r="2269" ht="16.5" customHeight="1" s="253">
      <c r="A2269" s="134" t="inlineStr">
        <is>
          <t>17042XXX</t>
        </is>
      </c>
      <c r="B2269" s="246" t="inlineStr">
        <is>
          <t>TAVERNITI  REM M/C</t>
        </is>
      </c>
      <c r="C2269" s="88" t="n">
        <v>27900</v>
      </c>
      <c r="D2269" s="22" t="n"/>
      <c r="E2269" s="22" t="n"/>
      <c r="F2269" s="22" t="n"/>
      <c r="G2269" s="219" t="n"/>
      <c r="H2269" s="219" t="n"/>
      <c r="I2269" s="219" t="n"/>
      <c r="J2269" s="219" t="n"/>
      <c r="K2269" s="219" t="n"/>
      <c r="L2269" s="219" t="n"/>
      <c r="M2269" s="219" t="n"/>
      <c r="O2269" s="117">
        <f>C2269*P2269</f>
        <v/>
      </c>
      <c r="P2269" s="150" t="n">
        <v>1.1</v>
      </c>
      <c r="R2269" s="117" t="n"/>
      <c r="T2269" s="117" t="n"/>
    </row>
    <row r="2270" ht="16.5" customHeight="1" s="253">
      <c r="A2270" s="134" t="inlineStr">
        <is>
          <t>17046XXX</t>
        </is>
      </c>
      <c r="B2270" s="246" t="inlineStr">
        <is>
          <t>TAVERNITI  REM M/C</t>
        </is>
      </c>
      <c r="C2270" s="88" t="n">
        <v>27900</v>
      </c>
      <c r="D2270" s="22" t="n"/>
      <c r="E2270" s="22" t="n"/>
      <c r="F2270" s="22" t="n"/>
      <c r="G2270" s="219" t="n"/>
      <c r="H2270" s="219" t="n"/>
      <c r="I2270" s="219" t="n"/>
      <c r="J2270" s="219" t="n"/>
      <c r="K2270" s="219" t="n"/>
      <c r="L2270" s="219" t="n"/>
      <c r="M2270" s="219" t="n"/>
      <c r="O2270" s="117">
        <f>C2270*P2270</f>
        <v/>
      </c>
      <c r="P2270" s="150" t="n">
        <v>1.1</v>
      </c>
      <c r="R2270" s="117" t="n"/>
      <c r="T2270" s="117" t="n"/>
    </row>
    <row r="2271" ht="16.5" customHeight="1" s="253">
      <c r="A2271" s="134" t="inlineStr">
        <is>
          <t>17052XXX</t>
        </is>
      </c>
      <c r="B2271" s="246" t="inlineStr">
        <is>
          <t>TAVERNITI  REM M/C</t>
        </is>
      </c>
      <c r="C2271" s="88" t="n">
        <v>57500</v>
      </c>
      <c r="D2271" s="22" t="n"/>
      <c r="E2271" s="22" t="n"/>
      <c r="F2271" s="22" t="n"/>
      <c r="G2271" s="219" t="n"/>
      <c r="H2271" s="219" t="n"/>
      <c r="I2271" s="219" t="n"/>
      <c r="J2271" s="219" t="n"/>
      <c r="K2271" s="219" t="n"/>
      <c r="L2271" s="219" t="n"/>
      <c r="M2271" s="219" t="n"/>
      <c r="O2271" s="117">
        <f>C2271*P2271</f>
        <v/>
      </c>
      <c r="P2271" s="150" t="n">
        <v>1.1</v>
      </c>
      <c r="R2271" s="117" t="n"/>
      <c r="T2271" s="117" t="n"/>
    </row>
    <row r="2272" ht="16.5" customHeight="1" s="253">
      <c r="A2272" s="134" t="inlineStr">
        <is>
          <t>17084XXX</t>
        </is>
      </c>
      <c r="B2272" s="246" t="inlineStr">
        <is>
          <t>TAVERNITI  REM M/C</t>
        </is>
      </c>
      <c r="C2272" s="88" t="n">
        <v>34700</v>
      </c>
      <c r="D2272" s="22" t="n"/>
      <c r="E2272" s="22" t="n"/>
      <c r="F2272" s="22" t="n"/>
      <c r="G2272" s="219" t="n"/>
      <c r="H2272" s="219" t="n"/>
      <c r="I2272" s="219" t="n"/>
      <c r="J2272" s="219" t="n"/>
      <c r="K2272" s="219" t="n"/>
      <c r="L2272" s="219" t="n"/>
      <c r="M2272" s="219" t="n"/>
      <c r="O2272" s="117">
        <f>C2272*P2272</f>
        <v/>
      </c>
      <c r="P2272" s="150" t="n">
        <v>1.1</v>
      </c>
      <c r="R2272" s="117" t="n"/>
      <c r="T2272" s="117" t="n"/>
    </row>
    <row r="2273" ht="16.5" customHeight="1" s="253">
      <c r="A2273" s="134" t="inlineStr">
        <is>
          <t>17146XXX</t>
        </is>
      </c>
      <c r="B2273" s="246" t="inlineStr">
        <is>
          <t>TAVERNITI  REM M/C</t>
        </is>
      </c>
      <c r="C2273" s="88" t="n">
        <v>30800</v>
      </c>
      <c r="D2273" s="22" t="n"/>
      <c r="E2273" s="22" t="n"/>
      <c r="F2273" s="22" t="n"/>
      <c r="G2273" s="219" t="n"/>
      <c r="H2273" s="219" t="n"/>
      <c r="I2273" s="219" t="n"/>
      <c r="J2273" s="219" t="n"/>
      <c r="K2273" s="219" t="n"/>
      <c r="L2273" s="219" t="n"/>
      <c r="M2273" s="219" t="n"/>
      <c r="O2273" s="117">
        <f>C2273*P2273</f>
        <v/>
      </c>
      <c r="P2273" s="150" t="n">
        <v>1.1</v>
      </c>
      <c r="R2273" s="117" t="n"/>
      <c r="T2273" s="117" t="n"/>
    </row>
    <row r="2274" ht="16.5" customHeight="1" s="253">
      <c r="A2274" s="134" t="inlineStr">
        <is>
          <t>17156XXX</t>
        </is>
      </c>
      <c r="B2274" s="246" t="inlineStr">
        <is>
          <t>TAVERNITI  REM M/C</t>
        </is>
      </c>
      <c r="C2274" s="88" t="n">
        <v>31900</v>
      </c>
      <c r="D2274" s="22" t="n"/>
      <c r="E2274" s="22" t="n"/>
      <c r="F2274" s="22" t="n"/>
      <c r="G2274" s="219" t="n"/>
      <c r="H2274" s="219" t="n"/>
      <c r="I2274" s="219" t="n"/>
      <c r="J2274" s="219" t="n"/>
      <c r="K2274" s="219" t="n"/>
      <c r="L2274" s="219" t="n"/>
      <c r="M2274" s="219" t="n"/>
      <c r="O2274" s="117">
        <f>C2274*P2274</f>
        <v/>
      </c>
      <c r="P2274" s="150" t="n">
        <v>1.1</v>
      </c>
      <c r="R2274" s="117" t="n"/>
      <c r="T2274" s="117" t="n"/>
    </row>
    <row r="2275" ht="16.5" customHeight="1" s="253">
      <c r="A2275" s="134" t="inlineStr">
        <is>
          <t>17158XXX</t>
        </is>
      </c>
      <c r="B2275" s="246" t="inlineStr">
        <is>
          <t>TAVERNITI  REM M/C</t>
        </is>
      </c>
      <c r="C2275" s="88" t="n">
        <v>31900</v>
      </c>
      <c r="D2275" s="22" t="n"/>
      <c r="E2275" s="22" t="n"/>
      <c r="F2275" s="22" t="n"/>
      <c r="G2275" s="219" t="n"/>
      <c r="H2275" s="219" t="n"/>
      <c r="I2275" s="219" t="n"/>
      <c r="J2275" s="219" t="n"/>
      <c r="K2275" s="219" t="n"/>
      <c r="L2275" s="219" t="n"/>
      <c r="M2275" s="219" t="n"/>
      <c r="O2275" s="117">
        <f>C2275*P2275</f>
        <v/>
      </c>
      <c r="P2275" s="150" t="n">
        <v>1.1</v>
      </c>
      <c r="R2275" s="117" t="n"/>
      <c r="T2275" s="117" t="n"/>
    </row>
    <row r="2276">
      <c r="A2276" s="89" t="inlineStr">
        <is>
          <t>17202XXX</t>
        </is>
      </c>
      <c r="B2276" s="246" t="inlineStr">
        <is>
          <t>TAVERNITI  REM M/C</t>
        </is>
      </c>
      <c r="C2276" s="88" t="n">
        <v>39200</v>
      </c>
      <c r="D2276" s="88" t="n"/>
      <c r="E2276" s="88" t="n"/>
      <c r="F2276" s="22" t="n"/>
      <c r="G2276" s="22" t="n"/>
      <c r="H2276" s="22" t="n"/>
      <c r="I2276" s="22" t="n"/>
      <c r="J2276" s="22" t="n"/>
      <c r="K2276" s="22" t="n"/>
      <c r="L2276" s="219" t="n"/>
      <c r="M2276" s="219" t="n"/>
      <c r="O2276" s="117">
        <f>C2276*P2276</f>
        <v/>
      </c>
      <c r="P2276" s="150" t="n">
        <v>1.1</v>
      </c>
      <c r="R2276" s="117" t="n"/>
      <c r="T2276" s="117" t="n"/>
    </row>
    <row r="2277" ht="16.5" customHeight="1" s="253">
      <c r="A2277" s="134" t="inlineStr">
        <is>
          <t>17288XXX</t>
        </is>
      </c>
      <c r="B2277" s="246" t="inlineStr">
        <is>
          <t>TAVERNITI  REM M/C</t>
        </is>
      </c>
      <c r="C2277" s="88" t="n">
        <v>36700</v>
      </c>
      <c r="D2277" s="22" t="n"/>
      <c r="E2277" s="22" t="n"/>
      <c r="F2277" s="22" t="n"/>
      <c r="G2277" s="219" t="n"/>
      <c r="H2277" s="219" t="n"/>
      <c r="I2277" s="219" t="n"/>
      <c r="J2277" s="219" t="n"/>
      <c r="K2277" s="219" t="n"/>
      <c r="L2277" s="219" t="n"/>
      <c r="M2277" s="219" t="n"/>
      <c r="O2277" s="117">
        <f>C2277*P2277</f>
        <v/>
      </c>
      <c r="P2277" s="150" t="n">
        <v>1.1</v>
      </c>
      <c r="R2277" s="117" t="n"/>
      <c r="T2277" s="117" t="n"/>
    </row>
    <row r="2278" ht="16.5" customHeight="1" s="253">
      <c r="A2278" s="134" t="inlineStr">
        <is>
          <t>17308XXX</t>
        </is>
      </c>
      <c r="B2278" s="246" t="inlineStr">
        <is>
          <t>TAVERNITI   CHOMBA M/C</t>
        </is>
      </c>
      <c r="C2278" s="88" t="n">
        <v>29300</v>
      </c>
      <c r="D2278" s="219" t="n"/>
      <c r="E2278" s="219" t="n"/>
      <c r="F2278" s="219" t="n"/>
      <c r="G2278" s="219" t="n"/>
      <c r="H2278" s="219" t="n"/>
      <c r="I2278" s="219" t="n"/>
      <c r="J2278" s="219" t="n"/>
      <c r="K2278" s="183" t="n"/>
      <c r="L2278" s="219" t="n"/>
      <c r="M2278" s="219" t="n"/>
      <c r="O2278" s="117">
        <f>C2278*P2278</f>
        <v/>
      </c>
      <c r="P2278" s="150" t="n">
        <v>1.1</v>
      </c>
      <c r="R2278" s="117" t="n"/>
      <c r="T2278" s="117" t="n"/>
    </row>
    <row r="2279" ht="16.5" customHeight="1" s="253">
      <c r="A2279" s="134" t="inlineStr">
        <is>
          <t>17310XXX</t>
        </is>
      </c>
      <c r="B2279" s="246" t="inlineStr">
        <is>
          <t>TAVERNITI  REM M/C</t>
        </is>
      </c>
      <c r="C2279" s="88" t="n">
        <v>37800</v>
      </c>
      <c r="D2279" s="22" t="n"/>
      <c r="E2279" s="22" t="n"/>
      <c r="F2279" s="22" t="n"/>
      <c r="G2279" s="219" t="n"/>
      <c r="H2279" s="219" t="n"/>
      <c r="I2279" s="219" t="n"/>
      <c r="J2279" s="219" t="n"/>
      <c r="K2279" s="219" t="n"/>
      <c r="L2279" s="219" t="n"/>
      <c r="M2279" s="219" t="n"/>
      <c r="O2279" s="117">
        <f>C2279*P2279</f>
        <v/>
      </c>
      <c r="P2279" s="150" t="n">
        <v>1.1</v>
      </c>
      <c r="R2279" s="117" t="n"/>
      <c r="T2279" s="117" t="n"/>
    </row>
    <row r="2280" ht="16.5" customHeight="1" s="253">
      <c r="A2280" s="134" t="inlineStr">
        <is>
          <t>17314XXX</t>
        </is>
      </c>
      <c r="B2280" s="246" t="inlineStr">
        <is>
          <t>TAVERNITI  REM M/C</t>
        </is>
      </c>
      <c r="C2280" s="88" t="n">
        <v>37800</v>
      </c>
      <c r="D2280" s="22" t="n"/>
      <c r="E2280" s="22" t="n"/>
      <c r="F2280" s="22" t="n"/>
      <c r="G2280" s="219" t="n"/>
      <c r="H2280" s="219" t="n"/>
      <c r="I2280" s="219" t="n"/>
      <c r="J2280" s="219" t="n"/>
      <c r="K2280" s="219" t="n"/>
      <c r="L2280" s="219" t="n"/>
      <c r="M2280" s="219" t="n"/>
      <c r="O2280" s="117">
        <f>C2280*P2280</f>
        <v/>
      </c>
      <c r="P2280" s="150" t="n">
        <v>1.1</v>
      </c>
      <c r="R2280" s="117" t="n"/>
      <c r="T2280" s="117" t="n"/>
    </row>
    <row r="2281" ht="16.5" customHeight="1" s="253">
      <c r="A2281" s="134" t="inlineStr">
        <is>
          <t>17316XXX</t>
        </is>
      </c>
      <c r="B2281" s="246" t="inlineStr">
        <is>
          <t>TAVERNITI  REM M/C</t>
        </is>
      </c>
      <c r="C2281" s="88" t="n">
        <v>37800</v>
      </c>
      <c r="D2281" s="22" t="n"/>
      <c r="E2281" s="22" t="n"/>
      <c r="F2281" s="22" t="n"/>
      <c r="G2281" s="219" t="n"/>
      <c r="H2281" s="219" t="n"/>
      <c r="I2281" s="219" t="n"/>
      <c r="J2281" s="219" t="n"/>
      <c r="K2281" s="219" t="n"/>
      <c r="L2281" s="219" t="n"/>
      <c r="M2281" s="219" t="n"/>
      <c r="O2281" s="117">
        <f>C2281*P2281</f>
        <v/>
      </c>
      <c r="P2281" s="150" t="n">
        <v>1.1</v>
      </c>
      <c r="R2281" s="117" t="n"/>
      <c r="T2281" s="117" t="n"/>
    </row>
    <row r="2282" ht="16.5" customHeight="1" s="253">
      <c r="A2282" s="134" t="inlineStr">
        <is>
          <t>17340XXX</t>
        </is>
      </c>
      <c r="B2282" s="246" t="inlineStr">
        <is>
          <t>TAVERNITI  REM M/C</t>
        </is>
      </c>
      <c r="C2282" s="88" t="n">
        <v>37800</v>
      </c>
      <c r="D2282" s="22" t="n"/>
      <c r="E2282" s="22" t="n"/>
      <c r="F2282" s="22" t="n"/>
      <c r="G2282" s="219" t="n"/>
      <c r="H2282" s="219" t="n"/>
      <c r="I2282" s="219" t="n"/>
      <c r="J2282" s="219" t="n"/>
      <c r="K2282" s="219" t="n"/>
      <c r="L2282" s="219" t="n"/>
      <c r="M2282" s="219" t="n"/>
      <c r="O2282" s="117">
        <f>C2282*P2282</f>
        <v/>
      </c>
      <c r="P2282" s="150" t="n">
        <v>1.1</v>
      </c>
      <c r="R2282" s="117" t="n"/>
      <c r="T2282" s="117" t="n"/>
    </row>
    <row r="2283" ht="16.5" customHeight="1" s="253">
      <c r="A2283" s="134" t="inlineStr">
        <is>
          <t>17344XXX</t>
        </is>
      </c>
      <c r="B2283" s="246" t="inlineStr">
        <is>
          <t>TAVERNITI  REM M/C</t>
        </is>
      </c>
      <c r="C2283" s="88" t="n">
        <v>37800</v>
      </c>
      <c r="D2283" s="22" t="n"/>
      <c r="E2283" s="22" t="n"/>
      <c r="F2283" s="22" t="n"/>
      <c r="G2283" s="219" t="n"/>
      <c r="H2283" s="219" t="n"/>
      <c r="I2283" s="219" t="n"/>
      <c r="J2283" s="219" t="n"/>
      <c r="K2283" s="219" t="n"/>
      <c r="L2283" s="219" t="n"/>
      <c r="M2283" s="219" t="n"/>
      <c r="O2283" s="117">
        <f>C2283*P2283</f>
        <v/>
      </c>
      <c r="P2283" s="150" t="n">
        <v>1.1</v>
      </c>
      <c r="R2283" s="117" t="n"/>
      <c r="T2283" s="117" t="n"/>
    </row>
    <row r="2284" ht="16.5" customHeight="1" s="253">
      <c r="A2284" s="134" t="inlineStr">
        <is>
          <t>17346XXX</t>
        </is>
      </c>
      <c r="B2284" s="246" t="inlineStr">
        <is>
          <t>TAVERNITI  REM M/C</t>
        </is>
      </c>
      <c r="C2284" s="88" t="n">
        <v>37800</v>
      </c>
      <c r="D2284" s="22" t="n"/>
      <c r="E2284" s="22" t="n"/>
      <c r="F2284" s="22" t="n"/>
      <c r="G2284" s="219" t="n"/>
      <c r="H2284" s="219" t="n"/>
      <c r="I2284" s="219" t="n"/>
      <c r="J2284" s="219" t="n"/>
      <c r="K2284" s="219" t="n"/>
      <c r="L2284" s="219" t="n"/>
      <c r="M2284" s="219" t="n"/>
      <c r="O2284" s="117">
        <f>C2284*P2284</f>
        <v/>
      </c>
      <c r="P2284" s="150" t="n">
        <v>1.1</v>
      </c>
      <c r="R2284" s="117" t="n"/>
      <c r="T2284" s="117" t="n"/>
    </row>
    <row r="2285" ht="16.5" customHeight="1" s="253">
      <c r="A2285" s="134" t="inlineStr">
        <is>
          <t>17348XXX</t>
        </is>
      </c>
      <c r="B2285" s="246" t="inlineStr">
        <is>
          <t>TAVERNITI  REM M/C</t>
        </is>
      </c>
      <c r="C2285" s="88" t="n">
        <v>37800</v>
      </c>
      <c r="D2285" s="22" t="n"/>
      <c r="E2285" s="22" t="n"/>
      <c r="F2285" s="22" t="n"/>
      <c r="G2285" s="219" t="n"/>
      <c r="H2285" s="219" t="n"/>
      <c r="I2285" s="219" t="n"/>
      <c r="J2285" s="219" t="n"/>
      <c r="K2285" s="219" t="n"/>
      <c r="L2285" s="219" t="n"/>
      <c r="M2285" s="219" t="n"/>
      <c r="O2285" s="117">
        <f>C2285*P2285</f>
        <v/>
      </c>
      <c r="P2285" s="150" t="n">
        <v>1.1</v>
      </c>
      <c r="R2285" s="117" t="n"/>
      <c r="T2285" s="117" t="n"/>
    </row>
    <row r="2286" ht="16.5" customHeight="1" s="253">
      <c r="A2286" s="134" t="inlineStr">
        <is>
          <t>17352XXX</t>
        </is>
      </c>
      <c r="B2286" s="246" t="inlineStr">
        <is>
          <t>TAVERNITI  REM M/C</t>
        </is>
      </c>
      <c r="C2286" s="88" t="n">
        <v>37800</v>
      </c>
      <c r="D2286" s="22" t="n"/>
      <c r="E2286" s="22" t="n"/>
      <c r="F2286" s="22" t="n"/>
      <c r="G2286" s="219" t="n"/>
      <c r="H2286" s="219" t="n"/>
      <c r="I2286" s="219" t="n"/>
      <c r="J2286" s="219" t="n"/>
      <c r="K2286" s="219" t="n"/>
      <c r="L2286" s="219" t="n"/>
      <c r="M2286" s="219" t="n"/>
      <c r="O2286" s="117">
        <f>C2286*P2286</f>
        <v/>
      </c>
      <c r="P2286" s="150" t="n">
        <v>1.1</v>
      </c>
      <c r="R2286" s="117" t="n"/>
      <c r="T2286" s="117" t="n"/>
    </row>
    <row r="2287" ht="16.5" customHeight="1" s="253">
      <c r="A2287" s="134" t="inlineStr">
        <is>
          <t>17354XXX</t>
        </is>
      </c>
      <c r="B2287" s="246" t="inlineStr">
        <is>
          <t>TAVERNITI  REM M/C</t>
        </is>
      </c>
      <c r="C2287" s="88" t="n">
        <v>44900</v>
      </c>
      <c r="D2287" s="22" t="n"/>
      <c r="E2287" s="22" t="n"/>
      <c r="F2287" s="22" t="n"/>
      <c r="G2287" s="219" t="n"/>
      <c r="H2287" s="219" t="n"/>
      <c r="I2287" s="219" t="n"/>
      <c r="J2287" s="219" t="n"/>
      <c r="K2287" s="219" t="n"/>
      <c r="L2287" s="219" t="n"/>
      <c r="M2287" s="219" t="n"/>
      <c r="O2287" s="117">
        <f>C2287*P2287</f>
        <v/>
      </c>
      <c r="P2287" s="150" t="n">
        <v>1.1</v>
      </c>
      <c r="R2287" s="117" t="n"/>
      <c r="T2287" s="117" t="n"/>
    </row>
    <row r="2288" ht="16.5" customHeight="1" s="253">
      <c r="A2288" s="134" t="inlineStr">
        <is>
          <t>17364XXX</t>
        </is>
      </c>
      <c r="B2288" s="246" t="inlineStr">
        <is>
          <t>TAVERNITI  REM M/C</t>
        </is>
      </c>
      <c r="C2288" s="88" t="n">
        <v>40700</v>
      </c>
      <c r="D2288" s="22" t="n"/>
      <c r="E2288" s="22" t="n"/>
      <c r="F2288" s="22" t="n"/>
      <c r="G2288" s="219" t="n"/>
      <c r="H2288" s="219" t="n"/>
      <c r="I2288" s="219" t="n"/>
      <c r="J2288" s="219" t="n"/>
      <c r="K2288" s="219" t="n"/>
      <c r="L2288" s="219" t="n"/>
      <c r="M2288" s="219" t="n"/>
      <c r="O2288" s="117">
        <f>C2288*P2288</f>
        <v/>
      </c>
      <c r="P2288" s="150" t="n">
        <v>1.1</v>
      </c>
      <c r="R2288" s="117" t="n"/>
      <c r="T2288" s="117" t="n"/>
    </row>
    <row r="2289" ht="16.5" customHeight="1" s="253">
      <c r="A2289" s="134" t="inlineStr">
        <is>
          <t>17366XXX</t>
        </is>
      </c>
      <c r="B2289" s="246" t="inlineStr">
        <is>
          <t>TAVERNITI  REM M/C</t>
        </is>
      </c>
      <c r="C2289" s="88" t="n">
        <v>44300</v>
      </c>
      <c r="D2289" s="22" t="n"/>
      <c r="E2289" s="22" t="n"/>
      <c r="F2289" s="22" t="n"/>
      <c r="G2289" s="219" t="n"/>
      <c r="H2289" s="219" t="n"/>
      <c r="I2289" s="219" t="n"/>
      <c r="J2289" s="219" t="n"/>
      <c r="K2289" s="219" t="n"/>
      <c r="L2289" s="219" t="n"/>
      <c r="M2289" s="219" t="n"/>
      <c r="O2289" s="117">
        <f>C2289*P2289</f>
        <v/>
      </c>
      <c r="P2289" s="150" t="n">
        <v>1.1</v>
      </c>
      <c r="R2289" s="117" t="n"/>
      <c r="T2289" s="117" t="n"/>
    </row>
    <row r="2290" ht="16.5" customHeight="1" s="253">
      <c r="A2290" s="134" t="inlineStr">
        <is>
          <t>17392XXX</t>
        </is>
      </c>
      <c r="B2290" s="246" t="inlineStr">
        <is>
          <t>TAVERNITI  REM M/C</t>
        </is>
      </c>
      <c r="C2290" s="88" t="n">
        <v>45100</v>
      </c>
      <c r="D2290" s="22" t="n"/>
      <c r="E2290" s="22" t="n"/>
      <c r="F2290" s="22" t="n"/>
      <c r="G2290" s="219" t="n"/>
      <c r="H2290" s="219" t="n"/>
      <c r="I2290" s="219" t="n"/>
      <c r="J2290" s="219" t="n"/>
      <c r="K2290" s="219" t="n"/>
      <c r="L2290" s="219" t="n"/>
      <c r="M2290" s="219" t="n"/>
      <c r="O2290" s="117">
        <f>C2290*P2290</f>
        <v/>
      </c>
      <c r="P2290" s="150" t="n">
        <v>1.1</v>
      </c>
      <c r="R2290" s="117" t="n"/>
      <c r="T2290" s="117" t="n"/>
    </row>
    <row r="2291" ht="16.5" customHeight="1" s="253">
      <c r="A2291" s="134" t="inlineStr">
        <is>
          <t>17464XXX</t>
        </is>
      </c>
      <c r="B2291" s="246" t="inlineStr">
        <is>
          <t>TAVERNITI  REM M/C</t>
        </is>
      </c>
      <c r="C2291" s="88" t="n">
        <v>31600</v>
      </c>
      <c r="D2291" s="22" t="n"/>
      <c r="E2291" s="22" t="n"/>
      <c r="F2291" s="22" t="n"/>
      <c r="G2291" s="219" t="n"/>
      <c r="H2291" s="219" t="n"/>
      <c r="I2291" s="219" t="n"/>
      <c r="J2291" s="219" t="n"/>
      <c r="K2291" s="219" t="n"/>
      <c r="L2291" s="219" t="n"/>
      <c r="M2291" s="219" t="n"/>
      <c r="O2291" s="117">
        <f>C2291*P2291</f>
        <v/>
      </c>
      <c r="P2291" s="150" t="n">
        <v>1.1</v>
      </c>
      <c r="R2291" s="117" t="n"/>
      <c r="T2291" s="117" t="n"/>
    </row>
    <row r="2292" ht="16.5" customHeight="1" s="253">
      <c r="A2292" s="134" t="inlineStr">
        <is>
          <t>17468XXX</t>
        </is>
      </c>
      <c r="B2292" s="246" t="inlineStr">
        <is>
          <t>TAVERNITI  REM M/C</t>
        </is>
      </c>
      <c r="C2292" s="88" t="n">
        <v>31600</v>
      </c>
      <c r="D2292" s="22" t="n"/>
      <c r="E2292" s="22" t="n"/>
      <c r="F2292" s="22" t="n"/>
      <c r="G2292" s="219" t="n"/>
      <c r="H2292" s="219" t="n"/>
      <c r="I2292" s="219" t="n"/>
      <c r="J2292" s="219" t="n"/>
      <c r="K2292" s="219" t="n"/>
      <c r="L2292" s="219" t="n"/>
      <c r="M2292" s="219" t="n"/>
      <c r="O2292" s="117">
        <f>C2292*P2292</f>
        <v/>
      </c>
      <c r="P2292" s="150" t="n">
        <v>1.1</v>
      </c>
      <c r="R2292" s="117" t="n"/>
      <c r="T2292" s="117" t="n"/>
    </row>
    <row r="2293" ht="16.5" customHeight="1" s="253">
      <c r="A2293" s="134" t="inlineStr">
        <is>
          <t>17470XXX</t>
        </is>
      </c>
      <c r="B2293" s="246" t="inlineStr">
        <is>
          <t>TAVERNITI  REM M/C</t>
        </is>
      </c>
      <c r="C2293" s="88" t="n">
        <v>45100</v>
      </c>
      <c r="D2293" s="22" t="n"/>
      <c r="E2293" s="22" t="n"/>
      <c r="F2293" s="22" t="n"/>
      <c r="G2293" s="219" t="n"/>
      <c r="H2293" s="219" t="n"/>
      <c r="I2293" s="219" t="n"/>
      <c r="J2293" s="219" t="n"/>
      <c r="K2293" s="219" t="n"/>
      <c r="L2293" s="219" t="n"/>
      <c r="M2293" s="219" t="n"/>
      <c r="O2293" s="117">
        <f>C2293*P2293</f>
        <v/>
      </c>
      <c r="P2293" s="150" t="n">
        <v>1.1</v>
      </c>
      <c r="R2293" s="117" t="n"/>
      <c r="T2293" s="117" t="n"/>
    </row>
    <row r="2294" ht="16.5" customHeight="1" s="253">
      <c r="A2294" s="134" t="inlineStr">
        <is>
          <t>17474XXX</t>
        </is>
      </c>
      <c r="B2294" s="246" t="inlineStr">
        <is>
          <t>TAVERNITI  REM M/C</t>
        </is>
      </c>
      <c r="C2294" s="88" t="n">
        <v>45100</v>
      </c>
      <c r="D2294" s="22" t="n"/>
      <c r="E2294" s="22" t="n"/>
      <c r="F2294" s="22" t="n"/>
      <c r="G2294" s="219" t="n"/>
      <c r="H2294" s="219" t="n"/>
      <c r="I2294" s="219" t="n"/>
      <c r="J2294" s="219" t="n"/>
      <c r="K2294" s="219" t="n"/>
      <c r="L2294" s="219" t="n"/>
      <c r="M2294" s="219" t="n"/>
      <c r="O2294" s="117">
        <f>C2294*P2294</f>
        <v/>
      </c>
      <c r="P2294" s="150" t="n">
        <v>1.1</v>
      </c>
      <c r="R2294" s="117" t="n"/>
      <c r="T2294" s="117" t="n"/>
    </row>
    <row r="2295" ht="16.5" customHeight="1" s="253">
      <c r="A2295" s="134" t="inlineStr">
        <is>
          <t>17476XXX</t>
        </is>
      </c>
      <c r="B2295" s="246" t="inlineStr">
        <is>
          <t>TAVERNITI  REM M/C</t>
        </is>
      </c>
      <c r="C2295" s="88" t="n">
        <v>45100</v>
      </c>
      <c r="D2295" s="22" t="n"/>
      <c r="E2295" s="22" t="n"/>
      <c r="F2295" s="22" t="n"/>
      <c r="G2295" s="219" t="n"/>
      <c r="H2295" s="219" t="n"/>
      <c r="I2295" s="219" t="n"/>
      <c r="J2295" s="219" t="n"/>
      <c r="K2295" s="219" t="n"/>
      <c r="L2295" s="219" t="n"/>
      <c r="M2295" s="219" t="n"/>
      <c r="O2295" s="117">
        <f>C2295*P2295</f>
        <v/>
      </c>
      <c r="P2295" s="150" t="n">
        <v>1.1</v>
      </c>
      <c r="R2295" s="117" t="n"/>
      <c r="T2295" s="117" t="n"/>
    </row>
    <row r="2296" ht="16.5" customHeight="1" s="253">
      <c r="A2296" s="134" t="inlineStr">
        <is>
          <t>17478XXX</t>
        </is>
      </c>
      <c r="B2296" s="246" t="inlineStr">
        <is>
          <t>TAVERNITI  REM M/C</t>
        </is>
      </c>
      <c r="C2296" s="88" t="n">
        <v>45100</v>
      </c>
      <c r="D2296" s="22" t="n"/>
      <c r="E2296" s="22" t="n"/>
      <c r="F2296" s="22" t="n"/>
      <c r="G2296" s="219" t="n"/>
      <c r="H2296" s="219" t="n"/>
      <c r="I2296" s="219" t="n"/>
      <c r="J2296" s="219" t="n"/>
      <c r="K2296" s="219" t="n"/>
      <c r="L2296" s="219" t="n"/>
      <c r="M2296" s="219" t="n"/>
      <c r="O2296" s="117">
        <f>C2296*P2296</f>
        <v/>
      </c>
      <c r="P2296" s="150" t="n">
        <v>1.1</v>
      </c>
      <c r="R2296" s="117" t="n"/>
      <c r="T2296" s="117" t="n"/>
    </row>
    <row r="2297" ht="16.5" customHeight="1" s="253">
      <c r="A2297" s="134" t="inlineStr">
        <is>
          <t>17486XXX</t>
        </is>
      </c>
      <c r="B2297" s="246" t="inlineStr">
        <is>
          <t>TAVERNITI  REM M/C</t>
        </is>
      </c>
      <c r="C2297" s="88" t="n">
        <v>45100</v>
      </c>
      <c r="D2297" s="22" t="n"/>
      <c r="E2297" s="22" t="n"/>
      <c r="F2297" s="22" t="n"/>
      <c r="G2297" s="219" t="n"/>
      <c r="H2297" s="219" t="n"/>
      <c r="I2297" s="219" t="n"/>
      <c r="J2297" s="219" t="n"/>
      <c r="K2297" s="219" t="n"/>
      <c r="L2297" s="219" t="n"/>
      <c r="M2297" s="219" t="n"/>
      <c r="O2297" s="117">
        <f>C2297*P2297</f>
        <v/>
      </c>
      <c r="P2297" s="150" t="n">
        <v>1.1</v>
      </c>
      <c r="R2297" s="117" t="n"/>
      <c r="T2297" s="117" t="n"/>
    </row>
    <row r="2298" ht="16.5" customHeight="1" s="253">
      <c r="A2298" s="134" t="inlineStr">
        <is>
          <t>17488XXX</t>
        </is>
      </c>
      <c r="B2298" s="246" t="inlineStr">
        <is>
          <t>TAVERNITI  REM M/C</t>
        </is>
      </c>
      <c r="C2298" s="88" t="n">
        <v>45100</v>
      </c>
      <c r="D2298" s="22" t="n"/>
      <c r="E2298" s="22" t="n"/>
      <c r="F2298" s="22" t="n"/>
      <c r="G2298" s="219" t="n"/>
      <c r="H2298" s="219" t="n"/>
      <c r="I2298" s="219" t="n"/>
      <c r="J2298" s="219" t="n"/>
      <c r="K2298" s="219" t="n"/>
      <c r="L2298" s="219" t="n"/>
      <c r="M2298" s="219" t="n"/>
      <c r="O2298" s="117">
        <f>C2298*P2298</f>
        <v/>
      </c>
      <c r="P2298" s="150" t="n">
        <v>1.1</v>
      </c>
      <c r="R2298" s="117" t="n"/>
      <c r="T2298" s="117" t="n"/>
    </row>
    <row r="2299" ht="16.5" customHeight="1" s="253">
      <c r="A2299" s="134" t="inlineStr">
        <is>
          <t>17490XXX</t>
        </is>
      </c>
      <c r="B2299" s="246" t="inlineStr">
        <is>
          <t>TAVERNITI  REM M/C</t>
        </is>
      </c>
      <c r="C2299" s="88" t="n">
        <v>45100</v>
      </c>
      <c r="D2299" s="22" t="n"/>
      <c r="E2299" s="22" t="n"/>
      <c r="F2299" s="22" t="n"/>
      <c r="G2299" s="219" t="n"/>
      <c r="H2299" s="219" t="n"/>
      <c r="I2299" s="219" t="n"/>
      <c r="J2299" s="219" t="n"/>
      <c r="K2299" s="219" t="n"/>
      <c r="L2299" s="219" t="n"/>
      <c r="M2299" s="219" t="n"/>
      <c r="O2299" s="117">
        <f>C2299*P2299</f>
        <v/>
      </c>
      <c r="P2299" s="150" t="n">
        <v>1.1</v>
      </c>
      <c r="R2299" s="117" t="n"/>
      <c r="T2299" s="117" t="n"/>
    </row>
    <row r="2300" ht="16.5" customHeight="1" s="253">
      <c r="A2300" s="134" t="inlineStr">
        <is>
          <t>17498XXX</t>
        </is>
      </c>
      <c r="B2300" s="246" t="inlineStr">
        <is>
          <t>TAVERNITI  REM M/C</t>
        </is>
      </c>
      <c r="C2300" s="88" t="n">
        <v>45100</v>
      </c>
      <c r="D2300" s="22" t="n"/>
      <c r="E2300" s="22" t="n"/>
      <c r="F2300" s="22" t="n"/>
      <c r="G2300" s="219" t="n"/>
      <c r="H2300" s="219" t="n"/>
      <c r="I2300" s="219" t="n"/>
      <c r="J2300" s="219" t="n"/>
      <c r="K2300" s="219" t="n"/>
      <c r="L2300" s="219" t="n"/>
      <c r="M2300" s="219" t="n"/>
      <c r="O2300" s="117">
        <f>C2300*P2300</f>
        <v/>
      </c>
      <c r="P2300" s="150" t="n">
        <v>1.1</v>
      </c>
      <c r="R2300" s="117" t="n"/>
      <c r="T2300" s="117" t="n"/>
    </row>
    <row r="2301" ht="16.5" customHeight="1" s="253">
      <c r="A2301" s="134" t="inlineStr">
        <is>
          <t>17508XXX</t>
        </is>
      </c>
      <c r="B2301" s="246" t="inlineStr">
        <is>
          <t>TAVERNITI  REM M/C</t>
        </is>
      </c>
      <c r="C2301" s="88" t="n">
        <v>36400</v>
      </c>
      <c r="D2301" s="22" t="n"/>
      <c r="E2301" s="22" t="n"/>
      <c r="F2301" s="22" t="n"/>
      <c r="G2301" s="219" t="n"/>
      <c r="H2301" s="219" t="n"/>
      <c r="I2301" s="219" t="n"/>
      <c r="J2301" s="219" t="n"/>
      <c r="K2301" s="219" t="n"/>
      <c r="L2301" s="219" t="n"/>
      <c r="M2301" s="219" t="n"/>
      <c r="O2301" s="117">
        <f>C2301*P2301</f>
        <v/>
      </c>
      <c r="P2301" s="150" t="n">
        <v>1.1</v>
      </c>
      <c r="R2301" s="117" t="n"/>
      <c r="T2301" s="117" t="n"/>
    </row>
    <row r="2302" ht="16.5" customHeight="1" s="253">
      <c r="A2302" s="134" t="inlineStr">
        <is>
          <t>17520XXX</t>
        </is>
      </c>
      <c r="B2302" s="246" t="inlineStr">
        <is>
          <t>TAVERNITI  REM M/C</t>
        </is>
      </c>
      <c r="C2302" s="88" t="n">
        <v>41200</v>
      </c>
      <c r="D2302" s="22" t="n"/>
      <c r="E2302" s="22" t="n"/>
      <c r="F2302" s="22" t="n"/>
      <c r="G2302" s="219" t="n"/>
      <c r="H2302" s="219" t="n"/>
      <c r="I2302" s="219" t="n"/>
      <c r="J2302" s="219" t="n"/>
      <c r="K2302" s="219" t="n"/>
      <c r="L2302" s="219" t="n"/>
      <c r="M2302" s="219" t="n"/>
      <c r="O2302" s="117">
        <f>C2302*P2302</f>
        <v/>
      </c>
      <c r="P2302" s="150" t="n">
        <v>1.1</v>
      </c>
      <c r="R2302" s="117" t="n"/>
      <c r="T2302" s="117" t="n"/>
    </row>
    <row r="2303" ht="16.5" customHeight="1" s="253">
      <c r="A2303" s="134" t="inlineStr">
        <is>
          <t>17558XXX</t>
        </is>
      </c>
      <c r="B2303" s="246" t="inlineStr">
        <is>
          <t>TAVERNITI  REM M/C</t>
        </is>
      </c>
      <c r="C2303" s="88" t="n">
        <v>38400</v>
      </c>
      <c r="D2303" s="22" t="n"/>
      <c r="E2303" s="22" t="n"/>
      <c r="F2303" s="22" t="n"/>
      <c r="G2303" s="219" t="n"/>
      <c r="H2303" s="219" t="n"/>
      <c r="I2303" s="219" t="n"/>
      <c r="J2303" s="219" t="n"/>
      <c r="K2303" s="219" t="n"/>
      <c r="L2303" s="219" t="n"/>
      <c r="M2303" s="219" t="n"/>
      <c r="O2303" s="117">
        <f>C2303*P2303</f>
        <v/>
      </c>
      <c r="P2303" s="150" t="n">
        <v>1.1</v>
      </c>
      <c r="R2303" s="117" t="n"/>
      <c r="T2303" s="117" t="n"/>
    </row>
    <row r="2304" ht="16.5" customHeight="1" s="253">
      <c r="A2304" s="134" t="inlineStr">
        <is>
          <t>17562XXX</t>
        </is>
      </c>
      <c r="B2304" s="246" t="inlineStr">
        <is>
          <t>TAVERNITI  REM M/C</t>
        </is>
      </c>
      <c r="C2304" s="88" t="n">
        <v>35600</v>
      </c>
      <c r="D2304" s="22" t="n"/>
      <c r="E2304" s="22" t="n"/>
      <c r="F2304" s="22" t="n"/>
      <c r="G2304" s="219" t="n"/>
      <c r="H2304" s="219" t="n"/>
      <c r="I2304" s="219" t="n"/>
      <c r="J2304" s="219" t="n"/>
      <c r="K2304" s="219" t="n"/>
      <c r="L2304" s="219" t="n"/>
      <c r="M2304" s="219" t="n"/>
      <c r="O2304" s="117">
        <f>C2304*P2304</f>
        <v/>
      </c>
      <c r="P2304" s="150" t="n">
        <v>1.1</v>
      </c>
      <c r="R2304" s="117" t="n"/>
      <c r="T2304" s="117" t="n"/>
    </row>
    <row r="2305" ht="16.5" customHeight="1" s="253">
      <c r="A2305" s="134" t="inlineStr">
        <is>
          <t>17564XXX</t>
        </is>
      </c>
      <c r="B2305" s="246" t="inlineStr">
        <is>
          <t>TAVERNITI  REM M/C</t>
        </is>
      </c>
      <c r="C2305" s="88" t="n">
        <v>38400</v>
      </c>
      <c r="D2305" s="22" t="n"/>
      <c r="E2305" s="22" t="n"/>
      <c r="F2305" s="22" t="n"/>
      <c r="G2305" s="219" t="n"/>
      <c r="H2305" s="219" t="n"/>
      <c r="I2305" s="219" t="n"/>
      <c r="J2305" s="219" t="n"/>
      <c r="K2305" s="219" t="n"/>
      <c r="L2305" s="219" t="n"/>
      <c r="M2305" s="219" t="n"/>
      <c r="O2305" s="117">
        <f>C2305*P2305</f>
        <v/>
      </c>
      <c r="P2305" s="150" t="n">
        <v>1.1</v>
      </c>
      <c r="R2305" s="117" t="n"/>
      <c r="T2305" s="117" t="n"/>
    </row>
    <row r="2306" ht="16.5" customHeight="1" s="253">
      <c r="A2306" s="134" t="inlineStr">
        <is>
          <t>17568XXX</t>
        </is>
      </c>
      <c r="B2306" s="246" t="inlineStr">
        <is>
          <t>TAVERNITI  REM M/C</t>
        </is>
      </c>
      <c r="C2306" s="88" t="n">
        <v>35600</v>
      </c>
      <c r="D2306" s="22" t="n"/>
      <c r="E2306" s="22" t="n"/>
      <c r="F2306" s="22" t="n"/>
      <c r="G2306" s="219" t="n"/>
      <c r="H2306" s="219" t="n"/>
      <c r="I2306" s="219" t="n"/>
      <c r="J2306" s="219" t="n"/>
      <c r="K2306" s="219" t="n"/>
      <c r="L2306" s="219" t="n"/>
      <c r="M2306" s="219" t="n"/>
      <c r="O2306" s="117">
        <f>C2306*P2306</f>
        <v/>
      </c>
      <c r="P2306" s="150" t="n">
        <v>1.1</v>
      </c>
      <c r="R2306" s="117" t="n"/>
      <c r="T2306" s="117" t="n"/>
    </row>
    <row r="2307" ht="16.5" customHeight="1" s="253">
      <c r="A2307" s="134" t="inlineStr">
        <is>
          <t>17578XXX</t>
        </is>
      </c>
      <c r="B2307" s="246" t="inlineStr">
        <is>
          <t>TAVERNITI  REM M/C</t>
        </is>
      </c>
      <c r="C2307" s="88" t="n">
        <v>45100</v>
      </c>
      <c r="D2307" s="22" t="n"/>
      <c r="E2307" s="22" t="n"/>
      <c r="F2307" s="22" t="n"/>
      <c r="G2307" s="219" t="n"/>
      <c r="H2307" s="219" t="n"/>
      <c r="I2307" s="219" t="n"/>
      <c r="J2307" s="219" t="n"/>
      <c r="K2307" s="219" t="n"/>
      <c r="L2307" s="219" t="n"/>
      <c r="M2307" s="219" t="n"/>
      <c r="O2307" s="117">
        <f>C2307*P2307</f>
        <v/>
      </c>
      <c r="P2307" s="150" t="n">
        <v>1.1</v>
      </c>
      <c r="R2307" s="117" t="n"/>
      <c r="T2307" s="117" t="n"/>
    </row>
    <row r="2308" ht="16.5" customHeight="1" s="253">
      <c r="A2308" s="134" t="inlineStr">
        <is>
          <t>17596XXX</t>
        </is>
      </c>
      <c r="B2308" s="246" t="inlineStr">
        <is>
          <t>TAVERNITI  REM M/C</t>
        </is>
      </c>
      <c r="C2308" s="88" t="n">
        <v>45100</v>
      </c>
      <c r="D2308" s="22" t="n"/>
      <c r="E2308" s="22" t="n"/>
      <c r="F2308" s="22" t="n"/>
      <c r="G2308" s="219" t="n"/>
      <c r="H2308" s="219" t="n"/>
      <c r="I2308" s="219" t="n"/>
      <c r="J2308" s="219" t="n"/>
      <c r="K2308" s="219" t="n"/>
      <c r="L2308" s="219" t="n"/>
      <c r="M2308" s="219" t="n"/>
      <c r="O2308" s="117">
        <f>C2308*P2308</f>
        <v/>
      </c>
      <c r="P2308" s="150" t="n">
        <v>1.1</v>
      </c>
      <c r="R2308" s="117" t="n"/>
      <c r="T2308" s="117" t="n"/>
    </row>
    <row r="2309" ht="16.5" customHeight="1" s="253">
      <c r="A2309" s="134" t="inlineStr">
        <is>
          <t>17598XXX</t>
        </is>
      </c>
      <c r="B2309" s="246" t="inlineStr">
        <is>
          <t>TAVERNITI  REM M/C</t>
        </is>
      </c>
      <c r="C2309" s="88" t="n">
        <v>45100</v>
      </c>
      <c r="D2309" s="22" t="n"/>
      <c r="E2309" s="22" t="n"/>
      <c r="F2309" s="22" t="n"/>
      <c r="G2309" s="219" t="n"/>
      <c r="H2309" s="219" t="n"/>
      <c r="I2309" s="219" t="n"/>
      <c r="J2309" s="219" t="n"/>
      <c r="K2309" s="219" t="n"/>
      <c r="L2309" s="219" t="n"/>
      <c r="M2309" s="219" t="n"/>
      <c r="O2309" s="117">
        <f>C2309*P2309</f>
        <v/>
      </c>
      <c r="P2309" s="150" t="n">
        <v>1.1</v>
      </c>
      <c r="R2309" s="117" t="n"/>
      <c r="T2309" s="117" t="n"/>
    </row>
    <row r="2310" ht="16.5" customHeight="1" s="253">
      <c r="A2310" s="89" t="inlineStr">
        <is>
          <t>17644XXX</t>
        </is>
      </c>
      <c r="B2310" s="135" t="inlineStr">
        <is>
          <t>TAVERNITI  REM M/C</t>
        </is>
      </c>
      <c r="C2310" s="88" t="n">
        <v>47000</v>
      </c>
      <c r="D2310" s="170" t="n"/>
      <c r="E2310" s="170" t="n"/>
      <c r="F2310" s="170" t="n"/>
      <c r="G2310" s="170" t="n"/>
      <c r="H2310" s="170" t="n"/>
      <c r="I2310" s="170" t="n"/>
      <c r="J2310" s="170" t="n"/>
      <c r="K2310" s="170" t="n"/>
      <c r="L2310" s="170" t="n"/>
      <c r="M2310" s="170" t="n"/>
      <c r="O2310" s="117">
        <f>C2310*P2310</f>
        <v/>
      </c>
      <c r="P2310" s="150" t="n">
        <v>1.1</v>
      </c>
      <c r="Q2310" s="30" t="n"/>
      <c r="R2310" s="170" t="n"/>
      <c r="S2310" s="30" t="n"/>
      <c r="T2310" s="170" t="n"/>
      <c r="U2310" s="30" t="n"/>
      <c r="V2310" s="30" t="n"/>
      <c r="W2310" s="30" t="n"/>
      <c r="X2310" s="30" t="n"/>
      <c r="Y2310" s="30" t="n"/>
      <c r="Z2310" s="30" t="n"/>
      <c r="AA2310" s="30" t="n"/>
      <c r="AB2310" s="30" t="n"/>
      <c r="AC2310" s="30" t="n"/>
      <c r="AD2310" s="30" t="n"/>
      <c r="AE2310" s="30" t="n"/>
      <c r="AF2310" s="30" t="n"/>
      <c r="AG2310" s="30" t="n"/>
      <c r="AH2310" s="30" t="n"/>
      <c r="AI2310" s="30" t="n"/>
      <c r="AJ2310" s="30" t="n"/>
      <c r="AK2310" s="30" t="n"/>
      <c r="AL2310" s="30" t="n"/>
      <c r="AM2310" s="30" t="n"/>
      <c r="AN2310" s="30" t="n"/>
    </row>
    <row r="2311" ht="16.5" customHeight="1" s="253">
      <c r="A2311" s="134" t="inlineStr">
        <is>
          <t>17648XXX</t>
        </is>
      </c>
      <c r="B2311" s="246" t="inlineStr">
        <is>
          <t>TAVERNITI  REM M/C</t>
        </is>
      </c>
      <c r="C2311" s="88" t="n">
        <v>45100</v>
      </c>
      <c r="D2311" s="22" t="n"/>
      <c r="E2311" s="22" t="n"/>
      <c r="F2311" s="22" t="n"/>
      <c r="G2311" s="219" t="n"/>
      <c r="H2311" s="219" t="n"/>
      <c r="I2311" s="219" t="n"/>
      <c r="J2311" s="219" t="n"/>
      <c r="K2311" s="219" t="n"/>
      <c r="L2311" s="219" t="n"/>
      <c r="M2311" s="219" t="n"/>
      <c r="O2311" s="117">
        <f>C2311*P2311</f>
        <v/>
      </c>
      <c r="P2311" s="150" t="n">
        <v>1.1</v>
      </c>
      <c r="R2311" s="117" t="n"/>
      <c r="T2311" s="117" t="n"/>
    </row>
    <row r="2312" ht="16.5" customHeight="1" s="253">
      <c r="A2312" s="134" t="inlineStr">
        <is>
          <t>17650XXX</t>
        </is>
      </c>
      <c r="B2312" s="246" t="inlineStr">
        <is>
          <t>TAVERNITI  REM M/C</t>
        </is>
      </c>
      <c r="C2312" s="88" t="n">
        <v>45100</v>
      </c>
      <c r="D2312" s="22" t="n"/>
      <c r="E2312" s="22" t="n"/>
      <c r="F2312" s="22" t="n"/>
      <c r="G2312" s="219" t="n"/>
      <c r="H2312" s="219" t="n"/>
      <c r="I2312" s="219" t="n"/>
      <c r="J2312" s="219" t="n"/>
      <c r="K2312" s="219" t="n"/>
      <c r="L2312" s="219" t="n"/>
      <c r="M2312" s="219" t="n"/>
      <c r="O2312" s="117">
        <f>C2312*P2312</f>
        <v/>
      </c>
      <c r="P2312" s="150" t="n">
        <v>1.1</v>
      </c>
      <c r="R2312" s="117" t="n"/>
      <c r="T2312" s="117" t="n"/>
    </row>
    <row r="2313" ht="16.5" customHeight="1" s="253">
      <c r="A2313" s="134" t="inlineStr">
        <is>
          <t>17690XXX</t>
        </is>
      </c>
      <c r="B2313" s="246" t="inlineStr">
        <is>
          <t>TAVERNITI  REM M/C</t>
        </is>
      </c>
      <c r="C2313" s="88" t="n">
        <v>45100</v>
      </c>
      <c r="D2313" s="22" t="n"/>
      <c r="E2313" s="22" t="n"/>
      <c r="F2313" s="22" t="n"/>
      <c r="G2313" s="219" t="n"/>
      <c r="H2313" s="219" t="n"/>
      <c r="I2313" s="219" t="n"/>
      <c r="J2313" s="219" t="n"/>
      <c r="K2313" s="219" t="n"/>
      <c r="L2313" s="219" t="n"/>
      <c r="M2313" s="219" t="n"/>
      <c r="O2313" s="117">
        <f>C2313*P2313</f>
        <v/>
      </c>
      <c r="P2313" s="150" t="n">
        <v>1.1</v>
      </c>
      <c r="R2313" s="117" t="n"/>
      <c r="T2313" s="117" t="n"/>
    </row>
    <row r="2314" ht="16.5" customHeight="1" s="253">
      <c r="A2314" s="89" t="inlineStr">
        <is>
          <t>17700XXX</t>
        </is>
      </c>
      <c r="B2314" s="135" t="inlineStr">
        <is>
          <t>TAVERNITI  REM M/C</t>
        </is>
      </c>
      <c r="C2314" s="88" t="n">
        <v>45100</v>
      </c>
      <c r="D2314" s="170" t="n"/>
      <c r="E2314" s="170" t="n"/>
      <c r="F2314" s="170" t="n"/>
      <c r="G2314" s="170" t="n"/>
      <c r="H2314" s="170" t="n"/>
      <c r="I2314" s="170" t="n"/>
      <c r="J2314" s="170" t="n"/>
      <c r="K2314" s="170" t="n"/>
      <c r="L2314" s="170" t="n"/>
      <c r="M2314" s="170" t="n"/>
      <c r="O2314" s="117">
        <f>C2314*P2314</f>
        <v/>
      </c>
      <c r="P2314" s="150" t="n">
        <v>1.1</v>
      </c>
      <c r="Q2314" s="30" t="n"/>
      <c r="R2314" s="170" t="n"/>
      <c r="S2314" s="30" t="n"/>
      <c r="T2314" s="170" t="n"/>
      <c r="U2314" s="30" t="n"/>
      <c r="V2314" s="30" t="n"/>
      <c r="W2314" s="30" t="n"/>
      <c r="X2314" s="30" t="n"/>
      <c r="Y2314" s="30" t="n"/>
      <c r="Z2314" s="30" t="n"/>
      <c r="AA2314" s="30" t="n"/>
      <c r="AB2314" s="30" t="n"/>
      <c r="AC2314" s="30" t="n"/>
      <c r="AD2314" s="30" t="n"/>
      <c r="AE2314" s="30" t="n"/>
      <c r="AF2314" s="30" t="n"/>
      <c r="AG2314" s="30" t="n"/>
      <c r="AH2314" s="30" t="n"/>
      <c r="AI2314" s="30" t="n"/>
      <c r="AJ2314" s="30" t="n"/>
      <c r="AK2314" s="30" t="n"/>
      <c r="AL2314" s="30" t="n"/>
      <c r="AM2314" s="30" t="n"/>
      <c r="AN2314" s="30" t="n"/>
    </row>
    <row r="2315" ht="16.5" customHeight="1" s="253">
      <c r="A2315" s="134" t="inlineStr">
        <is>
          <t>17702XXX</t>
        </is>
      </c>
      <c r="B2315" s="246" t="inlineStr">
        <is>
          <t>TAVERNITI  REM M/C</t>
        </is>
      </c>
      <c r="C2315" s="88" t="n">
        <v>45100</v>
      </c>
      <c r="D2315" s="22" t="n"/>
      <c r="E2315" s="22" t="n"/>
      <c r="F2315" s="22" t="n"/>
      <c r="G2315" s="219" t="n"/>
      <c r="H2315" s="219" t="n"/>
      <c r="I2315" s="219" t="n"/>
      <c r="J2315" s="219" t="n"/>
      <c r="K2315" s="219" t="n"/>
      <c r="L2315" s="219" t="n"/>
      <c r="M2315" s="219" t="n"/>
      <c r="O2315" s="117">
        <f>C2315*P2315</f>
        <v/>
      </c>
      <c r="P2315" s="150" t="n">
        <v>1.1</v>
      </c>
      <c r="R2315" s="117" t="n"/>
      <c r="T2315" s="117" t="n"/>
    </row>
    <row r="2316" ht="16.5" customHeight="1" s="253">
      <c r="A2316" s="134" t="inlineStr">
        <is>
          <t>17710XXX</t>
        </is>
      </c>
      <c r="B2316" s="246" t="inlineStr">
        <is>
          <t>TAVERNITI  REM M/C</t>
        </is>
      </c>
      <c r="C2316" s="88" t="n">
        <v>45100</v>
      </c>
      <c r="D2316" s="22" t="n"/>
      <c r="E2316" s="22" t="n"/>
      <c r="F2316" s="22" t="n"/>
      <c r="G2316" s="219" t="n"/>
      <c r="H2316" s="219" t="n"/>
      <c r="I2316" s="219" t="n"/>
      <c r="J2316" s="219" t="n"/>
      <c r="K2316" s="219" t="n"/>
      <c r="L2316" s="219" t="n"/>
      <c r="M2316" s="219" t="n"/>
      <c r="O2316" s="117">
        <f>C2316*P2316</f>
        <v/>
      </c>
      <c r="P2316" s="150" t="n">
        <v>1.1</v>
      </c>
      <c r="R2316" s="117" t="n"/>
      <c r="T2316" s="117" t="n"/>
    </row>
    <row r="2317" ht="16.5" customHeight="1" s="253">
      <c r="A2317" s="134" t="inlineStr">
        <is>
          <t>17712XXX</t>
        </is>
      </c>
      <c r="B2317" s="246" t="inlineStr">
        <is>
          <t>TAVERNITI  REM M/C</t>
        </is>
      </c>
      <c r="C2317" s="88" t="n">
        <v>28900</v>
      </c>
      <c r="D2317" s="22" t="n"/>
      <c r="E2317" s="22" t="n"/>
      <c r="F2317" s="22" t="n"/>
      <c r="G2317" s="219" t="n"/>
      <c r="H2317" s="219" t="n"/>
      <c r="I2317" s="219" t="n"/>
      <c r="J2317" s="219" t="n"/>
      <c r="K2317" s="219" t="n"/>
      <c r="L2317" s="219" t="n"/>
      <c r="M2317" s="219" t="n"/>
      <c r="O2317" s="117">
        <f>C2317*P2317</f>
        <v/>
      </c>
      <c r="P2317" s="150" t="n">
        <v>1.1</v>
      </c>
      <c r="R2317" s="117" t="n"/>
      <c r="T2317" s="117" t="n"/>
    </row>
    <row r="2318" ht="16.5" customHeight="1" s="253">
      <c r="A2318" s="134" t="inlineStr">
        <is>
          <t>17718XXX</t>
        </is>
      </c>
      <c r="B2318" s="246" t="inlineStr">
        <is>
          <t>TAVERNITI  REM M/C</t>
        </is>
      </c>
      <c r="C2318" s="88" t="n">
        <v>43100</v>
      </c>
      <c r="D2318" s="22" t="n"/>
      <c r="E2318" s="22" t="n"/>
      <c r="F2318" s="22" t="n"/>
      <c r="G2318" s="219" t="n"/>
      <c r="H2318" s="219" t="n"/>
      <c r="I2318" s="219" t="n"/>
      <c r="J2318" s="219" t="n"/>
      <c r="K2318" s="219" t="n"/>
      <c r="L2318" s="219" t="n"/>
      <c r="M2318" s="219" t="n"/>
      <c r="O2318" s="117">
        <f>C2318*P2318</f>
        <v/>
      </c>
      <c r="P2318" s="150" t="n">
        <v>1.1</v>
      </c>
      <c r="R2318" s="117" t="n"/>
      <c r="T2318" s="117" t="n"/>
    </row>
    <row r="2319" ht="16.5" customHeight="1" s="253">
      <c r="A2319" s="134" t="inlineStr">
        <is>
          <t>17874XXX</t>
        </is>
      </c>
      <c r="B2319" s="246" t="inlineStr">
        <is>
          <t>TAVERNITI  REM M/C</t>
        </is>
      </c>
      <c r="C2319" s="88" t="n">
        <v>43100</v>
      </c>
      <c r="D2319" s="22" t="n"/>
      <c r="E2319" s="22" t="n"/>
      <c r="F2319" s="22" t="n"/>
      <c r="G2319" s="219" t="n"/>
      <c r="H2319" s="219" t="n"/>
      <c r="I2319" s="219" t="n"/>
      <c r="J2319" s="219" t="n"/>
      <c r="K2319" s="219" t="n"/>
      <c r="L2319" s="219" t="n"/>
      <c r="M2319" s="219" t="n"/>
      <c r="O2319" s="117">
        <f>C2319*P2319</f>
        <v/>
      </c>
      <c r="P2319" s="150" t="n">
        <v>1.1</v>
      </c>
      <c r="R2319" s="117" t="n"/>
      <c r="T2319" s="117" t="n"/>
    </row>
    <row r="2320" ht="16.5" customHeight="1" s="253">
      <c r="A2320" s="134" t="inlineStr">
        <is>
          <t>17876XXX</t>
        </is>
      </c>
      <c r="B2320" s="246" t="inlineStr">
        <is>
          <t>TAVERNITI  REM M/C</t>
        </is>
      </c>
      <c r="C2320" s="88" t="n">
        <v>43100</v>
      </c>
      <c r="D2320" s="22" t="n"/>
      <c r="E2320" s="22" t="n"/>
      <c r="F2320" s="22" t="n"/>
      <c r="G2320" s="219" t="n"/>
      <c r="H2320" s="219" t="n"/>
      <c r="I2320" s="219" t="n"/>
      <c r="J2320" s="219" t="n"/>
      <c r="K2320" s="219" t="n"/>
      <c r="L2320" s="219" t="n"/>
      <c r="M2320" s="219" t="n"/>
      <c r="O2320" s="117">
        <f>C2320*P2320</f>
        <v/>
      </c>
      <c r="P2320" s="150" t="n">
        <v>1.1</v>
      </c>
      <c r="R2320" s="117" t="n"/>
      <c r="T2320" s="117" t="n"/>
    </row>
    <row r="2321" ht="16.5" customHeight="1" s="253">
      <c r="A2321" s="89" t="inlineStr">
        <is>
          <t>17886XXX</t>
        </is>
      </c>
      <c r="B2321" s="135" t="inlineStr">
        <is>
          <t>TAVERNITI  REM M/C</t>
        </is>
      </c>
      <c r="C2321" s="88" t="n">
        <v>43100</v>
      </c>
      <c r="D2321" s="170" t="n"/>
      <c r="E2321" s="170" t="n"/>
      <c r="F2321" s="170" t="n"/>
      <c r="G2321" s="170" t="n"/>
      <c r="H2321" s="170" t="n"/>
      <c r="I2321" s="170" t="n"/>
      <c r="J2321" s="170" t="n"/>
      <c r="K2321" s="170" t="n"/>
      <c r="L2321" s="170" t="n"/>
      <c r="M2321" s="170" t="n"/>
      <c r="O2321" s="117">
        <f>C2321*P2321</f>
        <v/>
      </c>
      <c r="P2321" s="150" t="n">
        <v>1.1</v>
      </c>
      <c r="Q2321" s="30" t="n"/>
      <c r="R2321" s="170" t="n"/>
      <c r="S2321" s="30" t="n"/>
      <c r="T2321" s="170" t="n"/>
      <c r="U2321" s="30" t="n"/>
      <c r="V2321" s="30" t="n"/>
      <c r="W2321" s="30" t="n"/>
      <c r="X2321" s="30" t="n"/>
      <c r="Y2321" s="30" t="n"/>
      <c r="Z2321" s="30" t="n"/>
      <c r="AA2321" s="30" t="n"/>
      <c r="AB2321" s="30" t="n"/>
      <c r="AC2321" s="30" t="n"/>
      <c r="AD2321" s="30" t="n"/>
      <c r="AE2321" s="30" t="n"/>
      <c r="AF2321" s="30" t="n"/>
      <c r="AG2321" s="30" t="n"/>
      <c r="AH2321" s="30" t="n"/>
      <c r="AI2321" s="30" t="n"/>
      <c r="AJ2321" s="30" t="n"/>
      <c r="AK2321" s="30" t="n"/>
      <c r="AL2321" s="30" t="n"/>
      <c r="AM2321" s="30" t="n"/>
      <c r="AN2321" s="30" t="n"/>
    </row>
    <row r="2322" ht="16.5" customHeight="1" s="253">
      <c r="A2322" s="134" t="inlineStr">
        <is>
          <t>17898XXX</t>
        </is>
      </c>
      <c r="B2322" s="246" t="inlineStr">
        <is>
          <t>TAVERNITI  REM M/C</t>
        </is>
      </c>
      <c r="C2322" s="88" t="n">
        <v>43100</v>
      </c>
      <c r="D2322" s="22" t="n"/>
      <c r="E2322" s="22" t="n"/>
      <c r="F2322" s="22" t="n"/>
      <c r="G2322" s="219" t="n"/>
      <c r="H2322" s="219" t="n"/>
      <c r="I2322" s="219" t="n"/>
      <c r="J2322" s="219" t="n"/>
      <c r="K2322" s="219" t="n"/>
      <c r="L2322" s="219" t="n"/>
      <c r="M2322" s="219" t="n"/>
      <c r="O2322" s="117">
        <f>C2322*P2322</f>
        <v/>
      </c>
      <c r="P2322" s="150" t="n">
        <v>1.1</v>
      </c>
      <c r="R2322" s="117" t="n"/>
      <c r="T2322" s="117" t="n"/>
    </row>
    <row r="2323" ht="16.5" customHeight="1" s="253">
      <c r="A2323" s="89" t="inlineStr">
        <is>
          <t>17908XXX</t>
        </is>
      </c>
      <c r="B2323" s="135" t="inlineStr">
        <is>
          <t>TAVERNITI  REM M/C</t>
        </is>
      </c>
      <c r="C2323" s="88" t="n">
        <v>43100</v>
      </c>
      <c r="D2323" s="170" t="n"/>
      <c r="E2323" s="170" t="n"/>
      <c r="F2323" s="170" t="n"/>
      <c r="G2323" s="170" t="n"/>
      <c r="H2323" s="170" t="n"/>
      <c r="I2323" s="170" t="n"/>
      <c r="J2323" s="170" t="n"/>
      <c r="K2323" s="170" t="n"/>
      <c r="L2323" s="170" t="n"/>
      <c r="M2323" s="170" t="n"/>
      <c r="O2323" s="117">
        <f>C2323*P2323</f>
        <v/>
      </c>
      <c r="P2323" s="150" t="n">
        <v>1.1</v>
      </c>
      <c r="Q2323" s="30" t="n"/>
      <c r="R2323" s="170" t="n"/>
      <c r="S2323" s="30" t="n"/>
      <c r="T2323" s="170" t="n"/>
      <c r="U2323" s="30" t="n"/>
      <c r="V2323" s="30" t="n"/>
      <c r="W2323" s="30" t="n"/>
      <c r="X2323" s="30" t="n"/>
      <c r="Y2323" s="30" t="n"/>
      <c r="Z2323" s="30" t="n"/>
      <c r="AA2323" s="30" t="n"/>
      <c r="AB2323" s="30" t="n"/>
      <c r="AC2323" s="30" t="n"/>
      <c r="AD2323" s="30" t="n"/>
      <c r="AE2323" s="30" t="n"/>
      <c r="AF2323" s="30" t="n"/>
      <c r="AG2323" s="30" t="n"/>
      <c r="AH2323" s="30" t="n"/>
      <c r="AI2323" s="30" t="n"/>
      <c r="AJ2323" s="30" t="n"/>
      <c r="AK2323" s="30" t="n"/>
      <c r="AL2323" s="30" t="n"/>
      <c r="AM2323" s="30" t="n"/>
      <c r="AN2323" s="30" t="n"/>
    </row>
    <row r="2324" ht="16.5" customHeight="1" s="253">
      <c r="A2324" s="89" t="inlineStr">
        <is>
          <t>17912XXX</t>
        </is>
      </c>
      <c r="B2324" s="135" t="inlineStr">
        <is>
          <t>TAVERNITI  REM M/C</t>
        </is>
      </c>
      <c r="C2324" s="88" t="n">
        <v>43100</v>
      </c>
      <c r="D2324" s="170" t="n"/>
      <c r="E2324" s="170" t="n"/>
      <c r="F2324" s="170" t="n"/>
      <c r="G2324" s="170" t="n"/>
      <c r="H2324" s="170" t="n"/>
      <c r="I2324" s="170" t="n"/>
      <c r="J2324" s="170" t="n"/>
      <c r="K2324" s="170" t="n"/>
      <c r="L2324" s="170" t="n"/>
      <c r="M2324" s="170" t="n"/>
      <c r="O2324" s="117">
        <f>C2324*P2324</f>
        <v/>
      </c>
      <c r="P2324" s="150" t="n">
        <v>1.1</v>
      </c>
      <c r="Q2324" s="30" t="n"/>
      <c r="R2324" s="170" t="n"/>
      <c r="S2324" s="30" t="n"/>
      <c r="T2324" s="170" t="n"/>
      <c r="U2324" s="30" t="n"/>
      <c r="V2324" s="30" t="n"/>
      <c r="W2324" s="30" t="n"/>
      <c r="X2324" s="30" t="n"/>
      <c r="Y2324" s="30" t="n"/>
      <c r="Z2324" s="30" t="n"/>
      <c r="AA2324" s="30" t="n"/>
      <c r="AB2324" s="30" t="n"/>
      <c r="AC2324" s="30" t="n"/>
      <c r="AD2324" s="30" t="n"/>
      <c r="AE2324" s="30" t="n"/>
      <c r="AF2324" s="30" t="n"/>
      <c r="AG2324" s="30" t="n"/>
      <c r="AH2324" s="30" t="n"/>
      <c r="AI2324" s="30" t="n"/>
      <c r="AJ2324" s="30" t="n"/>
      <c r="AK2324" s="30" t="n"/>
      <c r="AL2324" s="30" t="n"/>
      <c r="AM2324" s="30" t="n"/>
      <c r="AN2324" s="30" t="n"/>
    </row>
    <row r="2325" ht="16.5" customHeight="1" s="253">
      <c r="A2325" s="134" t="inlineStr">
        <is>
          <t>17914XXX</t>
        </is>
      </c>
      <c r="B2325" s="246" t="inlineStr">
        <is>
          <t>TAVERNITI  REM M/C</t>
        </is>
      </c>
      <c r="C2325" s="88" t="n">
        <v>43100</v>
      </c>
      <c r="D2325" s="22" t="n"/>
      <c r="E2325" s="22" t="n"/>
      <c r="F2325" s="22" t="n"/>
      <c r="G2325" s="219" t="n"/>
      <c r="H2325" s="219" t="n"/>
      <c r="I2325" s="219" t="n"/>
      <c r="J2325" s="219" t="n"/>
      <c r="K2325" s="219" t="n"/>
      <c r="L2325" s="219" t="n"/>
      <c r="M2325" s="219" t="n"/>
      <c r="O2325" s="117">
        <f>C2325*P2325</f>
        <v/>
      </c>
      <c r="P2325" s="150" t="n">
        <v>1.1</v>
      </c>
      <c r="R2325" s="117" t="n"/>
      <c r="T2325" s="117" t="n"/>
    </row>
    <row r="2326" ht="16.5" customHeight="1" s="253">
      <c r="A2326" s="134" t="inlineStr">
        <is>
          <t>17920XXX</t>
        </is>
      </c>
      <c r="B2326" s="246" t="inlineStr">
        <is>
          <t>TAVERNITI  REM M/C</t>
        </is>
      </c>
      <c r="C2326" s="88" t="n">
        <v>43100</v>
      </c>
      <c r="D2326" s="22" t="n"/>
      <c r="E2326" s="22" t="n"/>
      <c r="F2326" s="22" t="n"/>
      <c r="G2326" s="219" t="n"/>
      <c r="H2326" s="219" t="n"/>
      <c r="I2326" s="219" t="n"/>
      <c r="J2326" s="219" t="n"/>
      <c r="K2326" s="219" t="n"/>
      <c r="L2326" s="219" t="n"/>
      <c r="M2326" s="219" t="n"/>
      <c r="O2326" s="117">
        <f>C2326*P2326</f>
        <v/>
      </c>
      <c r="P2326" s="150" t="n">
        <v>1.1</v>
      </c>
      <c r="R2326" s="117" t="n"/>
      <c r="T2326" s="117" t="n"/>
    </row>
    <row r="2327" ht="16.5" customHeight="1" s="253">
      <c r="A2327" s="134" t="inlineStr">
        <is>
          <t>17930XXX</t>
        </is>
      </c>
      <c r="B2327" s="246" t="inlineStr">
        <is>
          <t>TAVERNITI  REM M/C</t>
        </is>
      </c>
      <c r="C2327" s="88" t="n">
        <v>43100</v>
      </c>
      <c r="D2327" s="22" t="n"/>
      <c r="E2327" s="22" t="n"/>
      <c r="F2327" s="22" t="n"/>
      <c r="G2327" s="219" t="n"/>
      <c r="H2327" s="219" t="n"/>
      <c r="I2327" s="219" t="n"/>
      <c r="J2327" s="219" t="n"/>
      <c r="K2327" s="219" t="n"/>
      <c r="L2327" s="219" t="n"/>
      <c r="M2327" s="219" t="n"/>
      <c r="O2327" s="117">
        <f>C2327*P2327</f>
        <v/>
      </c>
      <c r="P2327" s="150" t="n">
        <v>1.1</v>
      </c>
      <c r="R2327" s="117" t="n"/>
      <c r="T2327" s="117" t="n"/>
    </row>
    <row r="2328" ht="16.5" customHeight="1" s="253">
      <c r="A2328" s="134" t="inlineStr">
        <is>
          <t>17932XXX</t>
        </is>
      </c>
      <c r="B2328" s="246" t="inlineStr">
        <is>
          <t>TAVERNITI  REM M/C</t>
        </is>
      </c>
      <c r="C2328" s="88" t="n">
        <v>43100</v>
      </c>
      <c r="D2328" s="22" t="n"/>
      <c r="E2328" s="22" t="n"/>
      <c r="F2328" s="22" t="n"/>
      <c r="G2328" s="219" t="n"/>
      <c r="H2328" s="219" t="n"/>
      <c r="I2328" s="219" t="n"/>
      <c r="J2328" s="219" t="n"/>
      <c r="K2328" s="219" t="n"/>
      <c r="L2328" s="219" t="n"/>
      <c r="M2328" s="219" t="n"/>
      <c r="O2328" s="117">
        <f>C2328*P2328</f>
        <v/>
      </c>
      <c r="P2328" s="150" t="n">
        <v>1.1</v>
      </c>
      <c r="R2328" s="117" t="n"/>
      <c r="T2328" s="117" t="n"/>
    </row>
    <row r="2329" ht="16.5" customHeight="1" s="253">
      <c r="A2329" s="134" t="inlineStr">
        <is>
          <t>17934XXX</t>
        </is>
      </c>
      <c r="B2329" s="246" t="inlineStr">
        <is>
          <t>TAVERNITI  REM M/C</t>
        </is>
      </c>
      <c r="C2329" s="88" t="n">
        <v>43100</v>
      </c>
      <c r="D2329" s="22" t="n"/>
      <c r="E2329" s="22" t="n"/>
      <c r="F2329" s="22" t="n"/>
      <c r="G2329" s="219" t="n"/>
      <c r="H2329" s="219" t="n"/>
      <c r="I2329" s="219" t="n"/>
      <c r="J2329" s="219" t="n"/>
      <c r="K2329" s="219" t="n"/>
      <c r="L2329" s="219" t="n"/>
      <c r="M2329" s="219" t="n"/>
      <c r="O2329" s="117">
        <f>C2329*P2329</f>
        <v/>
      </c>
      <c r="P2329" s="150" t="n">
        <v>1.1</v>
      </c>
      <c r="R2329" s="117" t="n"/>
      <c r="T2329" s="117" t="n"/>
    </row>
    <row r="2330" ht="16.5" customHeight="1" s="253">
      <c r="A2330" s="134" t="inlineStr">
        <is>
          <t>17948XXX</t>
        </is>
      </c>
      <c r="B2330" s="246" t="inlineStr">
        <is>
          <t>TAVERNITI  REM M/C</t>
        </is>
      </c>
      <c r="C2330" s="88" t="n">
        <v>43100</v>
      </c>
      <c r="D2330" s="22" t="n"/>
      <c r="E2330" s="22" t="n"/>
      <c r="F2330" s="22" t="n"/>
      <c r="G2330" s="219" t="n"/>
      <c r="H2330" s="219" t="n"/>
      <c r="I2330" s="219" t="n"/>
      <c r="J2330" s="219" t="n"/>
      <c r="K2330" s="219" t="n"/>
      <c r="L2330" s="219" t="n"/>
      <c r="M2330" s="219" t="n"/>
      <c r="O2330" s="117">
        <f>C2330*P2330</f>
        <v/>
      </c>
      <c r="P2330" s="150" t="n">
        <v>1.1</v>
      </c>
      <c r="R2330" s="117" t="n"/>
      <c r="T2330" s="117" t="n"/>
    </row>
    <row r="2331" ht="16.5" customHeight="1" s="253">
      <c r="A2331" s="134" t="inlineStr">
        <is>
          <t>17952XXX</t>
        </is>
      </c>
      <c r="B2331" s="246" t="inlineStr">
        <is>
          <t>TAVERNITI  REM M/C</t>
        </is>
      </c>
      <c r="C2331" s="88" t="n">
        <v>43100</v>
      </c>
      <c r="D2331" s="22" t="n"/>
      <c r="E2331" s="22" t="n"/>
      <c r="F2331" s="22" t="n"/>
      <c r="G2331" s="219" t="n"/>
      <c r="H2331" s="219" t="n"/>
      <c r="I2331" s="219" t="n"/>
      <c r="J2331" s="219" t="n"/>
      <c r="K2331" s="219" t="n"/>
      <c r="L2331" s="219" t="n"/>
      <c r="M2331" s="219" t="n"/>
      <c r="O2331" s="117">
        <f>C2331*P2331</f>
        <v/>
      </c>
      <c r="P2331" s="150" t="n">
        <v>1.1</v>
      </c>
      <c r="R2331" s="117" t="n"/>
      <c r="T2331" s="117" t="n"/>
    </row>
    <row r="2332" ht="16.5" customHeight="1" s="253">
      <c r="A2332" s="89" t="inlineStr">
        <is>
          <t>17960XXX</t>
        </is>
      </c>
      <c r="B2332" s="135" t="inlineStr">
        <is>
          <t>TAVERNITI  REM M/C</t>
        </is>
      </c>
      <c r="C2332" s="88" t="n">
        <v>58900</v>
      </c>
      <c r="D2332" s="170" t="n"/>
      <c r="E2332" s="170" t="n"/>
      <c r="F2332" s="170" t="n"/>
      <c r="G2332" s="170" t="n"/>
      <c r="H2332" s="170" t="n"/>
      <c r="I2332" s="170" t="n"/>
      <c r="J2332" s="170" t="n"/>
      <c r="K2332" s="170" t="n"/>
      <c r="L2332" s="170" t="n"/>
      <c r="M2332" s="170" t="n"/>
      <c r="O2332" s="117">
        <f>C2332*P2332</f>
        <v/>
      </c>
      <c r="P2332" s="150" t="n">
        <v>1.1</v>
      </c>
      <c r="Q2332" s="30" t="n"/>
      <c r="R2332" s="170" t="n"/>
      <c r="S2332" s="30" t="n"/>
      <c r="T2332" s="170" t="n"/>
      <c r="U2332" s="30" t="n"/>
      <c r="V2332" s="30" t="n"/>
      <c r="W2332" s="30" t="n"/>
      <c r="X2332" s="30" t="n"/>
      <c r="Y2332" s="30" t="n"/>
      <c r="Z2332" s="30" t="n"/>
      <c r="AA2332" s="30" t="n"/>
      <c r="AB2332" s="30" t="n"/>
      <c r="AC2332" s="30" t="n"/>
      <c r="AD2332" s="30" t="n"/>
      <c r="AE2332" s="30" t="n"/>
      <c r="AF2332" s="30" t="n"/>
      <c r="AG2332" s="30" t="n"/>
      <c r="AH2332" s="30" t="n"/>
      <c r="AI2332" s="30" t="n"/>
      <c r="AJ2332" s="30" t="n"/>
      <c r="AK2332" s="30" t="n"/>
      <c r="AL2332" s="30" t="n"/>
      <c r="AM2332" s="30" t="n"/>
      <c r="AN2332" s="30" t="n"/>
    </row>
    <row r="2333" ht="16.5" customHeight="1" s="253">
      <c r="A2333" s="89" t="inlineStr">
        <is>
          <t>17962XXX</t>
        </is>
      </c>
      <c r="B2333" s="135" t="inlineStr">
        <is>
          <t>TAVERNITI  REM M/C</t>
        </is>
      </c>
      <c r="C2333" s="88" t="n">
        <v>58900</v>
      </c>
      <c r="D2333" s="170" t="n"/>
      <c r="E2333" s="170" t="n"/>
      <c r="F2333" s="170" t="n"/>
      <c r="G2333" s="170" t="n"/>
      <c r="H2333" s="170" t="n"/>
      <c r="I2333" s="170" t="n"/>
      <c r="J2333" s="170" t="n"/>
      <c r="K2333" s="170" t="n"/>
      <c r="L2333" s="170" t="n"/>
      <c r="M2333" s="170" t="n"/>
      <c r="O2333" s="117">
        <f>C2333*P2333</f>
        <v/>
      </c>
      <c r="P2333" s="150" t="n">
        <v>1.1</v>
      </c>
      <c r="Q2333" s="30" t="n"/>
      <c r="R2333" s="170" t="n"/>
      <c r="S2333" s="30" t="n"/>
      <c r="T2333" s="170" t="n"/>
      <c r="U2333" s="30" t="n"/>
      <c r="V2333" s="30" t="n"/>
      <c r="W2333" s="30" t="n"/>
      <c r="X2333" s="30" t="n"/>
      <c r="Y2333" s="30" t="n"/>
      <c r="Z2333" s="30" t="n"/>
      <c r="AA2333" s="30" t="n"/>
      <c r="AB2333" s="30" t="n"/>
      <c r="AC2333" s="30" t="n"/>
      <c r="AD2333" s="30" t="n"/>
      <c r="AE2333" s="30" t="n"/>
      <c r="AF2333" s="30" t="n"/>
      <c r="AG2333" s="30" t="n"/>
      <c r="AH2333" s="30" t="n"/>
      <c r="AI2333" s="30" t="n"/>
      <c r="AJ2333" s="30" t="n"/>
      <c r="AK2333" s="30" t="n"/>
      <c r="AL2333" s="30" t="n"/>
      <c r="AM2333" s="30" t="n"/>
      <c r="AN2333" s="30" t="n"/>
    </row>
    <row r="2334" ht="16.5" customHeight="1" s="253">
      <c r="A2334" s="89" t="inlineStr">
        <is>
          <t>17964XXX</t>
        </is>
      </c>
      <c r="B2334" s="135" t="inlineStr">
        <is>
          <t>TAVERNITI  REM M/C</t>
        </is>
      </c>
      <c r="C2334" s="88" t="n">
        <v>58900</v>
      </c>
      <c r="D2334" s="170" t="n"/>
      <c r="E2334" s="170" t="n"/>
      <c r="F2334" s="170" t="n"/>
      <c r="G2334" s="170" t="n"/>
      <c r="H2334" s="170" t="n"/>
      <c r="I2334" s="170" t="n"/>
      <c r="J2334" s="170" t="n"/>
      <c r="K2334" s="170" t="n"/>
      <c r="L2334" s="170" t="n"/>
      <c r="M2334" s="170" t="n"/>
      <c r="O2334" s="117">
        <f>C2334*P2334</f>
        <v/>
      </c>
      <c r="P2334" s="150" t="n">
        <v>1.1</v>
      </c>
      <c r="Q2334" s="30" t="n"/>
      <c r="R2334" s="170" t="n"/>
      <c r="S2334" s="30" t="n"/>
      <c r="T2334" s="170" t="n"/>
      <c r="U2334" s="30" t="n"/>
      <c r="V2334" s="30" t="n"/>
      <c r="W2334" s="30" t="n"/>
      <c r="X2334" s="30" t="n"/>
      <c r="Y2334" s="30" t="n"/>
      <c r="Z2334" s="30" t="n"/>
      <c r="AA2334" s="30" t="n"/>
      <c r="AB2334" s="30" t="n"/>
      <c r="AC2334" s="30" t="n"/>
      <c r="AD2334" s="30" t="n"/>
      <c r="AE2334" s="30" t="n"/>
      <c r="AF2334" s="30" t="n"/>
      <c r="AG2334" s="30" t="n"/>
      <c r="AH2334" s="30" t="n"/>
      <c r="AI2334" s="30" t="n"/>
      <c r="AJ2334" s="30" t="n"/>
      <c r="AK2334" s="30" t="n"/>
      <c r="AL2334" s="30" t="n"/>
      <c r="AM2334" s="30" t="n"/>
      <c r="AN2334" s="30" t="n"/>
    </row>
    <row r="2335" ht="16.5" customHeight="1" s="253">
      <c r="A2335" s="89" t="inlineStr">
        <is>
          <t>17966XXX</t>
        </is>
      </c>
      <c r="B2335" s="135" t="inlineStr">
        <is>
          <t>TAVERNITI  REM M/C</t>
        </is>
      </c>
      <c r="C2335" s="88" t="n">
        <v>58900</v>
      </c>
      <c r="D2335" s="170" t="n"/>
      <c r="E2335" s="170" t="n"/>
      <c r="F2335" s="170" t="n"/>
      <c r="G2335" s="170" t="n"/>
      <c r="H2335" s="170" t="n"/>
      <c r="I2335" s="170" t="n"/>
      <c r="J2335" s="170" t="n"/>
      <c r="K2335" s="170" t="n"/>
      <c r="L2335" s="170" t="n"/>
      <c r="M2335" s="170" t="n"/>
      <c r="O2335" s="117">
        <f>C2335*P2335</f>
        <v/>
      </c>
      <c r="P2335" s="150" t="n">
        <v>1.1</v>
      </c>
      <c r="Q2335" s="30" t="n"/>
      <c r="R2335" s="170" t="n"/>
      <c r="S2335" s="30" t="n"/>
      <c r="T2335" s="170" t="n"/>
      <c r="U2335" s="30" t="n"/>
      <c r="V2335" s="30" t="n"/>
      <c r="W2335" s="30" t="n"/>
      <c r="X2335" s="30" t="n"/>
      <c r="Y2335" s="30" t="n"/>
      <c r="Z2335" s="30" t="n"/>
      <c r="AA2335" s="30" t="n"/>
      <c r="AB2335" s="30" t="n"/>
      <c r="AC2335" s="30" t="n"/>
      <c r="AD2335" s="30" t="n"/>
      <c r="AE2335" s="30" t="n"/>
      <c r="AF2335" s="30" t="n"/>
      <c r="AG2335" s="30" t="n"/>
      <c r="AH2335" s="30" t="n"/>
      <c r="AI2335" s="30" t="n"/>
      <c r="AJ2335" s="30" t="n"/>
      <c r="AK2335" s="30" t="n"/>
      <c r="AL2335" s="30" t="n"/>
      <c r="AM2335" s="30" t="n"/>
      <c r="AN2335" s="30" t="n"/>
    </row>
    <row r="2336" ht="16.5" customHeight="1" s="253">
      <c r="A2336" s="134" t="inlineStr">
        <is>
          <t>17968XXX</t>
        </is>
      </c>
      <c r="B2336" s="246" t="inlineStr">
        <is>
          <t>TAVERNITI  REM M/C</t>
        </is>
      </c>
      <c r="C2336" s="88" t="n">
        <v>58900</v>
      </c>
      <c r="D2336" s="22" t="n"/>
      <c r="E2336" s="22" t="n"/>
      <c r="F2336" s="22" t="n"/>
      <c r="G2336" s="219" t="n"/>
      <c r="H2336" s="219" t="n"/>
      <c r="I2336" s="219" t="n"/>
      <c r="J2336" s="219" t="n"/>
      <c r="K2336" s="219" t="n"/>
      <c r="L2336" s="219" t="n"/>
      <c r="M2336" s="219" t="n"/>
      <c r="O2336" s="117">
        <f>C2336*P2336</f>
        <v/>
      </c>
      <c r="P2336" s="150" t="n">
        <v>1.1</v>
      </c>
      <c r="R2336" s="117" t="n"/>
      <c r="T2336" s="117" t="n"/>
    </row>
    <row r="2337" ht="16.5" customHeight="1" s="253">
      <c r="A2337" s="89" t="inlineStr">
        <is>
          <t>17970XXX</t>
        </is>
      </c>
      <c r="B2337" s="135" t="inlineStr">
        <is>
          <t>TAVERNITI  REM M/C</t>
        </is>
      </c>
      <c r="C2337" s="88" t="n">
        <v>58900</v>
      </c>
      <c r="D2337" s="170" t="n"/>
      <c r="E2337" s="170" t="n"/>
      <c r="F2337" s="170" t="n"/>
      <c r="G2337" s="170" t="n"/>
      <c r="H2337" s="170" t="n"/>
      <c r="I2337" s="170" t="n"/>
      <c r="J2337" s="170" t="n"/>
      <c r="K2337" s="170" t="n"/>
      <c r="L2337" s="170" t="n"/>
      <c r="M2337" s="170" t="n"/>
      <c r="O2337" s="117">
        <f>C2337*P2337</f>
        <v/>
      </c>
      <c r="P2337" s="150" t="n">
        <v>1.1</v>
      </c>
      <c r="Q2337" s="30" t="n"/>
      <c r="R2337" s="170" t="n"/>
      <c r="S2337" s="30" t="n"/>
      <c r="T2337" s="170" t="n"/>
      <c r="U2337" s="30" t="n"/>
      <c r="V2337" s="30" t="n"/>
      <c r="W2337" s="30" t="n"/>
      <c r="X2337" s="30" t="n"/>
      <c r="Y2337" s="30" t="n"/>
      <c r="Z2337" s="30" t="n"/>
      <c r="AA2337" s="30" t="n"/>
      <c r="AB2337" s="30" t="n"/>
      <c r="AC2337" s="30" t="n"/>
      <c r="AD2337" s="30" t="n"/>
      <c r="AE2337" s="30" t="n"/>
      <c r="AF2337" s="30" t="n"/>
      <c r="AG2337" s="30" t="n"/>
      <c r="AH2337" s="30" t="n"/>
      <c r="AI2337" s="30" t="n"/>
      <c r="AJ2337" s="30" t="n"/>
      <c r="AK2337" s="30" t="n"/>
      <c r="AL2337" s="30" t="n"/>
      <c r="AM2337" s="30" t="n"/>
      <c r="AN2337" s="30" t="n"/>
    </row>
    <row r="2338" ht="16.5" customHeight="1" s="253">
      <c r="A2338" s="134" t="inlineStr">
        <is>
          <t>17972XXX</t>
        </is>
      </c>
      <c r="B2338" s="246" t="inlineStr">
        <is>
          <t>TAVERNITI  REM M/C</t>
        </is>
      </c>
      <c r="C2338" s="88" t="n">
        <v>58900</v>
      </c>
      <c r="D2338" s="22" t="n"/>
      <c r="E2338" s="22" t="n"/>
      <c r="F2338" s="22" t="n"/>
      <c r="G2338" s="219" t="n"/>
      <c r="H2338" s="219" t="n"/>
      <c r="I2338" s="219" t="n"/>
      <c r="J2338" s="219" t="n"/>
      <c r="K2338" s="219" t="n"/>
      <c r="L2338" s="219" t="n"/>
      <c r="M2338" s="219" t="n"/>
      <c r="O2338" s="117">
        <f>C2338*P2338</f>
        <v/>
      </c>
      <c r="P2338" s="150" t="n">
        <v>1.1</v>
      </c>
      <c r="R2338" s="117" t="n"/>
      <c r="T2338" s="117" t="n"/>
    </row>
    <row r="2339" ht="16.5" customHeight="1" s="253">
      <c r="A2339" s="134" t="inlineStr">
        <is>
          <t>17974XXX</t>
        </is>
      </c>
      <c r="B2339" s="246" t="inlineStr">
        <is>
          <t>TAVERNITI  REM M/C</t>
        </is>
      </c>
      <c r="C2339" s="88" t="n">
        <v>43100</v>
      </c>
      <c r="D2339" s="22" t="n"/>
      <c r="E2339" s="22" t="n"/>
      <c r="F2339" s="22" t="n"/>
      <c r="G2339" s="219" t="n"/>
      <c r="H2339" s="219" t="n"/>
      <c r="I2339" s="219" t="n"/>
      <c r="J2339" s="219" t="n"/>
      <c r="K2339" s="219" t="n"/>
      <c r="L2339" s="219" t="n"/>
      <c r="M2339" s="219" t="n"/>
      <c r="O2339" s="117">
        <f>C2339*P2339</f>
        <v/>
      </c>
      <c r="P2339" s="150" t="n">
        <v>1.1</v>
      </c>
      <c r="R2339" s="117" t="n"/>
      <c r="T2339" s="117" t="n"/>
    </row>
    <row r="2340" ht="16.5" customHeight="1" s="253">
      <c r="A2340" s="134" t="inlineStr">
        <is>
          <t>17976XXX</t>
        </is>
      </c>
      <c r="B2340" s="246" t="inlineStr">
        <is>
          <t>TAVERNITI  REM M/C</t>
        </is>
      </c>
      <c r="C2340" s="88" t="n">
        <v>58900</v>
      </c>
      <c r="D2340" s="22" t="n"/>
      <c r="E2340" s="22" t="n"/>
      <c r="F2340" s="22" t="n"/>
      <c r="G2340" s="219" t="n"/>
      <c r="H2340" s="219" t="n"/>
      <c r="I2340" s="219" t="n"/>
      <c r="J2340" s="219" t="n"/>
      <c r="K2340" s="219" t="n"/>
      <c r="L2340" s="219" t="n"/>
      <c r="M2340" s="219" t="n"/>
      <c r="O2340" s="117">
        <f>C2340*P2340</f>
        <v/>
      </c>
      <c r="P2340" s="150" t="n">
        <v>1.1</v>
      </c>
      <c r="R2340" s="117" t="n"/>
      <c r="T2340" s="117" t="n"/>
    </row>
    <row r="2341" ht="16.5" customHeight="1" s="253">
      <c r="A2341" s="134" t="inlineStr">
        <is>
          <t>17978XXX</t>
        </is>
      </c>
      <c r="B2341" s="246" t="inlineStr">
        <is>
          <t>TAVERNITI  REM M/C</t>
        </is>
      </c>
      <c r="C2341" s="88" t="n">
        <v>41900</v>
      </c>
      <c r="D2341" s="22" t="n"/>
      <c r="E2341" s="22" t="n"/>
      <c r="F2341" s="22" t="n"/>
      <c r="G2341" s="219" t="n"/>
      <c r="H2341" s="219" t="n"/>
      <c r="I2341" s="219" t="n"/>
      <c r="J2341" s="219" t="n"/>
      <c r="K2341" s="219" t="n"/>
      <c r="L2341" s="219" t="n"/>
      <c r="M2341" s="219" t="n"/>
      <c r="O2341" s="117">
        <f>C2341*P2341</f>
        <v/>
      </c>
      <c r="P2341" s="150" t="n">
        <v>1.1</v>
      </c>
      <c r="R2341" s="117" t="n"/>
      <c r="T2341" s="117" t="n"/>
    </row>
    <row r="2342" ht="17.25" customHeight="1" s="253">
      <c r="A2342" s="89" t="inlineStr">
        <is>
          <t>17982XXX</t>
        </is>
      </c>
      <c r="B2342" s="135" t="inlineStr">
        <is>
          <t>TAVERNITI  REM M/C</t>
        </is>
      </c>
      <c r="C2342" s="88" t="n">
        <v>43100</v>
      </c>
      <c r="D2342" s="170" t="n"/>
      <c r="E2342" s="170" t="n"/>
      <c r="F2342" s="170" t="n"/>
      <c r="G2342" s="170" t="n"/>
      <c r="H2342" s="170" t="n"/>
      <c r="I2342" s="170" t="n"/>
      <c r="J2342" s="170" t="n"/>
      <c r="K2342" s="170" t="n"/>
      <c r="L2342" s="170" t="n"/>
      <c r="M2342" s="170" t="n"/>
      <c r="O2342" s="117">
        <f>C2342*P2342</f>
        <v/>
      </c>
      <c r="P2342" s="150" t="n">
        <v>1.1</v>
      </c>
      <c r="Q2342" s="30" t="n"/>
      <c r="R2342" s="170" t="n"/>
      <c r="S2342" s="30" t="n"/>
      <c r="T2342" s="170" t="n"/>
      <c r="U2342" s="30" t="n"/>
      <c r="V2342" s="30" t="n"/>
      <c r="W2342" s="30" t="n"/>
      <c r="X2342" s="30" t="n"/>
      <c r="Y2342" s="30" t="n"/>
      <c r="Z2342" s="30" t="n"/>
      <c r="AA2342" s="30" t="n"/>
      <c r="AB2342" s="30" t="n"/>
      <c r="AC2342" s="30" t="n"/>
      <c r="AD2342" s="30" t="n"/>
      <c r="AE2342" s="30" t="n"/>
      <c r="AF2342" s="30" t="n"/>
      <c r="AG2342" s="30" t="n"/>
      <c r="AH2342" s="30" t="n"/>
      <c r="AI2342" s="30" t="n"/>
      <c r="AJ2342" s="30" t="n"/>
      <c r="AK2342" s="30" t="n"/>
      <c r="AL2342" s="30" t="n"/>
      <c r="AM2342" s="30" t="n"/>
      <c r="AN2342" s="30" t="n"/>
    </row>
    <row r="2343" ht="17.25" customHeight="1" s="253">
      <c r="A2343" s="89" t="inlineStr">
        <is>
          <t>17984XXX</t>
        </is>
      </c>
      <c r="B2343" s="135" t="inlineStr">
        <is>
          <t>TAVERNITI  REM M/C</t>
        </is>
      </c>
      <c r="C2343" s="88" t="n">
        <v>43100</v>
      </c>
      <c r="D2343" s="170" t="n"/>
      <c r="E2343" s="170" t="n"/>
      <c r="F2343" s="170" t="n"/>
      <c r="G2343" s="170" t="n"/>
      <c r="H2343" s="170" t="n"/>
      <c r="I2343" s="170" t="n"/>
      <c r="J2343" s="170" t="n"/>
      <c r="K2343" s="170" t="n"/>
      <c r="L2343" s="170" t="n"/>
      <c r="M2343" s="170" t="n"/>
      <c r="O2343" s="117">
        <f>C2343*P2343</f>
        <v/>
      </c>
      <c r="P2343" s="150" t="n">
        <v>1.1</v>
      </c>
      <c r="Q2343" s="30" t="n"/>
      <c r="R2343" s="170" t="n"/>
      <c r="S2343" s="30" t="n"/>
      <c r="T2343" s="170" t="n"/>
      <c r="U2343" s="30" t="n"/>
      <c r="V2343" s="30" t="n"/>
      <c r="W2343" s="30" t="n"/>
      <c r="X2343" s="30" t="n"/>
      <c r="Y2343" s="30" t="n"/>
      <c r="Z2343" s="30" t="n"/>
      <c r="AA2343" s="30" t="n"/>
      <c r="AB2343" s="30" t="n"/>
      <c r="AC2343" s="30" t="n"/>
      <c r="AD2343" s="30" t="n"/>
      <c r="AE2343" s="30" t="n"/>
      <c r="AF2343" s="30" t="n"/>
      <c r="AG2343" s="30" t="n"/>
      <c r="AH2343" s="30" t="n"/>
      <c r="AI2343" s="30" t="n"/>
      <c r="AJ2343" s="30" t="n"/>
      <c r="AK2343" s="30" t="n"/>
      <c r="AL2343" s="30" t="n"/>
      <c r="AM2343" s="30" t="n"/>
      <c r="AN2343" s="30" t="n"/>
    </row>
    <row r="2344" ht="17.25" customHeight="1" s="253">
      <c r="A2344" s="89" t="inlineStr">
        <is>
          <t>17988XXX</t>
        </is>
      </c>
      <c r="B2344" s="135" t="inlineStr">
        <is>
          <t>TAVERNITI  REM M/C</t>
        </is>
      </c>
      <c r="C2344" s="88" t="n">
        <v>43100</v>
      </c>
      <c r="D2344" s="170" t="n"/>
      <c r="E2344" s="170" t="n"/>
      <c r="F2344" s="170" t="n"/>
      <c r="G2344" s="170" t="n"/>
      <c r="H2344" s="170" t="n"/>
      <c r="I2344" s="170" t="n"/>
      <c r="J2344" s="170" t="n"/>
      <c r="K2344" s="170" t="n"/>
      <c r="L2344" s="170" t="n"/>
      <c r="M2344" s="170" t="n"/>
      <c r="O2344" s="117">
        <f>C2344*P2344</f>
        <v/>
      </c>
      <c r="P2344" s="150" t="n">
        <v>1.1</v>
      </c>
      <c r="Q2344" s="30" t="n"/>
      <c r="R2344" s="170" t="n"/>
      <c r="S2344" s="30" t="n"/>
      <c r="T2344" s="170" t="n"/>
      <c r="U2344" s="30" t="n"/>
      <c r="V2344" s="30" t="n"/>
      <c r="W2344" s="30" t="n"/>
      <c r="X2344" s="30" t="n"/>
      <c r="Y2344" s="30" t="n"/>
      <c r="Z2344" s="30" t="n"/>
      <c r="AA2344" s="30" t="n"/>
      <c r="AB2344" s="30" t="n"/>
      <c r="AC2344" s="30" t="n"/>
      <c r="AD2344" s="30" t="n"/>
      <c r="AE2344" s="30" t="n"/>
      <c r="AF2344" s="30" t="n"/>
      <c r="AG2344" s="30" t="n"/>
      <c r="AH2344" s="30" t="n"/>
      <c r="AI2344" s="30" t="n"/>
      <c r="AJ2344" s="30" t="n"/>
      <c r="AK2344" s="30" t="n"/>
      <c r="AL2344" s="30" t="n"/>
      <c r="AM2344" s="30" t="n"/>
      <c r="AN2344" s="30" t="n"/>
    </row>
    <row r="2345" ht="17.25" customHeight="1" s="253">
      <c r="A2345" s="89" t="inlineStr">
        <is>
          <t>17992XXX</t>
        </is>
      </c>
      <c r="B2345" s="135" t="inlineStr">
        <is>
          <t>TAVERNITI  REM M/C</t>
        </is>
      </c>
      <c r="C2345" s="88" t="n">
        <v>38900</v>
      </c>
      <c r="D2345" s="170" t="n"/>
      <c r="E2345" s="170" t="n"/>
      <c r="F2345" s="170" t="n"/>
      <c r="G2345" s="170" t="n"/>
      <c r="H2345" s="170" t="n"/>
      <c r="I2345" s="170" t="n"/>
      <c r="J2345" s="170" t="n"/>
      <c r="K2345" s="170" t="n"/>
      <c r="L2345" s="170" t="n"/>
      <c r="M2345" s="170" t="n"/>
      <c r="O2345" s="117">
        <f>C2345*P2345</f>
        <v/>
      </c>
      <c r="P2345" s="150" t="n">
        <v>1.1</v>
      </c>
      <c r="Q2345" s="30" t="n"/>
      <c r="R2345" s="170" t="n"/>
      <c r="S2345" s="30" t="n"/>
      <c r="T2345" s="170" t="n"/>
      <c r="U2345" s="30" t="n"/>
      <c r="V2345" s="30" t="n"/>
      <c r="W2345" s="30" t="n"/>
      <c r="X2345" s="30" t="n"/>
      <c r="Y2345" s="30" t="n"/>
      <c r="Z2345" s="30" t="n"/>
      <c r="AA2345" s="30" t="n"/>
      <c r="AB2345" s="30" t="n"/>
      <c r="AC2345" s="30" t="n"/>
      <c r="AD2345" s="30" t="n"/>
      <c r="AE2345" s="30" t="n"/>
      <c r="AF2345" s="30" t="n"/>
      <c r="AG2345" s="30" t="n"/>
      <c r="AH2345" s="30" t="n"/>
      <c r="AI2345" s="30" t="n"/>
      <c r="AJ2345" s="30" t="n"/>
      <c r="AK2345" s="30" t="n"/>
      <c r="AL2345" s="30" t="n"/>
      <c r="AM2345" s="30" t="n"/>
      <c r="AN2345" s="30" t="n"/>
    </row>
    <row r="2346" ht="16.5" customHeight="1" s="253">
      <c r="A2346" s="134" t="inlineStr">
        <is>
          <t>17686XXX</t>
        </is>
      </c>
      <c r="B2346" s="246" t="inlineStr">
        <is>
          <t>TAVERNITI  REM M/C</t>
        </is>
      </c>
      <c r="C2346" s="88" t="n">
        <v>45100</v>
      </c>
      <c r="D2346" s="22" t="n"/>
      <c r="E2346" s="22" t="n"/>
      <c r="F2346" s="22" t="n"/>
      <c r="G2346" s="219" t="n"/>
      <c r="H2346" s="219" t="n"/>
      <c r="I2346" s="219" t="n"/>
      <c r="J2346" s="219" t="n"/>
      <c r="K2346" s="219" t="n"/>
      <c r="L2346" s="219" t="n"/>
      <c r="M2346" s="219" t="n"/>
      <c r="O2346" s="117">
        <f>C2346*P2346</f>
        <v/>
      </c>
      <c r="P2346" s="150" t="n">
        <v>1.1</v>
      </c>
      <c r="R2346" s="117" t="n"/>
      <c r="T2346" s="117" t="n"/>
    </row>
    <row r="2347" ht="16.5" customHeight="1" s="253">
      <c r="A2347" s="134" t="inlineStr">
        <is>
          <t>17856XXX</t>
        </is>
      </c>
      <c r="B2347" s="246" t="inlineStr">
        <is>
          <t>TAVERNITI  REM M/C</t>
        </is>
      </c>
      <c r="C2347" s="88" t="n">
        <v>45100</v>
      </c>
      <c r="D2347" s="22" t="n"/>
      <c r="E2347" s="22" t="n"/>
      <c r="F2347" s="22" t="n"/>
      <c r="G2347" s="219" t="n"/>
      <c r="H2347" s="219" t="n"/>
      <c r="I2347" s="219" t="n"/>
      <c r="J2347" s="219" t="n"/>
      <c r="K2347" s="219" t="n"/>
      <c r="L2347" s="219" t="n"/>
      <c r="M2347" s="219" t="n"/>
      <c r="O2347" s="117">
        <f>C2347*P2347</f>
        <v/>
      </c>
      <c r="P2347" s="150" t="n">
        <v>1.1</v>
      </c>
      <c r="R2347" s="117" t="n"/>
      <c r="T2347" s="117" t="n"/>
    </row>
    <row r="2348" ht="16.5" customHeight="1" s="253">
      <c r="A2348" s="134" t="inlineStr">
        <is>
          <t>17868XXX</t>
        </is>
      </c>
      <c r="B2348" s="246" t="inlineStr">
        <is>
          <t>TAVERNITI  REM M/C</t>
        </is>
      </c>
      <c r="C2348" s="88" t="n">
        <v>45100</v>
      </c>
      <c r="D2348" s="22" t="n"/>
      <c r="E2348" s="22" t="n"/>
      <c r="F2348" s="22" t="n"/>
      <c r="G2348" s="219" t="n"/>
      <c r="H2348" s="219" t="n"/>
      <c r="I2348" s="219" t="n"/>
      <c r="J2348" s="219" t="n"/>
      <c r="K2348" s="219" t="n"/>
      <c r="L2348" s="219" t="n"/>
      <c r="M2348" s="219" t="n"/>
      <c r="O2348" s="117">
        <f>C2348*P2348</f>
        <v/>
      </c>
      <c r="P2348" s="150" t="n">
        <v>1.1</v>
      </c>
      <c r="R2348" s="117" t="n"/>
      <c r="T2348" s="117" t="n"/>
    </row>
    <row r="2349" ht="16.5" customHeight="1" s="253">
      <c r="A2349" s="134" t="inlineStr">
        <is>
          <t>17884XXX</t>
        </is>
      </c>
      <c r="B2349" s="246" t="inlineStr">
        <is>
          <t>TAVERNITI  REM M/C</t>
        </is>
      </c>
      <c r="C2349" s="88" t="n">
        <v>45100</v>
      </c>
      <c r="D2349" s="22" t="n"/>
      <c r="E2349" s="22" t="n"/>
      <c r="F2349" s="22" t="n"/>
      <c r="G2349" s="219" t="n"/>
      <c r="H2349" s="219" t="n"/>
      <c r="I2349" s="219" t="n"/>
      <c r="J2349" s="219" t="n"/>
      <c r="K2349" s="219" t="n"/>
      <c r="L2349" s="219" t="n"/>
      <c r="M2349" s="219" t="n"/>
      <c r="O2349" s="117">
        <f>C2349*P2349</f>
        <v/>
      </c>
      <c r="P2349" s="150" t="n">
        <v>1.1</v>
      </c>
      <c r="R2349" s="117" t="n"/>
      <c r="T2349" s="117" t="n"/>
    </row>
    <row r="2350" ht="17.25" customHeight="1" s="253">
      <c r="A2350" s="134" t="inlineStr">
        <is>
          <t>17888XXX</t>
        </is>
      </c>
      <c r="B2350" s="246" t="inlineStr">
        <is>
          <t>TAVERNITI  REM M/C</t>
        </is>
      </c>
      <c r="C2350" s="88" t="n">
        <v>45100</v>
      </c>
      <c r="D2350" s="22" t="n"/>
      <c r="E2350" s="22" t="n"/>
      <c r="F2350" s="22" t="n"/>
      <c r="G2350" s="219" t="n"/>
      <c r="H2350" s="219" t="n"/>
      <c r="I2350" s="219" t="n"/>
      <c r="J2350" s="219" t="n"/>
      <c r="K2350" s="219" t="n"/>
      <c r="L2350" s="219" t="n"/>
      <c r="M2350" s="219" t="n"/>
      <c r="O2350" s="117">
        <f>C2350*P2350</f>
        <v/>
      </c>
      <c r="P2350" s="150" t="n">
        <v>1.1</v>
      </c>
      <c r="R2350" s="117" t="n"/>
      <c r="T2350" s="117" t="n"/>
    </row>
    <row r="2351" ht="16.5" customHeight="1" s="253">
      <c r="A2351" s="134" t="inlineStr">
        <is>
          <t>17890XXX</t>
        </is>
      </c>
      <c r="B2351" s="246" t="inlineStr">
        <is>
          <t>TAVERNITI  REM M/C</t>
        </is>
      </c>
      <c r="C2351" s="88" t="n">
        <v>45100</v>
      </c>
      <c r="D2351" s="22" t="n"/>
      <c r="E2351" s="22" t="n"/>
      <c r="F2351" s="22" t="n"/>
      <c r="G2351" s="219" t="n"/>
      <c r="H2351" s="219" t="n"/>
      <c r="I2351" s="219" t="n"/>
      <c r="J2351" s="219" t="n"/>
      <c r="K2351" s="219" t="n"/>
      <c r="L2351" s="219" t="n"/>
      <c r="M2351" s="219" t="n"/>
      <c r="O2351" s="117">
        <f>C2351*P2351</f>
        <v/>
      </c>
      <c r="P2351" s="150" t="n">
        <v>1.1</v>
      </c>
      <c r="R2351" s="117" t="n"/>
      <c r="T2351" s="117" t="n"/>
    </row>
    <row r="2352" ht="16.5" customHeight="1" s="253">
      <c r="A2352" s="134" t="inlineStr">
        <is>
          <t>17892XXX</t>
        </is>
      </c>
      <c r="B2352" s="246" t="inlineStr">
        <is>
          <t>TAVERNITI  REM M/C</t>
        </is>
      </c>
      <c r="C2352" s="88" t="n">
        <v>45100</v>
      </c>
      <c r="D2352" s="22" t="n"/>
      <c r="E2352" s="22" t="n"/>
      <c r="F2352" s="22" t="n"/>
      <c r="G2352" s="219" t="n"/>
      <c r="H2352" s="219" t="n"/>
      <c r="I2352" s="219" t="n"/>
      <c r="J2352" s="219" t="n"/>
      <c r="K2352" s="219" t="n"/>
      <c r="L2352" s="219" t="n"/>
      <c r="M2352" s="219" t="n"/>
      <c r="O2352" s="117">
        <f>C2352*P2352</f>
        <v/>
      </c>
      <c r="P2352" s="150" t="n">
        <v>1.1</v>
      </c>
      <c r="R2352" s="117" t="n"/>
      <c r="T2352" s="117" t="n"/>
    </row>
    <row r="2353" ht="16.5" customHeight="1" s="253">
      <c r="A2353" s="89" t="inlineStr">
        <is>
          <t>17908XXX</t>
        </is>
      </c>
      <c r="B2353" s="135" t="inlineStr">
        <is>
          <t>TAVERNITI  REM M/C</t>
        </is>
      </c>
      <c r="C2353" s="88" t="n">
        <v>43600</v>
      </c>
      <c r="D2353" s="170" t="n"/>
      <c r="E2353" s="170" t="n"/>
      <c r="F2353" s="170" t="n"/>
      <c r="G2353" s="170" t="n"/>
      <c r="H2353" s="170" t="n"/>
      <c r="I2353" s="170" t="n"/>
      <c r="J2353" s="170" t="n"/>
      <c r="K2353" s="170" t="n"/>
      <c r="L2353" s="170" t="n"/>
      <c r="M2353" s="170" t="n"/>
      <c r="O2353" s="117">
        <f>C2353*P2353</f>
        <v/>
      </c>
      <c r="P2353" s="150" t="n">
        <v>1.1</v>
      </c>
      <c r="Q2353" s="30" t="n"/>
      <c r="R2353" s="170" t="n"/>
      <c r="S2353" s="30" t="n"/>
      <c r="T2353" s="170" t="n"/>
      <c r="U2353" s="30" t="n"/>
      <c r="V2353" s="30" t="n"/>
      <c r="W2353" s="30" t="n"/>
      <c r="X2353" s="30" t="n"/>
      <c r="Y2353" s="30" t="n"/>
      <c r="Z2353" s="30" t="n"/>
      <c r="AA2353" s="30" t="n"/>
      <c r="AB2353" s="30" t="n"/>
      <c r="AC2353" s="30" t="n"/>
      <c r="AD2353" s="30" t="n"/>
      <c r="AE2353" s="30" t="n"/>
      <c r="AF2353" s="30" t="n"/>
      <c r="AG2353" s="30" t="n"/>
      <c r="AH2353" s="30" t="n"/>
      <c r="AI2353" s="30" t="n"/>
      <c r="AJ2353" s="30" t="n"/>
      <c r="AK2353" s="30" t="n"/>
      <c r="AL2353" s="30" t="n"/>
      <c r="AM2353" s="30" t="n"/>
      <c r="AN2353" s="30" t="n"/>
    </row>
    <row r="2354" ht="16.5" customHeight="1" s="253">
      <c r="A2354" s="89" t="inlineStr">
        <is>
          <t>17950XXX</t>
        </is>
      </c>
      <c r="B2354" s="135" t="inlineStr">
        <is>
          <t>TAVERNITI  REM M/C</t>
        </is>
      </c>
      <c r="C2354" s="88" t="n">
        <v>43600</v>
      </c>
      <c r="D2354" s="170" t="n"/>
      <c r="E2354" s="170" t="n"/>
      <c r="F2354" s="170" t="n"/>
      <c r="G2354" s="170" t="n"/>
      <c r="H2354" s="170" t="n"/>
      <c r="I2354" s="170" t="n"/>
      <c r="J2354" s="170" t="n"/>
      <c r="K2354" s="170" t="n"/>
      <c r="L2354" s="170" t="n"/>
      <c r="M2354" s="170" t="n"/>
      <c r="O2354" s="117">
        <f>C2354*P2354</f>
        <v/>
      </c>
      <c r="P2354" s="150" t="n">
        <v>1.1</v>
      </c>
      <c r="Q2354" s="30" t="n"/>
      <c r="R2354" s="170" t="n"/>
      <c r="S2354" s="30" t="n"/>
      <c r="T2354" s="170" t="n"/>
      <c r="U2354" s="30" t="n"/>
      <c r="V2354" s="30" t="n"/>
      <c r="W2354" s="30" t="n"/>
      <c r="X2354" s="30" t="n"/>
      <c r="Y2354" s="30" t="n"/>
      <c r="Z2354" s="30" t="n"/>
      <c r="AA2354" s="30" t="n"/>
      <c r="AB2354" s="30" t="n"/>
      <c r="AC2354" s="30" t="n"/>
      <c r="AD2354" s="30" t="n"/>
      <c r="AE2354" s="30" t="n"/>
      <c r="AF2354" s="30" t="n"/>
      <c r="AG2354" s="30" t="n"/>
      <c r="AH2354" s="30" t="n"/>
      <c r="AI2354" s="30" t="n"/>
      <c r="AJ2354" s="30" t="n"/>
      <c r="AK2354" s="30" t="n"/>
      <c r="AL2354" s="30" t="n"/>
      <c r="AM2354" s="30" t="n"/>
      <c r="AN2354" s="30" t="n"/>
    </row>
    <row r="2355" ht="16.5" customHeight="1" s="253">
      <c r="A2355" s="89" t="inlineStr">
        <is>
          <t>17952XXX</t>
        </is>
      </c>
      <c r="B2355" s="135" t="inlineStr">
        <is>
          <t>TAVERNITI  REM M/C</t>
        </is>
      </c>
      <c r="C2355" s="88" t="n">
        <v>43600</v>
      </c>
      <c r="D2355" s="170" t="n"/>
      <c r="E2355" s="170" t="n"/>
      <c r="F2355" s="170" t="n"/>
      <c r="G2355" s="170" t="n"/>
      <c r="H2355" s="170" t="n"/>
      <c r="I2355" s="170" t="n"/>
      <c r="J2355" s="170" t="n"/>
      <c r="K2355" s="170" t="n"/>
      <c r="L2355" s="170" t="n"/>
      <c r="M2355" s="170" t="n"/>
      <c r="O2355" s="117">
        <f>C2355*P2355</f>
        <v/>
      </c>
      <c r="P2355" s="150" t="n">
        <v>1.1</v>
      </c>
      <c r="Q2355" s="30" t="n"/>
      <c r="R2355" s="170" t="n"/>
      <c r="S2355" s="30" t="n"/>
      <c r="T2355" s="170" t="n"/>
      <c r="U2355" s="30" t="n"/>
      <c r="V2355" s="30" t="n"/>
      <c r="W2355" s="30" t="n"/>
      <c r="X2355" s="30" t="n"/>
      <c r="Y2355" s="30" t="n"/>
      <c r="Z2355" s="30" t="n"/>
      <c r="AA2355" s="30" t="n"/>
      <c r="AB2355" s="30" t="n"/>
      <c r="AC2355" s="30" t="n"/>
      <c r="AD2355" s="30" t="n"/>
      <c r="AE2355" s="30" t="n"/>
      <c r="AF2355" s="30" t="n"/>
      <c r="AG2355" s="30" t="n"/>
      <c r="AH2355" s="30" t="n"/>
      <c r="AI2355" s="30" t="n"/>
      <c r="AJ2355" s="30" t="n"/>
      <c r="AK2355" s="30" t="n"/>
      <c r="AL2355" s="30" t="n"/>
      <c r="AM2355" s="30" t="n"/>
      <c r="AN2355" s="30" t="n"/>
    </row>
    <row r="2356" ht="16.5" customHeight="1" s="253">
      <c r="A2356" s="89" t="inlineStr">
        <is>
          <t>17974XXX</t>
        </is>
      </c>
      <c r="B2356" s="135" t="inlineStr">
        <is>
          <t>TAVERNITI  REM M/C</t>
        </is>
      </c>
      <c r="C2356" s="88" t="n">
        <v>43600</v>
      </c>
      <c r="D2356" s="170" t="n"/>
      <c r="E2356" s="170" t="n"/>
      <c r="F2356" s="170" t="n"/>
      <c r="G2356" s="170" t="n"/>
      <c r="H2356" s="170" t="n"/>
      <c r="I2356" s="170" t="n"/>
      <c r="J2356" s="170" t="n"/>
      <c r="K2356" s="170" t="n"/>
      <c r="L2356" s="170" t="n"/>
      <c r="M2356" s="170" t="n"/>
      <c r="O2356" s="117">
        <f>C2356*P2356</f>
        <v/>
      </c>
      <c r="P2356" s="150" t="n">
        <v>1.1</v>
      </c>
      <c r="Q2356" s="30" t="n"/>
      <c r="R2356" s="170" t="n"/>
      <c r="S2356" s="30" t="n"/>
      <c r="T2356" s="170" t="n"/>
      <c r="U2356" s="30" t="n"/>
      <c r="V2356" s="30" t="n"/>
      <c r="W2356" s="30" t="n"/>
      <c r="X2356" s="30" t="n"/>
      <c r="Y2356" s="30" t="n"/>
      <c r="Z2356" s="30" t="n"/>
      <c r="AA2356" s="30" t="n"/>
      <c r="AB2356" s="30" t="n"/>
      <c r="AC2356" s="30" t="n"/>
      <c r="AD2356" s="30" t="n"/>
      <c r="AE2356" s="30" t="n"/>
      <c r="AF2356" s="30" t="n"/>
      <c r="AG2356" s="30" t="n"/>
      <c r="AH2356" s="30" t="n"/>
      <c r="AI2356" s="30" t="n"/>
      <c r="AJ2356" s="30" t="n"/>
      <c r="AK2356" s="30" t="n"/>
      <c r="AL2356" s="30" t="n"/>
      <c r="AM2356" s="30" t="n"/>
      <c r="AN2356" s="30" t="n"/>
    </row>
    <row r="2357" ht="16.5" customHeight="1" s="253">
      <c r="A2357" s="134" t="inlineStr">
        <is>
          <t>17978XXX</t>
        </is>
      </c>
      <c r="B2357" s="246" t="inlineStr">
        <is>
          <t>TAVERNITI  REM M/C</t>
        </is>
      </c>
      <c r="C2357" s="88" t="n">
        <v>43600</v>
      </c>
      <c r="D2357" s="22" t="n"/>
      <c r="E2357" s="22" t="n"/>
      <c r="F2357" s="22" t="n"/>
      <c r="G2357" s="219" t="n"/>
      <c r="H2357" s="219" t="n"/>
      <c r="I2357" s="219" t="n"/>
      <c r="J2357" s="219" t="n"/>
      <c r="K2357" s="219" t="n"/>
      <c r="L2357" s="219" t="n"/>
      <c r="M2357" s="219" t="n"/>
      <c r="O2357" s="117">
        <f>C2357*P2357</f>
        <v/>
      </c>
      <c r="P2357" s="150" t="n">
        <v>1.1</v>
      </c>
      <c r="R2357" s="117" t="n"/>
      <c r="T2357" s="117" t="n"/>
    </row>
    <row r="2358" ht="16.5" customHeight="1" s="253">
      <c r="A2358" s="89" t="inlineStr">
        <is>
          <t>17982XXX</t>
        </is>
      </c>
      <c r="B2358" s="135" t="inlineStr">
        <is>
          <t>TAVERNITI  REM M/C</t>
        </is>
      </c>
      <c r="C2358" s="88" t="n">
        <v>43600</v>
      </c>
      <c r="D2358" s="170" t="n"/>
      <c r="E2358" s="170" t="n"/>
      <c r="F2358" s="170" t="n"/>
      <c r="G2358" s="170" t="n"/>
      <c r="H2358" s="170" t="n"/>
      <c r="I2358" s="170" t="n"/>
      <c r="J2358" s="170" t="n"/>
      <c r="K2358" s="170" t="n"/>
      <c r="L2358" s="170" t="n"/>
      <c r="M2358" s="170" t="n"/>
      <c r="O2358" s="117">
        <f>C2358*P2358</f>
        <v/>
      </c>
      <c r="P2358" s="150" t="n">
        <v>1.1</v>
      </c>
      <c r="Q2358" s="30" t="n"/>
      <c r="R2358" s="170" t="n"/>
      <c r="S2358" s="30" t="n"/>
      <c r="T2358" s="170" t="n"/>
      <c r="U2358" s="30" t="n"/>
      <c r="V2358" s="30" t="n"/>
      <c r="W2358" s="30" t="n"/>
      <c r="X2358" s="30" t="n"/>
      <c r="Y2358" s="30" t="n"/>
      <c r="Z2358" s="30" t="n"/>
      <c r="AA2358" s="30" t="n"/>
      <c r="AB2358" s="30" t="n"/>
      <c r="AC2358" s="30" t="n"/>
      <c r="AD2358" s="30" t="n"/>
      <c r="AE2358" s="30" t="n"/>
      <c r="AF2358" s="30" t="n"/>
      <c r="AG2358" s="30" t="n"/>
      <c r="AH2358" s="30" t="n"/>
      <c r="AI2358" s="30" t="n"/>
      <c r="AJ2358" s="30" t="n"/>
      <c r="AK2358" s="30" t="n"/>
      <c r="AL2358" s="30" t="n"/>
      <c r="AM2358" s="30" t="n"/>
      <c r="AN2358" s="30" t="n"/>
    </row>
    <row r="2359" ht="16.5" customHeight="1" s="253">
      <c r="A2359" s="134" t="inlineStr">
        <is>
          <t>17984XXX</t>
        </is>
      </c>
      <c r="B2359" s="246" t="inlineStr">
        <is>
          <t>TAVERNITI  REM M/C</t>
        </is>
      </c>
      <c r="C2359" s="88" t="n">
        <v>43600</v>
      </c>
      <c r="D2359" s="22" t="n"/>
      <c r="E2359" s="22" t="n"/>
      <c r="F2359" s="22" t="n"/>
      <c r="G2359" s="219" t="n"/>
      <c r="H2359" s="219" t="n"/>
      <c r="I2359" s="219" t="n"/>
      <c r="J2359" s="219" t="n"/>
      <c r="K2359" s="219" t="n"/>
      <c r="L2359" s="219" t="n"/>
      <c r="M2359" s="219" t="n"/>
      <c r="O2359" s="117">
        <f>C2359*P2359</f>
        <v/>
      </c>
      <c r="P2359" s="150" t="n">
        <v>1.1</v>
      </c>
      <c r="R2359" s="117" t="n"/>
      <c r="T2359" s="117" t="n"/>
    </row>
    <row r="2360" ht="16.5" customHeight="1" s="253">
      <c r="A2360" s="134" t="inlineStr">
        <is>
          <t>17988XXX</t>
        </is>
      </c>
      <c r="B2360" s="246" t="inlineStr">
        <is>
          <t>TAVERNITI  REM M/C</t>
        </is>
      </c>
      <c r="C2360" s="88" t="n">
        <v>43600</v>
      </c>
      <c r="D2360" s="22" t="n"/>
      <c r="E2360" s="22" t="n"/>
      <c r="F2360" s="22" t="n"/>
      <c r="G2360" s="219" t="n"/>
      <c r="H2360" s="219" t="n"/>
      <c r="I2360" s="219" t="n"/>
      <c r="J2360" s="219" t="n"/>
      <c r="K2360" s="219" t="n"/>
      <c r="L2360" s="219" t="n"/>
      <c r="M2360" s="219" t="n"/>
      <c r="O2360" s="117">
        <f>C2360*P2360</f>
        <v/>
      </c>
      <c r="P2360" s="150" t="n">
        <v>1.1</v>
      </c>
      <c r="R2360" s="117" t="n"/>
      <c r="T2360" s="117" t="n"/>
    </row>
    <row r="2361" ht="16.5" customHeight="1" s="253">
      <c r="A2361" s="134" t="inlineStr">
        <is>
          <t>17990XXX</t>
        </is>
      </c>
      <c r="B2361" s="246" t="inlineStr">
        <is>
          <t>TAVERNITI  REM M/C</t>
        </is>
      </c>
      <c r="C2361" s="88" t="n">
        <v>43600</v>
      </c>
      <c r="D2361" s="22" t="n"/>
      <c r="E2361" s="22" t="n"/>
      <c r="F2361" s="22" t="n"/>
      <c r="G2361" s="219" t="n"/>
      <c r="H2361" s="219" t="n"/>
      <c r="I2361" s="219" t="n"/>
      <c r="J2361" s="219" t="n"/>
      <c r="K2361" s="219" t="n"/>
      <c r="L2361" s="219" t="n"/>
      <c r="M2361" s="219" t="n"/>
      <c r="O2361" s="117">
        <f>C2361*P2361</f>
        <v/>
      </c>
      <c r="P2361" s="150" t="n">
        <v>1.1</v>
      </c>
      <c r="R2361" s="117" t="n"/>
      <c r="T2361" s="117" t="n"/>
    </row>
    <row r="2362" ht="16.5" customHeight="1" s="253">
      <c r="A2362" s="89" t="inlineStr">
        <is>
          <t>18172XXX</t>
        </is>
      </c>
      <c r="B2362" s="135" t="inlineStr">
        <is>
          <t>TAVERNITI  REM M/C</t>
        </is>
      </c>
      <c r="C2362" s="88" t="n">
        <v>34200</v>
      </c>
      <c r="D2362" s="170" t="n"/>
      <c r="E2362" s="170" t="n"/>
      <c r="F2362" s="170" t="n"/>
      <c r="G2362" s="170" t="n"/>
      <c r="H2362" s="170" t="n"/>
      <c r="I2362" s="170" t="n"/>
      <c r="J2362" s="170" t="n"/>
      <c r="K2362" s="170" t="n"/>
      <c r="L2362" s="170" t="n"/>
      <c r="M2362" s="170" t="n"/>
      <c r="N2362" s="96" t="n"/>
      <c r="O2362" s="117">
        <f>C2362*P2362</f>
        <v/>
      </c>
      <c r="P2362" s="150" t="n">
        <v>1.1</v>
      </c>
      <c r="Q2362" s="30" t="n"/>
      <c r="R2362" s="170" t="n"/>
      <c r="S2362" s="30" t="n"/>
      <c r="T2362" s="170" t="n"/>
      <c r="U2362" s="30" t="n"/>
      <c r="V2362" s="30" t="n"/>
      <c r="W2362" s="30" t="n"/>
      <c r="X2362" s="30" t="n"/>
      <c r="Y2362" s="30" t="n"/>
      <c r="Z2362" s="30" t="n"/>
      <c r="AA2362" s="30" t="n"/>
      <c r="AB2362" s="30" t="n"/>
      <c r="AC2362" s="30" t="n"/>
      <c r="AD2362" s="30" t="n"/>
      <c r="AE2362" s="30" t="n"/>
      <c r="AF2362" s="30" t="n"/>
      <c r="AG2362" s="30" t="n"/>
      <c r="AH2362" s="30" t="n"/>
      <c r="AI2362" s="30" t="n"/>
      <c r="AJ2362" s="30" t="n"/>
      <c r="AK2362" s="30" t="n"/>
      <c r="AL2362" s="30" t="n"/>
      <c r="AM2362" s="30" t="n"/>
      <c r="AN2362" s="30" t="n"/>
    </row>
    <row r="2363" ht="16.5" customHeight="1" s="253">
      <c r="A2363" s="89" t="inlineStr">
        <is>
          <t>18220XXX</t>
        </is>
      </c>
      <c r="B2363" s="135" t="inlineStr">
        <is>
          <t>TAVERNITI  REM M/C</t>
        </is>
      </c>
      <c r="C2363" s="88" t="n">
        <v>64500</v>
      </c>
      <c r="D2363" s="170" t="n"/>
      <c r="E2363" s="170" t="n"/>
      <c r="F2363" s="170" t="n"/>
      <c r="G2363" s="170" t="n"/>
      <c r="H2363" s="170" t="n"/>
      <c r="I2363" s="170" t="n"/>
      <c r="J2363" s="170" t="n"/>
      <c r="K2363" s="170" t="n"/>
      <c r="L2363" s="170" t="n"/>
      <c r="M2363" s="170" t="n"/>
      <c r="N2363" s="96" t="n"/>
      <c r="O2363" s="117">
        <f>C2363*P2363</f>
        <v/>
      </c>
      <c r="P2363" s="150" t="n">
        <v>1.1</v>
      </c>
      <c r="Q2363" s="30" t="n"/>
      <c r="R2363" s="170" t="n"/>
      <c r="S2363" s="30" t="n"/>
      <c r="T2363" s="170" t="n"/>
      <c r="U2363" s="30" t="n"/>
      <c r="V2363" s="30" t="n"/>
      <c r="W2363" s="30" t="n"/>
      <c r="X2363" s="30" t="n"/>
      <c r="Y2363" s="30" t="n"/>
      <c r="Z2363" s="30" t="n"/>
      <c r="AA2363" s="30" t="n"/>
      <c r="AB2363" s="30" t="n"/>
      <c r="AC2363" s="30" t="n"/>
      <c r="AD2363" s="30" t="n"/>
      <c r="AE2363" s="30" t="n"/>
      <c r="AF2363" s="30" t="n"/>
      <c r="AG2363" s="30" t="n"/>
      <c r="AH2363" s="30" t="n"/>
      <c r="AI2363" s="30" t="n"/>
      <c r="AJ2363" s="30" t="n"/>
      <c r="AK2363" s="30" t="n"/>
      <c r="AL2363" s="30" t="n"/>
      <c r="AM2363" s="30" t="n"/>
      <c r="AN2363" s="30" t="n"/>
    </row>
    <row r="2364" ht="16.5" customHeight="1" s="253">
      <c r="A2364" s="89" t="inlineStr">
        <is>
          <t>18222XXX</t>
        </is>
      </c>
      <c r="B2364" s="135" t="inlineStr">
        <is>
          <t>TAVERNITI  REM M/C</t>
        </is>
      </c>
      <c r="C2364" s="88" t="n">
        <v>62200</v>
      </c>
      <c r="D2364" s="170" t="n"/>
      <c r="E2364" s="170" t="n"/>
      <c r="F2364" s="170" t="n"/>
      <c r="G2364" s="170" t="n"/>
      <c r="H2364" s="170" t="n"/>
      <c r="I2364" s="170" t="n"/>
      <c r="J2364" s="170" t="n"/>
      <c r="K2364" s="170" t="n"/>
      <c r="L2364" s="170" t="n"/>
      <c r="M2364" s="170" t="n"/>
      <c r="N2364" s="96" t="n"/>
      <c r="O2364" s="117">
        <f>C2364*P2364</f>
        <v/>
      </c>
      <c r="P2364" s="150" t="n">
        <v>1.1</v>
      </c>
      <c r="Q2364" s="30" t="n"/>
      <c r="R2364" s="170" t="n"/>
      <c r="S2364" s="30" t="n"/>
      <c r="T2364" s="170" t="n"/>
      <c r="U2364" s="30" t="n"/>
      <c r="V2364" s="30" t="n"/>
      <c r="W2364" s="30" t="n"/>
      <c r="X2364" s="30" t="n"/>
      <c r="Y2364" s="30" t="n"/>
      <c r="Z2364" s="30" t="n"/>
      <c r="AA2364" s="30" t="n"/>
      <c r="AB2364" s="30" t="n"/>
      <c r="AC2364" s="30" t="n"/>
      <c r="AD2364" s="30" t="n"/>
      <c r="AE2364" s="30" t="n"/>
      <c r="AF2364" s="30" t="n"/>
      <c r="AG2364" s="30" t="n"/>
      <c r="AH2364" s="30" t="n"/>
      <c r="AI2364" s="30" t="n"/>
      <c r="AJ2364" s="30" t="n"/>
      <c r="AK2364" s="30" t="n"/>
      <c r="AL2364" s="30" t="n"/>
      <c r="AM2364" s="30" t="n"/>
      <c r="AN2364" s="30" t="n"/>
    </row>
    <row r="2365" ht="16.5" customHeight="1" s="253">
      <c r="A2365" s="89" t="inlineStr">
        <is>
          <t>18224XXX</t>
        </is>
      </c>
      <c r="B2365" s="135" t="inlineStr">
        <is>
          <t>TAVERNITI  REM M/C</t>
        </is>
      </c>
      <c r="C2365" s="88" t="n">
        <v>71300</v>
      </c>
      <c r="D2365" s="170" t="n"/>
      <c r="E2365" s="170" t="n"/>
      <c r="F2365" s="170" t="n"/>
      <c r="G2365" s="170" t="n"/>
      <c r="H2365" s="170" t="n"/>
      <c r="I2365" s="170" t="n"/>
      <c r="J2365" s="170" t="n"/>
      <c r="K2365" s="170" t="n"/>
      <c r="L2365" s="170" t="n"/>
      <c r="M2365" s="170" t="n"/>
      <c r="N2365" s="96" t="n"/>
      <c r="O2365" s="117">
        <f>C2365*P2365</f>
        <v/>
      </c>
      <c r="P2365" s="150" t="n">
        <v>1.1</v>
      </c>
      <c r="Q2365" s="30" t="n"/>
      <c r="R2365" s="170" t="n"/>
      <c r="S2365" s="30" t="n"/>
      <c r="T2365" s="170" t="n"/>
      <c r="U2365" s="30" t="n"/>
      <c r="V2365" s="30" t="n"/>
      <c r="W2365" s="30" t="n"/>
      <c r="X2365" s="30" t="n"/>
      <c r="Y2365" s="30" t="n"/>
      <c r="Z2365" s="30" t="n"/>
      <c r="AA2365" s="30" t="n"/>
      <c r="AB2365" s="30" t="n"/>
      <c r="AC2365" s="30" t="n"/>
      <c r="AD2365" s="30" t="n"/>
      <c r="AE2365" s="30" t="n"/>
      <c r="AF2365" s="30" t="n"/>
      <c r="AG2365" s="30" t="n"/>
      <c r="AH2365" s="30" t="n"/>
      <c r="AI2365" s="30" t="n"/>
      <c r="AJ2365" s="30" t="n"/>
      <c r="AK2365" s="30" t="n"/>
      <c r="AL2365" s="30" t="n"/>
      <c r="AM2365" s="30" t="n"/>
      <c r="AN2365" s="30" t="n"/>
    </row>
    <row r="2366" ht="16.5" customHeight="1" s="253">
      <c r="A2366" s="89" t="inlineStr">
        <is>
          <t>18226XXX</t>
        </is>
      </c>
      <c r="B2366" s="135" t="inlineStr">
        <is>
          <t>TAVERNITI  REM M/C</t>
        </is>
      </c>
      <c r="C2366" s="88" t="n">
        <v>65300</v>
      </c>
      <c r="D2366" s="170" t="n"/>
      <c r="E2366" s="170" t="n"/>
      <c r="F2366" s="170" t="n"/>
      <c r="G2366" s="170" t="n"/>
      <c r="H2366" s="170" t="n"/>
      <c r="I2366" s="170" t="n"/>
      <c r="J2366" s="170" t="n"/>
      <c r="K2366" s="170" t="n"/>
      <c r="L2366" s="170" t="n"/>
      <c r="M2366" s="170" t="n"/>
      <c r="N2366" s="96" t="n"/>
      <c r="O2366" s="117">
        <f>C2366*P2366</f>
        <v/>
      </c>
      <c r="P2366" s="150" t="n">
        <v>1.1</v>
      </c>
      <c r="Q2366" s="30" t="n"/>
      <c r="R2366" s="170" t="n"/>
      <c r="S2366" s="30" t="n"/>
      <c r="T2366" s="170" t="n"/>
      <c r="U2366" s="30" t="n"/>
      <c r="V2366" s="30" t="n"/>
      <c r="W2366" s="30" t="n"/>
      <c r="X2366" s="30" t="n"/>
      <c r="Y2366" s="30" t="n"/>
      <c r="Z2366" s="30" t="n"/>
      <c r="AA2366" s="30" t="n"/>
      <c r="AB2366" s="30" t="n"/>
      <c r="AC2366" s="30" t="n"/>
      <c r="AD2366" s="30" t="n"/>
      <c r="AE2366" s="30" t="n"/>
      <c r="AF2366" s="30" t="n"/>
      <c r="AG2366" s="30" t="n"/>
      <c r="AH2366" s="30" t="n"/>
      <c r="AI2366" s="30" t="n"/>
      <c r="AJ2366" s="30" t="n"/>
      <c r="AK2366" s="30" t="n"/>
      <c r="AL2366" s="30" t="n"/>
      <c r="AM2366" s="30" t="n"/>
      <c r="AN2366" s="30" t="n"/>
    </row>
    <row r="2367" ht="16.5" customHeight="1" s="253">
      <c r="A2367" s="89" t="inlineStr">
        <is>
          <t>18230XXX</t>
        </is>
      </c>
      <c r="B2367" s="135" t="inlineStr">
        <is>
          <t>TAVERNITI  REM M/C</t>
        </is>
      </c>
      <c r="C2367" s="88" t="n">
        <v>51800</v>
      </c>
      <c r="D2367" s="170" t="n"/>
      <c r="E2367" s="170" t="n"/>
      <c r="F2367" s="170" t="n"/>
      <c r="G2367" s="170" t="n"/>
      <c r="H2367" s="170" t="n"/>
      <c r="I2367" s="170" t="n"/>
      <c r="J2367" s="170" t="n"/>
      <c r="K2367" s="170" t="n"/>
      <c r="L2367" s="170" t="n"/>
      <c r="M2367" s="170" t="n"/>
      <c r="N2367" s="96" t="n"/>
      <c r="O2367" s="117">
        <f>C2367*P2367</f>
        <v/>
      </c>
      <c r="P2367" s="150" t="n">
        <v>1.1</v>
      </c>
      <c r="Q2367" s="30" t="n"/>
      <c r="R2367" s="170" t="n"/>
      <c r="S2367" s="30" t="n"/>
      <c r="T2367" s="170" t="n"/>
      <c r="U2367" s="30" t="n"/>
      <c r="V2367" s="30" t="n"/>
      <c r="W2367" s="30" t="n"/>
      <c r="X2367" s="30" t="n"/>
      <c r="Y2367" s="30" t="n"/>
      <c r="Z2367" s="30" t="n"/>
      <c r="AA2367" s="30" t="n"/>
      <c r="AB2367" s="30" t="n"/>
      <c r="AC2367" s="30" t="n"/>
      <c r="AD2367" s="30" t="n"/>
      <c r="AE2367" s="30" t="n"/>
      <c r="AF2367" s="30" t="n"/>
      <c r="AG2367" s="30" t="n"/>
      <c r="AH2367" s="30" t="n"/>
      <c r="AI2367" s="30" t="n"/>
      <c r="AJ2367" s="30" t="n"/>
      <c r="AK2367" s="30" t="n"/>
      <c r="AL2367" s="30" t="n"/>
      <c r="AM2367" s="30" t="n"/>
      <c r="AN2367" s="30" t="n"/>
    </row>
    <row r="2368" ht="16.5" customHeight="1" s="253">
      <c r="A2368" s="89" t="inlineStr">
        <is>
          <t>18240XXX</t>
        </is>
      </c>
      <c r="B2368" s="135" t="inlineStr">
        <is>
          <t>TAVERNITI  REM M/C</t>
        </is>
      </c>
      <c r="C2368" s="88" t="n">
        <v>45400</v>
      </c>
      <c r="D2368" s="170" t="n"/>
      <c r="E2368" s="170" t="n"/>
      <c r="F2368" s="170" t="n"/>
      <c r="G2368" s="170" t="n"/>
      <c r="H2368" s="170" t="n"/>
      <c r="I2368" s="170" t="n"/>
      <c r="J2368" s="170" t="n"/>
      <c r="K2368" s="170" t="n"/>
      <c r="L2368" s="170" t="n"/>
      <c r="M2368" s="170" t="n"/>
      <c r="N2368" s="30" t="n"/>
      <c r="O2368" s="150">
        <f>C2368*P2368</f>
        <v/>
      </c>
      <c r="P2368" s="150" t="n">
        <v>1.1</v>
      </c>
      <c r="Q2368" s="30" t="n"/>
      <c r="R2368" s="170" t="n"/>
      <c r="S2368" s="30" t="n"/>
      <c r="T2368" s="170" t="n"/>
      <c r="U2368" s="30" t="n"/>
      <c r="V2368" s="30" t="n"/>
      <c r="W2368" s="30" t="n"/>
      <c r="X2368" s="30" t="n"/>
      <c r="Y2368" s="30" t="n"/>
      <c r="Z2368" s="30" t="n"/>
      <c r="AA2368" s="30" t="n"/>
      <c r="AB2368" s="30" t="n"/>
      <c r="AC2368" s="30" t="n"/>
      <c r="AD2368" s="30" t="n"/>
      <c r="AE2368" s="30" t="n"/>
      <c r="AF2368" s="30" t="n"/>
      <c r="AG2368" s="30" t="n"/>
      <c r="AH2368" s="30" t="n"/>
      <c r="AI2368" s="30" t="n"/>
      <c r="AJ2368" s="30" t="n"/>
      <c r="AK2368" s="30" t="n"/>
      <c r="AL2368" s="30" t="n"/>
      <c r="AM2368" s="30" t="n"/>
      <c r="AN2368" s="30" t="n"/>
      <c r="AO2368" s="30" t="n"/>
    </row>
    <row r="2369" ht="16.5" customHeight="1" s="253">
      <c r="A2369" s="89" t="inlineStr">
        <is>
          <t>18248XXX</t>
        </is>
      </c>
      <c r="B2369" s="135" t="inlineStr">
        <is>
          <t>TAVERNITI  REM M/C</t>
        </is>
      </c>
      <c r="C2369" s="88" t="n">
        <v>51800</v>
      </c>
      <c r="D2369" s="170" t="n"/>
      <c r="E2369" s="170" t="n"/>
      <c r="F2369" s="170" t="n"/>
      <c r="G2369" s="170" t="n"/>
      <c r="H2369" s="170" t="n"/>
      <c r="I2369" s="170" t="n"/>
      <c r="J2369" s="170" t="n"/>
      <c r="K2369" s="170" t="n"/>
      <c r="L2369" s="170" t="n"/>
      <c r="M2369" s="170" t="n"/>
      <c r="N2369" s="96" t="n"/>
      <c r="O2369" s="117">
        <f>C2369*P2369</f>
        <v/>
      </c>
      <c r="P2369" s="150" t="n">
        <v>1.1</v>
      </c>
      <c r="Q2369" s="30" t="n"/>
      <c r="R2369" s="170" t="n"/>
      <c r="S2369" s="30" t="n"/>
      <c r="T2369" s="170" t="n"/>
      <c r="U2369" s="30" t="n"/>
      <c r="V2369" s="30" t="n"/>
      <c r="W2369" s="30" t="n"/>
      <c r="X2369" s="30" t="n"/>
      <c r="Y2369" s="30" t="n"/>
      <c r="Z2369" s="30" t="n"/>
      <c r="AA2369" s="30" t="n"/>
      <c r="AB2369" s="30" t="n"/>
      <c r="AC2369" s="30" t="n"/>
      <c r="AD2369" s="30" t="n"/>
      <c r="AE2369" s="30" t="n"/>
      <c r="AF2369" s="30" t="n"/>
      <c r="AG2369" s="30" t="n"/>
      <c r="AH2369" s="30" t="n"/>
      <c r="AI2369" s="30" t="n"/>
      <c r="AJ2369" s="30" t="n"/>
      <c r="AK2369" s="30" t="n"/>
      <c r="AL2369" s="30" t="n"/>
      <c r="AM2369" s="30" t="n"/>
      <c r="AN2369" s="30" t="n"/>
      <c r="AO2369" s="30" t="n"/>
    </row>
    <row r="2370" ht="16.5" customHeight="1" s="253">
      <c r="A2370" s="89" t="inlineStr">
        <is>
          <t>18262XXX</t>
        </is>
      </c>
      <c r="B2370" s="135" t="inlineStr">
        <is>
          <t>TAVERNITI  REM M/C</t>
        </is>
      </c>
      <c r="C2370" s="88" t="n">
        <v>50300</v>
      </c>
      <c r="D2370" s="170" t="n"/>
      <c r="E2370" s="170" t="n"/>
      <c r="F2370" s="170" t="n"/>
      <c r="G2370" s="170" t="n"/>
      <c r="H2370" s="170" t="n"/>
      <c r="I2370" s="170" t="n"/>
      <c r="J2370" s="170" t="n"/>
      <c r="K2370" s="170" t="n"/>
      <c r="L2370" s="170" t="n"/>
      <c r="M2370" s="170" t="n"/>
      <c r="N2370" s="96" t="n"/>
      <c r="O2370" s="117">
        <f>C2370*P2370</f>
        <v/>
      </c>
      <c r="P2370" s="150" t="n">
        <v>1.1</v>
      </c>
      <c r="Q2370" s="30" t="n"/>
      <c r="R2370" s="170" t="n"/>
      <c r="S2370" s="30" t="n"/>
      <c r="T2370" s="170" t="n"/>
      <c r="U2370" s="30" t="n"/>
      <c r="V2370" s="30" t="n"/>
      <c r="W2370" s="30" t="n"/>
      <c r="X2370" s="30" t="n"/>
      <c r="Y2370" s="30" t="n"/>
      <c r="Z2370" s="30" t="n"/>
      <c r="AA2370" s="30" t="n"/>
      <c r="AB2370" s="30" t="n"/>
      <c r="AC2370" s="30" t="n"/>
      <c r="AD2370" s="30" t="n"/>
      <c r="AE2370" s="30" t="n"/>
      <c r="AF2370" s="30" t="n"/>
      <c r="AG2370" s="30" t="n"/>
      <c r="AH2370" s="30" t="n"/>
      <c r="AI2370" s="30" t="n"/>
      <c r="AJ2370" s="30" t="n"/>
      <c r="AK2370" s="30" t="n"/>
      <c r="AL2370" s="30" t="n"/>
      <c r="AM2370" s="30" t="n"/>
      <c r="AN2370" s="30" t="n"/>
    </row>
    <row r="2371" ht="16.5" customHeight="1" s="253">
      <c r="A2371" s="89" t="inlineStr">
        <is>
          <t>18264XXX</t>
        </is>
      </c>
      <c r="B2371" s="135" t="inlineStr">
        <is>
          <t>TAVERNITI  REM M/C</t>
        </is>
      </c>
      <c r="C2371" s="88" t="n">
        <v>58300</v>
      </c>
      <c r="D2371" s="170" t="n"/>
      <c r="E2371" s="170" t="n"/>
      <c r="F2371" s="170" t="n"/>
      <c r="G2371" s="170" t="n"/>
      <c r="H2371" s="170" t="n"/>
      <c r="I2371" s="170" t="n"/>
      <c r="J2371" s="170" t="n"/>
      <c r="K2371" s="170" t="n"/>
      <c r="L2371" s="170" t="n"/>
      <c r="M2371" s="170" t="n"/>
      <c r="N2371" s="96" t="n"/>
      <c r="O2371" s="117">
        <f>C2371*P2371</f>
        <v/>
      </c>
      <c r="P2371" s="150" t="n">
        <v>1.1</v>
      </c>
      <c r="Q2371" s="30" t="n"/>
      <c r="R2371" s="170" t="n"/>
      <c r="S2371" s="30" t="n"/>
      <c r="T2371" s="170" t="n"/>
      <c r="U2371" s="30" t="n"/>
      <c r="V2371" s="30" t="n"/>
      <c r="W2371" s="30" t="n"/>
      <c r="X2371" s="30" t="n"/>
      <c r="Y2371" s="30" t="n"/>
      <c r="Z2371" s="30" t="n"/>
      <c r="AA2371" s="30" t="n"/>
      <c r="AB2371" s="30" t="n"/>
      <c r="AC2371" s="30" t="n"/>
      <c r="AD2371" s="30" t="n"/>
      <c r="AE2371" s="30" t="n"/>
      <c r="AF2371" s="30" t="n"/>
      <c r="AG2371" s="30" t="n"/>
      <c r="AH2371" s="30" t="n"/>
      <c r="AI2371" s="30" t="n"/>
      <c r="AJ2371" s="30" t="n"/>
      <c r="AK2371" s="30" t="n"/>
      <c r="AL2371" s="30" t="n"/>
      <c r="AM2371" s="30" t="n"/>
      <c r="AN2371" s="30" t="n"/>
    </row>
    <row r="2372" ht="16.5" customHeight="1" s="253">
      <c r="A2372" s="89" t="inlineStr">
        <is>
          <t>18266XXX</t>
        </is>
      </c>
      <c r="B2372" s="135" t="inlineStr">
        <is>
          <t>TAVERNITI  REM M/C</t>
        </is>
      </c>
      <c r="C2372" s="88" t="n">
        <v>58300</v>
      </c>
      <c r="D2372" s="170" t="n"/>
      <c r="E2372" s="170" t="n"/>
      <c r="F2372" s="170" t="n"/>
      <c r="G2372" s="170" t="n"/>
      <c r="H2372" s="170" t="n"/>
      <c r="I2372" s="170" t="n"/>
      <c r="J2372" s="170" t="n"/>
      <c r="K2372" s="170" t="n"/>
      <c r="L2372" s="170" t="n"/>
      <c r="M2372" s="170" t="n"/>
      <c r="N2372" s="96" t="n"/>
      <c r="O2372" s="117">
        <f>C2372*P2372</f>
        <v/>
      </c>
      <c r="P2372" s="150" t="n">
        <v>1.1</v>
      </c>
      <c r="Q2372" s="30" t="n"/>
      <c r="R2372" s="170" t="n"/>
      <c r="S2372" s="30" t="n"/>
      <c r="T2372" s="170" t="n"/>
      <c r="U2372" s="30" t="n"/>
      <c r="V2372" s="30" t="n"/>
      <c r="W2372" s="30" t="n"/>
      <c r="X2372" s="30" t="n"/>
      <c r="Y2372" s="30" t="n"/>
      <c r="Z2372" s="30" t="n"/>
      <c r="AA2372" s="30" t="n"/>
      <c r="AB2372" s="30" t="n"/>
      <c r="AC2372" s="30" t="n"/>
      <c r="AD2372" s="30" t="n"/>
      <c r="AE2372" s="30" t="n"/>
      <c r="AF2372" s="30" t="n"/>
      <c r="AG2372" s="30" t="n"/>
      <c r="AH2372" s="30" t="n"/>
      <c r="AI2372" s="30" t="n"/>
      <c r="AJ2372" s="30" t="n"/>
      <c r="AK2372" s="30" t="n"/>
      <c r="AL2372" s="30" t="n"/>
      <c r="AM2372" s="30" t="n"/>
      <c r="AN2372" s="30" t="n"/>
    </row>
    <row r="2373" ht="16.5" customHeight="1" s="253">
      <c r="A2373" s="89" t="inlineStr">
        <is>
          <t>18268XXX</t>
        </is>
      </c>
      <c r="B2373" s="135" t="inlineStr">
        <is>
          <t>TAVERNITI  REM M/C</t>
        </is>
      </c>
      <c r="C2373" s="88" t="n">
        <v>58300</v>
      </c>
      <c r="D2373" s="170" t="n"/>
      <c r="E2373" s="170" t="n"/>
      <c r="F2373" s="170" t="n"/>
      <c r="G2373" s="170" t="n"/>
      <c r="H2373" s="170" t="n"/>
      <c r="I2373" s="170" t="n"/>
      <c r="J2373" s="170" t="n"/>
      <c r="K2373" s="170" t="n"/>
      <c r="L2373" s="170" t="n"/>
      <c r="M2373" s="170" t="n"/>
      <c r="N2373" s="96" t="n"/>
      <c r="O2373" s="117">
        <f>C2373*P2373</f>
        <v/>
      </c>
      <c r="P2373" s="150" t="n">
        <v>1.1</v>
      </c>
      <c r="Q2373" s="30" t="n"/>
      <c r="R2373" s="170" t="n"/>
      <c r="S2373" s="30" t="n"/>
      <c r="T2373" s="170" t="n"/>
      <c r="U2373" s="30" t="n"/>
      <c r="V2373" s="30" t="n"/>
      <c r="W2373" s="30" t="n"/>
      <c r="X2373" s="30" t="n"/>
      <c r="Y2373" s="30" t="n"/>
      <c r="Z2373" s="30" t="n"/>
      <c r="AA2373" s="30" t="n"/>
      <c r="AB2373" s="30" t="n"/>
      <c r="AC2373" s="30" t="n"/>
      <c r="AD2373" s="30" t="n"/>
      <c r="AE2373" s="30" t="n"/>
      <c r="AF2373" s="30" t="n"/>
      <c r="AG2373" s="30" t="n"/>
      <c r="AH2373" s="30" t="n"/>
      <c r="AI2373" s="30" t="n"/>
      <c r="AJ2373" s="30" t="n"/>
      <c r="AK2373" s="30" t="n"/>
      <c r="AL2373" s="30" t="n"/>
      <c r="AM2373" s="30" t="n"/>
      <c r="AN2373" s="30" t="n"/>
    </row>
    <row r="2374" ht="16.5" customHeight="1" s="253">
      <c r="A2374" s="89" t="inlineStr">
        <is>
          <t>18274XXX</t>
        </is>
      </c>
      <c r="B2374" s="135" t="inlineStr">
        <is>
          <t>TAVERNITI  REM M/C</t>
        </is>
      </c>
      <c r="C2374" s="88" t="n">
        <v>46000</v>
      </c>
      <c r="D2374" s="170" t="n"/>
      <c r="E2374" s="170" t="n"/>
      <c r="F2374" s="170" t="n"/>
      <c r="G2374" s="170" t="n"/>
      <c r="H2374" s="170" t="n"/>
      <c r="I2374" s="170" t="n"/>
      <c r="J2374" s="170" t="n"/>
      <c r="K2374" s="170" t="n"/>
      <c r="L2374" s="170" t="n"/>
      <c r="M2374" s="170" t="n"/>
      <c r="N2374" s="96" t="n"/>
      <c r="O2374" s="117">
        <f>C2374*P2374</f>
        <v/>
      </c>
      <c r="P2374" s="150" t="n">
        <v>1.1</v>
      </c>
      <c r="Q2374" s="30" t="n"/>
      <c r="R2374" s="170" t="n"/>
      <c r="S2374" s="30" t="n"/>
      <c r="T2374" s="170" t="n"/>
      <c r="U2374" s="30" t="n"/>
      <c r="V2374" s="30" t="n"/>
      <c r="W2374" s="30" t="n"/>
      <c r="X2374" s="30" t="n"/>
      <c r="Y2374" s="30" t="n"/>
      <c r="Z2374" s="30" t="n"/>
      <c r="AA2374" s="30" t="n"/>
      <c r="AB2374" s="30" t="n"/>
      <c r="AC2374" s="30" t="n"/>
      <c r="AD2374" s="30" t="n"/>
      <c r="AE2374" s="30" t="n"/>
      <c r="AF2374" s="30" t="n"/>
      <c r="AG2374" s="30" t="n"/>
      <c r="AH2374" s="30" t="n"/>
      <c r="AI2374" s="30" t="n"/>
      <c r="AJ2374" s="30" t="n"/>
      <c r="AK2374" s="30" t="n"/>
      <c r="AL2374" s="30" t="n"/>
      <c r="AM2374" s="30" t="n"/>
      <c r="AN2374" s="30" t="n"/>
    </row>
    <row r="2375" ht="16.5" customHeight="1" s="253">
      <c r="A2375" s="89" t="inlineStr">
        <is>
          <t>18280XXX</t>
        </is>
      </c>
      <c r="B2375" s="135" t="inlineStr">
        <is>
          <t>TAVERNITI  REM M/C</t>
        </is>
      </c>
      <c r="C2375" s="88" t="n">
        <v>46500</v>
      </c>
      <c r="D2375" s="170" t="n"/>
      <c r="E2375" s="170" t="n"/>
      <c r="F2375" s="170" t="n"/>
      <c r="G2375" s="170" t="n"/>
      <c r="H2375" s="170" t="n"/>
      <c r="I2375" s="170" t="n"/>
      <c r="J2375" s="170" t="n"/>
      <c r="K2375" s="170" t="n"/>
      <c r="L2375" s="170" t="n"/>
      <c r="M2375" s="170" t="n"/>
      <c r="N2375" s="96" t="n"/>
      <c r="O2375" s="117">
        <f>C2375*P2375</f>
        <v/>
      </c>
      <c r="P2375" s="150" t="n">
        <v>1.1</v>
      </c>
      <c r="Q2375" s="30" t="n"/>
      <c r="R2375" s="170" t="n"/>
      <c r="S2375" s="30" t="n"/>
      <c r="T2375" s="170" t="n"/>
      <c r="U2375" s="30" t="n"/>
      <c r="V2375" s="30" t="n"/>
      <c r="W2375" s="30" t="n"/>
      <c r="X2375" s="30" t="n"/>
      <c r="Y2375" s="30" t="n"/>
      <c r="Z2375" s="30" t="n"/>
      <c r="AA2375" s="30" t="n"/>
      <c r="AB2375" s="30" t="n"/>
      <c r="AC2375" s="30" t="n"/>
      <c r="AD2375" s="30" t="n"/>
      <c r="AE2375" s="30" t="n"/>
      <c r="AF2375" s="30" t="n"/>
      <c r="AG2375" s="30" t="n"/>
      <c r="AH2375" s="30" t="n"/>
      <c r="AI2375" s="30" t="n"/>
      <c r="AJ2375" s="30" t="n"/>
      <c r="AK2375" s="30" t="n"/>
      <c r="AL2375" s="30" t="n"/>
      <c r="AM2375" s="30" t="n"/>
      <c r="AN2375" s="30" t="n"/>
      <c r="AO2375" s="30" t="n"/>
    </row>
    <row r="2376" ht="16.5" customHeight="1" s="253">
      <c r="A2376" s="89" t="inlineStr">
        <is>
          <t>18282XXX</t>
        </is>
      </c>
      <c r="B2376" s="135" t="inlineStr">
        <is>
          <t>TAVERNITI  REM M/C</t>
        </is>
      </c>
      <c r="C2376" s="88" t="n">
        <v>53900</v>
      </c>
      <c r="D2376" s="170" t="n"/>
      <c r="E2376" s="170" t="n"/>
      <c r="F2376" s="170" t="n"/>
      <c r="G2376" s="170" t="n"/>
      <c r="H2376" s="170" t="n"/>
      <c r="I2376" s="170" t="n"/>
      <c r="J2376" s="170" t="n"/>
      <c r="K2376" s="170" t="n"/>
      <c r="L2376" s="170" t="n"/>
      <c r="M2376" s="170" t="n"/>
      <c r="N2376" s="96" t="n"/>
      <c r="O2376" s="117">
        <f>C2376*P2376</f>
        <v/>
      </c>
      <c r="P2376" s="150" t="n">
        <v>1.1</v>
      </c>
      <c r="Q2376" s="30" t="n"/>
      <c r="R2376" s="170" t="n"/>
      <c r="S2376" s="30" t="n"/>
      <c r="T2376" s="170" t="n"/>
      <c r="U2376" s="30" t="n"/>
      <c r="V2376" s="30" t="n"/>
      <c r="W2376" s="30" t="n"/>
      <c r="X2376" s="30" t="n"/>
      <c r="Y2376" s="30" t="n"/>
      <c r="Z2376" s="30" t="n"/>
      <c r="AA2376" s="30" t="n"/>
      <c r="AB2376" s="30" t="n"/>
      <c r="AC2376" s="30" t="n"/>
      <c r="AD2376" s="30" t="n"/>
      <c r="AE2376" s="30" t="n"/>
      <c r="AF2376" s="30" t="n"/>
      <c r="AG2376" s="30" t="n"/>
      <c r="AH2376" s="30" t="n"/>
      <c r="AI2376" s="30" t="n"/>
      <c r="AJ2376" s="30" t="n"/>
      <c r="AK2376" s="30" t="n"/>
      <c r="AL2376" s="30" t="n"/>
      <c r="AM2376" s="30" t="n"/>
      <c r="AN2376" s="30" t="n"/>
    </row>
    <row r="2377" ht="16.5" customHeight="1" s="253">
      <c r="A2377" s="89" t="inlineStr">
        <is>
          <t>18284XXX</t>
        </is>
      </c>
      <c r="B2377" s="135" t="inlineStr">
        <is>
          <t>TAVERNITI  REM M/C</t>
        </is>
      </c>
      <c r="C2377" s="88" t="n">
        <v>50900</v>
      </c>
      <c r="D2377" s="170" t="n"/>
      <c r="E2377" s="170" t="n"/>
      <c r="F2377" s="170" t="n"/>
      <c r="G2377" s="170" t="n"/>
      <c r="H2377" s="170" t="n"/>
      <c r="I2377" s="170" t="n"/>
      <c r="J2377" s="170" t="n"/>
      <c r="K2377" s="170" t="n"/>
      <c r="L2377" s="170" t="n"/>
      <c r="M2377" s="170" t="n"/>
      <c r="N2377" s="96" t="n"/>
      <c r="O2377" s="117">
        <f>C2377*P2377</f>
        <v/>
      </c>
      <c r="P2377" s="150" t="n">
        <v>1.1</v>
      </c>
      <c r="Q2377" s="30" t="n"/>
      <c r="R2377" s="170" t="n"/>
      <c r="S2377" s="30" t="n"/>
      <c r="T2377" s="170" t="n"/>
      <c r="U2377" s="30" t="n"/>
      <c r="V2377" s="30" t="n"/>
      <c r="W2377" s="30" t="n"/>
      <c r="X2377" s="30" t="n"/>
      <c r="Y2377" s="30" t="n"/>
      <c r="Z2377" s="30" t="n"/>
      <c r="AA2377" s="30" t="n"/>
      <c r="AB2377" s="30" t="n"/>
      <c r="AC2377" s="30" t="n"/>
      <c r="AD2377" s="30" t="n"/>
      <c r="AE2377" s="30" t="n"/>
      <c r="AF2377" s="30" t="n"/>
      <c r="AG2377" s="30" t="n"/>
      <c r="AH2377" s="30" t="n"/>
      <c r="AI2377" s="30" t="n"/>
      <c r="AJ2377" s="30" t="n"/>
      <c r="AK2377" s="30" t="n"/>
      <c r="AL2377" s="30" t="n"/>
      <c r="AM2377" s="30" t="n"/>
      <c r="AN2377" s="30" t="n"/>
    </row>
    <row r="2378" ht="16.5" customHeight="1" s="253">
      <c r="A2378" s="89" t="inlineStr">
        <is>
          <t>18286XXX</t>
        </is>
      </c>
      <c r="B2378" s="135" t="inlineStr">
        <is>
          <t>TAVERNITI  REM M/C</t>
        </is>
      </c>
      <c r="C2378" s="88" t="n">
        <v>51500</v>
      </c>
      <c r="D2378" s="170" t="n"/>
      <c r="E2378" s="170" t="n"/>
      <c r="F2378" s="170" t="n"/>
      <c r="G2378" s="170" t="n"/>
      <c r="H2378" s="170" t="n"/>
      <c r="I2378" s="170" t="n"/>
      <c r="J2378" s="170" t="n"/>
      <c r="K2378" s="170" t="n"/>
      <c r="L2378" s="170" t="n"/>
      <c r="M2378" s="170" t="n"/>
      <c r="N2378" s="96" t="n"/>
      <c r="O2378" s="117">
        <f>C2378*P2378</f>
        <v/>
      </c>
      <c r="P2378" s="150" t="n">
        <v>1.1</v>
      </c>
      <c r="Q2378" s="30" t="n"/>
      <c r="R2378" s="170" t="n"/>
      <c r="S2378" s="30" t="n"/>
      <c r="T2378" s="170" t="n"/>
      <c r="U2378" s="30" t="n"/>
      <c r="V2378" s="30" t="n"/>
      <c r="W2378" s="30" t="n"/>
      <c r="X2378" s="30" t="n"/>
      <c r="Y2378" s="30" t="n"/>
      <c r="Z2378" s="30" t="n"/>
      <c r="AA2378" s="30" t="n"/>
      <c r="AB2378" s="30" t="n"/>
      <c r="AC2378" s="30" t="n"/>
      <c r="AD2378" s="30" t="n"/>
      <c r="AE2378" s="30" t="n"/>
      <c r="AF2378" s="30" t="n"/>
      <c r="AG2378" s="30" t="n"/>
      <c r="AH2378" s="30" t="n"/>
      <c r="AI2378" s="30" t="n"/>
      <c r="AJ2378" s="30" t="n"/>
      <c r="AK2378" s="30" t="n"/>
      <c r="AL2378" s="30" t="n"/>
      <c r="AM2378" s="30" t="n"/>
      <c r="AN2378" s="30" t="n"/>
    </row>
    <row r="2379" ht="16.5" customHeight="1" s="253">
      <c r="A2379" s="89" t="inlineStr">
        <is>
          <t>18288XXX</t>
        </is>
      </c>
      <c r="B2379" s="135" t="inlineStr">
        <is>
          <t>TAVERNITI  REM M/C</t>
        </is>
      </c>
      <c r="C2379" s="88" t="n">
        <v>51500</v>
      </c>
      <c r="D2379" s="170" t="n"/>
      <c r="E2379" s="170" t="n"/>
      <c r="F2379" s="170" t="n"/>
      <c r="G2379" s="170" t="n"/>
      <c r="H2379" s="170" t="n"/>
      <c r="I2379" s="170" t="n"/>
      <c r="J2379" s="170" t="n"/>
      <c r="K2379" s="170" t="n"/>
      <c r="L2379" s="170" t="n"/>
      <c r="M2379" s="170" t="n"/>
      <c r="N2379" s="96" t="n"/>
      <c r="O2379" s="117">
        <f>C2379*P2379</f>
        <v/>
      </c>
      <c r="P2379" s="150" t="n">
        <v>1.1</v>
      </c>
      <c r="Q2379" s="30" t="n"/>
      <c r="R2379" s="170" t="n"/>
      <c r="S2379" s="30" t="n"/>
      <c r="T2379" s="170" t="n"/>
      <c r="U2379" s="30" t="n"/>
      <c r="V2379" s="30" t="n"/>
      <c r="W2379" s="30" t="n"/>
      <c r="X2379" s="30" t="n"/>
      <c r="Y2379" s="30" t="n"/>
      <c r="Z2379" s="30" t="n"/>
      <c r="AA2379" s="30" t="n"/>
      <c r="AB2379" s="30" t="n"/>
      <c r="AC2379" s="30" t="n"/>
      <c r="AD2379" s="30" t="n"/>
      <c r="AE2379" s="30" t="n"/>
      <c r="AF2379" s="30" t="n"/>
      <c r="AG2379" s="30" t="n"/>
      <c r="AH2379" s="30" t="n"/>
      <c r="AI2379" s="30" t="n"/>
      <c r="AJ2379" s="30" t="n"/>
      <c r="AK2379" s="30" t="n"/>
      <c r="AL2379" s="30" t="n"/>
      <c r="AM2379" s="30" t="n"/>
      <c r="AN2379" s="30" t="n"/>
    </row>
    <row r="2380" ht="16.5" customHeight="1" s="253">
      <c r="A2380" s="89" t="inlineStr">
        <is>
          <t>18290XXX</t>
        </is>
      </c>
      <c r="B2380" s="135" t="inlineStr">
        <is>
          <t>TAVERNITI  REM M/C</t>
        </is>
      </c>
      <c r="C2380" s="88" t="n">
        <v>43100</v>
      </c>
      <c r="D2380" s="170" t="n"/>
      <c r="E2380" s="170" t="n"/>
      <c r="F2380" s="170" t="n"/>
      <c r="G2380" s="170" t="n"/>
      <c r="H2380" s="170" t="n"/>
      <c r="I2380" s="170" t="n"/>
      <c r="J2380" s="170" t="n"/>
      <c r="K2380" s="170" t="n"/>
      <c r="L2380" s="170" t="n"/>
      <c r="M2380" s="170" t="n"/>
      <c r="N2380" s="30" t="n"/>
      <c r="O2380" s="150">
        <f>C2380*P2380</f>
        <v/>
      </c>
      <c r="P2380" s="150" t="n">
        <v>1.1</v>
      </c>
      <c r="Q2380" s="30" t="n"/>
      <c r="R2380" s="170" t="n"/>
      <c r="S2380" s="30" t="n"/>
      <c r="T2380" s="170" t="n"/>
      <c r="U2380" s="30" t="n"/>
      <c r="V2380" s="30" t="n"/>
      <c r="W2380" s="30" t="n"/>
      <c r="X2380" s="30" t="n"/>
      <c r="Y2380" s="30" t="n"/>
      <c r="Z2380" s="30" t="n"/>
      <c r="AA2380" s="30" t="n"/>
      <c r="AB2380" s="30" t="n"/>
      <c r="AC2380" s="30" t="n"/>
      <c r="AD2380" s="30" t="n"/>
      <c r="AE2380" s="30" t="n"/>
      <c r="AF2380" s="30" t="n"/>
      <c r="AG2380" s="30" t="n"/>
      <c r="AH2380" s="30" t="n"/>
      <c r="AI2380" s="30" t="n"/>
      <c r="AJ2380" s="30" t="n"/>
      <c r="AK2380" s="30" t="n"/>
      <c r="AL2380" s="30" t="n"/>
      <c r="AM2380" s="30" t="n"/>
      <c r="AN2380" s="30" t="n"/>
      <c r="AO2380" s="30" t="n"/>
    </row>
    <row r="2381" ht="16.5" customHeight="1" s="253">
      <c r="A2381" s="89" t="inlineStr">
        <is>
          <t>18294XXX</t>
        </is>
      </c>
      <c r="B2381" s="135" t="inlineStr">
        <is>
          <t>TAVERNITI  REM M/C</t>
        </is>
      </c>
      <c r="C2381" s="88" t="n">
        <v>51500</v>
      </c>
      <c r="D2381" s="170" t="n"/>
      <c r="E2381" s="170" t="n"/>
      <c r="F2381" s="170" t="n"/>
      <c r="G2381" s="170" t="n"/>
      <c r="H2381" s="170" t="n"/>
      <c r="I2381" s="170" t="n"/>
      <c r="J2381" s="170" t="n"/>
      <c r="K2381" s="170" t="n"/>
      <c r="L2381" s="170" t="n"/>
      <c r="M2381" s="170" t="n"/>
      <c r="N2381" s="96" t="n"/>
      <c r="O2381" s="117">
        <f>C2381*P2381</f>
        <v/>
      </c>
      <c r="P2381" s="150" t="n">
        <v>1.1</v>
      </c>
      <c r="Q2381" s="30" t="n"/>
      <c r="R2381" s="170" t="n"/>
      <c r="S2381" s="30" t="n"/>
      <c r="T2381" s="170" t="n"/>
      <c r="U2381" s="30" t="n"/>
      <c r="V2381" s="30" t="n"/>
      <c r="W2381" s="30" t="n"/>
      <c r="X2381" s="30" t="n"/>
      <c r="Y2381" s="30" t="n"/>
      <c r="Z2381" s="30" t="n"/>
      <c r="AA2381" s="30" t="n"/>
      <c r="AB2381" s="30" t="n"/>
      <c r="AC2381" s="30" t="n"/>
      <c r="AD2381" s="30" t="n"/>
      <c r="AE2381" s="30" t="n"/>
      <c r="AF2381" s="30" t="n"/>
      <c r="AG2381" s="30" t="n"/>
      <c r="AH2381" s="30" t="n"/>
      <c r="AI2381" s="30" t="n"/>
      <c r="AJ2381" s="30" t="n"/>
      <c r="AK2381" s="30" t="n"/>
      <c r="AL2381" s="30" t="n"/>
      <c r="AM2381" s="30" t="n"/>
      <c r="AN2381" s="30" t="n"/>
    </row>
    <row r="2382" ht="16.5" customHeight="1" s="253">
      <c r="A2382" s="89" t="inlineStr">
        <is>
          <t>18296XXX</t>
        </is>
      </c>
      <c r="B2382" s="135" t="inlineStr">
        <is>
          <t>TAVERNITI  REM M/C</t>
        </is>
      </c>
      <c r="C2382" s="88" t="n">
        <v>51100</v>
      </c>
      <c r="D2382" s="170" t="n"/>
      <c r="E2382" s="170" t="n"/>
      <c r="F2382" s="170" t="n"/>
      <c r="G2382" s="170" t="n"/>
      <c r="H2382" s="170" t="n"/>
      <c r="I2382" s="170" t="n"/>
      <c r="J2382" s="170" t="n"/>
      <c r="K2382" s="170" t="n"/>
      <c r="L2382" s="170" t="n"/>
      <c r="M2382" s="170" t="n"/>
      <c r="N2382" s="96" t="n"/>
      <c r="O2382" s="117">
        <f>C2382*P2382</f>
        <v/>
      </c>
      <c r="P2382" s="150" t="n">
        <v>1.1</v>
      </c>
      <c r="Q2382" s="30" t="n"/>
      <c r="R2382" s="170" t="n"/>
      <c r="S2382" s="30" t="n"/>
      <c r="T2382" s="170" t="n"/>
      <c r="U2382" s="30" t="n"/>
      <c r="V2382" s="30" t="n"/>
      <c r="W2382" s="30" t="n"/>
      <c r="X2382" s="30" t="n"/>
      <c r="Y2382" s="30" t="n"/>
      <c r="Z2382" s="30" t="n"/>
      <c r="AA2382" s="30" t="n"/>
      <c r="AB2382" s="30" t="n"/>
      <c r="AC2382" s="30" t="n"/>
      <c r="AD2382" s="30" t="n"/>
      <c r="AE2382" s="30" t="n"/>
      <c r="AF2382" s="30" t="n"/>
      <c r="AG2382" s="30" t="n"/>
      <c r="AH2382" s="30" t="n"/>
      <c r="AI2382" s="30" t="n"/>
      <c r="AJ2382" s="30" t="n"/>
      <c r="AK2382" s="30" t="n"/>
      <c r="AL2382" s="30" t="n"/>
      <c r="AM2382" s="30" t="n"/>
      <c r="AN2382" s="30" t="n"/>
    </row>
    <row r="2383" ht="16.5" customHeight="1" s="253">
      <c r="A2383" s="89" t="inlineStr">
        <is>
          <t>18306XXX</t>
        </is>
      </c>
      <c r="B2383" s="135" t="inlineStr">
        <is>
          <t>TAVERNITI  REM M/C</t>
        </is>
      </c>
      <c r="C2383" s="88" t="n">
        <v>46400</v>
      </c>
      <c r="D2383" s="170" t="n"/>
      <c r="E2383" s="170" t="n"/>
      <c r="F2383" s="170" t="n"/>
      <c r="G2383" s="170" t="n"/>
      <c r="H2383" s="170" t="n"/>
      <c r="I2383" s="170" t="n"/>
      <c r="J2383" s="170" t="n"/>
      <c r="K2383" s="170" t="n"/>
      <c r="L2383" s="170" t="n"/>
      <c r="M2383" s="170" t="n"/>
      <c r="N2383" s="30" t="n"/>
      <c r="O2383" s="150">
        <f>C2383*P2383</f>
        <v/>
      </c>
      <c r="P2383" s="150" t="n">
        <v>1.1</v>
      </c>
      <c r="Q2383" s="30" t="n"/>
      <c r="R2383" s="170" t="n"/>
      <c r="S2383" s="30" t="n"/>
      <c r="T2383" s="170" t="n"/>
      <c r="U2383" s="30" t="n"/>
      <c r="V2383" s="30" t="n"/>
      <c r="W2383" s="30" t="n"/>
      <c r="X2383" s="30" t="n"/>
      <c r="Y2383" s="30" t="n"/>
      <c r="Z2383" s="30" t="n"/>
      <c r="AA2383" s="30" t="n"/>
      <c r="AB2383" s="30" t="n"/>
      <c r="AC2383" s="30" t="n"/>
      <c r="AD2383" s="30" t="n"/>
      <c r="AE2383" s="30" t="n"/>
      <c r="AF2383" s="30" t="n"/>
      <c r="AG2383" s="30" t="n"/>
      <c r="AH2383" s="30" t="n"/>
      <c r="AI2383" s="30" t="n"/>
      <c r="AJ2383" s="30" t="n"/>
      <c r="AK2383" s="30" t="n"/>
      <c r="AL2383" s="30" t="n"/>
      <c r="AM2383" s="30" t="n"/>
      <c r="AN2383" s="30" t="n"/>
      <c r="AO2383" s="30" t="n"/>
    </row>
    <row r="2384" ht="16.5" customHeight="1" s="253">
      <c r="A2384" s="89" t="inlineStr">
        <is>
          <t>18308XXX</t>
        </is>
      </c>
      <c r="B2384" s="135" t="inlineStr">
        <is>
          <t>TAVERNITI  REM M/C</t>
        </is>
      </c>
      <c r="C2384" s="88" t="n">
        <v>46400</v>
      </c>
      <c r="D2384" s="170" t="n"/>
      <c r="E2384" s="170" t="n"/>
      <c r="F2384" s="170" t="n"/>
      <c r="G2384" s="170" t="n"/>
      <c r="H2384" s="170" t="n"/>
      <c r="I2384" s="170" t="n"/>
      <c r="J2384" s="170" t="n"/>
      <c r="K2384" s="170" t="n"/>
      <c r="L2384" s="170" t="n"/>
      <c r="M2384" s="170" t="n"/>
      <c r="N2384" s="30" t="n"/>
      <c r="O2384" s="150">
        <f>C2384*P2384</f>
        <v/>
      </c>
      <c r="P2384" s="150" t="n">
        <v>1.1</v>
      </c>
      <c r="Q2384" s="30" t="n"/>
      <c r="R2384" s="170" t="n"/>
      <c r="S2384" s="30" t="n"/>
      <c r="T2384" s="170" t="n"/>
      <c r="U2384" s="30" t="n"/>
      <c r="V2384" s="30" t="n"/>
      <c r="W2384" s="30" t="n"/>
      <c r="X2384" s="30" t="n"/>
      <c r="Y2384" s="30" t="n"/>
      <c r="Z2384" s="30" t="n"/>
      <c r="AA2384" s="30" t="n"/>
      <c r="AB2384" s="30" t="n"/>
      <c r="AC2384" s="30" t="n"/>
      <c r="AD2384" s="30" t="n"/>
      <c r="AE2384" s="30" t="n"/>
      <c r="AF2384" s="30" t="n"/>
      <c r="AG2384" s="30" t="n"/>
      <c r="AH2384" s="30" t="n"/>
      <c r="AI2384" s="30" t="n"/>
      <c r="AJ2384" s="30" t="n"/>
      <c r="AK2384" s="30" t="n"/>
      <c r="AL2384" s="30" t="n"/>
      <c r="AM2384" s="30" t="n"/>
      <c r="AN2384" s="30" t="n"/>
      <c r="AO2384" s="30" t="n"/>
    </row>
    <row r="2385" ht="16.5" customHeight="1" s="253">
      <c r="A2385" s="89" t="inlineStr">
        <is>
          <t>18332XXX</t>
        </is>
      </c>
      <c r="B2385" s="135" t="inlineStr">
        <is>
          <t>TAVERNITI  REM M/C</t>
        </is>
      </c>
      <c r="C2385" s="88" t="n">
        <v>46800</v>
      </c>
      <c r="D2385" s="170" t="n"/>
      <c r="E2385" s="170" t="n"/>
      <c r="F2385" s="170" t="n"/>
      <c r="G2385" s="170" t="n"/>
      <c r="H2385" s="170" t="n"/>
      <c r="I2385" s="170" t="n"/>
      <c r="J2385" s="170" t="n"/>
      <c r="K2385" s="170" t="n"/>
      <c r="L2385" s="170" t="n"/>
      <c r="M2385" s="170" t="n"/>
      <c r="N2385" s="30" t="n"/>
      <c r="O2385" s="150">
        <f>C2385*P2385</f>
        <v/>
      </c>
      <c r="P2385" s="150" t="n">
        <v>1.1</v>
      </c>
      <c r="Q2385" s="30" t="n"/>
      <c r="R2385" s="170" t="n"/>
      <c r="S2385" s="30" t="n"/>
      <c r="T2385" s="170" t="n"/>
      <c r="U2385" s="30" t="n"/>
      <c r="V2385" s="30" t="n"/>
      <c r="W2385" s="30" t="n"/>
      <c r="X2385" s="30" t="n"/>
      <c r="Y2385" s="30" t="n"/>
      <c r="Z2385" s="30" t="n"/>
      <c r="AA2385" s="30" t="n"/>
      <c r="AB2385" s="30" t="n"/>
      <c r="AC2385" s="30" t="n"/>
      <c r="AD2385" s="30" t="n"/>
      <c r="AE2385" s="30" t="n"/>
      <c r="AF2385" s="30" t="n"/>
      <c r="AG2385" s="30" t="n"/>
      <c r="AH2385" s="30" t="n"/>
      <c r="AI2385" s="30" t="n"/>
      <c r="AJ2385" s="30" t="n"/>
      <c r="AK2385" s="30" t="n"/>
      <c r="AL2385" s="30" t="n"/>
      <c r="AM2385" s="30" t="n"/>
      <c r="AN2385" s="30" t="n"/>
      <c r="AO2385" s="30" t="n"/>
    </row>
    <row r="2386" ht="16.5" customHeight="1" s="253">
      <c r="A2386" s="89" t="inlineStr">
        <is>
          <t>18334XXX</t>
        </is>
      </c>
      <c r="B2386" s="135" t="inlineStr">
        <is>
          <t>TAVERNITI  REM M/C</t>
        </is>
      </c>
      <c r="C2386" s="88" t="n">
        <v>46800</v>
      </c>
      <c r="D2386" s="170" t="n"/>
      <c r="E2386" s="170" t="n"/>
      <c r="F2386" s="170" t="n"/>
      <c r="G2386" s="170" t="n"/>
      <c r="H2386" s="170" t="n"/>
      <c r="I2386" s="170" t="n"/>
      <c r="J2386" s="170" t="n"/>
      <c r="K2386" s="170" t="n"/>
      <c r="L2386" s="170" t="n"/>
      <c r="M2386" s="170" t="n"/>
      <c r="N2386" s="30" t="n"/>
      <c r="O2386" s="150">
        <f>C2386*P2386</f>
        <v/>
      </c>
      <c r="P2386" s="150" t="n">
        <v>1.1</v>
      </c>
      <c r="Q2386" s="30" t="n"/>
      <c r="R2386" s="170" t="n"/>
      <c r="S2386" s="30" t="n"/>
      <c r="T2386" s="170" t="n"/>
      <c r="U2386" s="30" t="n"/>
      <c r="V2386" s="30" t="n"/>
      <c r="W2386" s="30" t="n"/>
      <c r="X2386" s="30" t="n"/>
      <c r="Y2386" s="30" t="n"/>
      <c r="Z2386" s="30" t="n"/>
      <c r="AA2386" s="30" t="n"/>
      <c r="AB2386" s="30" t="n"/>
      <c r="AC2386" s="30" t="n"/>
      <c r="AD2386" s="30" t="n"/>
      <c r="AE2386" s="30" t="n"/>
      <c r="AF2386" s="30" t="n"/>
      <c r="AG2386" s="30" t="n"/>
      <c r="AH2386" s="30" t="n"/>
      <c r="AI2386" s="30" t="n"/>
      <c r="AJ2386" s="30" t="n"/>
      <c r="AK2386" s="30" t="n"/>
      <c r="AL2386" s="30" t="n"/>
      <c r="AM2386" s="30" t="n"/>
      <c r="AN2386" s="30" t="n"/>
      <c r="AO2386" s="30" t="n"/>
    </row>
    <row r="2387" ht="16.5" customHeight="1" s="253">
      <c r="A2387" s="89" t="inlineStr">
        <is>
          <t>18380XXX</t>
        </is>
      </c>
      <c r="B2387" s="135" t="inlineStr">
        <is>
          <t>TAVERNITI  REM M/C</t>
        </is>
      </c>
      <c r="C2387" s="88" t="n">
        <v>51100</v>
      </c>
      <c r="D2387" s="170" t="n"/>
      <c r="E2387" s="170" t="n"/>
      <c r="F2387" s="170" t="n"/>
      <c r="G2387" s="170" t="n"/>
      <c r="H2387" s="170" t="n"/>
      <c r="I2387" s="170" t="n"/>
      <c r="J2387" s="170" t="n"/>
      <c r="K2387" s="170" t="n"/>
      <c r="L2387" s="170" t="n"/>
      <c r="M2387" s="170" t="n"/>
      <c r="N2387" s="96" t="n"/>
      <c r="O2387" s="117">
        <f>C2387*P2387</f>
        <v/>
      </c>
      <c r="P2387" s="150" t="n">
        <v>1.1</v>
      </c>
      <c r="Q2387" s="30" t="n"/>
      <c r="R2387" s="170" t="n"/>
      <c r="S2387" s="30" t="n"/>
      <c r="T2387" s="170" t="n"/>
      <c r="U2387" s="30" t="n"/>
      <c r="V2387" s="30" t="n"/>
      <c r="W2387" s="30" t="n"/>
      <c r="X2387" s="30" t="n"/>
      <c r="Y2387" s="30" t="n"/>
      <c r="Z2387" s="30" t="n"/>
      <c r="AA2387" s="30" t="n"/>
      <c r="AB2387" s="30" t="n"/>
      <c r="AC2387" s="30" t="n"/>
      <c r="AD2387" s="30" t="n"/>
      <c r="AE2387" s="30" t="n"/>
      <c r="AF2387" s="30" t="n"/>
      <c r="AG2387" s="30" t="n"/>
      <c r="AH2387" s="30" t="n"/>
      <c r="AI2387" s="30" t="n"/>
      <c r="AJ2387" s="30" t="n"/>
      <c r="AK2387" s="30" t="n"/>
      <c r="AL2387" s="30" t="n"/>
      <c r="AM2387" s="30" t="n"/>
      <c r="AN2387" s="30" t="n"/>
    </row>
    <row r="2388" ht="16.5" customHeight="1" s="253">
      <c r="A2388" s="89" t="inlineStr">
        <is>
          <t>18382XXX</t>
        </is>
      </c>
      <c r="B2388" s="135" t="inlineStr">
        <is>
          <t>TAVERNITI  REM M/C</t>
        </is>
      </c>
      <c r="C2388" s="88" t="n">
        <v>51100</v>
      </c>
      <c r="D2388" s="170" t="n"/>
      <c r="E2388" s="170" t="n"/>
      <c r="F2388" s="170" t="n"/>
      <c r="G2388" s="170" t="n"/>
      <c r="H2388" s="170" t="n"/>
      <c r="I2388" s="170" t="n"/>
      <c r="J2388" s="170" t="n"/>
      <c r="K2388" s="170" t="n"/>
      <c r="L2388" s="170" t="n"/>
      <c r="M2388" s="170" t="n"/>
      <c r="N2388" s="96" t="n"/>
      <c r="O2388" s="117">
        <f>C2388*P2388</f>
        <v/>
      </c>
      <c r="P2388" s="150" t="n">
        <v>1.1</v>
      </c>
      <c r="Q2388" s="30" t="n"/>
      <c r="R2388" s="170" t="n"/>
      <c r="S2388" s="30" t="n"/>
      <c r="T2388" s="170" t="n"/>
      <c r="U2388" s="30" t="n"/>
      <c r="V2388" s="30" t="n"/>
      <c r="W2388" s="30" t="n"/>
      <c r="X2388" s="30" t="n"/>
      <c r="Y2388" s="30" t="n"/>
      <c r="Z2388" s="30" t="n"/>
      <c r="AA2388" s="30" t="n"/>
      <c r="AB2388" s="30" t="n"/>
      <c r="AC2388" s="30" t="n"/>
      <c r="AD2388" s="30" t="n"/>
      <c r="AE2388" s="30" t="n"/>
      <c r="AF2388" s="30" t="n"/>
      <c r="AG2388" s="30" t="n"/>
      <c r="AH2388" s="30" t="n"/>
      <c r="AI2388" s="30" t="n"/>
      <c r="AJ2388" s="30" t="n"/>
      <c r="AK2388" s="30" t="n"/>
      <c r="AL2388" s="30" t="n"/>
      <c r="AM2388" s="30" t="n"/>
      <c r="AN2388" s="30" t="n"/>
    </row>
    <row r="2389" ht="16.5" customHeight="1" s="253">
      <c r="A2389" s="89" t="inlineStr">
        <is>
          <t>18386XXX</t>
        </is>
      </c>
      <c r="B2389" s="135" t="inlineStr">
        <is>
          <t>TAVERNITI  REM M/C</t>
        </is>
      </c>
      <c r="C2389" s="88" t="n">
        <v>51100</v>
      </c>
      <c r="D2389" s="170" t="n"/>
      <c r="E2389" s="170" t="n"/>
      <c r="F2389" s="170" t="n"/>
      <c r="G2389" s="170" t="n"/>
      <c r="H2389" s="170" t="n"/>
      <c r="I2389" s="170" t="n"/>
      <c r="J2389" s="170" t="n"/>
      <c r="K2389" s="170" t="n"/>
      <c r="L2389" s="170" t="n"/>
      <c r="M2389" s="170" t="n"/>
      <c r="N2389" s="96" t="n"/>
      <c r="O2389" s="117">
        <f>C2389*P2389</f>
        <v/>
      </c>
      <c r="P2389" s="150" t="n">
        <v>1.1</v>
      </c>
      <c r="Q2389" s="30" t="n"/>
      <c r="R2389" s="170" t="n"/>
      <c r="S2389" s="30" t="n"/>
      <c r="T2389" s="170" t="n"/>
      <c r="U2389" s="30" t="n"/>
      <c r="V2389" s="30" t="n"/>
      <c r="W2389" s="30" t="n"/>
      <c r="X2389" s="30" t="n"/>
      <c r="Y2389" s="30" t="n"/>
      <c r="Z2389" s="30" t="n"/>
      <c r="AA2389" s="30" t="n"/>
      <c r="AB2389" s="30" t="n"/>
      <c r="AC2389" s="30" t="n"/>
      <c r="AD2389" s="30" t="n"/>
      <c r="AE2389" s="30" t="n"/>
      <c r="AF2389" s="30" t="n"/>
      <c r="AG2389" s="30" t="n"/>
      <c r="AH2389" s="30" t="n"/>
      <c r="AI2389" s="30" t="n"/>
      <c r="AJ2389" s="30" t="n"/>
      <c r="AK2389" s="30" t="n"/>
      <c r="AL2389" s="30" t="n"/>
      <c r="AM2389" s="30" t="n"/>
      <c r="AN2389" s="30" t="n"/>
    </row>
    <row r="2390" ht="16.5" customHeight="1" s="253">
      <c r="A2390" s="89" t="inlineStr">
        <is>
          <t>18388XXX</t>
        </is>
      </c>
      <c r="B2390" s="135" t="inlineStr">
        <is>
          <t>TAVERNITI  REM M/C</t>
        </is>
      </c>
      <c r="C2390" s="88" t="n">
        <v>51100</v>
      </c>
      <c r="D2390" s="170" t="n"/>
      <c r="E2390" s="170" t="n"/>
      <c r="F2390" s="170" t="n"/>
      <c r="G2390" s="170" t="n"/>
      <c r="H2390" s="170" t="n"/>
      <c r="I2390" s="170" t="n"/>
      <c r="J2390" s="170" t="n"/>
      <c r="K2390" s="170" t="n"/>
      <c r="L2390" s="170" t="n"/>
      <c r="M2390" s="170" t="n"/>
      <c r="N2390" s="96" t="n"/>
      <c r="O2390" s="117">
        <f>C2390*P2390</f>
        <v/>
      </c>
      <c r="P2390" s="150" t="n">
        <v>1.1</v>
      </c>
      <c r="Q2390" s="30" t="n"/>
      <c r="R2390" s="170" t="n"/>
      <c r="S2390" s="30" t="n"/>
      <c r="T2390" s="170" t="n"/>
      <c r="U2390" s="30" t="n"/>
      <c r="V2390" s="30" t="n"/>
      <c r="W2390" s="30" t="n"/>
      <c r="X2390" s="30" t="n"/>
      <c r="Y2390" s="30" t="n"/>
      <c r="Z2390" s="30" t="n"/>
      <c r="AA2390" s="30" t="n"/>
      <c r="AB2390" s="30" t="n"/>
      <c r="AC2390" s="30" t="n"/>
      <c r="AD2390" s="30" t="n"/>
      <c r="AE2390" s="30" t="n"/>
      <c r="AF2390" s="30" t="n"/>
      <c r="AG2390" s="30" t="n"/>
      <c r="AH2390" s="30" t="n"/>
      <c r="AI2390" s="30" t="n"/>
      <c r="AJ2390" s="30" t="n"/>
      <c r="AK2390" s="30" t="n"/>
      <c r="AL2390" s="30" t="n"/>
      <c r="AM2390" s="30" t="n"/>
      <c r="AN2390" s="30" t="n"/>
    </row>
    <row r="2391" ht="16.5" customHeight="1" s="253">
      <c r="A2391" s="89" t="inlineStr">
        <is>
          <t>18390XXX</t>
        </is>
      </c>
      <c r="B2391" s="135" t="inlineStr">
        <is>
          <t>TAVERNITI  REM M/C</t>
        </is>
      </c>
      <c r="C2391" s="88" t="n">
        <v>51100</v>
      </c>
      <c r="D2391" s="170" t="n"/>
      <c r="E2391" s="170" t="n"/>
      <c r="F2391" s="170" t="n"/>
      <c r="G2391" s="170" t="n"/>
      <c r="H2391" s="170" t="n"/>
      <c r="I2391" s="170" t="n"/>
      <c r="J2391" s="170" t="n"/>
      <c r="K2391" s="170" t="n"/>
      <c r="L2391" s="170" t="n"/>
      <c r="M2391" s="170" t="n"/>
      <c r="N2391" s="96" t="n"/>
      <c r="O2391" s="117">
        <f>C2391*P2391</f>
        <v/>
      </c>
      <c r="P2391" s="150" t="n">
        <v>1.1</v>
      </c>
      <c r="Q2391" s="30" t="n"/>
      <c r="R2391" s="170" t="n"/>
      <c r="S2391" s="30" t="n"/>
      <c r="T2391" s="170" t="n"/>
      <c r="U2391" s="30" t="n"/>
      <c r="V2391" s="30" t="n"/>
      <c r="W2391" s="30" t="n"/>
      <c r="X2391" s="30" t="n"/>
      <c r="Y2391" s="30" t="n"/>
      <c r="Z2391" s="30" t="n"/>
      <c r="AA2391" s="30" t="n"/>
      <c r="AB2391" s="30" t="n"/>
      <c r="AC2391" s="30" t="n"/>
      <c r="AD2391" s="30" t="n"/>
      <c r="AE2391" s="30" t="n"/>
      <c r="AF2391" s="30" t="n"/>
      <c r="AG2391" s="30" t="n"/>
      <c r="AH2391" s="30" t="n"/>
      <c r="AI2391" s="30" t="n"/>
      <c r="AJ2391" s="30" t="n"/>
      <c r="AK2391" s="30" t="n"/>
      <c r="AL2391" s="30" t="n"/>
      <c r="AM2391" s="30" t="n"/>
      <c r="AN2391" s="30" t="n"/>
    </row>
    <row r="2392" ht="16.5" customHeight="1" s="253">
      <c r="A2392" s="89" t="inlineStr">
        <is>
          <t>18396XXX</t>
        </is>
      </c>
      <c r="B2392" s="135" t="inlineStr">
        <is>
          <t>TAVERNITI  REM M/C</t>
        </is>
      </c>
      <c r="C2392" s="88" t="n">
        <v>51100</v>
      </c>
      <c r="D2392" s="170" t="n"/>
      <c r="E2392" s="170" t="n"/>
      <c r="F2392" s="170" t="n"/>
      <c r="G2392" s="170" t="n"/>
      <c r="H2392" s="170" t="n"/>
      <c r="I2392" s="170" t="n"/>
      <c r="J2392" s="170" t="n"/>
      <c r="K2392" s="170" t="n"/>
      <c r="L2392" s="170" t="n"/>
      <c r="M2392" s="170" t="n"/>
      <c r="N2392" s="96" t="n"/>
      <c r="O2392" s="117">
        <f>C2392*P2392</f>
        <v/>
      </c>
      <c r="P2392" s="150" t="n">
        <v>1.1</v>
      </c>
      <c r="Q2392" s="30" t="n"/>
      <c r="R2392" s="170" t="n"/>
      <c r="S2392" s="30" t="n"/>
      <c r="T2392" s="170" t="n"/>
      <c r="U2392" s="30" t="n"/>
      <c r="V2392" s="30" t="n"/>
      <c r="W2392" s="30" t="n"/>
      <c r="X2392" s="30" t="n"/>
      <c r="Y2392" s="30" t="n"/>
      <c r="Z2392" s="30" t="n"/>
      <c r="AA2392" s="30" t="n"/>
      <c r="AB2392" s="30" t="n"/>
      <c r="AC2392" s="30" t="n"/>
      <c r="AD2392" s="30" t="n"/>
      <c r="AE2392" s="30" t="n"/>
      <c r="AF2392" s="30" t="n"/>
      <c r="AG2392" s="30" t="n"/>
      <c r="AH2392" s="30" t="n"/>
      <c r="AI2392" s="30" t="n"/>
      <c r="AJ2392" s="30" t="n"/>
      <c r="AK2392" s="30" t="n"/>
      <c r="AL2392" s="30" t="n"/>
      <c r="AM2392" s="30" t="n"/>
      <c r="AN2392" s="30" t="n"/>
    </row>
    <row r="2393" ht="16.5" customHeight="1" s="253">
      <c r="A2393" s="89" t="inlineStr">
        <is>
          <t>18404XXX</t>
        </is>
      </c>
      <c r="B2393" s="135" t="inlineStr">
        <is>
          <t>TAVERNITI  REM M/C</t>
        </is>
      </c>
      <c r="C2393" s="88" t="n">
        <v>51100</v>
      </c>
      <c r="D2393" s="170" t="n"/>
      <c r="E2393" s="170" t="n"/>
      <c r="F2393" s="170" t="n"/>
      <c r="G2393" s="170" t="n"/>
      <c r="H2393" s="170" t="n"/>
      <c r="I2393" s="170" t="n"/>
      <c r="J2393" s="170" t="n"/>
      <c r="K2393" s="170" t="n"/>
      <c r="L2393" s="170" t="n"/>
      <c r="M2393" s="170" t="n"/>
      <c r="N2393" s="96" t="n"/>
      <c r="O2393" s="117">
        <f>C2393*P2393</f>
        <v/>
      </c>
      <c r="P2393" s="150" t="n">
        <v>1.1</v>
      </c>
      <c r="Q2393" s="30" t="n"/>
      <c r="R2393" s="170" t="n"/>
      <c r="S2393" s="30" t="n"/>
      <c r="T2393" s="170" t="n"/>
      <c r="U2393" s="30" t="n"/>
      <c r="V2393" s="30" t="n"/>
      <c r="W2393" s="30" t="n"/>
      <c r="X2393" s="30" t="n"/>
      <c r="Y2393" s="30" t="n"/>
      <c r="Z2393" s="30" t="n"/>
      <c r="AA2393" s="30" t="n"/>
      <c r="AB2393" s="30" t="n"/>
      <c r="AC2393" s="30" t="n"/>
      <c r="AD2393" s="30" t="n"/>
      <c r="AE2393" s="30" t="n"/>
      <c r="AF2393" s="30" t="n"/>
      <c r="AG2393" s="30" t="n"/>
      <c r="AH2393" s="30" t="n"/>
      <c r="AI2393" s="30" t="n"/>
      <c r="AJ2393" s="30" t="n"/>
      <c r="AK2393" s="30" t="n"/>
      <c r="AL2393" s="30" t="n"/>
      <c r="AM2393" s="30" t="n"/>
      <c r="AN2393" s="30" t="n"/>
      <c r="AO2393" s="30" t="n"/>
    </row>
    <row r="2394" ht="16.5" customHeight="1" s="253">
      <c r="A2394" s="89" t="inlineStr">
        <is>
          <t>18410XXX</t>
        </is>
      </c>
      <c r="B2394" s="135" t="inlineStr">
        <is>
          <t>TAVERNITI  REM M/C</t>
        </is>
      </c>
      <c r="C2394" s="88" t="n">
        <v>51100</v>
      </c>
      <c r="D2394" s="170" t="n"/>
      <c r="E2394" s="170" t="n"/>
      <c r="F2394" s="170" t="n"/>
      <c r="G2394" s="170" t="n"/>
      <c r="H2394" s="170" t="n"/>
      <c r="I2394" s="170" t="n"/>
      <c r="J2394" s="170" t="n"/>
      <c r="K2394" s="170" t="n"/>
      <c r="L2394" s="170" t="n"/>
      <c r="M2394" s="170" t="n"/>
      <c r="N2394" s="96" t="n"/>
      <c r="O2394" s="117">
        <f>C2394*P2394</f>
        <v/>
      </c>
      <c r="P2394" s="150" t="n">
        <v>1.1</v>
      </c>
      <c r="Q2394" s="30" t="n"/>
      <c r="R2394" s="170" t="n"/>
      <c r="S2394" s="30" t="n"/>
      <c r="T2394" s="170" t="n"/>
      <c r="U2394" s="30" t="n"/>
      <c r="V2394" s="30" t="n"/>
      <c r="W2394" s="30" t="n"/>
      <c r="X2394" s="30" t="n"/>
      <c r="Y2394" s="30" t="n"/>
      <c r="Z2394" s="30" t="n"/>
      <c r="AA2394" s="30" t="n"/>
      <c r="AB2394" s="30" t="n"/>
      <c r="AC2394" s="30" t="n"/>
      <c r="AD2394" s="30" t="n"/>
      <c r="AE2394" s="30" t="n"/>
      <c r="AF2394" s="30" t="n"/>
      <c r="AG2394" s="30" t="n"/>
      <c r="AH2394" s="30" t="n"/>
      <c r="AI2394" s="30" t="n"/>
      <c r="AJ2394" s="30" t="n"/>
      <c r="AK2394" s="30" t="n"/>
      <c r="AL2394" s="30" t="n"/>
      <c r="AM2394" s="30" t="n"/>
      <c r="AN2394" s="30" t="n"/>
    </row>
    <row r="2395" ht="16.5" customHeight="1" s="253">
      <c r="A2395" s="89" t="inlineStr">
        <is>
          <t>18412XXX</t>
        </is>
      </c>
      <c r="B2395" s="135" t="inlineStr">
        <is>
          <t>TAVERNITI  REM M/C</t>
        </is>
      </c>
      <c r="C2395" s="88" t="n">
        <v>51100</v>
      </c>
      <c r="D2395" s="170" t="n"/>
      <c r="E2395" s="170" t="n"/>
      <c r="F2395" s="170" t="n"/>
      <c r="G2395" s="170" t="n"/>
      <c r="H2395" s="170" t="n"/>
      <c r="I2395" s="170" t="n"/>
      <c r="J2395" s="170" t="n"/>
      <c r="K2395" s="170" t="n"/>
      <c r="L2395" s="170" t="n"/>
      <c r="M2395" s="170" t="n"/>
      <c r="N2395" s="96" t="n"/>
      <c r="O2395" s="117">
        <f>C2395*P2395</f>
        <v/>
      </c>
      <c r="P2395" s="150" t="n">
        <v>1.1</v>
      </c>
      <c r="Q2395" s="30" t="n"/>
      <c r="R2395" s="170" t="n"/>
      <c r="S2395" s="30" t="n"/>
      <c r="T2395" s="170" t="n"/>
      <c r="U2395" s="30" t="n"/>
      <c r="V2395" s="30" t="n"/>
      <c r="W2395" s="30" t="n"/>
      <c r="X2395" s="30" t="n"/>
      <c r="Y2395" s="30" t="n"/>
      <c r="Z2395" s="30" t="n"/>
      <c r="AA2395" s="30" t="n"/>
      <c r="AB2395" s="30" t="n"/>
      <c r="AC2395" s="30" t="n"/>
      <c r="AD2395" s="30" t="n"/>
      <c r="AE2395" s="30" t="n"/>
      <c r="AF2395" s="30" t="n"/>
      <c r="AG2395" s="30" t="n"/>
      <c r="AH2395" s="30" t="n"/>
      <c r="AI2395" s="30" t="n"/>
      <c r="AJ2395" s="30" t="n"/>
      <c r="AK2395" s="30" t="n"/>
      <c r="AL2395" s="30" t="n"/>
      <c r="AM2395" s="30" t="n"/>
      <c r="AN2395" s="30" t="n"/>
    </row>
    <row r="2396" ht="16.5" customHeight="1" s="253">
      <c r="A2396" s="89" t="inlineStr">
        <is>
          <t>18414XXX</t>
        </is>
      </c>
      <c r="B2396" s="135" t="inlineStr">
        <is>
          <t>TAVERNITI  REM M/C</t>
        </is>
      </c>
      <c r="C2396" s="88" t="n">
        <v>51100</v>
      </c>
      <c r="D2396" s="170" t="n"/>
      <c r="E2396" s="170" t="n"/>
      <c r="F2396" s="170" t="n"/>
      <c r="G2396" s="170" t="n"/>
      <c r="H2396" s="170" t="n"/>
      <c r="I2396" s="170" t="n"/>
      <c r="J2396" s="170" t="n"/>
      <c r="K2396" s="170" t="n"/>
      <c r="L2396" s="170" t="n"/>
      <c r="M2396" s="170" t="n"/>
      <c r="N2396" s="96" t="n"/>
      <c r="O2396" s="117">
        <f>C2396*P2396</f>
        <v/>
      </c>
      <c r="P2396" s="150" t="n">
        <v>1.1</v>
      </c>
      <c r="Q2396" s="30" t="n"/>
      <c r="R2396" s="170" t="n"/>
      <c r="S2396" s="30" t="n"/>
      <c r="T2396" s="170" t="n"/>
      <c r="U2396" s="30" t="n"/>
      <c r="V2396" s="30" t="n"/>
      <c r="W2396" s="30" t="n"/>
      <c r="X2396" s="30" t="n"/>
      <c r="Y2396" s="30" t="n"/>
      <c r="Z2396" s="30" t="n"/>
      <c r="AA2396" s="30" t="n"/>
      <c r="AB2396" s="30" t="n"/>
      <c r="AC2396" s="30" t="n"/>
      <c r="AD2396" s="30" t="n"/>
      <c r="AE2396" s="30" t="n"/>
      <c r="AF2396" s="30" t="n"/>
      <c r="AG2396" s="30" t="n"/>
      <c r="AH2396" s="30" t="n"/>
      <c r="AI2396" s="30" t="n"/>
      <c r="AJ2396" s="30" t="n"/>
      <c r="AK2396" s="30" t="n"/>
      <c r="AL2396" s="30" t="n"/>
      <c r="AM2396" s="30" t="n"/>
      <c r="AN2396" s="30" t="n"/>
    </row>
    <row r="2397" ht="16.5" customHeight="1" s="253">
      <c r="A2397" s="89" t="inlineStr">
        <is>
          <t>18420XXX</t>
        </is>
      </c>
      <c r="B2397" s="135" t="inlineStr">
        <is>
          <t>TAVERNITI  REM M/C</t>
        </is>
      </c>
      <c r="C2397" s="88" t="n">
        <v>53800</v>
      </c>
      <c r="D2397" s="170" t="n"/>
      <c r="E2397" s="170" t="n"/>
      <c r="F2397" s="170" t="n"/>
      <c r="G2397" s="170" t="n"/>
      <c r="H2397" s="170" t="n"/>
      <c r="I2397" s="170" t="n"/>
      <c r="J2397" s="170" t="n"/>
      <c r="K2397" s="170" t="n"/>
      <c r="L2397" s="170" t="n"/>
      <c r="M2397" s="170" t="n"/>
      <c r="N2397" s="96" t="n"/>
      <c r="O2397" s="117">
        <f>C2397*P2397</f>
        <v/>
      </c>
      <c r="P2397" s="150" t="n">
        <v>1.1</v>
      </c>
      <c r="Q2397" s="30" t="n"/>
      <c r="R2397" s="170" t="n"/>
      <c r="S2397" s="30" t="n"/>
      <c r="T2397" s="170" t="n"/>
      <c r="U2397" s="30" t="n"/>
      <c r="V2397" s="30" t="n"/>
      <c r="W2397" s="30" t="n"/>
      <c r="X2397" s="30" t="n"/>
      <c r="Y2397" s="30" t="n"/>
      <c r="Z2397" s="30" t="n"/>
      <c r="AA2397" s="30" t="n"/>
      <c r="AB2397" s="30" t="n"/>
      <c r="AC2397" s="30" t="n"/>
      <c r="AD2397" s="30" t="n"/>
      <c r="AE2397" s="30" t="n"/>
      <c r="AF2397" s="30" t="n"/>
      <c r="AG2397" s="30" t="n"/>
      <c r="AH2397" s="30" t="n"/>
      <c r="AI2397" s="30" t="n"/>
      <c r="AJ2397" s="30" t="n"/>
      <c r="AK2397" s="30" t="n"/>
      <c r="AL2397" s="30" t="n"/>
      <c r="AM2397" s="30" t="n"/>
      <c r="AN2397" s="30" t="n"/>
    </row>
    <row r="2398" ht="16.5" customHeight="1" s="253">
      <c r="A2398" s="89" t="inlineStr">
        <is>
          <t>18426XXX</t>
        </is>
      </c>
      <c r="B2398" s="135" t="inlineStr">
        <is>
          <t>TAVERNITI  REM M/C</t>
        </is>
      </c>
      <c r="C2398" s="88" t="n">
        <v>55000</v>
      </c>
      <c r="D2398" s="170" t="n"/>
      <c r="E2398" s="170" t="n"/>
      <c r="F2398" s="170" t="n"/>
      <c r="G2398" s="170" t="n"/>
      <c r="H2398" s="170" t="n"/>
      <c r="I2398" s="170" t="n"/>
      <c r="J2398" s="170" t="n"/>
      <c r="K2398" s="170" t="n"/>
      <c r="L2398" s="170" t="n"/>
      <c r="M2398" s="170" t="n"/>
      <c r="N2398" s="96" t="n"/>
      <c r="O2398" s="117">
        <f>C2398*P2398</f>
        <v/>
      </c>
      <c r="P2398" s="150" t="n">
        <v>1.1</v>
      </c>
      <c r="Q2398" s="30" t="n"/>
      <c r="R2398" s="170" t="n"/>
      <c r="S2398" s="30" t="n"/>
      <c r="T2398" s="170" t="n"/>
      <c r="U2398" s="30" t="n"/>
      <c r="V2398" s="30" t="n"/>
      <c r="W2398" s="30" t="n"/>
      <c r="X2398" s="30" t="n"/>
      <c r="Y2398" s="30" t="n"/>
      <c r="Z2398" s="30" t="n"/>
      <c r="AA2398" s="30" t="n"/>
      <c r="AB2398" s="30" t="n"/>
      <c r="AC2398" s="30" t="n"/>
      <c r="AD2398" s="30" t="n"/>
      <c r="AE2398" s="30" t="n"/>
      <c r="AF2398" s="30" t="n"/>
      <c r="AG2398" s="30" t="n"/>
      <c r="AH2398" s="30" t="n"/>
      <c r="AI2398" s="30" t="n"/>
      <c r="AJ2398" s="30" t="n"/>
      <c r="AK2398" s="30" t="n"/>
      <c r="AL2398" s="30" t="n"/>
      <c r="AM2398" s="30" t="n"/>
      <c r="AN2398" s="30" t="n"/>
    </row>
    <row r="2399" ht="16.5" customHeight="1" s="253">
      <c r="A2399" s="89" t="inlineStr">
        <is>
          <t>18428XXX</t>
        </is>
      </c>
      <c r="B2399" s="135" t="inlineStr">
        <is>
          <t>TAVERNITI  REM M/C</t>
        </is>
      </c>
      <c r="C2399" s="88" t="n">
        <v>57200</v>
      </c>
      <c r="D2399" s="170" t="n"/>
      <c r="E2399" s="170" t="n"/>
      <c r="F2399" s="170" t="n"/>
      <c r="G2399" s="170" t="n"/>
      <c r="H2399" s="170" t="n"/>
      <c r="I2399" s="170" t="n"/>
      <c r="J2399" s="170" t="n"/>
      <c r="K2399" s="170" t="n"/>
      <c r="L2399" s="170" t="n"/>
      <c r="M2399" s="170" t="n"/>
      <c r="N2399" s="96" t="n"/>
      <c r="O2399" s="117">
        <f>C2399*P2399</f>
        <v/>
      </c>
      <c r="P2399" s="150" t="n">
        <v>1.1</v>
      </c>
      <c r="Q2399" s="30" t="n"/>
      <c r="R2399" s="170" t="n"/>
      <c r="S2399" s="30" t="n"/>
      <c r="T2399" s="170" t="n"/>
      <c r="U2399" s="30" t="n"/>
      <c r="V2399" s="30" t="n"/>
      <c r="W2399" s="30" t="n"/>
      <c r="X2399" s="30" t="n"/>
      <c r="Y2399" s="30" t="n"/>
      <c r="Z2399" s="30" t="n"/>
      <c r="AA2399" s="30" t="n"/>
      <c r="AB2399" s="30" t="n"/>
      <c r="AC2399" s="30" t="n"/>
      <c r="AD2399" s="30" t="n"/>
      <c r="AE2399" s="30" t="n"/>
      <c r="AF2399" s="30" t="n"/>
      <c r="AG2399" s="30" t="n"/>
      <c r="AH2399" s="30" t="n"/>
      <c r="AI2399" s="30" t="n"/>
      <c r="AJ2399" s="30" t="n"/>
      <c r="AK2399" s="30" t="n"/>
      <c r="AL2399" s="30" t="n"/>
      <c r="AM2399" s="30" t="n"/>
      <c r="AN2399" s="30" t="n"/>
    </row>
    <row r="2400" ht="16.5" customHeight="1" s="253">
      <c r="A2400" s="89" t="inlineStr">
        <is>
          <t>18430XXX</t>
        </is>
      </c>
      <c r="B2400" s="135" t="inlineStr">
        <is>
          <t>TAVERNITI  REM M/C</t>
        </is>
      </c>
      <c r="C2400" s="88" t="n">
        <v>57200</v>
      </c>
      <c r="D2400" s="170" t="n"/>
      <c r="E2400" s="170" t="n"/>
      <c r="F2400" s="170" t="n"/>
      <c r="G2400" s="170" t="n"/>
      <c r="H2400" s="170" t="n"/>
      <c r="I2400" s="170" t="n"/>
      <c r="J2400" s="170" t="n"/>
      <c r="K2400" s="170" t="n"/>
      <c r="L2400" s="170" t="n"/>
      <c r="M2400" s="170" t="n"/>
      <c r="N2400" s="96" t="n"/>
      <c r="O2400" s="117">
        <f>C2400*P2400</f>
        <v/>
      </c>
      <c r="P2400" s="150" t="n">
        <v>1.1</v>
      </c>
      <c r="Q2400" s="30" t="n"/>
      <c r="R2400" s="170" t="n"/>
      <c r="S2400" s="30" t="n"/>
      <c r="T2400" s="170" t="n"/>
      <c r="U2400" s="30" t="n"/>
      <c r="V2400" s="30" t="n"/>
      <c r="W2400" s="30" t="n"/>
      <c r="X2400" s="30" t="n"/>
      <c r="Y2400" s="30" t="n"/>
      <c r="Z2400" s="30" t="n"/>
      <c r="AA2400" s="30" t="n"/>
      <c r="AB2400" s="30" t="n"/>
      <c r="AC2400" s="30" t="n"/>
      <c r="AD2400" s="30" t="n"/>
      <c r="AE2400" s="30" t="n"/>
      <c r="AF2400" s="30" t="n"/>
      <c r="AG2400" s="30" t="n"/>
      <c r="AH2400" s="30" t="n"/>
      <c r="AI2400" s="30" t="n"/>
      <c r="AJ2400" s="30" t="n"/>
      <c r="AK2400" s="30" t="n"/>
      <c r="AL2400" s="30" t="n"/>
      <c r="AM2400" s="30" t="n"/>
      <c r="AN2400" s="30" t="n"/>
    </row>
    <row r="2401" ht="16.5" customHeight="1" s="253">
      <c r="A2401" s="89" t="inlineStr">
        <is>
          <t>18432XXX</t>
        </is>
      </c>
      <c r="B2401" s="135" t="inlineStr">
        <is>
          <t>TAVERNITI  REM M/C</t>
        </is>
      </c>
      <c r="C2401" s="88" t="n">
        <v>51500</v>
      </c>
      <c r="D2401" s="170" t="n"/>
      <c r="E2401" s="170" t="n"/>
      <c r="F2401" s="170" t="n"/>
      <c r="G2401" s="170" t="n"/>
      <c r="H2401" s="170" t="n"/>
      <c r="I2401" s="170" t="n"/>
      <c r="J2401" s="170" t="n"/>
      <c r="K2401" s="170" t="n"/>
      <c r="L2401" s="170" t="n"/>
      <c r="M2401" s="170" t="n"/>
      <c r="N2401" s="96" t="n"/>
      <c r="O2401" s="117">
        <f>C2401*P2401</f>
        <v/>
      </c>
      <c r="P2401" s="150" t="n">
        <v>1.1</v>
      </c>
      <c r="Q2401" s="30" t="n"/>
      <c r="R2401" s="170" t="n"/>
      <c r="S2401" s="30" t="n"/>
      <c r="T2401" s="170" t="n"/>
      <c r="U2401" s="30" t="n"/>
      <c r="V2401" s="30" t="n"/>
      <c r="W2401" s="30" t="n"/>
      <c r="X2401" s="30" t="n"/>
      <c r="Y2401" s="30" t="n"/>
      <c r="Z2401" s="30" t="n"/>
      <c r="AA2401" s="30" t="n"/>
      <c r="AB2401" s="30" t="n"/>
      <c r="AC2401" s="30" t="n"/>
      <c r="AD2401" s="30" t="n"/>
      <c r="AE2401" s="30" t="n"/>
      <c r="AF2401" s="30" t="n"/>
      <c r="AG2401" s="30" t="n"/>
      <c r="AH2401" s="30" t="n"/>
      <c r="AI2401" s="30" t="n"/>
      <c r="AJ2401" s="30" t="n"/>
      <c r="AK2401" s="30" t="n"/>
      <c r="AL2401" s="30" t="n"/>
      <c r="AM2401" s="30" t="n"/>
      <c r="AN2401" s="30" t="n"/>
    </row>
    <row r="2402" ht="16.5" customHeight="1" s="253">
      <c r="A2402" s="89" t="inlineStr">
        <is>
          <t>18434XXX</t>
        </is>
      </c>
      <c r="B2402" s="135" t="inlineStr">
        <is>
          <t>TAVERNITI  REM M/C</t>
        </is>
      </c>
      <c r="C2402" s="88" t="n">
        <v>57200</v>
      </c>
      <c r="D2402" s="170" t="n"/>
      <c r="E2402" s="170" t="n"/>
      <c r="F2402" s="170" t="n"/>
      <c r="G2402" s="170" t="n"/>
      <c r="H2402" s="170" t="n"/>
      <c r="I2402" s="170" t="n"/>
      <c r="J2402" s="170" t="n"/>
      <c r="K2402" s="170" t="n"/>
      <c r="L2402" s="170" t="n"/>
      <c r="M2402" s="170" t="n"/>
      <c r="N2402" s="96" t="n"/>
      <c r="O2402" s="117">
        <f>C2402*P2402</f>
        <v/>
      </c>
      <c r="P2402" s="150" t="n">
        <v>1.1</v>
      </c>
      <c r="Q2402" s="30" t="n"/>
      <c r="R2402" s="170" t="n"/>
      <c r="S2402" s="30" t="n"/>
      <c r="T2402" s="170" t="n"/>
      <c r="U2402" s="30" t="n"/>
      <c r="V2402" s="30" t="n"/>
      <c r="W2402" s="30" t="n"/>
      <c r="X2402" s="30" t="n"/>
      <c r="Y2402" s="30" t="n"/>
      <c r="Z2402" s="30" t="n"/>
      <c r="AA2402" s="30" t="n"/>
      <c r="AB2402" s="30" t="n"/>
      <c r="AC2402" s="30" t="n"/>
      <c r="AD2402" s="30" t="n"/>
      <c r="AE2402" s="30" t="n"/>
      <c r="AF2402" s="30" t="n"/>
      <c r="AG2402" s="30" t="n"/>
      <c r="AH2402" s="30" t="n"/>
      <c r="AI2402" s="30" t="n"/>
      <c r="AJ2402" s="30" t="n"/>
      <c r="AK2402" s="30" t="n"/>
      <c r="AL2402" s="30" t="n"/>
      <c r="AM2402" s="30" t="n"/>
      <c r="AN2402" s="30" t="n"/>
    </row>
    <row r="2403" ht="16.5" customHeight="1" s="253">
      <c r="A2403" s="89" t="inlineStr">
        <is>
          <t>18436XXX</t>
        </is>
      </c>
      <c r="B2403" s="135" t="inlineStr">
        <is>
          <t>TAVERNITI  REM M/C</t>
        </is>
      </c>
      <c r="C2403" s="88" t="n">
        <v>57200</v>
      </c>
      <c r="D2403" s="170" t="n"/>
      <c r="E2403" s="170" t="n"/>
      <c r="F2403" s="170" t="n"/>
      <c r="G2403" s="170" t="n"/>
      <c r="H2403" s="170" t="n"/>
      <c r="I2403" s="170" t="n"/>
      <c r="J2403" s="170" t="n"/>
      <c r="K2403" s="170" t="n"/>
      <c r="L2403" s="170" t="n"/>
      <c r="M2403" s="170" t="n"/>
      <c r="N2403" s="96" t="n"/>
      <c r="O2403" s="117">
        <f>C2403*P2403</f>
        <v/>
      </c>
      <c r="P2403" s="150" t="n">
        <v>1.1</v>
      </c>
      <c r="Q2403" s="30" t="n"/>
      <c r="R2403" s="170" t="n"/>
      <c r="S2403" s="30" t="n"/>
      <c r="T2403" s="170" t="n"/>
      <c r="U2403" s="30" t="n"/>
      <c r="V2403" s="30" t="n"/>
      <c r="W2403" s="30" t="n"/>
      <c r="X2403" s="30" t="n"/>
      <c r="Y2403" s="30" t="n"/>
      <c r="Z2403" s="30" t="n"/>
      <c r="AA2403" s="30" t="n"/>
      <c r="AB2403" s="30" t="n"/>
      <c r="AC2403" s="30" t="n"/>
      <c r="AD2403" s="30" t="n"/>
      <c r="AE2403" s="30" t="n"/>
      <c r="AF2403" s="30" t="n"/>
      <c r="AG2403" s="30" t="n"/>
      <c r="AH2403" s="30" t="n"/>
      <c r="AI2403" s="30" t="n"/>
      <c r="AJ2403" s="30" t="n"/>
      <c r="AK2403" s="30" t="n"/>
      <c r="AL2403" s="30" t="n"/>
      <c r="AM2403" s="30" t="n"/>
      <c r="AN2403" s="30" t="n"/>
    </row>
    <row r="2404" ht="16.5" customHeight="1" s="253">
      <c r="A2404" s="89" t="inlineStr">
        <is>
          <t>18438XXX</t>
        </is>
      </c>
      <c r="B2404" s="135" t="inlineStr">
        <is>
          <t>TAVERNITI  REM M/C</t>
        </is>
      </c>
      <c r="C2404" s="88" t="n">
        <v>51500</v>
      </c>
      <c r="D2404" s="170" t="n"/>
      <c r="E2404" s="170" t="n"/>
      <c r="F2404" s="170" t="n"/>
      <c r="G2404" s="170" t="n"/>
      <c r="H2404" s="170" t="n"/>
      <c r="I2404" s="170" t="n"/>
      <c r="J2404" s="170" t="n"/>
      <c r="K2404" s="170" t="n"/>
      <c r="L2404" s="170" t="n"/>
      <c r="M2404" s="170" t="n"/>
      <c r="N2404" s="96" t="n"/>
      <c r="O2404" s="117">
        <f>C2404*P2404</f>
        <v/>
      </c>
      <c r="P2404" s="150" t="n">
        <v>1.1</v>
      </c>
      <c r="Q2404" s="30" t="n"/>
      <c r="R2404" s="170" t="n"/>
      <c r="S2404" s="30" t="n"/>
      <c r="T2404" s="170" t="n"/>
      <c r="U2404" s="30" t="n"/>
      <c r="V2404" s="30" t="n"/>
      <c r="W2404" s="30" t="n"/>
      <c r="X2404" s="30" t="n"/>
      <c r="Y2404" s="30" t="n"/>
      <c r="Z2404" s="30" t="n"/>
      <c r="AA2404" s="30" t="n"/>
      <c r="AB2404" s="30" t="n"/>
      <c r="AC2404" s="30" t="n"/>
      <c r="AD2404" s="30" t="n"/>
      <c r="AE2404" s="30" t="n"/>
      <c r="AF2404" s="30" t="n"/>
      <c r="AG2404" s="30" t="n"/>
      <c r="AH2404" s="30" t="n"/>
      <c r="AI2404" s="30" t="n"/>
      <c r="AJ2404" s="30" t="n"/>
      <c r="AK2404" s="30" t="n"/>
      <c r="AL2404" s="30" t="n"/>
      <c r="AM2404" s="30" t="n"/>
      <c r="AN2404" s="30" t="n"/>
    </row>
    <row r="2405" ht="16.5" customHeight="1" s="253">
      <c r="A2405" s="89" t="inlineStr">
        <is>
          <t>18440XXX</t>
        </is>
      </c>
      <c r="B2405" s="135" t="inlineStr">
        <is>
          <t>TAVERNITI  REM M/C</t>
        </is>
      </c>
      <c r="C2405" s="88" t="n">
        <v>53600</v>
      </c>
      <c r="D2405" s="170" t="n"/>
      <c r="E2405" s="170" t="n"/>
      <c r="F2405" s="170" t="n"/>
      <c r="G2405" s="170" t="n"/>
      <c r="H2405" s="170" t="n"/>
      <c r="I2405" s="170" t="n"/>
      <c r="J2405" s="170" t="n"/>
      <c r="K2405" s="170" t="n"/>
      <c r="L2405" s="170" t="n"/>
      <c r="M2405" s="170" t="n"/>
      <c r="N2405" s="96" t="n"/>
      <c r="O2405" s="117">
        <f>C2405*P2405</f>
        <v/>
      </c>
      <c r="P2405" s="150" t="n">
        <v>1.1</v>
      </c>
      <c r="Q2405" s="30" t="n"/>
      <c r="R2405" s="170" t="n"/>
      <c r="S2405" s="30" t="n"/>
      <c r="T2405" s="170" t="n"/>
      <c r="U2405" s="30" t="n"/>
      <c r="V2405" s="30" t="n"/>
      <c r="W2405" s="30" t="n"/>
      <c r="X2405" s="30" t="n"/>
      <c r="Y2405" s="30" t="n"/>
      <c r="Z2405" s="30" t="n"/>
      <c r="AA2405" s="30" t="n"/>
      <c r="AB2405" s="30" t="n"/>
      <c r="AC2405" s="30" t="n"/>
      <c r="AD2405" s="30" t="n"/>
      <c r="AE2405" s="30" t="n"/>
      <c r="AF2405" s="30" t="n"/>
      <c r="AG2405" s="30" t="n"/>
      <c r="AH2405" s="30" t="n"/>
      <c r="AI2405" s="30" t="n"/>
      <c r="AJ2405" s="30" t="n"/>
      <c r="AK2405" s="30" t="n"/>
      <c r="AL2405" s="30" t="n"/>
      <c r="AM2405" s="30" t="n"/>
      <c r="AN2405" s="30" t="n"/>
    </row>
    <row r="2406" ht="16.5" customHeight="1" s="253">
      <c r="A2406" s="89" t="inlineStr">
        <is>
          <t>18442XXX</t>
        </is>
      </c>
      <c r="B2406" s="135" t="inlineStr">
        <is>
          <t>TAVERNITI  REM M/C</t>
        </is>
      </c>
      <c r="C2406" s="88" t="n">
        <v>57200</v>
      </c>
      <c r="D2406" s="170" t="n"/>
      <c r="E2406" s="170" t="n"/>
      <c r="F2406" s="170" t="n"/>
      <c r="G2406" s="170" t="n"/>
      <c r="H2406" s="170" t="n"/>
      <c r="I2406" s="170" t="n"/>
      <c r="J2406" s="170" t="n"/>
      <c r="K2406" s="170" t="n"/>
      <c r="L2406" s="170" t="n"/>
      <c r="M2406" s="170" t="n"/>
      <c r="N2406" s="96" t="n"/>
      <c r="O2406" s="117">
        <f>C2406*P2406</f>
        <v/>
      </c>
      <c r="P2406" s="150" t="n">
        <v>1.1</v>
      </c>
      <c r="Q2406" s="30" t="n"/>
      <c r="R2406" s="170" t="n"/>
      <c r="S2406" s="30" t="n"/>
      <c r="T2406" s="170" t="n"/>
      <c r="U2406" s="30" t="n"/>
      <c r="V2406" s="30" t="n"/>
      <c r="W2406" s="30" t="n"/>
      <c r="X2406" s="30" t="n"/>
      <c r="Y2406" s="30" t="n"/>
      <c r="Z2406" s="30" t="n"/>
      <c r="AA2406" s="30" t="n"/>
      <c r="AB2406" s="30" t="n"/>
      <c r="AC2406" s="30" t="n"/>
      <c r="AD2406" s="30" t="n"/>
      <c r="AE2406" s="30" t="n"/>
      <c r="AF2406" s="30" t="n"/>
      <c r="AG2406" s="30" t="n"/>
      <c r="AH2406" s="30" t="n"/>
      <c r="AI2406" s="30" t="n"/>
      <c r="AJ2406" s="30" t="n"/>
      <c r="AK2406" s="30" t="n"/>
      <c r="AL2406" s="30" t="n"/>
      <c r="AM2406" s="30" t="n"/>
      <c r="AN2406" s="30" t="n"/>
    </row>
    <row r="2407" ht="16.5" customHeight="1" s="253">
      <c r="A2407" s="89" t="inlineStr">
        <is>
          <t>18444XXX</t>
        </is>
      </c>
      <c r="B2407" s="135" t="inlineStr">
        <is>
          <t>TAVERNITI  REM M/C</t>
        </is>
      </c>
      <c r="C2407" s="88" t="n">
        <v>57200</v>
      </c>
      <c r="D2407" s="170" t="n"/>
      <c r="E2407" s="170" t="n"/>
      <c r="F2407" s="170" t="n"/>
      <c r="G2407" s="170" t="n"/>
      <c r="H2407" s="170" t="n"/>
      <c r="I2407" s="170" t="n"/>
      <c r="J2407" s="170" t="n"/>
      <c r="K2407" s="170" t="n"/>
      <c r="L2407" s="170" t="n"/>
      <c r="M2407" s="170" t="n"/>
      <c r="N2407" s="96" t="n"/>
      <c r="O2407" s="117">
        <f>C2407*P2407</f>
        <v/>
      </c>
      <c r="P2407" s="150" t="n">
        <v>1.1</v>
      </c>
      <c r="Q2407" s="30" t="n"/>
      <c r="R2407" s="170" t="n"/>
      <c r="S2407" s="30" t="n"/>
      <c r="T2407" s="170" t="n"/>
      <c r="U2407" s="30" t="n"/>
      <c r="V2407" s="30" t="n"/>
      <c r="W2407" s="30" t="n"/>
      <c r="X2407" s="30" t="n"/>
      <c r="Y2407" s="30" t="n"/>
      <c r="Z2407" s="30" t="n"/>
      <c r="AA2407" s="30" t="n"/>
      <c r="AB2407" s="30" t="n"/>
      <c r="AC2407" s="30" t="n"/>
      <c r="AD2407" s="30" t="n"/>
      <c r="AE2407" s="30" t="n"/>
      <c r="AF2407" s="30" t="n"/>
      <c r="AG2407" s="30" t="n"/>
      <c r="AH2407" s="30" t="n"/>
      <c r="AI2407" s="30" t="n"/>
      <c r="AJ2407" s="30" t="n"/>
      <c r="AK2407" s="30" t="n"/>
      <c r="AL2407" s="30" t="n"/>
      <c r="AM2407" s="30" t="n"/>
      <c r="AN2407" s="30" t="n"/>
    </row>
    <row r="2408" ht="16.5" customHeight="1" s="253">
      <c r="A2408" s="89" t="inlineStr">
        <is>
          <t>18456XXX</t>
        </is>
      </c>
      <c r="B2408" s="135" t="inlineStr">
        <is>
          <t>TAVERNITI  REM M/C</t>
        </is>
      </c>
      <c r="C2408" s="88" t="n">
        <v>52500</v>
      </c>
      <c r="D2408" s="170" t="n"/>
      <c r="E2408" s="170" t="n"/>
      <c r="F2408" s="170" t="n"/>
      <c r="G2408" s="170" t="n"/>
      <c r="H2408" s="170" t="n"/>
      <c r="I2408" s="170" t="n"/>
      <c r="J2408" s="170" t="n"/>
      <c r="K2408" s="170" t="n"/>
      <c r="L2408" s="170" t="n"/>
      <c r="M2408" s="170" t="n"/>
      <c r="N2408" s="96" t="n"/>
      <c r="O2408" s="117">
        <f>C2408*P2408</f>
        <v/>
      </c>
      <c r="P2408" s="150" t="n">
        <v>1.1</v>
      </c>
      <c r="Q2408" s="30" t="n"/>
      <c r="R2408" s="170" t="n"/>
      <c r="S2408" s="30" t="n"/>
      <c r="T2408" s="170" t="n"/>
      <c r="U2408" s="30" t="n"/>
      <c r="V2408" s="30" t="n"/>
      <c r="W2408" s="30" t="n"/>
      <c r="X2408" s="30" t="n"/>
      <c r="Y2408" s="30" t="n"/>
      <c r="Z2408" s="30" t="n"/>
      <c r="AA2408" s="30" t="n"/>
      <c r="AB2408" s="30" t="n"/>
      <c r="AC2408" s="30" t="n"/>
      <c r="AD2408" s="30" t="n"/>
      <c r="AE2408" s="30" t="n"/>
      <c r="AF2408" s="30" t="n"/>
      <c r="AG2408" s="30" t="n"/>
      <c r="AH2408" s="30" t="n"/>
      <c r="AI2408" s="30" t="n"/>
      <c r="AJ2408" s="30" t="n"/>
      <c r="AK2408" s="30" t="n"/>
      <c r="AL2408" s="30" t="n"/>
      <c r="AM2408" s="30" t="n"/>
      <c r="AN2408" s="30" t="n"/>
    </row>
    <row r="2409" ht="16.5" customHeight="1" s="253">
      <c r="A2409" s="89" t="inlineStr">
        <is>
          <t>18458XXX</t>
        </is>
      </c>
      <c r="B2409" s="135" t="inlineStr">
        <is>
          <t>TAVERNITI  REM M/C</t>
        </is>
      </c>
      <c r="C2409" s="88" t="n">
        <v>52500</v>
      </c>
      <c r="D2409" s="170" t="n"/>
      <c r="E2409" s="170" t="n"/>
      <c r="F2409" s="170" t="n"/>
      <c r="G2409" s="170" t="n"/>
      <c r="H2409" s="170" t="n"/>
      <c r="I2409" s="170" t="n"/>
      <c r="J2409" s="170" t="n"/>
      <c r="K2409" s="170" t="n"/>
      <c r="L2409" s="170" t="n"/>
      <c r="M2409" s="170" t="n"/>
      <c r="N2409" s="96" t="n"/>
      <c r="O2409" s="117">
        <f>C2409*P2409</f>
        <v/>
      </c>
      <c r="P2409" s="150" t="n">
        <v>1.1</v>
      </c>
      <c r="Q2409" s="30" t="n"/>
      <c r="R2409" s="170" t="n"/>
      <c r="S2409" s="30" t="n"/>
      <c r="T2409" s="170" t="n"/>
      <c r="U2409" s="30" t="n"/>
      <c r="V2409" s="30" t="n"/>
      <c r="W2409" s="30" t="n"/>
      <c r="X2409" s="30" t="n"/>
      <c r="Y2409" s="30" t="n"/>
      <c r="Z2409" s="30" t="n"/>
      <c r="AA2409" s="30" t="n"/>
      <c r="AB2409" s="30" t="n"/>
      <c r="AC2409" s="30" t="n"/>
      <c r="AD2409" s="30" t="n"/>
      <c r="AE2409" s="30" t="n"/>
      <c r="AF2409" s="30" t="n"/>
      <c r="AG2409" s="30" t="n"/>
      <c r="AH2409" s="30" t="n"/>
      <c r="AI2409" s="30" t="n"/>
      <c r="AJ2409" s="30" t="n"/>
      <c r="AK2409" s="30" t="n"/>
      <c r="AL2409" s="30" t="n"/>
      <c r="AM2409" s="30" t="n"/>
      <c r="AN2409" s="30" t="n"/>
    </row>
    <row r="2410" ht="16.5" customHeight="1" s="253">
      <c r="A2410" s="89" t="inlineStr">
        <is>
          <t>18464XXX</t>
        </is>
      </c>
      <c r="B2410" s="135" t="inlineStr">
        <is>
          <t>TAVERNITI  REM M/C</t>
        </is>
      </c>
      <c r="C2410" s="88" t="n">
        <v>57200</v>
      </c>
      <c r="D2410" s="170" t="n"/>
      <c r="E2410" s="170" t="n"/>
      <c r="F2410" s="170" t="n"/>
      <c r="G2410" s="170" t="n"/>
      <c r="H2410" s="170" t="n"/>
      <c r="I2410" s="170" t="n"/>
      <c r="J2410" s="170" t="n"/>
      <c r="K2410" s="170" t="n"/>
      <c r="L2410" s="170" t="n"/>
      <c r="M2410" s="170" t="n"/>
      <c r="N2410" s="96" t="n"/>
      <c r="O2410" s="117">
        <f>C2410*P2410</f>
        <v/>
      </c>
      <c r="P2410" s="150" t="n">
        <v>1.1</v>
      </c>
      <c r="Q2410" s="30" t="n"/>
      <c r="R2410" s="170" t="n"/>
      <c r="S2410" s="30" t="n"/>
      <c r="T2410" s="170" t="n"/>
      <c r="U2410" s="30" t="n"/>
      <c r="V2410" s="30" t="n"/>
      <c r="W2410" s="30" t="n"/>
      <c r="X2410" s="30" t="n"/>
      <c r="Y2410" s="30" t="n"/>
      <c r="Z2410" s="30" t="n"/>
      <c r="AA2410" s="30" t="n"/>
      <c r="AB2410" s="30" t="n"/>
      <c r="AC2410" s="30" t="n"/>
      <c r="AD2410" s="30" t="n"/>
      <c r="AE2410" s="30" t="n"/>
      <c r="AF2410" s="30" t="n"/>
      <c r="AG2410" s="30" t="n"/>
      <c r="AH2410" s="30" t="n"/>
      <c r="AI2410" s="30" t="n"/>
      <c r="AJ2410" s="30" t="n"/>
      <c r="AK2410" s="30" t="n"/>
      <c r="AL2410" s="30" t="n"/>
      <c r="AM2410" s="30" t="n"/>
      <c r="AN2410" s="30" t="n"/>
      <c r="AO2410" s="30" t="n"/>
    </row>
    <row r="2411" ht="16.5" customHeight="1" s="253">
      <c r="A2411" s="89" t="inlineStr">
        <is>
          <t>18468XXX</t>
        </is>
      </c>
      <c r="B2411" s="135" t="inlineStr">
        <is>
          <t>TAVERNITI  REM M/C</t>
        </is>
      </c>
      <c r="C2411" s="88" t="n">
        <v>57200</v>
      </c>
      <c r="D2411" s="170" t="n"/>
      <c r="E2411" s="170" t="n"/>
      <c r="F2411" s="170" t="n"/>
      <c r="G2411" s="170" t="n"/>
      <c r="H2411" s="170" t="n"/>
      <c r="I2411" s="170" t="n"/>
      <c r="J2411" s="170" t="n"/>
      <c r="K2411" s="170" t="n"/>
      <c r="L2411" s="170" t="n"/>
      <c r="M2411" s="170" t="n"/>
      <c r="N2411" s="96" t="n"/>
      <c r="O2411" s="117">
        <f>C2411*P2411</f>
        <v/>
      </c>
      <c r="P2411" s="150" t="n">
        <v>1.1</v>
      </c>
      <c r="Q2411" s="30" t="n"/>
      <c r="R2411" s="170" t="n"/>
      <c r="S2411" s="30" t="n"/>
      <c r="T2411" s="170" t="n"/>
      <c r="U2411" s="30" t="n"/>
      <c r="V2411" s="30" t="n"/>
      <c r="W2411" s="30" t="n"/>
      <c r="X2411" s="30" t="n"/>
      <c r="Y2411" s="30" t="n"/>
      <c r="Z2411" s="30" t="n"/>
      <c r="AA2411" s="30" t="n"/>
      <c r="AB2411" s="30" t="n"/>
      <c r="AC2411" s="30" t="n"/>
      <c r="AD2411" s="30" t="n"/>
      <c r="AE2411" s="30" t="n"/>
      <c r="AF2411" s="30" t="n"/>
      <c r="AG2411" s="30" t="n"/>
      <c r="AH2411" s="30" t="n"/>
      <c r="AI2411" s="30" t="n"/>
      <c r="AJ2411" s="30" t="n"/>
      <c r="AK2411" s="30" t="n"/>
      <c r="AL2411" s="30" t="n"/>
      <c r="AM2411" s="30" t="n"/>
      <c r="AN2411" s="30" t="n"/>
      <c r="AO2411" s="30" t="n"/>
    </row>
    <row r="2412" ht="16.5" customHeight="1" s="253">
      <c r="A2412" s="89" t="inlineStr">
        <is>
          <t>18472XXX</t>
        </is>
      </c>
      <c r="B2412" s="135" t="inlineStr">
        <is>
          <t>TAVERNITI  REM M/C</t>
        </is>
      </c>
      <c r="C2412" s="88" t="n">
        <v>57200</v>
      </c>
      <c r="D2412" s="170" t="n"/>
      <c r="E2412" s="170" t="n"/>
      <c r="F2412" s="170" t="n"/>
      <c r="G2412" s="170" t="n"/>
      <c r="H2412" s="170" t="n"/>
      <c r="I2412" s="170" t="n"/>
      <c r="J2412" s="170" t="n"/>
      <c r="K2412" s="170" t="n"/>
      <c r="L2412" s="170" t="n"/>
      <c r="M2412" s="170" t="n"/>
      <c r="N2412" s="96" t="n"/>
      <c r="O2412" s="117">
        <f>C2412*P2412</f>
        <v/>
      </c>
      <c r="P2412" s="150" t="n">
        <v>1.1</v>
      </c>
      <c r="Q2412" s="30" t="n"/>
      <c r="R2412" s="170" t="n"/>
      <c r="S2412" s="30" t="n"/>
      <c r="T2412" s="170" t="n"/>
      <c r="U2412" s="30" t="n"/>
      <c r="V2412" s="30" t="n"/>
      <c r="W2412" s="30" t="n"/>
      <c r="X2412" s="30" t="n"/>
      <c r="Y2412" s="30" t="n"/>
      <c r="Z2412" s="30" t="n"/>
      <c r="AA2412" s="30" t="n"/>
      <c r="AB2412" s="30" t="n"/>
      <c r="AC2412" s="30" t="n"/>
      <c r="AD2412" s="30" t="n"/>
      <c r="AE2412" s="30" t="n"/>
      <c r="AF2412" s="30" t="n"/>
      <c r="AG2412" s="30" t="n"/>
      <c r="AH2412" s="30" t="n"/>
      <c r="AI2412" s="30" t="n"/>
      <c r="AJ2412" s="30" t="n"/>
      <c r="AK2412" s="30" t="n"/>
      <c r="AL2412" s="30" t="n"/>
      <c r="AM2412" s="30" t="n"/>
      <c r="AN2412" s="30" t="n"/>
      <c r="AO2412" s="30" t="n"/>
    </row>
    <row r="2413" ht="16.5" customHeight="1" s="253">
      <c r="A2413" s="89" t="inlineStr">
        <is>
          <t>18476XXX</t>
        </is>
      </c>
      <c r="B2413" s="135" t="inlineStr">
        <is>
          <t>TAVERNITI  REM M/C</t>
        </is>
      </c>
      <c r="C2413" s="88" t="n">
        <v>57200</v>
      </c>
      <c r="D2413" s="170" t="n"/>
      <c r="E2413" s="170" t="n"/>
      <c r="F2413" s="170" t="n"/>
      <c r="G2413" s="170" t="n"/>
      <c r="H2413" s="170" t="n"/>
      <c r="I2413" s="170" t="n"/>
      <c r="J2413" s="170" t="n"/>
      <c r="K2413" s="170" t="n"/>
      <c r="L2413" s="170" t="n"/>
      <c r="M2413" s="170" t="n"/>
      <c r="N2413" s="96" t="n"/>
      <c r="O2413" s="117">
        <f>C2413*P2413</f>
        <v/>
      </c>
      <c r="P2413" s="150" t="n">
        <v>1.1</v>
      </c>
      <c r="Q2413" s="30" t="n"/>
      <c r="R2413" s="170" t="n"/>
      <c r="S2413" s="30" t="n"/>
      <c r="T2413" s="170" t="n"/>
      <c r="U2413" s="30" t="n"/>
      <c r="V2413" s="30" t="n"/>
      <c r="W2413" s="30" t="n"/>
      <c r="X2413" s="30" t="n"/>
      <c r="Y2413" s="30" t="n"/>
      <c r="Z2413" s="30" t="n"/>
      <c r="AA2413" s="30" t="n"/>
      <c r="AB2413" s="30" t="n"/>
      <c r="AC2413" s="30" t="n"/>
      <c r="AD2413" s="30" t="n"/>
      <c r="AE2413" s="30" t="n"/>
      <c r="AF2413" s="30" t="n"/>
      <c r="AG2413" s="30" t="n"/>
      <c r="AH2413" s="30" t="n"/>
      <c r="AI2413" s="30" t="n"/>
      <c r="AJ2413" s="30" t="n"/>
      <c r="AK2413" s="30" t="n"/>
      <c r="AL2413" s="30" t="n"/>
      <c r="AM2413" s="30" t="n"/>
      <c r="AN2413" s="30" t="n"/>
    </row>
    <row r="2414" ht="16.5" customHeight="1" s="253">
      <c r="A2414" s="89" t="inlineStr">
        <is>
          <t>18488XXX</t>
        </is>
      </c>
      <c r="B2414" s="135" t="inlineStr">
        <is>
          <t>TAVERNITI  REM M/C</t>
        </is>
      </c>
      <c r="C2414" s="88" t="n">
        <v>57200</v>
      </c>
      <c r="D2414" s="170" t="n"/>
      <c r="E2414" s="170" t="n"/>
      <c r="F2414" s="170" t="n"/>
      <c r="G2414" s="170" t="n"/>
      <c r="H2414" s="170" t="n"/>
      <c r="I2414" s="170" t="n"/>
      <c r="J2414" s="170" t="n"/>
      <c r="K2414" s="170" t="n"/>
      <c r="L2414" s="170" t="n"/>
      <c r="M2414" s="170" t="n"/>
      <c r="N2414" s="96" t="n"/>
      <c r="O2414" s="117">
        <f>C2414*P2414</f>
        <v/>
      </c>
      <c r="P2414" s="150" t="n">
        <v>1.1</v>
      </c>
      <c r="Q2414" s="30" t="n"/>
      <c r="R2414" s="170" t="n"/>
      <c r="S2414" s="30" t="n"/>
      <c r="T2414" s="170" t="n"/>
      <c r="U2414" s="30" t="n"/>
      <c r="V2414" s="30" t="n"/>
      <c r="W2414" s="30" t="n"/>
      <c r="X2414" s="30" t="n"/>
      <c r="Y2414" s="30" t="n"/>
      <c r="Z2414" s="30" t="n"/>
      <c r="AA2414" s="30" t="n"/>
      <c r="AB2414" s="30" t="n"/>
      <c r="AC2414" s="30" t="n"/>
      <c r="AD2414" s="30" t="n"/>
      <c r="AE2414" s="30" t="n"/>
      <c r="AF2414" s="30" t="n"/>
      <c r="AG2414" s="30" t="n"/>
      <c r="AH2414" s="30" t="n"/>
      <c r="AI2414" s="30" t="n"/>
      <c r="AJ2414" s="30" t="n"/>
      <c r="AK2414" s="30" t="n"/>
      <c r="AL2414" s="30" t="n"/>
      <c r="AM2414" s="30" t="n"/>
      <c r="AN2414" s="30" t="n"/>
    </row>
    <row r="2415" ht="16.5" customHeight="1" s="253">
      <c r="A2415" s="89" t="inlineStr">
        <is>
          <t>18490XXX</t>
        </is>
      </c>
      <c r="B2415" s="135" t="inlineStr">
        <is>
          <t>TAVERNITI  REM M/C</t>
        </is>
      </c>
      <c r="C2415" s="88" t="n">
        <v>43700</v>
      </c>
      <c r="D2415" s="170" t="n"/>
      <c r="E2415" s="170" t="n"/>
      <c r="F2415" s="170" t="n"/>
      <c r="G2415" s="170" t="n"/>
      <c r="H2415" s="170" t="n"/>
      <c r="I2415" s="170" t="n"/>
      <c r="J2415" s="170" t="n"/>
      <c r="K2415" s="170" t="n"/>
      <c r="L2415" s="170" t="n"/>
      <c r="M2415" s="170" t="n"/>
      <c r="N2415" s="96" t="n"/>
      <c r="O2415" s="117">
        <f>C2415*P2415</f>
        <v/>
      </c>
      <c r="P2415" s="150" t="n">
        <v>1.1</v>
      </c>
      <c r="Q2415" s="30" t="n"/>
      <c r="R2415" s="170" t="n"/>
      <c r="S2415" s="30" t="n"/>
      <c r="T2415" s="170" t="n"/>
      <c r="U2415" s="30" t="n"/>
      <c r="V2415" s="30" t="n"/>
      <c r="W2415" s="30" t="n"/>
      <c r="X2415" s="30" t="n"/>
      <c r="Y2415" s="30" t="n"/>
      <c r="Z2415" s="30" t="n"/>
      <c r="AA2415" s="30" t="n"/>
      <c r="AB2415" s="30" t="n"/>
      <c r="AC2415" s="30" t="n"/>
      <c r="AD2415" s="30" t="n"/>
      <c r="AE2415" s="30" t="n"/>
      <c r="AF2415" s="30" t="n"/>
      <c r="AG2415" s="30" t="n"/>
      <c r="AH2415" s="30" t="n"/>
      <c r="AI2415" s="30" t="n"/>
      <c r="AJ2415" s="30" t="n"/>
      <c r="AK2415" s="30" t="n"/>
      <c r="AL2415" s="30" t="n"/>
      <c r="AM2415" s="30" t="n"/>
      <c r="AN2415" s="30" t="n"/>
    </row>
    <row r="2416" ht="16.5" customHeight="1" s="253">
      <c r="A2416" s="89" t="inlineStr">
        <is>
          <t>18494XXX</t>
        </is>
      </c>
      <c r="B2416" s="135" t="inlineStr">
        <is>
          <t>TAVERNITI  REM M/C</t>
        </is>
      </c>
      <c r="C2416" s="88" t="n">
        <v>43700</v>
      </c>
      <c r="D2416" s="170" t="n"/>
      <c r="E2416" s="170" t="n"/>
      <c r="F2416" s="170" t="n"/>
      <c r="G2416" s="170" t="n"/>
      <c r="H2416" s="170" t="n"/>
      <c r="I2416" s="170" t="n"/>
      <c r="J2416" s="170" t="n"/>
      <c r="K2416" s="170" t="n"/>
      <c r="L2416" s="170" t="n"/>
      <c r="M2416" s="170" t="n"/>
      <c r="N2416" s="96" t="n"/>
      <c r="O2416" s="117">
        <f>C2416*P2416</f>
        <v/>
      </c>
      <c r="P2416" s="150" t="n">
        <v>1.1</v>
      </c>
      <c r="Q2416" s="30" t="n"/>
      <c r="R2416" s="170" t="n"/>
      <c r="S2416" s="30" t="n"/>
      <c r="T2416" s="170" t="n"/>
      <c r="U2416" s="30" t="n"/>
      <c r="V2416" s="30" t="n"/>
      <c r="W2416" s="30" t="n"/>
      <c r="X2416" s="30" t="n"/>
      <c r="Y2416" s="30" t="n"/>
      <c r="Z2416" s="30" t="n"/>
      <c r="AA2416" s="30" t="n"/>
      <c r="AB2416" s="30" t="n"/>
      <c r="AC2416" s="30" t="n"/>
      <c r="AD2416" s="30" t="n"/>
      <c r="AE2416" s="30" t="n"/>
      <c r="AF2416" s="30" t="n"/>
      <c r="AG2416" s="30" t="n"/>
      <c r="AH2416" s="30" t="n"/>
      <c r="AI2416" s="30" t="n"/>
      <c r="AJ2416" s="30" t="n"/>
      <c r="AK2416" s="30" t="n"/>
      <c r="AL2416" s="30" t="n"/>
      <c r="AM2416" s="30" t="n"/>
      <c r="AN2416" s="30" t="n"/>
    </row>
    <row r="2417" ht="16.5" customHeight="1" s="253">
      <c r="A2417" s="89" t="inlineStr">
        <is>
          <t>18496XXX</t>
        </is>
      </c>
      <c r="B2417" s="135" t="inlineStr">
        <is>
          <t>TAVERNITI  REM M/C</t>
        </is>
      </c>
      <c r="C2417" s="88" t="n">
        <v>43700</v>
      </c>
      <c r="D2417" s="170" t="n"/>
      <c r="E2417" s="170" t="n"/>
      <c r="F2417" s="170" t="n"/>
      <c r="G2417" s="170" t="n"/>
      <c r="H2417" s="170" t="n"/>
      <c r="I2417" s="170" t="n"/>
      <c r="J2417" s="170" t="n"/>
      <c r="K2417" s="170" t="n"/>
      <c r="L2417" s="170" t="n"/>
      <c r="M2417" s="170" t="n"/>
      <c r="N2417" s="96" t="n"/>
      <c r="O2417" s="117">
        <f>C2417*P2417</f>
        <v/>
      </c>
      <c r="P2417" s="150" t="n">
        <v>1.1</v>
      </c>
      <c r="Q2417" s="30" t="n"/>
      <c r="R2417" s="170" t="n"/>
      <c r="S2417" s="30" t="n"/>
      <c r="T2417" s="170" t="n"/>
      <c r="U2417" s="30" t="n"/>
      <c r="V2417" s="30" t="n"/>
      <c r="W2417" s="30" t="n"/>
      <c r="X2417" s="30" t="n"/>
      <c r="Y2417" s="30" t="n"/>
      <c r="Z2417" s="30" t="n"/>
      <c r="AA2417" s="30" t="n"/>
      <c r="AB2417" s="30" t="n"/>
      <c r="AC2417" s="30" t="n"/>
      <c r="AD2417" s="30" t="n"/>
      <c r="AE2417" s="30" t="n"/>
      <c r="AF2417" s="30" t="n"/>
      <c r="AG2417" s="30" t="n"/>
      <c r="AH2417" s="30" t="n"/>
      <c r="AI2417" s="30" t="n"/>
      <c r="AJ2417" s="30" t="n"/>
      <c r="AK2417" s="30" t="n"/>
      <c r="AL2417" s="30" t="n"/>
      <c r="AM2417" s="30" t="n"/>
      <c r="AN2417" s="30" t="n"/>
    </row>
    <row r="2418" ht="16.5" customHeight="1" s="253">
      <c r="A2418" s="89" t="inlineStr">
        <is>
          <t>18510XXX</t>
        </is>
      </c>
      <c r="B2418" s="135" t="inlineStr">
        <is>
          <t>TAVERNITI  REM M/C</t>
        </is>
      </c>
      <c r="C2418" s="88" t="n">
        <v>46700</v>
      </c>
      <c r="D2418" s="170" t="n"/>
      <c r="E2418" s="170" t="n"/>
      <c r="F2418" s="170" t="n"/>
      <c r="G2418" s="170" t="n"/>
      <c r="H2418" s="170" t="n"/>
      <c r="I2418" s="170" t="n"/>
      <c r="J2418" s="170" t="n"/>
      <c r="K2418" s="170" t="n"/>
      <c r="L2418" s="170" t="n"/>
      <c r="M2418" s="170" t="n"/>
      <c r="N2418" s="96" t="n"/>
      <c r="O2418" s="117">
        <f>C2418*P2418</f>
        <v/>
      </c>
      <c r="P2418" s="150" t="n">
        <v>1.1</v>
      </c>
      <c r="Q2418" s="30" t="n"/>
      <c r="R2418" s="170" t="n"/>
      <c r="S2418" s="30" t="n"/>
      <c r="T2418" s="170" t="n"/>
      <c r="U2418" s="30" t="n"/>
      <c r="V2418" s="30" t="n"/>
      <c r="W2418" s="30" t="n"/>
      <c r="X2418" s="30" t="n"/>
      <c r="Y2418" s="30" t="n"/>
      <c r="Z2418" s="30" t="n"/>
      <c r="AA2418" s="30" t="n"/>
      <c r="AB2418" s="30" t="n"/>
      <c r="AC2418" s="30" t="n"/>
      <c r="AD2418" s="30" t="n"/>
      <c r="AE2418" s="30" t="n"/>
      <c r="AF2418" s="30" t="n"/>
      <c r="AG2418" s="30" t="n"/>
      <c r="AH2418" s="30" t="n"/>
      <c r="AI2418" s="30" t="n"/>
      <c r="AJ2418" s="30" t="n"/>
      <c r="AK2418" s="30" t="n"/>
      <c r="AL2418" s="30" t="n"/>
      <c r="AM2418" s="30" t="n"/>
      <c r="AN2418" s="30" t="n"/>
    </row>
    <row r="2419" ht="16.5" customHeight="1" s="253">
      <c r="A2419" s="89" t="inlineStr">
        <is>
          <t>18512XXX</t>
        </is>
      </c>
      <c r="B2419" s="135" t="inlineStr">
        <is>
          <t>TAVERNITI  REM M/C</t>
        </is>
      </c>
      <c r="C2419" s="88" t="n">
        <v>53700</v>
      </c>
      <c r="D2419" s="170" t="n"/>
      <c r="E2419" s="170" t="n"/>
      <c r="F2419" s="170" t="n"/>
      <c r="G2419" s="170" t="n"/>
      <c r="H2419" s="170" t="n"/>
      <c r="I2419" s="170" t="n"/>
      <c r="J2419" s="170" t="n"/>
      <c r="K2419" s="170" t="n"/>
      <c r="L2419" s="170" t="n"/>
      <c r="M2419" s="170" t="n"/>
      <c r="N2419" s="96" t="n"/>
      <c r="O2419" s="117">
        <f>C2419*P2419</f>
        <v/>
      </c>
      <c r="P2419" s="150" t="n">
        <v>1.1</v>
      </c>
      <c r="Q2419" s="30" t="n"/>
      <c r="R2419" s="170" t="n"/>
      <c r="S2419" s="30" t="n"/>
      <c r="T2419" s="170" t="n"/>
      <c r="U2419" s="30" t="n"/>
      <c r="V2419" s="30" t="n"/>
      <c r="W2419" s="30" t="n"/>
      <c r="X2419" s="30" t="n"/>
      <c r="Y2419" s="30" t="n"/>
      <c r="Z2419" s="30" t="n"/>
      <c r="AA2419" s="30" t="n"/>
      <c r="AB2419" s="30" t="n"/>
      <c r="AC2419" s="30" t="n"/>
      <c r="AD2419" s="30" t="n"/>
      <c r="AE2419" s="30" t="n"/>
      <c r="AF2419" s="30" t="n"/>
      <c r="AG2419" s="30" t="n"/>
      <c r="AH2419" s="30" t="n"/>
      <c r="AI2419" s="30" t="n"/>
      <c r="AJ2419" s="30" t="n"/>
      <c r="AK2419" s="30" t="n"/>
      <c r="AL2419" s="30" t="n"/>
      <c r="AM2419" s="30" t="n"/>
      <c r="AN2419" s="30" t="n"/>
    </row>
    <row r="2420" ht="16.5" customHeight="1" s="253">
      <c r="A2420" s="89" t="inlineStr">
        <is>
          <t>18518XXX</t>
        </is>
      </c>
      <c r="B2420" s="135" t="inlineStr">
        <is>
          <t>TAVERNITI  REM M/C</t>
        </is>
      </c>
      <c r="C2420" s="88" t="n">
        <v>51400</v>
      </c>
      <c r="D2420" s="170" t="n"/>
      <c r="E2420" s="170" t="n"/>
      <c r="F2420" s="170" t="n"/>
      <c r="G2420" s="170" t="n"/>
      <c r="H2420" s="170" t="n"/>
      <c r="I2420" s="170" t="n"/>
      <c r="J2420" s="170" t="n"/>
      <c r="K2420" s="170" t="n"/>
      <c r="L2420" s="170" t="n"/>
      <c r="M2420" s="170" t="n"/>
      <c r="N2420" s="96" t="n"/>
      <c r="O2420" s="117">
        <f>C2420*P2420</f>
        <v/>
      </c>
      <c r="P2420" s="150" t="n">
        <v>1.1</v>
      </c>
      <c r="Q2420" s="30" t="n"/>
      <c r="R2420" s="170" t="n"/>
      <c r="S2420" s="30" t="n"/>
      <c r="T2420" s="170" t="n"/>
      <c r="U2420" s="30" t="n"/>
      <c r="V2420" s="30" t="n"/>
      <c r="W2420" s="30" t="n"/>
      <c r="X2420" s="30" t="n"/>
      <c r="Y2420" s="30" t="n"/>
      <c r="Z2420" s="30" t="n"/>
      <c r="AA2420" s="30" t="n"/>
      <c r="AB2420" s="30" t="n"/>
      <c r="AC2420" s="30" t="n"/>
      <c r="AD2420" s="30" t="n"/>
      <c r="AE2420" s="30" t="n"/>
      <c r="AF2420" s="30" t="n"/>
      <c r="AG2420" s="30" t="n"/>
      <c r="AH2420" s="30" t="n"/>
      <c r="AI2420" s="30" t="n"/>
      <c r="AJ2420" s="30" t="n"/>
      <c r="AK2420" s="30" t="n"/>
      <c r="AL2420" s="30" t="n"/>
      <c r="AM2420" s="30" t="n"/>
      <c r="AN2420" s="30" t="n"/>
    </row>
    <row r="2421" ht="16.5" customHeight="1" s="253">
      <c r="A2421" s="89" t="inlineStr">
        <is>
          <t>18522XXX</t>
        </is>
      </c>
      <c r="B2421" s="135" t="inlineStr">
        <is>
          <t>TAVERNITI  REM M/C</t>
        </is>
      </c>
      <c r="C2421" s="88" t="n">
        <v>46700</v>
      </c>
      <c r="D2421" s="170" t="n"/>
      <c r="E2421" s="170" t="n"/>
      <c r="F2421" s="170" t="n"/>
      <c r="G2421" s="170" t="n"/>
      <c r="H2421" s="170" t="n"/>
      <c r="I2421" s="170" t="n"/>
      <c r="J2421" s="170" t="n"/>
      <c r="K2421" s="170" t="n"/>
      <c r="L2421" s="170" t="n"/>
      <c r="M2421" s="170" t="n"/>
      <c r="N2421" s="96" t="n"/>
      <c r="O2421" s="117">
        <f>C2421*P2421</f>
        <v/>
      </c>
      <c r="P2421" s="150" t="n">
        <v>1.1</v>
      </c>
      <c r="Q2421" s="30" t="n"/>
      <c r="R2421" s="170" t="n"/>
      <c r="S2421" s="30" t="n"/>
      <c r="T2421" s="170" t="n"/>
      <c r="U2421" s="30" t="n"/>
      <c r="V2421" s="30" t="n"/>
      <c r="W2421" s="30" t="n"/>
      <c r="X2421" s="30" t="n"/>
      <c r="Y2421" s="30" t="n"/>
      <c r="Z2421" s="30" t="n"/>
      <c r="AA2421" s="30" t="n"/>
      <c r="AB2421" s="30" t="n"/>
      <c r="AC2421" s="30" t="n"/>
      <c r="AD2421" s="30" t="n"/>
      <c r="AE2421" s="30" t="n"/>
      <c r="AF2421" s="30" t="n"/>
      <c r="AG2421" s="30" t="n"/>
      <c r="AH2421" s="30" t="n"/>
      <c r="AI2421" s="30" t="n"/>
      <c r="AJ2421" s="30" t="n"/>
      <c r="AK2421" s="30" t="n"/>
      <c r="AL2421" s="30" t="n"/>
      <c r="AM2421" s="30" t="n"/>
      <c r="AN2421" s="30" t="n"/>
    </row>
    <row r="2422" ht="16.5" customHeight="1" s="253">
      <c r="A2422" s="89" t="inlineStr">
        <is>
          <t>18526XXX</t>
        </is>
      </c>
      <c r="B2422" s="135" t="inlineStr">
        <is>
          <t>TAVERNITI  REM M/C</t>
        </is>
      </c>
      <c r="C2422" s="88" t="n">
        <v>46700</v>
      </c>
      <c r="D2422" s="170" t="n"/>
      <c r="E2422" s="170" t="n"/>
      <c r="F2422" s="170" t="n"/>
      <c r="G2422" s="170" t="n"/>
      <c r="H2422" s="170" t="n"/>
      <c r="I2422" s="170" t="n"/>
      <c r="J2422" s="170" t="n"/>
      <c r="K2422" s="170" t="n"/>
      <c r="L2422" s="170" t="n"/>
      <c r="M2422" s="170" t="n"/>
      <c r="N2422" s="96" t="n"/>
      <c r="O2422" s="117">
        <f>C2422*P2422</f>
        <v/>
      </c>
      <c r="P2422" s="150" t="n">
        <v>1.1</v>
      </c>
      <c r="Q2422" s="30" t="n"/>
      <c r="R2422" s="170" t="n"/>
      <c r="S2422" s="30" t="n"/>
      <c r="T2422" s="170" t="n"/>
      <c r="U2422" s="30" t="n"/>
      <c r="V2422" s="30" t="n"/>
      <c r="W2422" s="30" t="n"/>
      <c r="X2422" s="30" t="n"/>
      <c r="Y2422" s="30" t="n"/>
      <c r="Z2422" s="30" t="n"/>
      <c r="AA2422" s="30" t="n"/>
      <c r="AB2422" s="30" t="n"/>
      <c r="AC2422" s="30" t="n"/>
      <c r="AD2422" s="30" t="n"/>
      <c r="AE2422" s="30" t="n"/>
      <c r="AF2422" s="30" t="n"/>
      <c r="AG2422" s="30" t="n"/>
      <c r="AH2422" s="30" t="n"/>
      <c r="AI2422" s="30" t="n"/>
      <c r="AJ2422" s="30" t="n"/>
      <c r="AK2422" s="30" t="n"/>
      <c r="AL2422" s="30" t="n"/>
      <c r="AM2422" s="30" t="n"/>
      <c r="AN2422" s="30" t="n"/>
    </row>
    <row r="2423" ht="16.5" customHeight="1" s="253">
      <c r="A2423" s="89" t="inlineStr">
        <is>
          <t>18638XXX</t>
        </is>
      </c>
      <c r="B2423" s="135" t="inlineStr">
        <is>
          <t>TAVERNITI  REM M/C</t>
        </is>
      </c>
      <c r="C2423" s="88" t="n">
        <v>51600</v>
      </c>
      <c r="D2423" s="170" t="n"/>
      <c r="E2423" s="170" t="n"/>
      <c r="F2423" s="170" t="n"/>
      <c r="G2423" s="170" t="n"/>
      <c r="H2423" s="170" t="n"/>
      <c r="I2423" s="170" t="n"/>
      <c r="J2423" s="170" t="n"/>
      <c r="K2423" s="170" t="n"/>
      <c r="L2423" s="170" t="n"/>
      <c r="M2423" s="170" t="n"/>
      <c r="N2423" s="30" t="n"/>
      <c r="O2423" s="150">
        <f>C2423*P2423</f>
        <v/>
      </c>
      <c r="P2423" s="150" t="n">
        <v>1.1</v>
      </c>
      <c r="Q2423" s="30" t="n"/>
      <c r="R2423" s="170" t="n"/>
      <c r="S2423" s="30" t="n"/>
      <c r="T2423" s="170" t="n"/>
      <c r="U2423" s="30" t="n"/>
      <c r="V2423" s="30" t="n"/>
      <c r="W2423" s="30" t="n"/>
      <c r="X2423" s="30" t="n"/>
      <c r="Y2423" s="30" t="n"/>
      <c r="Z2423" s="30" t="n"/>
      <c r="AA2423" s="30" t="n"/>
      <c r="AB2423" s="30" t="n"/>
      <c r="AC2423" s="30" t="n"/>
      <c r="AD2423" s="30" t="n"/>
      <c r="AE2423" s="30" t="n"/>
      <c r="AF2423" s="30" t="n"/>
      <c r="AG2423" s="30" t="n"/>
      <c r="AH2423" s="30" t="n"/>
      <c r="AI2423" s="30" t="n"/>
      <c r="AJ2423" s="30" t="n"/>
      <c r="AK2423" s="30" t="n"/>
      <c r="AL2423" s="30" t="n"/>
      <c r="AM2423" s="30" t="n"/>
      <c r="AN2423" s="30" t="n"/>
      <c r="AO2423" s="30" t="n"/>
    </row>
    <row r="2424" ht="16.5" customHeight="1" s="253">
      <c r="A2424" s="89" t="inlineStr">
        <is>
          <t>18650XXX</t>
        </is>
      </c>
      <c r="B2424" s="135" t="inlineStr">
        <is>
          <t>TAVERNITI  REM M/C</t>
        </is>
      </c>
      <c r="C2424" s="88" t="n">
        <v>55200</v>
      </c>
      <c r="D2424" s="170" t="n"/>
      <c r="E2424" s="170" t="n"/>
      <c r="F2424" s="170" t="n"/>
      <c r="G2424" s="170" t="n"/>
      <c r="H2424" s="170" t="n"/>
      <c r="I2424" s="170" t="n"/>
      <c r="J2424" s="170" t="n"/>
      <c r="K2424" s="170" t="n"/>
      <c r="L2424" s="170" t="n"/>
      <c r="M2424" s="170" t="n"/>
      <c r="N2424" s="96" t="n"/>
      <c r="O2424" s="117">
        <f>C2424*P2424</f>
        <v/>
      </c>
      <c r="P2424" s="150" t="n">
        <v>1.1</v>
      </c>
      <c r="Q2424" s="30" t="n"/>
      <c r="R2424" s="170" t="n"/>
      <c r="S2424" s="30" t="n"/>
      <c r="T2424" s="170" t="n"/>
      <c r="U2424" s="30" t="n"/>
      <c r="V2424" s="30" t="n"/>
      <c r="W2424" s="30" t="n"/>
      <c r="X2424" s="30" t="n"/>
      <c r="Y2424" s="30" t="n"/>
      <c r="Z2424" s="30" t="n"/>
      <c r="AA2424" s="30" t="n"/>
      <c r="AB2424" s="30" t="n"/>
      <c r="AC2424" s="30" t="n"/>
      <c r="AD2424" s="30" t="n"/>
      <c r="AE2424" s="30" t="n"/>
      <c r="AF2424" s="30" t="n"/>
      <c r="AG2424" s="30" t="n"/>
      <c r="AH2424" s="30" t="n"/>
      <c r="AI2424" s="30" t="n"/>
      <c r="AJ2424" s="30" t="n"/>
      <c r="AK2424" s="30" t="n"/>
      <c r="AL2424" s="30" t="n"/>
      <c r="AM2424" s="30" t="n"/>
      <c r="AN2424" s="30" t="n"/>
    </row>
    <row r="2425" ht="16.5" customHeight="1" s="253">
      <c r="A2425" s="89" t="inlineStr">
        <is>
          <t>18652XXX</t>
        </is>
      </c>
      <c r="B2425" s="135" t="inlineStr">
        <is>
          <t>TAVERNITI  REM M/C</t>
        </is>
      </c>
      <c r="C2425" s="88" t="n">
        <v>55200</v>
      </c>
      <c r="D2425" s="170" t="n"/>
      <c r="E2425" s="170" t="n"/>
      <c r="F2425" s="170" t="n"/>
      <c r="G2425" s="170" t="n"/>
      <c r="H2425" s="170" t="n"/>
      <c r="I2425" s="170" t="n"/>
      <c r="J2425" s="170" t="n"/>
      <c r="K2425" s="170" t="n"/>
      <c r="L2425" s="170" t="n"/>
      <c r="M2425" s="170" t="n"/>
      <c r="N2425" s="96" t="n"/>
      <c r="O2425" s="117">
        <f>C2425*P2425</f>
        <v/>
      </c>
      <c r="P2425" s="150" t="n">
        <v>1.1</v>
      </c>
      <c r="Q2425" s="30" t="n"/>
      <c r="R2425" s="170" t="n"/>
      <c r="S2425" s="30" t="n"/>
      <c r="T2425" s="170" t="n"/>
      <c r="U2425" s="30" t="n"/>
      <c r="V2425" s="30" t="n"/>
      <c r="W2425" s="30" t="n"/>
      <c r="X2425" s="30" t="n"/>
      <c r="Y2425" s="30" t="n"/>
      <c r="Z2425" s="30" t="n"/>
      <c r="AA2425" s="30" t="n"/>
      <c r="AB2425" s="30" t="n"/>
      <c r="AC2425" s="30" t="n"/>
      <c r="AD2425" s="30" t="n"/>
      <c r="AE2425" s="30" t="n"/>
      <c r="AF2425" s="30" t="n"/>
      <c r="AG2425" s="30" t="n"/>
      <c r="AH2425" s="30" t="n"/>
      <c r="AI2425" s="30" t="n"/>
      <c r="AJ2425" s="30" t="n"/>
      <c r="AK2425" s="30" t="n"/>
      <c r="AL2425" s="30" t="n"/>
      <c r="AM2425" s="30" t="n"/>
      <c r="AN2425" s="30" t="n"/>
    </row>
    <row r="2426" ht="16.5" customHeight="1" s="253">
      <c r="A2426" s="89" t="inlineStr">
        <is>
          <t>18654XXX</t>
        </is>
      </c>
      <c r="B2426" s="135" t="inlineStr">
        <is>
          <t>TAVERNITI  REM M/C</t>
        </is>
      </c>
      <c r="C2426" s="88" t="n">
        <v>55200</v>
      </c>
      <c r="D2426" s="170" t="n"/>
      <c r="E2426" s="170" t="n"/>
      <c r="F2426" s="170" t="n"/>
      <c r="G2426" s="170" t="n"/>
      <c r="H2426" s="170" t="n"/>
      <c r="I2426" s="170" t="n"/>
      <c r="J2426" s="170" t="n"/>
      <c r="K2426" s="170" t="n"/>
      <c r="L2426" s="170" t="n"/>
      <c r="M2426" s="170" t="n"/>
      <c r="N2426" s="96" t="n"/>
      <c r="O2426" s="117">
        <f>C2426*P2426</f>
        <v/>
      </c>
      <c r="P2426" s="150" t="n">
        <v>1.1</v>
      </c>
      <c r="Q2426" s="30" t="n"/>
      <c r="R2426" s="170" t="n"/>
      <c r="S2426" s="30" t="n"/>
      <c r="T2426" s="170" t="n"/>
      <c r="U2426" s="30" t="n"/>
      <c r="V2426" s="30" t="n"/>
      <c r="W2426" s="30" t="n"/>
      <c r="X2426" s="30" t="n"/>
      <c r="Y2426" s="30" t="n"/>
      <c r="Z2426" s="30" t="n"/>
      <c r="AA2426" s="30" t="n"/>
      <c r="AB2426" s="30" t="n"/>
      <c r="AC2426" s="30" t="n"/>
      <c r="AD2426" s="30" t="n"/>
      <c r="AE2426" s="30" t="n"/>
      <c r="AF2426" s="30" t="n"/>
      <c r="AG2426" s="30" t="n"/>
      <c r="AH2426" s="30" t="n"/>
      <c r="AI2426" s="30" t="n"/>
      <c r="AJ2426" s="30" t="n"/>
      <c r="AK2426" s="30" t="n"/>
      <c r="AL2426" s="30" t="n"/>
      <c r="AM2426" s="30" t="n"/>
      <c r="AN2426" s="30" t="n"/>
    </row>
    <row r="2427" ht="16.5" customHeight="1" s="253">
      <c r="A2427" s="89" t="inlineStr">
        <is>
          <t>18656XXX</t>
        </is>
      </c>
      <c r="B2427" s="135" t="inlineStr">
        <is>
          <t>TAVERNITI  REM M/C</t>
        </is>
      </c>
      <c r="C2427" s="88" t="n">
        <v>62200</v>
      </c>
      <c r="D2427" s="170" t="n"/>
      <c r="E2427" s="170" t="n"/>
      <c r="F2427" s="170" t="n"/>
      <c r="G2427" s="170" t="n"/>
      <c r="H2427" s="170" t="n"/>
      <c r="I2427" s="170" t="n"/>
      <c r="J2427" s="170" t="n"/>
      <c r="K2427" s="170" t="n"/>
      <c r="L2427" s="170" t="n"/>
      <c r="M2427" s="170" t="n"/>
      <c r="N2427" s="96" t="n"/>
      <c r="O2427" s="117">
        <f>C2427*P2427</f>
        <v/>
      </c>
      <c r="P2427" s="150" t="n">
        <v>1.1</v>
      </c>
      <c r="Q2427" s="30" t="n"/>
      <c r="R2427" s="170" t="n"/>
      <c r="S2427" s="30" t="n"/>
      <c r="T2427" s="170" t="n"/>
      <c r="U2427" s="30" t="n"/>
      <c r="V2427" s="30" t="n"/>
      <c r="W2427" s="30" t="n"/>
      <c r="X2427" s="30" t="n"/>
      <c r="Y2427" s="30" t="n"/>
      <c r="Z2427" s="30" t="n"/>
      <c r="AA2427" s="30" t="n"/>
      <c r="AB2427" s="30" t="n"/>
      <c r="AC2427" s="30" t="n"/>
      <c r="AD2427" s="30" t="n"/>
      <c r="AE2427" s="30" t="n"/>
      <c r="AF2427" s="30" t="n"/>
      <c r="AG2427" s="30" t="n"/>
      <c r="AH2427" s="30" t="n"/>
      <c r="AI2427" s="30" t="n"/>
      <c r="AJ2427" s="30" t="n"/>
      <c r="AK2427" s="30" t="n"/>
      <c r="AL2427" s="30" t="n"/>
      <c r="AM2427" s="30" t="n"/>
      <c r="AN2427" s="30" t="n"/>
    </row>
    <row r="2428" ht="16.5" customHeight="1" s="253">
      <c r="A2428" s="89" t="inlineStr">
        <is>
          <t>18658XXX</t>
        </is>
      </c>
      <c r="B2428" s="135" t="inlineStr">
        <is>
          <t>TAVERNITI  REM M/C</t>
        </is>
      </c>
      <c r="C2428" s="88" t="n">
        <v>55200</v>
      </c>
      <c r="D2428" s="170" t="n"/>
      <c r="E2428" s="170" t="n"/>
      <c r="F2428" s="170" t="n"/>
      <c r="G2428" s="170" t="n"/>
      <c r="H2428" s="170" t="n"/>
      <c r="I2428" s="170" t="n"/>
      <c r="J2428" s="170" t="n"/>
      <c r="K2428" s="170" t="n"/>
      <c r="L2428" s="170" t="n"/>
      <c r="M2428" s="170" t="n"/>
      <c r="N2428" s="96" t="n"/>
      <c r="O2428" s="117">
        <f>C2428*P2428</f>
        <v/>
      </c>
      <c r="P2428" s="150" t="n">
        <v>1.1</v>
      </c>
      <c r="Q2428" s="30" t="n"/>
      <c r="R2428" s="170" t="n"/>
      <c r="S2428" s="30" t="n"/>
      <c r="T2428" s="170" t="n"/>
      <c r="U2428" s="30" t="n"/>
      <c r="V2428" s="30" t="n"/>
      <c r="W2428" s="30" t="n"/>
      <c r="X2428" s="30" t="n"/>
      <c r="Y2428" s="30" t="n"/>
      <c r="Z2428" s="30" t="n"/>
      <c r="AA2428" s="30" t="n"/>
      <c r="AB2428" s="30" t="n"/>
      <c r="AC2428" s="30" t="n"/>
      <c r="AD2428" s="30" t="n"/>
      <c r="AE2428" s="30" t="n"/>
      <c r="AF2428" s="30" t="n"/>
      <c r="AG2428" s="30" t="n"/>
      <c r="AH2428" s="30" t="n"/>
      <c r="AI2428" s="30" t="n"/>
      <c r="AJ2428" s="30" t="n"/>
      <c r="AK2428" s="30" t="n"/>
      <c r="AL2428" s="30" t="n"/>
      <c r="AM2428" s="30" t="n"/>
      <c r="AN2428" s="30" t="n"/>
    </row>
    <row r="2429" ht="16.5" customHeight="1" s="253">
      <c r="A2429" s="89" t="inlineStr">
        <is>
          <t>18660XXX</t>
        </is>
      </c>
      <c r="B2429" s="135" t="inlineStr">
        <is>
          <t>TAVERNITI  REM M/C</t>
        </is>
      </c>
      <c r="C2429" s="88" t="n">
        <v>55200</v>
      </c>
      <c r="D2429" s="170" t="n"/>
      <c r="E2429" s="170" t="n"/>
      <c r="F2429" s="170" t="n"/>
      <c r="G2429" s="170" t="n"/>
      <c r="H2429" s="170" t="n"/>
      <c r="I2429" s="170" t="n"/>
      <c r="J2429" s="170" t="n"/>
      <c r="K2429" s="170" t="n"/>
      <c r="L2429" s="170" t="n"/>
      <c r="M2429" s="170" t="n"/>
      <c r="N2429" s="96" t="n"/>
      <c r="O2429" s="117">
        <f>C2429*P2429</f>
        <v/>
      </c>
      <c r="P2429" s="150" t="n">
        <v>1.1</v>
      </c>
      <c r="Q2429" s="30" t="n"/>
      <c r="R2429" s="170" t="n"/>
      <c r="S2429" s="30" t="n"/>
      <c r="T2429" s="170" t="n"/>
      <c r="U2429" s="30" t="n"/>
      <c r="V2429" s="30" t="n"/>
      <c r="W2429" s="30" t="n"/>
      <c r="X2429" s="30" t="n"/>
      <c r="Y2429" s="30" t="n"/>
      <c r="Z2429" s="30" t="n"/>
      <c r="AA2429" s="30" t="n"/>
      <c r="AB2429" s="30" t="n"/>
      <c r="AC2429" s="30" t="n"/>
      <c r="AD2429" s="30" t="n"/>
      <c r="AE2429" s="30" t="n"/>
      <c r="AF2429" s="30" t="n"/>
      <c r="AG2429" s="30" t="n"/>
      <c r="AH2429" s="30" t="n"/>
      <c r="AI2429" s="30" t="n"/>
      <c r="AJ2429" s="30" t="n"/>
      <c r="AK2429" s="30" t="n"/>
      <c r="AL2429" s="30" t="n"/>
      <c r="AM2429" s="30" t="n"/>
      <c r="AN2429" s="30" t="n"/>
    </row>
    <row r="2430" ht="16.5" customHeight="1" s="253">
      <c r="A2430" s="89" t="inlineStr">
        <is>
          <t>18662XXX</t>
        </is>
      </c>
      <c r="B2430" s="135" t="inlineStr">
        <is>
          <t>TAVERNITI  REM M/C</t>
        </is>
      </c>
      <c r="C2430" s="88" t="n">
        <v>58200</v>
      </c>
      <c r="D2430" s="170" t="n"/>
      <c r="E2430" s="170" t="n"/>
      <c r="F2430" s="170" t="n"/>
      <c r="G2430" s="170" t="n"/>
      <c r="H2430" s="170" t="n"/>
      <c r="I2430" s="170" t="n"/>
      <c r="J2430" s="170" t="n"/>
      <c r="K2430" s="170" t="n"/>
      <c r="L2430" s="170" t="n"/>
      <c r="M2430" s="170" t="n"/>
      <c r="N2430" s="96" t="n"/>
      <c r="O2430" s="117">
        <f>C2430*P2430</f>
        <v/>
      </c>
      <c r="P2430" s="150" t="n">
        <v>1.1</v>
      </c>
      <c r="Q2430" s="30" t="n"/>
      <c r="R2430" s="170" t="n"/>
      <c r="S2430" s="30" t="n"/>
      <c r="T2430" s="170" t="n"/>
      <c r="U2430" s="30" t="n"/>
      <c r="V2430" s="30" t="n"/>
      <c r="W2430" s="30" t="n"/>
      <c r="X2430" s="30" t="n"/>
      <c r="Y2430" s="30" t="n"/>
      <c r="Z2430" s="30" t="n"/>
      <c r="AA2430" s="30" t="n"/>
      <c r="AB2430" s="30" t="n"/>
      <c r="AC2430" s="30" t="n"/>
      <c r="AD2430" s="30" t="n"/>
      <c r="AE2430" s="30" t="n"/>
      <c r="AF2430" s="30" t="n"/>
      <c r="AG2430" s="30" t="n"/>
      <c r="AH2430" s="30" t="n"/>
      <c r="AI2430" s="30" t="n"/>
      <c r="AJ2430" s="30" t="n"/>
      <c r="AK2430" s="30" t="n"/>
      <c r="AL2430" s="30" t="n"/>
      <c r="AM2430" s="30" t="n"/>
      <c r="AN2430" s="30" t="n"/>
    </row>
    <row r="2431" ht="16.5" customHeight="1" s="253">
      <c r="A2431" s="89" t="inlineStr">
        <is>
          <t>18914XXX</t>
        </is>
      </c>
      <c r="B2431" s="135" t="inlineStr">
        <is>
          <t>TAVERNITI  REM M/C</t>
        </is>
      </c>
      <c r="C2431" s="88" t="n">
        <v>55200</v>
      </c>
      <c r="D2431" s="170" t="n"/>
      <c r="E2431" s="170" t="n"/>
      <c r="F2431" s="170" t="n"/>
      <c r="G2431" s="170" t="n"/>
      <c r="H2431" s="170" t="n"/>
      <c r="I2431" s="170" t="n"/>
      <c r="J2431" s="170" t="n"/>
      <c r="K2431" s="170" t="n"/>
      <c r="L2431" s="170" t="n"/>
      <c r="M2431" s="170" t="n"/>
      <c r="N2431" s="96" t="n"/>
      <c r="O2431" s="117">
        <f>C2431*P2431</f>
        <v/>
      </c>
      <c r="P2431" s="150" t="n">
        <v>1.1</v>
      </c>
      <c r="Q2431" s="30" t="n"/>
      <c r="R2431" s="170" t="n"/>
      <c r="S2431" s="30" t="n"/>
      <c r="T2431" s="170" t="n"/>
      <c r="U2431" s="30" t="n"/>
      <c r="V2431" s="30" t="n"/>
      <c r="W2431" s="30" t="n"/>
      <c r="X2431" s="30" t="n"/>
      <c r="Y2431" s="30" t="n"/>
      <c r="Z2431" s="30" t="n"/>
      <c r="AA2431" s="30" t="n"/>
      <c r="AB2431" s="30" t="n"/>
      <c r="AC2431" s="30" t="n"/>
      <c r="AD2431" s="30" t="n"/>
      <c r="AE2431" s="30" t="n"/>
      <c r="AF2431" s="30" t="n"/>
      <c r="AG2431" s="30" t="n"/>
      <c r="AH2431" s="30" t="n"/>
      <c r="AI2431" s="30" t="n"/>
      <c r="AJ2431" s="30" t="n"/>
      <c r="AK2431" s="30" t="n"/>
      <c r="AL2431" s="30" t="n"/>
      <c r="AM2431" s="30" t="n"/>
      <c r="AN2431" s="30" t="n"/>
    </row>
    <row r="2432" ht="16.5" customHeight="1" s="253">
      <c r="A2432" s="89" t="inlineStr">
        <is>
          <t>18958XXX</t>
        </is>
      </c>
      <c r="B2432" s="135" t="inlineStr">
        <is>
          <t>TAVERNITI  REM M/C</t>
        </is>
      </c>
      <c r="C2432" s="88" t="n">
        <v>47500</v>
      </c>
      <c r="D2432" s="170" t="n"/>
      <c r="E2432" s="170" t="n"/>
      <c r="F2432" s="170" t="n"/>
      <c r="G2432" s="170" t="n"/>
      <c r="H2432" s="170" t="n"/>
      <c r="I2432" s="170" t="n"/>
      <c r="J2432" s="170" t="n"/>
      <c r="K2432" s="170" t="n"/>
      <c r="L2432" s="170" t="n"/>
      <c r="M2432" s="170" t="n"/>
      <c r="N2432" s="30" t="n"/>
      <c r="O2432" s="150">
        <f>C2432*P2432</f>
        <v/>
      </c>
      <c r="P2432" s="150" t="n">
        <v>1.1</v>
      </c>
      <c r="Q2432" s="30" t="n"/>
      <c r="R2432" s="170" t="n"/>
      <c r="S2432" s="30" t="n"/>
      <c r="T2432" s="170" t="n"/>
      <c r="U2432" s="30" t="n"/>
      <c r="V2432" s="30" t="n"/>
      <c r="W2432" s="30" t="n"/>
      <c r="X2432" s="30" t="n"/>
      <c r="Y2432" s="30" t="n"/>
      <c r="Z2432" s="30" t="n"/>
      <c r="AA2432" s="30" t="n"/>
      <c r="AB2432" s="30" t="n"/>
      <c r="AC2432" s="30" t="n"/>
      <c r="AD2432" s="30" t="n"/>
      <c r="AE2432" s="30" t="n"/>
      <c r="AF2432" s="30" t="n"/>
      <c r="AG2432" s="30" t="n"/>
      <c r="AH2432" s="30" t="n"/>
      <c r="AI2432" s="30" t="n"/>
      <c r="AJ2432" s="30" t="n"/>
      <c r="AK2432" s="30" t="n"/>
      <c r="AL2432" s="30" t="n"/>
      <c r="AM2432" s="30" t="n"/>
      <c r="AN2432" s="30" t="n"/>
      <c r="AO2432" s="30" t="n"/>
    </row>
    <row r="2433" ht="16.5" customHeight="1" s="253">
      <c r="A2433" s="89" t="inlineStr">
        <is>
          <t>18962XXX</t>
        </is>
      </c>
      <c r="B2433" s="135" t="inlineStr">
        <is>
          <t>TAVERNITI  REM M/C</t>
        </is>
      </c>
      <c r="C2433" s="88" t="n">
        <v>55200</v>
      </c>
      <c r="D2433" s="170" t="n"/>
      <c r="E2433" s="170" t="n"/>
      <c r="F2433" s="170" t="n"/>
      <c r="G2433" s="170" t="n"/>
      <c r="H2433" s="170" t="n"/>
      <c r="I2433" s="170" t="n"/>
      <c r="J2433" s="170" t="n"/>
      <c r="K2433" s="170" t="n"/>
      <c r="L2433" s="170" t="n"/>
      <c r="M2433" s="170" t="n"/>
      <c r="N2433" s="96" t="n"/>
      <c r="O2433" s="117">
        <f>C2433*P2433</f>
        <v/>
      </c>
      <c r="P2433" s="150" t="n">
        <v>1.1</v>
      </c>
      <c r="Q2433" s="30" t="n"/>
      <c r="R2433" s="170" t="n"/>
      <c r="S2433" s="30" t="n"/>
      <c r="T2433" s="170" t="n"/>
      <c r="U2433" s="30" t="n"/>
      <c r="V2433" s="30" t="n"/>
      <c r="W2433" s="30" t="n"/>
      <c r="X2433" s="30" t="n"/>
      <c r="Y2433" s="30" t="n"/>
      <c r="Z2433" s="30" t="n"/>
      <c r="AA2433" s="30" t="n"/>
      <c r="AB2433" s="30" t="n"/>
      <c r="AC2433" s="30" t="n"/>
      <c r="AD2433" s="30" t="n"/>
      <c r="AE2433" s="30" t="n"/>
      <c r="AF2433" s="30" t="n"/>
      <c r="AG2433" s="30" t="n"/>
      <c r="AH2433" s="30" t="n"/>
      <c r="AI2433" s="30" t="n"/>
      <c r="AJ2433" s="30" t="n"/>
      <c r="AK2433" s="30" t="n"/>
      <c r="AL2433" s="30" t="n"/>
      <c r="AM2433" s="30" t="n"/>
      <c r="AN2433" s="30" t="n"/>
    </row>
    <row r="2434" ht="16.5" customHeight="1" s="253">
      <c r="A2434" s="89" t="inlineStr">
        <is>
          <t>18968XXX</t>
        </is>
      </c>
      <c r="B2434" s="135" t="inlineStr">
        <is>
          <t>TAVERNITI  REM M/C</t>
        </is>
      </c>
      <c r="C2434" s="88" t="n">
        <v>55200</v>
      </c>
      <c r="D2434" s="170" t="n"/>
      <c r="E2434" s="170" t="n"/>
      <c r="F2434" s="170" t="n"/>
      <c r="G2434" s="170" t="n"/>
      <c r="H2434" s="170" t="n"/>
      <c r="I2434" s="170" t="n"/>
      <c r="J2434" s="170" t="n"/>
      <c r="K2434" s="170" t="n"/>
      <c r="L2434" s="170" t="n"/>
      <c r="M2434" s="170" t="n"/>
      <c r="N2434" s="96" t="n"/>
      <c r="O2434" s="117">
        <f>C2434*P2434</f>
        <v/>
      </c>
      <c r="P2434" s="150" t="n">
        <v>1.1</v>
      </c>
      <c r="Q2434" s="30" t="n"/>
      <c r="R2434" s="170" t="n"/>
      <c r="S2434" s="30" t="n"/>
      <c r="T2434" s="170" t="n"/>
      <c r="U2434" s="30" t="n"/>
      <c r="V2434" s="30" t="n"/>
      <c r="W2434" s="30" t="n"/>
      <c r="X2434" s="30" t="n"/>
      <c r="Y2434" s="30" t="n"/>
      <c r="Z2434" s="30" t="n"/>
      <c r="AA2434" s="30" t="n"/>
      <c r="AB2434" s="30" t="n"/>
      <c r="AC2434" s="30" t="n"/>
      <c r="AD2434" s="30" t="n"/>
      <c r="AE2434" s="30" t="n"/>
      <c r="AF2434" s="30" t="n"/>
      <c r="AG2434" s="30" t="n"/>
      <c r="AH2434" s="30" t="n"/>
      <c r="AI2434" s="30" t="n"/>
      <c r="AJ2434" s="30" t="n"/>
      <c r="AK2434" s="30" t="n"/>
      <c r="AL2434" s="30" t="n"/>
      <c r="AM2434" s="30" t="n"/>
      <c r="AN2434" s="30" t="n"/>
    </row>
    <row r="2435" ht="16.5" customHeight="1" s="253">
      <c r="A2435" s="89" t="inlineStr">
        <is>
          <t>18974XXX</t>
        </is>
      </c>
      <c r="B2435" s="135" t="inlineStr">
        <is>
          <t>TAVERNITI  REM M/C</t>
        </is>
      </c>
      <c r="C2435" s="88" t="n">
        <v>55200</v>
      </c>
      <c r="D2435" s="170" t="n"/>
      <c r="E2435" s="170" t="n"/>
      <c r="F2435" s="170" t="n"/>
      <c r="G2435" s="170" t="n"/>
      <c r="H2435" s="170" t="n"/>
      <c r="I2435" s="170" t="n"/>
      <c r="J2435" s="170" t="n"/>
      <c r="K2435" s="170" t="n"/>
      <c r="L2435" s="170" t="n"/>
      <c r="M2435" s="170" t="n"/>
      <c r="N2435" s="96" t="n"/>
      <c r="O2435" s="117">
        <f>C2435*P2435</f>
        <v/>
      </c>
      <c r="P2435" s="150" t="n">
        <v>1.1</v>
      </c>
      <c r="Q2435" s="30" t="n"/>
      <c r="R2435" s="170" t="n"/>
      <c r="S2435" s="30" t="n"/>
      <c r="T2435" s="170" t="n"/>
      <c r="U2435" s="30" t="n"/>
      <c r="V2435" s="30" t="n"/>
      <c r="W2435" s="30" t="n"/>
      <c r="X2435" s="30" t="n"/>
      <c r="Y2435" s="30" t="n"/>
      <c r="Z2435" s="30" t="n"/>
      <c r="AA2435" s="30" t="n"/>
      <c r="AB2435" s="30" t="n"/>
      <c r="AC2435" s="30" t="n"/>
      <c r="AD2435" s="30" t="n"/>
      <c r="AE2435" s="30" t="n"/>
      <c r="AF2435" s="30" t="n"/>
      <c r="AG2435" s="30" t="n"/>
      <c r="AH2435" s="30" t="n"/>
      <c r="AI2435" s="30" t="n"/>
      <c r="AJ2435" s="30" t="n"/>
      <c r="AK2435" s="30" t="n"/>
      <c r="AL2435" s="30" t="n"/>
      <c r="AM2435" s="30" t="n"/>
      <c r="AN2435" s="30" t="n"/>
    </row>
    <row r="2436" ht="16.5" customHeight="1" s="253">
      <c r="A2436" s="89" t="inlineStr">
        <is>
          <t>18976XXX</t>
        </is>
      </c>
      <c r="B2436" s="135" t="inlineStr">
        <is>
          <t>TAVERNITI  REM M/C</t>
        </is>
      </c>
      <c r="C2436" s="88" t="n">
        <v>55200</v>
      </c>
      <c r="D2436" s="170" t="n"/>
      <c r="E2436" s="170" t="n"/>
      <c r="F2436" s="170" t="n"/>
      <c r="G2436" s="170" t="n"/>
      <c r="H2436" s="170" t="n"/>
      <c r="I2436" s="170" t="n"/>
      <c r="J2436" s="170" t="n"/>
      <c r="K2436" s="170" t="n"/>
      <c r="L2436" s="170" t="n"/>
      <c r="M2436" s="170" t="n"/>
      <c r="N2436" s="96" t="n"/>
      <c r="O2436" s="117">
        <f>C2436*P2436</f>
        <v/>
      </c>
      <c r="P2436" s="150" t="n">
        <v>1.1</v>
      </c>
      <c r="Q2436" s="30" t="n"/>
      <c r="R2436" s="170" t="n"/>
      <c r="S2436" s="30" t="n"/>
      <c r="T2436" s="170" t="n"/>
      <c r="U2436" s="30" t="n"/>
      <c r="V2436" s="30" t="n"/>
      <c r="W2436" s="30" t="n"/>
      <c r="X2436" s="30" t="n"/>
      <c r="Y2436" s="30" t="n"/>
      <c r="Z2436" s="30" t="n"/>
      <c r="AA2436" s="30" t="n"/>
      <c r="AB2436" s="30" t="n"/>
      <c r="AC2436" s="30" t="n"/>
      <c r="AD2436" s="30" t="n"/>
      <c r="AE2436" s="30" t="n"/>
      <c r="AF2436" s="30" t="n"/>
      <c r="AG2436" s="30" t="n"/>
      <c r="AH2436" s="30" t="n"/>
      <c r="AI2436" s="30" t="n"/>
      <c r="AJ2436" s="30" t="n"/>
      <c r="AK2436" s="30" t="n"/>
      <c r="AL2436" s="30" t="n"/>
      <c r="AM2436" s="30" t="n"/>
      <c r="AN2436" s="30" t="n"/>
    </row>
    <row r="2437" ht="16.5" customHeight="1" s="253">
      <c r="A2437" s="89" t="inlineStr">
        <is>
          <t>19420XXX</t>
        </is>
      </c>
      <c r="B2437" s="135" t="inlineStr">
        <is>
          <t>TAVERNITI  REM M/C</t>
        </is>
      </c>
      <c r="C2437" s="88" t="n">
        <v>45700</v>
      </c>
      <c r="D2437" s="170" t="n"/>
      <c r="E2437" s="170" t="n"/>
      <c r="F2437" s="170" t="n"/>
      <c r="G2437" s="170" t="n"/>
      <c r="H2437" s="170" t="n"/>
      <c r="I2437" s="170" t="n"/>
      <c r="J2437" s="170" t="n"/>
      <c r="K2437" s="170" t="n"/>
      <c r="L2437" s="170" t="n"/>
      <c r="M2437" s="170" t="n"/>
      <c r="O2437" s="117">
        <f>C2437*P2437</f>
        <v/>
      </c>
      <c r="P2437" s="150" t="n">
        <v>1.1</v>
      </c>
      <c r="Q2437" s="30" t="n"/>
      <c r="R2437" s="170" t="n"/>
      <c r="S2437" s="30" t="n"/>
      <c r="T2437" s="170" t="n"/>
      <c r="U2437" s="30" t="n"/>
      <c r="V2437" s="30" t="n"/>
      <c r="W2437" s="30" t="n"/>
      <c r="X2437" s="30" t="n"/>
      <c r="Y2437" s="30" t="n"/>
      <c r="Z2437" s="30" t="n"/>
      <c r="AA2437" s="30" t="n"/>
      <c r="AB2437" s="30" t="n"/>
      <c r="AC2437" s="30" t="n"/>
      <c r="AD2437" s="30" t="n"/>
      <c r="AE2437" s="30" t="n"/>
      <c r="AF2437" s="30" t="n"/>
      <c r="AG2437" s="30" t="n"/>
      <c r="AH2437" s="30" t="n"/>
      <c r="AI2437" s="30" t="n"/>
      <c r="AJ2437" s="30" t="n"/>
      <c r="AK2437" s="30" t="n"/>
      <c r="AL2437" s="30" t="n"/>
      <c r="AM2437" s="30" t="n"/>
      <c r="AN2437" s="30" t="n"/>
    </row>
    <row r="2438" ht="16.5" customHeight="1" s="253">
      <c r="A2438" s="89" t="inlineStr">
        <is>
          <t>19422XXX</t>
        </is>
      </c>
      <c r="B2438" s="135" t="inlineStr">
        <is>
          <t>TAVERNITI  REM M/C</t>
        </is>
      </c>
      <c r="C2438" s="88" t="n">
        <v>45700</v>
      </c>
      <c r="D2438" s="170" t="n"/>
      <c r="E2438" s="170" t="n"/>
      <c r="F2438" s="170" t="n"/>
      <c r="G2438" s="170" t="n"/>
      <c r="H2438" s="170" t="n"/>
      <c r="I2438" s="170" t="n"/>
      <c r="J2438" s="170" t="n"/>
      <c r="K2438" s="170" t="n"/>
      <c r="L2438" s="170" t="n"/>
      <c r="M2438" s="170" t="n"/>
      <c r="O2438" s="117">
        <f>C2438*P2438</f>
        <v/>
      </c>
      <c r="P2438" s="150" t="n">
        <v>1.1</v>
      </c>
      <c r="Q2438" s="30" t="n"/>
      <c r="R2438" s="170" t="n"/>
      <c r="S2438" s="30" t="n"/>
      <c r="T2438" s="170" t="n"/>
      <c r="U2438" s="30" t="n"/>
      <c r="V2438" s="30" t="n"/>
      <c r="W2438" s="30" t="n"/>
      <c r="X2438" s="30" t="n"/>
      <c r="Y2438" s="30" t="n"/>
      <c r="Z2438" s="30" t="n"/>
      <c r="AA2438" s="30" t="n"/>
      <c r="AB2438" s="30" t="n"/>
      <c r="AC2438" s="30" t="n"/>
      <c r="AD2438" s="30" t="n"/>
      <c r="AE2438" s="30" t="n"/>
      <c r="AF2438" s="30" t="n"/>
      <c r="AG2438" s="30" t="n"/>
      <c r="AH2438" s="30" t="n"/>
      <c r="AI2438" s="30" t="n"/>
      <c r="AJ2438" s="30" t="n"/>
      <c r="AK2438" s="30" t="n"/>
      <c r="AL2438" s="30" t="n"/>
      <c r="AM2438" s="30" t="n"/>
      <c r="AN2438" s="30" t="n"/>
    </row>
    <row r="2439" ht="16.5" customHeight="1" s="253">
      <c r="A2439" s="89" t="inlineStr">
        <is>
          <t>19430XXX</t>
        </is>
      </c>
      <c r="B2439" s="135" t="inlineStr">
        <is>
          <t>TAVERNITI  REM M/C</t>
        </is>
      </c>
      <c r="C2439" s="88" t="n">
        <v>45700</v>
      </c>
      <c r="D2439" s="170" t="n"/>
      <c r="E2439" s="170" t="n"/>
      <c r="F2439" s="170" t="n"/>
      <c r="G2439" s="170" t="n"/>
      <c r="H2439" s="170" t="n"/>
      <c r="I2439" s="170" t="n"/>
      <c r="J2439" s="170" t="n"/>
      <c r="K2439" s="170" t="n"/>
      <c r="L2439" s="170" t="n"/>
      <c r="M2439" s="170" t="n"/>
      <c r="O2439" s="117">
        <f>C2439*P2439</f>
        <v/>
      </c>
      <c r="P2439" s="150" t="n">
        <v>1.1</v>
      </c>
      <c r="Q2439" s="30" t="n"/>
      <c r="R2439" s="170" t="n"/>
      <c r="S2439" s="30" t="n"/>
      <c r="T2439" s="170" t="n"/>
      <c r="U2439" s="30" t="n"/>
      <c r="V2439" s="30" t="n"/>
      <c r="W2439" s="30" t="n"/>
      <c r="X2439" s="30" t="n"/>
      <c r="Y2439" s="30" t="n"/>
      <c r="Z2439" s="30" t="n"/>
      <c r="AA2439" s="30" t="n"/>
      <c r="AB2439" s="30" t="n"/>
      <c r="AC2439" s="30" t="n"/>
      <c r="AD2439" s="30" t="n"/>
      <c r="AE2439" s="30" t="n"/>
      <c r="AF2439" s="30" t="n"/>
      <c r="AG2439" s="30" t="n"/>
      <c r="AH2439" s="30" t="n"/>
      <c r="AI2439" s="30" t="n"/>
      <c r="AJ2439" s="30" t="n"/>
      <c r="AK2439" s="30" t="n"/>
      <c r="AL2439" s="30" t="n"/>
      <c r="AM2439" s="30" t="n"/>
      <c r="AN2439" s="30" t="n"/>
    </row>
    <row r="2440" ht="16.5" customHeight="1" s="253">
      <c r="A2440" s="134" t="inlineStr">
        <is>
          <t>19588XXX</t>
        </is>
      </c>
      <c r="B2440" s="246" t="inlineStr">
        <is>
          <t>TAVERNITI  REM M/C</t>
        </is>
      </c>
      <c r="C2440" s="88" t="n">
        <v>43100</v>
      </c>
      <c r="D2440" s="22" t="n"/>
      <c r="E2440" s="22" t="n"/>
      <c r="F2440" s="22" t="n"/>
      <c r="G2440" s="219" t="n"/>
      <c r="H2440" s="219" t="n"/>
      <c r="I2440" s="219" t="n"/>
      <c r="J2440" s="219" t="n"/>
      <c r="K2440" s="219" t="n"/>
      <c r="L2440" s="219" t="n"/>
      <c r="M2440" s="219" t="n"/>
      <c r="O2440" s="117">
        <f>C2440*P2440</f>
        <v/>
      </c>
      <c r="P2440" s="150" t="n">
        <v>1.1</v>
      </c>
      <c r="R2440" s="117" t="n"/>
      <c r="T2440" s="117" t="n"/>
    </row>
    <row r="2441" ht="16.5" customHeight="1" s="253">
      <c r="A2441" s="134" t="inlineStr">
        <is>
          <t>19592XXX</t>
        </is>
      </c>
      <c r="B2441" s="246" t="inlineStr">
        <is>
          <t>TAVERNITI  REM M/C</t>
        </is>
      </c>
      <c r="C2441" s="88" t="n">
        <v>43100</v>
      </c>
      <c r="D2441" s="22" t="n"/>
      <c r="E2441" s="22" t="n"/>
      <c r="F2441" s="22" t="n"/>
      <c r="G2441" s="219" t="n"/>
      <c r="H2441" s="219" t="n"/>
      <c r="I2441" s="219" t="n"/>
      <c r="J2441" s="219" t="n"/>
      <c r="K2441" s="219" t="n"/>
      <c r="L2441" s="219" t="n"/>
      <c r="M2441" s="219" t="n"/>
      <c r="O2441" s="117">
        <f>C2441*P2441</f>
        <v/>
      </c>
      <c r="P2441" s="150" t="n">
        <v>1.1</v>
      </c>
      <c r="R2441" s="117" t="n"/>
      <c r="T2441" s="117" t="n"/>
    </row>
    <row r="2442" ht="16.5" customHeight="1" s="253">
      <c r="A2442" s="134" t="inlineStr">
        <is>
          <t>19594XXX</t>
        </is>
      </c>
      <c r="B2442" s="246" t="inlineStr">
        <is>
          <t>TAVERNITI  REM M/C</t>
        </is>
      </c>
      <c r="C2442" s="88" t="n">
        <v>43100</v>
      </c>
      <c r="D2442" s="22" t="n"/>
      <c r="E2442" s="22" t="n"/>
      <c r="F2442" s="22" t="n"/>
      <c r="G2442" s="219" t="n"/>
      <c r="H2442" s="219" t="n"/>
      <c r="I2442" s="219" t="n"/>
      <c r="J2442" s="219" t="n"/>
      <c r="K2442" s="219" t="n"/>
      <c r="L2442" s="219" t="n"/>
      <c r="M2442" s="219" t="n"/>
      <c r="O2442" s="117">
        <f>C2442*P2442</f>
        <v/>
      </c>
      <c r="P2442" s="150" t="n">
        <v>1.1</v>
      </c>
      <c r="R2442" s="117" t="n"/>
      <c r="T2442" s="117" t="n"/>
    </row>
    <row r="2443" ht="16.5" customHeight="1" s="253">
      <c r="A2443" s="134" t="inlineStr">
        <is>
          <t>19598XXX</t>
        </is>
      </c>
      <c r="B2443" s="246" t="inlineStr">
        <is>
          <t>TAVERNITI  REM M/C</t>
        </is>
      </c>
      <c r="C2443" s="88" t="n">
        <v>43100</v>
      </c>
      <c r="D2443" s="22" t="n"/>
      <c r="E2443" s="22" t="n"/>
      <c r="F2443" s="22" t="n"/>
      <c r="G2443" s="219" t="n"/>
      <c r="H2443" s="219" t="n"/>
      <c r="I2443" s="219" t="n"/>
      <c r="J2443" s="219" t="n"/>
      <c r="K2443" s="219" t="n"/>
      <c r="L2443" s="219" t="n"/>
      <c r="M2443" s="219" t="n"/>
      <c r="O2443" s="117">
        <f>C2443*P2443</f>
        <v/>
      </c>
      <c r="P2443" s="150" t="n">
        <v>1.1</v>
      </c>
      <c r="R2443" s="117" t="n"/>
      <c r="T2443" s="117" t="n"/>
    </row>
    <row r="2444" ht="16.5" customHeight="1" s="253">
      <c r="A2444" s="134" t="inlineStr">
        <is>
          <t>19600XXX</t>
        </is>
      </c>
      <c r="B2444" s="246" t="inlineStr">
        <is>
          <t>TAVERNITI  REM M/C</t>
        </is>
      </c>
      <c r="C2444" s="88" t="n">
        <v>43100</v>
      </c>
      <c r="D2444" s="22" t="n"/>
      <c r="E2444" s="22" t="n"/>
      <c r="F2444" s="22" t="n"/>
      <c r="G2444" s="219" t="n"/>
      <c r="H2444" s="219" t="n"/>
      <c r="I2444" s="219" t="n"/>
      <c r="J2444" s="219" t="n"/>
      <c r="K2444" s="219" t="n"/>
      <c r="L2444" s="219" t="n"/>
      <c r="M2444" s="219" t="n"/>
      <c r="O2444" s="117">
        <f>C2444*P2444</f>
        <v/>
      </c>
      <c r="P2444" s="150" t="n">
        <v>1.1</v>
      </c>
      <c r="R2444" s="117" t="n"/>
      <c r="T2444" s="117" t="n"/>
    </row>
    <row r="2445" ht="16.5" customHeight="1" s="253">
      <c r="A2445" s="134" t="inlineStr">
        <is>
          <t>19602XXX</t>
        </is>
      </c>
      <c r="B2445" s="246" t="inlineStr">
        <is>
          <t>TAVERNITI  REM M/C</t>
        </is>
      </c>
      <c r="C2445" s="88" t="n">
        <v>43100</v>
      </c>
      <c r="D2445" s="22" t="n"/>
      <c r="E2445" s="22" t="n"/>
      <c r="F2445" s="22" t="n"/>
      <c r="G2445" s="219" t="n"/>
      <c r="H2445" s="219" t="n"/>
      <c r="I2445" s="219" t="n"/>
      <c r="J2445" s="219" t="n"/>
      <c r="K2445" s="219" t="n"/>
      <c r="L2445" s="219" t="n"/>
      <c r="M2445" s="219" t="n"/>
      <c r="O2445" s="117">
        <f>C2445*P2445</f>
        <v/>
      </c>
      <c r="P2445" s="150" t="n">
        <v>1.1</v>
      </c>
      <c r="R2445" s="117" t="n"/>
      <c r="T2445" s="117" t="n"/>
    </row>
    <row r="2446" ht="16.5" customHeight="1" s="253">
      <c r="A2446" s="134" t="inlineStr">
        <is>
          <t>19612XXX</t>
        </is>
      </c>
      <c r="B2446" s="246" t="inlineStr">
        <is>
          <t>TAVERNITI  REM M/C</t>
        </is>
      </c>
      <c r="C2446" s="88" t="n">
        <v>43100</v>
      </c>
      <c r="D2446" s="22" t="n"/>
      <c r="E2446" s="22" t="n"/>
      <c r="F2446" s="22" t="n"/>
      <c r="G2446" s="219" t="n"/>
      <c r="H2446" s="219" t="n"/>
      <c r="I2446" s="219" t="n"/>
      <c r="J2446" s="219" t="n"/>
      <c r="K2446" s="219" t="n"/>
      <c r="L2446" s="219" t="n"/>
      <c r="M2446" s="219" t="n"/>
      <c r="O2446" s="117">
        <f>C2446*P2446</f>
        <v/>
      </c>
      <c r="P2446" s="150" t="n">
        <v>1.1</v>
      </c>
      <c r="R2446" s="117" t="n"/>
      <c r="T2446" s="117" t="n"/>
    </row>
    <row r="2447" ht="16.5" customHeight="1" s="253">
      <c r="A2447" s="134" t="inlineStr">
        <is>
          <t>19614XXX</t>
        </is>
      </c>
      <c r="B2447" s="246" t="inlineStr">
        <is>
          <t>TAVERNITI  REM M/C</t>
        </is>
      </c>
      <c r="C2447" s="88" t="n">
        <v>43100</v>
      </c>
      <c r="D2447" s="22" t="n"/>
      <c r="E2447" s="22" t="n"/>
      <c r="F2447" s="22" t="n"/>
      <c r="G2447" s="219" t="n"/>
      <c r="H2447" s="219" t="n"/>
      <c r="I2447" s="219" t="n"/>
      <c r="J2447" s="219" t="n"/>
      <c r="K2447" s="219" t="n"/>
      <c r="L2447" s="219" t="n"/>
      <c r="M2447" s="219" t="n"/>
      <c r="O2447" s="117">
        <f>C2447*P2447</f>
        <v/>
      </c>
      <c r="P2447" s="150" t="n">
        <v>1.1</v>
      </c>
      <c r="R2447" s="117" t="n"/>
      <c r="T2447" s="117" t="n"/>
    </row>
    <row r="2448" ht="16.5" customHeight="1" s="253">
      <c r="A2448" s="134" t="inlineStr">
        <is>
          <t>19616XXX</t>
        </is>
      </c>
      <c r="B2448" s="246" t="inlineStr">
        <is>
          <t>TAVERNITI  REM M/C</t>
        </is>
      </c>
      <c r="C2448" s="88" t="n">
        <v>43100</v>
      </c>
      <c r="D2448" s="22" t="n"/>
      <c r="E2448" s="22" t="n"/>
      <c r="F2448" s="22" t="n"/>
      <c r="G2448" s="219" t="n"/>
      <c r="H2448" s="219" t="n"/>
      <c r="I2448" s="219" t="n"/>
      <c r="J2448" s="219" t="n"/>
      <c r="K2448" s="219" t="n"/>
      <c r="L2448" s="219" t="n"/>
      <c r="M2448" s="219" t="n"/>
      <c r="O2448" s="117">
        <f>C2448*P2448</f>
        <v/>
      </c>
      <c r="P2448" s="150" t="n">
        <v>1.1</v>
      </c>
      <c r="R2448" s="117" t="n"/>
      <c r="T2448" s="117" t="n"/>
    </row>
    <row r="2449" ht="16.5" customHeight="1" s="253">
      <c r="A2449" s="134" t="inlineStr">
        <is>
          <t>19618XXX</t>
        </is>
      </c>
      <c r="B2449" s="246" t="inlineStr">
        <is>
          <t>TAVERNITI  REM M/C</t>
        </is>
      </c>
      <c r="C2449" s="88" t="n">
        <v>43100</v>
      </c>
      <c r="D2449" s="22" t="n"/>
      <c r="E2449" s="22" t="n"/>
      <c r="F2449" s="22" t="n"/>
      <c r="G2449" s="219" t="n"/>
      <c r="H2449" s="219" t="n"/>
      <c r="I2449" s="219" t="n"/>
      <c r="J2449" s="219" t="n"/>
      <c r="K2449" s="219" t="n"/>
      <c r="L2449" s="219" t="n"/>
      <c r="M2449" s="219" t="n"/>
      <c r="O2449" s="117">
        <f>C2449*P2449</f>
        <v/>
      </c>
      <c r="P2449" s="150" t="n">
        <v>1.1</v>
      </c>
      <c r="R2449" s="117" t="n"/>
      <c r="T2449" s="117" t="n"/>
    </row>
    <row r="2450" ht="16.5" customHeight="1" s="253">
      <c r="A2450" s="134" t="inlineStr">
        <is>
          <t>19620XXX</t>
        </is>
      </c>
      <c r="B2450" s="246" t="inlineStr">
        <is>
          <t>TAVERNITI  REM M/C</t>
        </is>
      </c>
      <c r="C2450" s="88" t="n">
        <v>43100</v>
      </c>
      <c r="D2450" s="22" t="n"/>
      <c r="E2450" s="22" t="n"/>
      <c r="F2450" s="22" t="n"/>
      <c r="G2450" s="219" t="n"/>
      <c r="H2450" s="219" t="n"/>
      <c r="I2450" s="219" t="n"/>
      <c r="J2450" s="219" t="n"/>
      <c r="K2450" s="219" t="n"/>
      <c r="L2450" s="219" t="n"/>
      <c r="M2450" s="219" t="n"/>
      <c r="O2450" s="117">
        <f>C2450*P2450</f>
        <v/>
      </c>
      <c r="P2450" s="150" t="n">
        <v>1.1</v>
      </c>
      <c r="R2450" s="117" t="n"/>
      <c r="T2450" s="117" t="n"/>
    </row>
    <row r="2451" ht="16.5" customHeight="1" s="253">
      <c r="A2451" s="134" t="inlineStr">
        <is>
          <t>19626XXX</t>
        </is>
      </c>
      <c r="B2451" s="246" t="inlineStr">
        <is>
          <t>TAVERNITI  REM M/C</t>
        </is>
      </c>
      <c r="C2451" s="88" t="n">
        <v>43100</v>
      </c>
      <c r="D2451" s="22" t="n"/>
      <c r="E2451" s="22" t="n"/>
      <c r="F2451" s="22" t="n"/>
      <c r="G2451" s="219" t="n"/>
      <c r="H2451" s="219" t="n"/>
      <c r="I2451" s="219" t="n"/>
      <c r="J2451" s="219" t="n"/>
      <c r="K2451" s="219" t="n"/>
      <c r="L2451" s="219" t="n"/>
      <c r="M2451" s="219" t="n"/>
      <c r="O2451" s="117">
        <f>C2451*P2451</f>
        <v/>
      </c>
      <c r="P2451" s="150" t="n">
        <v>1.1</v>
      </c>
      <c r="R2451" s="117" t="n"/>
      <c r="T2451" s="117" t="n"/>
    </row>
    <row r="2452" ht="16.5" customHeight="1" s="253">
      <c r="A2452" s="134" t="inlineStr">
        <is>
          <t>19630XXX</t>
        </is>
      </c>
      <c r="B2452" s="246" t="inlineStr">
        <is>
          <t>TAVERNITI  REM M/C</t>
        </is>
      </c>
      <c r="C2452" s="88" t="n">
        <v>43100</v>
      </c>
      <c r="D2452" s="22" t="n"/>
      <c r="E2452" s="22" t="n"/>
      <c r="F2452" s="22" t="n"/>
      <c r="G2452" s="219" t="n"/>
      <c r="H2452" s="219" t="n"/>
      <c r="I2452" s="219" t="n"/>
      <c r="J2452" s="219" t="n"/>
      <c r="K2452" s="219" t="n"/>
      <c r="L2452" s="219" t="n"/>
      <c r="M2452" s="219" t="n"/>
      <c r="O2452" s="117">
        <f>C2452*P2452</f>
        <v/>
      </c>
      <c r="P2452" s="150" t="n">
        <v>1.1</v>
      </c>
      <c r="R2452" s="117" t="n"/>
      <c r="T2452" s="117" t="n"/>
    </row>
    <row r="2453" ht="16.5" customHeight="1" s="253">
      <c r="A2453" s="134" t="inlineStr">
        <is>
          <t>19632XXX</t>
        </is>
      </c>
      <c r="B2453" s="246" t="inlineStr">
        <is>
          <t>TAVERNITI  REM M/C</t>
        </is>
      </c>
      <c r="C2453" s="88" t="n">
        <v>43100</v>
      </c>
      <c r="D2453" s="22" t="n"/>
      <c r="E2453" s="22" t="n"/>
      <c r="F2453" s="22" t="n"/>
      <c r="G2453" s="219" t="n"/>
      <c r="H2453" s="219" t="n"/>
      <c r="I2453" s="219" t="n"/>
      <c r="J2453" s="219" t="n"/>
      <c r="K2453" s="219" t="n"/>
      <c r="L2453" s="219" t="n"/>
      <c r="M2453" s="219" t="n"/>
      <c r="O2453" s="117">
        <f>C2453*P2453</f>
        <v/>
      </c>
      <c r="P2453" s="150" t="n">
        <v>1.1</v>
      </c>
      <c r="R2453" s="117" t="n"/>
      <c r="T2453" s="117" t="n"/>
    </row>
    <row r="2454" ht="16.5" customHeight="1" s="253">
      <c r="A2454" s="134" t="inlineStr">
        <is>
          <t>19636XXX</t>
        </is>
      </c>
      <c r="B2454" s="246" t="inlineStr">
        <is>
          <t>TAVERNITI  REM M/C</t>
        </is>
      </c>
      <c r="C2454" s="88" t="n">
        <v>63100</v>
      </c>
      <c r="D2454" s="22" t="n"/>
      <c r="E2454" s="22" t="n"/>
      <c r="F2454" s="22" t="n"/>
      <c r="G2454" s="219" t="n"/>
      <c r="H2454" s="219" t="n"/>
      <c r="I2454" s="219" t="n"/>
      <c r="J2454" s="219" t="n"/>
      <c r="K2454" s="219" t="n"/>
      <c r="L2454" s="219" t="n"/>
      <c r="M2454" s="219" t="n"/>
      <c r="O2454" s="117">
        <f>C2454*P2454</f>
        <v/>
      </c>
      <c r="P2454" s="150" t="n">
        <v>1.1</v>
      </c>
      <c r="R2454" s="117" t="n"/>
      <c r="T2454" s="117" t="n"/>
    </row>
    <row r="2455" ht="16.5" customHeight="1" s="253">
      <c r="A2455" s="134" t="inlineStr">
        <is>
          <t>19638XXX</t>
        </is>
      </c>
      <c r="B2455" s="246" t="inlineStr">
        <is>
          <t>TAVERNITI  REM M/C RAYADA</t>
        </is>
      </c>
      <c r="C2455" s="88" t="n">
        <v>63100</v>
      </c>
      <c r="D2455" s="22" t="n"/>
      <c r="E2455" s="22" t="n"/>
      <c r="F2455" s="22" t="n"/>
      <c r="G2455" s="219" t="n"/>
      <c r="H2455" s="219" t="n"/>
      <c r="I2455" s="219" t="n"/>
      <c r="J2455" s="219" t="n"/>
      <c r="K2455" s="219" t="n"/>
      <c r="L2455" s="219" t="n"/>
      <c r="M2455" s="219" t="n"/>
      <c r="O2455" s="117">
        <f>C2455*P2455</f>
        <v/>
      </c>
      <c r="P2455" s="150" t="n">
        <v>1.1</v>
      </c>
      <c r="R2455" s="117" t="n"/>
      <c r="T2455" s="117" t="n"/>
    </row>
    <row r="2456" ht="16.5" customHeight="1" s="253">
      <c r="A2456" s="134" t="inlineStr">
        <is>
          <t>19686XXX</t>
        </is>
      </c>
      <c r="B2456" s="246" t="inlineStr">
        <is>
          <t>TAVERNITI  REM M/C</t>
        </is>
      </c>
      <c r="C2456" s="88" t="n">
        <v>34800</v>
      </c>
      <c r="D2456" s="22" t="n"/>
      <c r="E2456" s="22" t="n"/>
      <c r="F2456" s="22" t="n"/>
      <c r="G2456" s="219" t="n"/>
      <c r="H2456" s="219" t="n"/>
      <c r="I2456" s="219" t="n"/>
      <c r="J2456" s="219" t="n"/>
      <c r="K2456" s="219" t="n"/>
      <c r="L2456" s="219" t="n"/>
      <c r="M2456" s="219" t="n"/>
      <c r="O2456" s="117">
        <f>C2456*P2456</f>
        <v/>
      </c>
      <c r="P2456" s="150" t="n">
        <v>1.1</v>
      </c>
      <c r="R2456" s="117" t="n"/>
      <c r="T2456" s="117" t="n"/>
    </row>
    <row r="2457" ht="16.5" customHeight="1" s="253">
      <c r="A2457" s="134" t="inlineStr">
        <is>
          <t>19846XXX</t>
        </is>
      </c>
      <c r="B2457" s="246" t="inlineStr">
        <is>
          <t>TAVERNITI  REM M/C RAYADA</t>
        </is>
      </c>
      <c r="C2457" s="88" t="n">
        <v>47000</v>
      </c>
      <c r="D2457" s="22" t="n"/>
      <c r="E2457" s="22" t="n"/>
      <c r="F2457" s="22" t="n"/>
      <c r="G2457" s="219" t="n"/>
      <c r="H2457" s="219" t="n"/>
      <c r="I2457" s="219" t="n"/>
      <c r="J2457" s="219" t="n"/>
      <c r="K2457" s="219" t="n"/>
      <c r="L2457" s="219" t="n"/>
      <c r="M2457" s="219" t="n"/>
      <c r="O2457" s="117">
        <f>C2457*P2457</f>
        <v/>
      </c>
      <c r="P2457" s="150" t="n">
        <v>1.1</v>
      </c>
      <c r="R2457" s="117" t="n"/>
      <c r="T2457" s="117" t="n"/>
    </row>
    <row r="2458">
      <c r="A2458" s="89" t="inlineStr">
        <is>
          <t>19934XXX</t>
        </is>
      </c>
      <c r="B2458" s="246" t="inlineStr">
        <is>
          <t>TAVERNITI  REM M/C RAYADA</t>
        </is>
      </c>
      <c r="C2458" s="88" t="n">
        <v>47000</v>
      </c>
      <c r="D2458" s="170" t="n"/>
      <c r="E2458" s="170" t="n"/>
      <c r="F2458" s="170" t="n"/>
      <c r="G2458" s="170" t="n"/>
      <c r="H2458" s="170" t="n"/>
      <c r="I2458" s="170" t="n"/>
      <c r="J2458" s="170" t="n"/>
      <c r="K2458" s="170" t="n"/>
      <c r="L2458" s="170" t="n"/>
      <c r="M2458" s="170" t="n"/>
      <c r="O2458" s="117">
        <f>C2458*P2458</f>
        <v/>
      </c>
      <c r="P2458" s="150" t="n">
        <v>1.1</v>
      </c>
      <c r="Q2458" s="30" t="n"/>
      <c r="R2458" s="170" t="n"/>
      <c r="S2458" s="30" t="n"/>
      <c r="T2458" s="170" t="n"/>
      <c r="U2458" s="30" t="n"/>
      <c r="V2458" s="30" t="n"/>
      <c r="W2458" s="30" t="n"/>
      <c r="X2458" s="30" t="n"/>
      <c r="Y2458" s="30" t="n"/>
      <c r="Z2458" s="30" t="n"/>
      <c r="AA2458" s="30" t="n"/>
      <c r="AB2458" s="30" t="n"/>
      <c r="AC2458" s="30" t="n"/>
      <c r="AD2458" s="30" t="n"/>
      <c r="AE2458" s="30" t="n"/>
      <c r="AF2458" s="30" t="n"/>
      <c r="AG2458" s="30" t="n"/>
      <c r="AH2458" s="30" t="n"/>
      <c r="AI2458" s="30" t="n"/>
      <c r="AJ2458" s="30" t="n"/>
      <c r="AK2458" s="30" t="n"/>
      <c r="AL2458" s="30" t="n"/>
      <c r="AM2458" s="30" t="n"/>
      <c r="AN2458" s="30" t="n"/>
    </row>
    <row r="2459">
      <c r="A2459" s="134" t="inlineStr">
        <is>
          <t>19936XXX</t>
        </is>
      </c>
      <c r="B2459" s="246" t="inlineStr">
        <is>
          <t>TAVERNITI  REM M/C</t>
        </is>
      </c>
      <c r="C2459" s="88" t="n">
        <v>47000</v>
      </c>
      <c r="D2459" s="22" t="n"/>
      <c r="E2459" s="22" t="n"/>
      <c r="F2459" s="22" t="n"/>
      <c r="G2459" s="219" t="n"/>
      <c r="H2459" s="219" t="n"/>
      <c r="I2459" s="219" t="n"/>
      <c r="J2459" s="219" t="n"/>
      <c r="K2459" s="219" t="n"/>
      <c r="L2459" s="219" t="n"/>
      <c r="M2459" s="219" t="n"/>
      <c r="O2459" s="117">
        <f>C2459*P2459</f>
        <v/>
      </c>
      <c r="P2459" s="150" t="n">
        <v>1.1</v>
      </c>
      <c r="R2459" s="117" t="n"/>
      <c r="T2459" s="117" t="n"/>
    </row>
    <row r="2460" ht="16.5" customHeight="1" s="253">
      <c r="A2460" s="89" t="inlineStr">
        <is>
          <t>19982XXX</t>
        </is>
      </c>
      <c r="B2460" s="135" t="inlineStr">
        <is>
          <t>TAVERNITI  REM M/C</t>
        </is>
      </c>
      <c r="C2460" s="88" t="n">
        <v>38900</v>
      </c>
      <c r="D2460" s="170" t="n"/>
      <c r="E2460" s="170" t="n"/>
      <c r="F2460" s="170" t="n"/>
      <c r="G2460" s="170" t="n"/>
      <c r="H2460" s="170" t="n"/>
      <c r="I2460" s="170" t="n"/>
      <c r="J2460" s="170" t="n"/>
      <c r="K2460" s="170" t="n"/>
      <c r="L2460" s="170" t="n"/>
      <c r="M2460" s="170" t="n"/>
      <c r="O2460" s="117">
        <f>C2460*P2460</f>
        <v/>
      </c>
      <c r="P2460" s="150" t="n">
        <v>1.1</v>
      </c>
      <c r="Q2460" s="30" t="n"/>
      <c r="R2460" s="170" t="n"/>
      <c r="S2460" s="30" t="n"/>
      <c r="T2460" s="170" t="n"/>
      <c r="U2460" s="30" t="n"/>
      <c r="V2460" s="30" t="n"/>
      <c r="W2460" s="30" t="n"/>
      <c r="X2460" s="30" t="n"/>
      <c r="Y2460" s="30" t="n"/>
      <c r="Z2460" s="30" t="n"/>
      <c r="AA2460" s="30" t="n"/>
      <c r="AB2460" s="30" t="n"/>
      <c r="AC2460" s="30" t="n"/>
      <c r="AD2460" s="30" t="n"/>
      <c r="AE2460" s="30" t="n"/>
      <c r="AF2460" s="30" t="n"/>
      <c r="AG2460" s="30" t="n"/>
      <c r="AH2460" s="30" t="n"/>
      <c r="AI2460" s="30" t="n"/>
      <c r="AJ2460" s="30" t="n"/>
      <c r="AK2460" s="30" t="n"/>
      <c r="AL2460" s="30" t="n"/>
      <c r="AM2460" s="30" t="n"/>
      <c r="AN2460" s="30" t="n"/>
    </row>
    <row r="2461" ht="16.5" customHeight="1" s="253">
      <c r="A2461" s="134" t="inlineStr">
        <is>
          <t>19990XXX</t>
        </is>
      </c>
      <c r="B2461" s="246" t="inlineStr">
        <is>
          <t>TAVERNITI  REM M/C</t>
        </is>
      </c>
      <c r="C2461" s="88" t="n">
        <v>44300</v>
      </c>
      <c r="D2461" s="22" t="n"/>
      <c r="E2461" s="22" t="n"/>
      <c r="F2461" s="22" t="n"/>
      <c r="G2461" s="219" t="n"/>
      <c r="H2461" s="219" t="n"/>
      <c r="I2461" s="219" t="n"/>
      <c r="J2461" s="219" t="n"/>
      <c r="K2461" s="219" t="n"/>
      <c r="L2461" s="219" t="n"/>
      <c r="M2461" s="219" t="n"/>
      <c r="O2461" s="117">
        <f>C2461*P2461</f>
        <v/>
      </c>
      <c r="P2461" s="150" t="n">
        <v>1.1</v>
      </c>
      <c r="R2461" s="117" t="n"/>
      <c r="T2461" s="117" t="n"/>
    </row>
    <row r="2462" ht="16.5" customHeight="1" s="253">
      <c r="A2462" s="134" t="inlineStr">
        <is>
          <t>19996XXX</t>
        </is>
      </c>
      <c r="B2462" s="246" t="inlineStr">
        <is>
          <t>TAVERNITI  REM M/C</t>
        </is>
      </c>
      <c r="C2462" s="88" t="n">
        <v>44300</v>
      </c>
      <c r="D2462" s="22" t="n"/>
      <c r="E2462" s="22" t="n"/>
      <c r="F2462" s="22" t="n"/>
      <c r="G2462" s="219" t="n"/>
      <c r="H2462" s="219" t="n"/>
      <c r="I2462" s="219" t="n"/>
      <c r="J2462" s="219" t="n"/>
      <c r="K2462" s="219" t="n"/>
      <c r="L2462" s="219" t="n"/>
      <c r="M2462" s="219" t="n"/>
      <c r="O2462" s="117">
        <f>C2462*P2462</f>
        <v/>
      </c>
      <c r="P2462" s="150" t="n">
        <v>1.1</v>
      </c>
      <c r="R2462" s="117" t="n"/>
      <c r="T2462" s="117" t="n"/>
    </row>
    <row r="2463" ht="16.5" customHeight="1" s="253">
      <c r="A2463" s="89" t="inlineStr">
        <is>
          <t>20434XXX</t>
        </is>
      </c>
      <c r="B2463" s="135" t="inlineStr">
        <is>
          <t>TAVERNITI  REM M/C</t>
        </is>
      </c>
      <c r="C2463" s="88" t="n">
        <v>46800</v>
      </c>
      <c r="D2463" s="170" t="n"/>
      <c r="E2463" s="170" t="n"/>
      <c r="F2463" s="170" t="n"/>
      <c r="G2463" s="170" t="n"/>
      <c r="H2463" s="170" t="n"/>
      <c r="I2463" s="170" t="n"/>
      <c r="J2463" s="170" t="n"/>
      <c r="K2463" s="170" t="n"/>
      <c r="L2463" s="170" t="n"/>
      <c r="M2463" s="170" t="n"/>
      <c r="N2463" s="30" t="n"/>
      <c r="O2463" s="150">
        <f>C2463*P2463</f>
        <v/>
      </c>
      <c r="P2463" s="150" t="n">
        <v>1.1</v>
      </c>
      <c r="Q2463" s="30" t="n"/>
      <c r="R2463" s="170" t="n"/>
      <c r="S2463" s="30" t="n"/>
      <c r="T2463" s="170" t="n"/>
      <c r="U2463" s="30" t="n"/>
      <c r="V2463" s="30" t="n"/>
      <c r="W2463" s="30" t="n"/>
      <c r="X2463" s="30" t="n"/>
      <c r="Y2463" s="30" t="n"/>
      <c r="Z2463" s="30" t="n"/>
      <c r="AA2463" s="30" t="n"/>
      <c r="AB2463" s="30" t="n"/>
      <c r="AC2463" s="30" t="n"/>
      <c r="AD2463" s="30" t="n"/>
      <c r="AE2463" s="30" t="n"/>
      <c r="AF2463" s="30" t="n"/>
      <c r="AG2463" s="30" t="n"/>
      <c r="AH2463" s="30" t="n"/>
      <c r="AI2463" s="30" t="n"/>
      <c r="AJ2463" s="30" t="n"/>
      <c r="AK2463" s="30" t="n"/>
      <c r="AL2463" s="30" t="n"/>
      <c r="AM2463" s="30" t="n"/>
      <c r="AN2463" s="30" t="n"/>
      <c r="AO2463" s="30" t="n"/>
    </row>
    <row r="2464" ht="16.5" customHeight="1" s="253">
      <c r="A2464" s="89" t="inlineStr">
        <is>
          <t>20434XXX</t>
        </is>
      </c>
      <c r="B2464" s="135" t="inlineStr">
        <is>
          <t>TAVERNITI  REM M/C</t>
        </is>
      </c>
      <c r="C2464" s="88" t="n">
        <v>46800</v>
      </c>
      <c r="D2464" s="170" t="n"/>
      <c r="E2464" s="170" t="n"/>
      <c r="F2464" s="170" t="n"/>
      <c r="G2464" s="170" t="n"/>
      <c r="H2464" s="170" t="n"/>
      <c r="I2464" s="170" t="n"/>
      <c r="J2464" s="170" t="n"/>
      <c r="K2464" s="170" t="n"/>
      <c r="L2464" s="170" t="n"/>
      <c r="M2464" s="170" t="n"/>
      <c r="O2464" s="117">
        <f>C2464*P2464</f>
        <v/>
      </c>
      <c r="P2464" s="150" t="n">
        <v>1.1</v>
      </c>
      <c r="Q2464" s="30" t="n"/>
      <c r="R2464" s="170" t="n"/>
      <c r="S2464" s="30" t="n"/>
      <c r="T2464" s="170" t="n"/>
      <c r="U2464" s="30" t="n"/>
      <c r="V2464" s="30" t="n"/>
      <c r="W2464" s="30" t="n"/>
      <c r="X2464" s="30" t="n"/>
      <c r="Y2464" s="30" t="n"/>
      <c r="Z2464" s="30" t="n"/>
      <c r="AA2464" s="30" t="n"/>
      <c r="AB2464" s="30" t="n"/>
      <c r="AC2464" s="30" t="n"/>
      <c r="AD2464" s="30" t="n"/>
      <c r="AE2464" s="30" t="n"/>
      <c r="AF2464" s="30" t="n"/>
      <c r="AG2464" s="30" t="n"/>
      <c r="AH2464" s="30" t="n"/>
      <c r="AI2464" s="30" t="n"/>
      <c r="AJ2464" s="30" t="n"/>
      <c r="AK2464" s="30" t="n"/>
      <c r="AL2464" s="30" t="n"/>
      <c r="AM2464" s="30" t="n"/>
      <c r="AN2464" s="30" t="n"/>
    </row>
    <row r="2465" ht="16.5" customHeight="1" s="253">
      <c r="A2465" s="89" t="inlineStr">
        <is>
          <t>20436XXX</t>
        </is>
      </c>
      <c r="B2465" s="135" t="inlineStr">
        <is>
          <t>TAVERNITI  REM M/C</t>
        </is>
      </c>
      <c r="C2465" s="88" t="n">
        <v>47900</v>
      </c>
      <c r="D2465" s="170" t="n"/>
      <c r="E2465" s="170" t="n"/>
      <c r="F2465" s="170" t="n"/>
      <c r="G2465" s="170" t="n"/>
      <c r="H2465" s="170" t="n"/>
      <c r="I2465" s="170" t="n"/>
      <c r="J2465" s="170" t="n"/>
      <c r="K2465" s="170" t="n"/>
      <c r="L2465" s="170" t="n"/>
      <c r="M2465" s="170" t="n"/>
      <c r="O2465" s="117">
        <f>C2465*P2465</f>
        <v/>
      </c>
      <c r="P2465" s="150" t="n">
        <v>1.1</v>
      </c>
      <c r="Q2465" s="30" t="n"/>
      <c r="R2465" s="170" t="n"/>
      <c r="S2465" s="30" t="n"/>
      <c r="T2465" s="170" t="n"/>
      <c r="U2465" s="30" t="n"/>
      <c r="V2465" s="30" t="n"/>
      <c r="W2465" s="30" t="n"/>
      <c r="X2465" s="30" t="n"/>
      <c r="Y2465" s="30" t="n"/>
      <c r="Z2465" s="30" t="n"/>
      <c r="AA2465" s="30" t="n"/>
      <c r="AB2465" s="30" t="n"/>
      <c r="AC2465" s="30" t="n"/>
      <c r="AD2465" s="30" t="n"/>
      <c r="AE2465" s="30" t="n"/>
      <c r="AF2465" s="30" t="n"/>
      <c r="AG2465" s="30" t="n"/>
      <c r="AH2465" s="30" t="n"/>
      <c r="AI2465" s="30" t="n"/>
      <c r="AJ2465" s="30" t="n"/>
      <c r="AK2465" s="30" t="n"/>
      <c r="AL2465" s="30" t="n"/>
      <c r="AM2465" s="30" t="n"/>
      <c r="AN2465" s="30" t="n"/>
    </row>
    <row r="2466" ht="16.5" customHeight="1" s="253">
      <c r="A2466" s="89" t="inlineStr">
        <is>
          <t>20438XXX</t>
        </is>
      </c>
      <c r="B2466" s="135" t="inlineStr">
        <is>
          <t>TAVERNITI  REM M/C</t>
        </is>
      </c>
      <c r="C2466" s="88" t="n">
        <v>51600</v>
      </c>
      <c r="D2466" s="170" t="n"/>
      <c r="E2466" s="170" t="n"/>
      <c r="F2466" s="170" t="n"/>
      <c r="G2466" s="170" t="n"/>
      <c r="H2466" s="170" t="n"/>
      <c r="I2466" s="170" t="n"/>
      <c r="J2466" s="170" t="n"/>
      <c r="K2466" s="170" t="n"/>
      <c r="L2466" s="170" t="n"/>
      <c r="M2466" s="170" t="n"/>
      <c r="O2466" s="117">
        <f>C2466*P2466</f>
        <v/>
      </c>
      <c r="P2466" s="150" t="n">
        <v>1.1</v>
      </c>
      <c r="Q2466" s="30" t="n"/>
      <c r="R2466" s="170" t="n"/>
      <c r="S2466" s="30" t="n"/>
      <c r="T2466" s="170" t="n"/>
      <c r="U2466" s="30" t="n"/>
      <c r="V2466" s="30" t="n"/>
      <c r="W2466" s="30" t="n"/>
      <c r="X2466" s="30" t="n"/>
      <c r="Y2466" s="30" t="n"/>
      <c r="Z2466" s="30" t="n"/>
      <c r="AA2466" s="30" t="n"/>
      <c r="AB2466" s="30" t="n"/>
      <c r="AC2466" s="30" t="n"/>
      <c r="AD2466" s="30" t="n"/>
      <c r="AE2466" s="30" t="n"/>
      <c r="AF2466" s="30" t="n"/>
      <c r="AG2466" s="30" t="n"/>
      <c r="AH2466" s="30" t="n"/>
      <c r="AI2466" s="30" t="n"/>
      <c r="AJ2466" s="30" t="n"/>
      <c r="AK2466" s="30" t="n"/>
      <c r="AL2466" s="30" t="n"/>
      <c r="AM2466" s="30" t="n"/>
      <c r="AN2466" s="30" t="n"/>
    </row>
    <row r="2467" ht="16.5" customHeight="1" s="253">
      <c r="A2467" s="89" t="inlineStr">
        <is>
          <t>20454XXX</t>
        </is>
      </c>
      <c r="B2467" s="135" t="inlineStr">
        <is>
          <t>TAVERNITI  REM M/C</t>
        </is>
      </c>
      <c r="C2467" s="88" t="n">
        <v>43000</v>
      </c>
      <c r="D2467" s="170" t="n"/>
      <c r="E2467" s="170" t="n"/>
      <c r="F2467" s="170" t="n"/>
      <c r="G2467" s="170" t="n"/>
      <c r="H2467" s="170" t="n"/>
      <c r="I2467" s="170" t="n"/>
      <c r="J2467" s="170" t="n"/>
      <c r="K2467" s="170" t="n"/>
      <c r="L2467" s="170" t="n"/>
      <c r="M2467" s="170" t="n"/>
      <c r="N2467" s="30" t="n"/>
      <c r="O2467" s="150">
        <f>C2467*P2467</f>
        <v/>
      </c>
      <c r="P2467" s="150" t="n">
        <v>1.1</v>
      </c>
      <c r="Q2467" s="30" t="n"/>
      <c r="R2467" s="170" t="n"/>
      <c r="S2467" s="30" t="n"/>
      <c r="T2467" s="170" t="n"/>
      <c r="U2467" s="30" t="n"/>
      <c r="V2467" s="30" t="n"/>
      <c r="W2467" s="30" t="n"/>
      <c r="X2467" s="30" t="n"/>
      <c r="Y2467" s="30" t="n"/>
      <c r="Z2467" s="30" t="n"/>
      <c r="AA2467" s="30" t="n"/>
      <c r="AB2467" s="30" t="n"/>
      <c r="AC2467" s="30" t="n"/>
      <c r="AD2467" s="30" t="n"/>
      <c r="AE2467" s="30" t="n"/>
      <c r="AF2467" s="30" t="n"/>
      <c r="AG2467" s="30" t="n"/>
      <c r="AH2467" s="30" t="n"/>
      <c r="AI2467" s="30" t="n"/>
      <c r="AJ2467" s="30" t="n"/>
      <c r="AK2467" s="30" t="n"/>
      <c r="AL2467" s="30" t="n"/>
      <c r="AM2467" s="30" t="n"/>
      <c r="AN2467" s="30" t="n"/>
      <c r="AO2467" s="30" t="n"/>
    </row>
    <row r="2468" ht="16.5" customHeight="1" s="253">
      <c r="A2468" s="89" t="inlineStr">
        <is>
          <t>20458XXX</t>
        </is>
      </c>
      <c r="B2468" s="135" t="inlineStr">
        <is>
          <t>TAVERNITI  REM M/C</t>
        </is>
      </c>
      <c r="C2468" s="88" t="n">
        <v>43000</v>
      </c>
      <c r="D2468" s="170" t="n"/>
      <c r="E2468" s="170" t="n"/>
      <c r="F2468" s="170" t="n"/>
      <c r="G2468" s="170" t="n"/>
      <c r="H2468" s="170" t="n"/>
      <c r="I2468" s="170" t="n"/>
      <c r="J2468" s="170" t="n"/>
      <c r="K2468" s="170" t="n"/>
      <c r="L2468" s="170" t="n"/>
      <c r="M2468" s="170" t="n"/>
      <c r="O2468" s="117">
        <f>C2468*P2468</f>
        <v/>
      </c>
      <c r="P2468" s="150" t="n">
        <v>1.1</v>
      </c>
      <c r="Q2468" s="30" t="n"/>
      <c r="R2468" s="170" t="n"/>
      <c r="S2468" s="30" t="n"/>
      <c r="T2468" s="170" t="n"/>
      <c r="U2468" s="30" t="n"/>
      <c r="V2468" s="30" t="n"/>
      <c r="W2468" s="30" t="n"/>
      <c r="X2468" s="30" t="n"/>
      <c r="Y2468" s="30" t="n"/>
      <c r="Z2468" s="30" t="n"/>
      <c r="AA2468" s="30" t="n"/>
      <c r="AB2468" s="30" t="n"/>
      <c r="AC2468" s="30" t="n"/>
      <c r="AD2468" s="30" t="n"/>
      <c r="AE2468" s="30" t="n"/>
      <c r="AF2468" s="30" t="n"/>
      <c r="AG2468" s="30" t="n"/>
      <c r="AH2468" s="30" t="n"/>
      <c r="AI2468" s="30" t="n"/>
      <c r="AJ2468" s="30" t="n"/>
      <c r="AK2468" s="30" t="n"/>
      <c r="AL2468" s="30" t="n"/>
      <c r="AM2468" s="30" t="n"/>
      <c r="AN2468" s="30" t="n"/>
    </row>
    <row r="2469" ht="16.5" customHeight="1" s="253">
      <c r="A2469" s="89" t="inlineStr">
        <is>
          <t>20462XXX</t>
        </is>
      </c>
      <c r="B2469" s="135" t="inlineStr">
        <is>
          <t>TAVERNITI  REM M/C</t>
        </is>
      </c>
      <c r="C2469" s="88" t="n">
        <v>43000</v>
      </c>
      <c r="D2469" s="170" t="n"/>
      <c r="E2469" s="170" t="n"/>
      <c r="F2469" s="170" t="n"/>
      <c r="G2469" s="170" t="n"/>
      <c r="H2469" s="170" t="n"/>
      <c r="I2469" s="170" t="n"/>
      <c r="J2469" s="170" t="n"/>
      <c r="K2469" s="170" t="n"/>
      <c r="L2469" s="170" t="n"/>
      <c r="M2469" s="170" t="n"/>
      <c r="O2469" s="117">
        <f>C2469*P2469</f>
        <v/>
      </c>
      <c r="P2469" s="150" t="n">
        <v>1.1</v>
      </c>
      <c r="Q2469" s="30" t="n"/>
      <c r="R2469" s="170" t="n"/>
      <c r="S2469" s="30" t="n"/>
      <c r="T2469" s="170" t="n"/>
      <c r="U2469" s="30" t="n"/>
      <c r="V2469" s="30" t="n"/>
      <c r="W2469" s="30" t="n"/>
      <c r="X2469" s="30" t="n"/>
      <c r="Y2469" s="30" t="n"/>
      <c r="Z2469" s="30" t="n"/>
      <c r="AA2469" s="30" t="n"/>
      <c r="AB2469" s="30" t="n"/>
      <c r="AC2469" s="30" t="n"/>
      <c r="AD2469" s="30" t="n"/>
      <c r="AE2469" s="30" t="n"/>
      <c r="AF2469" s="30" t="n"/>
      <c r="AG2469" s="30" t="n"/>
      <c r="AH2469" s="30" t="n"/>
      <c r="AI2469" s="30" t="n"/>
      <c r="AJ2469" s="30" t="n"/>
      <c r="AK2469" s="30" t="n"/>
      <c r="AL2469" s="30" t="n"/>
      <c r="AM2469" s="30" t="n"/>
      <c r="AN2469" s="30" t="n"/>
    </row>
    <row r="2470" ht="16.5" customHeight="1" s="253">
      <c r="A2470" s="134" t="inlineStr">
        <is>
          <t>20466XXX</t>
        </is>
      </c>
      <c r="B2470" s="246" t="inlineStr">
        <is>
          <t>TAVERNITI  REM M/C</t>
        </is>
      </c>
      <c r="C2470" s="88" t="n">
        <v>55200</v>
      </c>
      <c r="D2470" s="22" t="n"/>
      <c r="E2470" s="22" t="n"/>
      <c r="F2470" s="22" t="n"/>
      <c r="G2470" s="219" t="n"/>
      <c r="H2470" s="219" t="n"/>
      <c r="I2470" s="219" t="n"/>
      <c r="J2470" s="219" t="n"/>
      <c r="K2470" s="219" t="n"/>
      <c r="L2470" s="219" t="n"/>
      <c r="M2470" s="219" t="n"/>
      <c r="O2470" s="117">
        <f>C2470*P2470</f>
        <v/>
      </c>
      <c r="P2470" s="150" t="n">
        <v>1.1</v>
      </c>
      <c r="R2470" s="117" t="n"/>
      <c r="T2470" s="117" t="n"/>
    </row>
    <row r="2471" ht="16.5" customHeight="1" s="253">
      <c r="A2471" s="134" t="inlineStr">
        <is>
          <t>20494XXX</t>
        </is>
      </c>
      <c r="B2471" s="246" t="inlineStr">
        <is>
          <t>TAVERNITI  REM M/C</t>
        </is>
      </c>
      <c r="C2471" s="88" t="n">
        <v>55200</v>
      </c>
      <c r="D2471" s="22" t="n"/>
      <c r="E2471" s="22" t="n"/>
      <c r="F2471" s="22" t="n"/>
      <c r="G2471" s="219" t="n"/>
      <c r="H2471" s="219" t="n"/>
      <c r="I2471" s="219" t="n"/>
      <c r="J2471" s="219" t="n"/>
      <c r="K2471" s="219" t="n"/>
      <c r="L2471" s="219" t="n"/>
      <c r="M2471" s="219" t="n"/>
      <c r="O2471" s="117">
        <f>C2471*P2471</f>
        <v/>
      </c>
      <c r="P2471" s="150" t="n">
        <v>1.1</v>
      </c>
      <c r="R2471" s="117" t="n"/>
      <c r="T2471" s="117" t="n"/>
    </row>
    <row r="2472" ht="16.5" customHeight="1" s="253">
      <c r="A2472" s="89" t="inlineStr">
        <is>
          <t>20504XXX</t>
        </is>
      </c>
      <c r="B2472" s="135" t="inlineStr">
        <is>
          <t>TAVERNITI  REM M/C</t>
        </is>
      </c>
      <c r="C2472" s="88" t="n">
        <v>42400</v>
      </c>
      <c r="D2472" s="170" t="n"/>
      <c r="E2472" s="170" t="n"/>
      <c r="F2472" s="170" t="n"/>
      <c r="G2472" s="170" t="n"/>
      <c r="H2472" s="170" t="n"/>
      <c r="I2472" s="170" t="n"/>
      <c r="J2472" s="170" t="n"/>
      <c r="K2472" s="170" t="n"/>
      <c r="L2472" s="170" t="n"/>
      <c r="M2472" s="170" t="n"/>
      <c r="N2472" s="30" t="n"/>
      <c r="O2472" s="150">
        <f>C2472*P2472</f>
        <v/>
      </c>
      <c r="P2472" s="150" t="n">
        <v>1.1</v>
      </c>
      <c r="Q2472" s="30" t="n"/>
      <c r="R2472" s="170" t="n"/>
      <c r="S2472" s="30" t="n"/>
      <c r="T2472" s="170" t="n"/>
      <c r="U2472" s="30" t="n"/>
      <c r="V2472" s="30" t="n"/>
      <c r="W2472" s="30" t="n"/>
      <c r="X2472" s="30" t="n"/>
      <c r="Y2472" s="30" t="n"/>
      <c r="Z2472" s="30" t="n"/>
      <c r="AA2472" s="30" t="n"/>
      <c r="AB2472" s="30" t="n"/>
      <c r="AC2472" s="30" t="n"/>
      <c r="AD2472" s="30" t="n"/>
      <c r="AE2472" s="30" t="n"/>
      <c r="AF2472" s="30" t="n"/>
      <c r="AG2472" s="30" t="n"/>
      <c r="AH2472" s="30" t="n"/>
      <c r="AI2472" s="30" t="n"/>
      <c r="AJ2472" s="30" t="n"/>
      <c r="AK2472" s="30" t="n"/>
      <c r="AL2472" s="30" t="n"/>
      <c r="AM2472" s="30" t="n"/>
      <c r="AN2472" s="30" t="n"/>
      <c r="AO2472" s="30" t="n"/>
    </row>
    <row r="2473" ht="16.5" customHeight="1" s="253">
      <c r="A2473" s="89" t="inlineStr">
        <is>
          <t>20512XXX</t>
        </is>
      </c>
      <c r="B2473" s="135" t="inlineStr">
        <is>
          <t>TAVERNITI  REM M/C</t>
        </is>
      </c>
      <c r="C2473" s="88" t="n">
        <v>54600</v>
      </c>
      <c r="D2473" s="170" t="n"/>
      <c r="E2473" s="170" t="n"/>
      <c r="F2473" s="170" t="n"/>
      <c r="G2473" s="170" t="n"/>
      <c r="H2473" s="170" t="n"/>
      <c r="I2473" s="170" t="n"/>
      <c r="J2473" s="170" t="n"/>
      <c r="K2473" s="170" t="n"/>
      <c r="L2473" s="170" t="n"/>
      <c r="M2473" s="170" t="n"/>
      <c r="N2473" s="30" t="n"/>
      <c r="O2473" s="150">
        <f>C2473*P2473</f>
        <v/>
      </c>
      <c r="P2473" s="150" t="n">
        <v>1.1</v>
      </c>
      <c r="Q2473" s="30" t="n"/>
      <c r="R2473" s="170" t="n"/>
      <c r="S2473" s="30" t="n"/>
      <c r="T2473" s="170" t="n"/>
      <c r="U2473" s="30" t="n"/>
      <c r="V2473" s="30" t="n"/>
      <c r="W2473" s="30" t="n"/>
      <c r="X2473" s="30" t="n"/>
      <c r="Y2473" s="30" t="n"/>
      <c r="Z2473" s="30" t="n"/>
      <c r="AA2473" s="30" t="n"/>
      <c r="AB2473" s="30" t="n"/>
      <c r="AC2473" s="30" t="n"/>
      <c r="AD2473" s="30" t="n"/>
      <c r="AE2473" s="30" t="n"/>
      <c r="AF2473" s="30" t="n"/>
      <c r="AG2473" s="30" t="n"/>
      <c r="AH2473" s="30" t="n"/>
      <c r="AI2473" s="30" t="n"/>
      <c r="AJ2473" s="30" t="n"/>
      <c r="AK2473" s="30" t="n"/>
      <c r="AL2473" s="30" t="n"/>
      <c r="AM2473" s="30" t="n"/>
      <c r="AN2473" s="30" t="n"/>
      <c r="AO2473" s="30" t="n"/>
    </row>
    <row r="2474" ht="16.5" customHeight="1" s="253">
      <c r="A2474" s="89" t="inlineStr">
        <is>
          <t>20524XXX</t>
        </is>
      </c>
      <c r="B2474" s="135" t="inlineStr">
        <is>
          <t>TAVERNITI  REM M/C</t>
        </is>
      </c>
      <c r="C2474" s="88" t="n">
        <v>54600</v>
      </c>
      <c r="D2474" s="170" t="n"/>
      <c r="E2474" s="170" t="n"/>
      <c r="F2474" s="170" t="n"/>
      <c r="G2474" s="170" t="n"/>
      <c r="H2474" s="170" t="n"/>
      <c r="I2474" s="170" t="n"/>
      <c r="J2474" s="170" t="n"/>
      <c r="K2474" s="170" t="n"/>
      <c r="L2474" s="170" t="n"/>
      <c r="M2474" s="170" t="n"/>
      <c r="N2474" s="30" t="n"/>
      <c r="O2474" s="150">
        <f>C2474*P2474</f>
        <v/>
      </c>
      <c r="P2474" s="150" t="n">
        <v>1.1</v>
      </c>
      <c r="Q2474" s="30" t="n"/>
      <c r="R2474" s="170" t="n"/>
      <c r="S2474" s="30" t="n"/>
      <c r="T2474" s="170" t="n"/>
      <c r="U2474" s="30" t="n"/>
      <c r="V2474" s="30" t="n"/>
      <c r="W2474" s="30" t="n"/>
      <c r="X2474" s="30" t="n"/>
      <c r="Y2474" s="30" t="n"/>
      <c r="Z2474" s="30" t="n"/>
      <c r="AA2474" s="30" t="n"/>
      <c r="AB2474" s="30" t="n"/>
      <c r="AC2474" s="30" t="n"/>
      <c r="AD2474" s="30" t="n"/>
      <c r="AE2474" s="30" t="n"/>
      <c r="AF2474" s="30" t="n"/>
      <c r="AG2474" s="30" t="n"/>
      <c r="AH2474" s="30" t="n"/>
      <c r="AI2474" s="30" t="n"/>
      <c r="AJ2474" s="30" t="n"/>
      <c r="AK2474" s="30" t="n"/>
      <c r="AL2474" s="30" t="n"/>
      <c r="AM2474" s="30" t="n"/>
      <c r="AN2474" s="30" t="n"/>
      <c r="AO2474" s="30" t="n"/>
    </row>
    <row r="2475" ht="16.5" customHeight="1" s="253">
      <c r="A2475" s="89" t="inlineStr">
        <is>
          <t>20528XXX</t>
        </is>
      </c>
      <c r="B2475" s="135" t="inlineStr">
        <is>
          <t>TAVERNITI  REM M/C</t>
        </is>
      </c>
      <c r="C2475" s="88" t="n">
        <v>54600</v>
      </c>
      <c r="D2475" s="170" t="n"/>
      <c r="E2475" s="170" t="n"/>
      <c r="F2475" s="170" t="n"/>
      <c r="G2475" s="170" t="n"/>
      <c r="H2475" s="170" t="n"/>
      <c r="I2475" s="170" t="n"/>
      <c r="J2475" s="170" t="n"/>
      <c r="K2475" s="170" t="n"/>
      <c r="L2475" s="170" t="n"/>
      <c r="M2475" s="170" t="n"/>
      <c r="N2475" s="30" t="n"/>
      <c r="O2475" s="150">
        <f>C2475*P2475</f>
        <v/>
      </c>
      <c r="P2475" s="150" t="n">
        <v>1.1</v>
      </c>
      <c r="Q2475" s="30" t="n"/>
      <c r="R2475" s="170" t="n"/>
      <c r="S2475" s="30" t="n"/>
      <c r="T2475" s="170" t="n"/>
      <c r="U2475" s="30" t="n"/>
      <c r="V2475" s="30" t="n"/>
      <c r="W2475" s="30" t="n"/>
      <c r="X2475" s="30" t="n"/>
      <c r="Y2475" s="30" t="n"/>
      <c r="Z2475" s="30" t="n"/>
      <c r="AA2475" s="30" t="n"/>
      <c r="AB2475" s="30" t="n"/>
      <c r="AC2475" s="30" t="n"/>
      <c r="AD2475" s="30" t="n"/>
      <c r="AE2475" s="30" t="n"/>
      <c r="AF2475" s="30" t="n"/>
      <c r="AG2475" s="30" t="n"/>
      <c r="AH2475" s="30" t="n"/>
      <c r="AI2475" s="30" t="n"/>
      <c r="AJ2475" s="30" t="n"/>
      <c r="AK2475" s="30" t="n"/>
      <c r="AL2475" s="30" t="n"/>
      <c r="AM2475" s="30" t="n"/>
      <c r="AN2475" s="30" t="n"/>
      <c r="AO2475" s="30" t="n"/>
    </row>
    <row r="2476" ht="16.5" customHeight="1" s="253">
      <c r="A2476" s="134" t="inlineStr">
        <is>
          <t>20530XXX</t>
        </is>
      </c>
      <c r="B2476" s="246" t="inlineStr">
        <is>
          <t>TAVERNITI  REM M/C</t>
        </is>
      </c>
      <c r="C2476" s="88" t="n">
        <v>44800</v>
      </c>
      <c r="D2476" s="22" t="n"/>
      <c r="E2476" s="22" t="n"/>
      <c r="F2476" s="22" t="n"/>
      <c r="G2476" s="219" t="n"/>
      <c r="H2476" s="219" t="n"/>
      <c r="I2476" s="219" t="n"/>
      <c r="J2476" s="219" t="n"/>
      <c r="K2476" s="219" t="n"/>
      <c r="L2476" s="219" t="n"/>
      <c r="M2476" s="219" t="n"/>
      <c r="O2476" s="117">
        <f>C2476*P2476</f>
        <v/>
      </c>
      <c r="P2476" s="150" t="n">
        <v>1.1</v>
      </c>
      <c r="R2476" s="117" t="n"/>
      <c r="T2476" s="117" t="n"/>
    </row>
    <row r="2477" ht="16.5" customHeight="1" s="253">
      <c r="A2477" s="134" t="inlineStr">
        <is>
          <t>20580XXX</t>
        </is>
      </c>
      <c r="B2477" s="246" t="inlineStr">
        <is>
          <t>TAVERNITI  REM M/C</t>
        </is>
      </c>
      <c r="C2477" s="88" t="n">
        <v>44900</v>
      </c>
      <c r="D2477" s="22" t="n"/>
      <c r="E2477" s="22" t="n"/>
      <c r="F2477" s="22" t="n"/>
      <c r="G2477" s="219" t="n"/>
      <c r="H2477" s="219" t="n"/>
      <c r="I2477" s="219" t="n"/>
      <c r="J2477" s="219" t="n"/>
      <c r="K2477" s="219" t="n"/>
      <c r="L2477" s="219" t="n"/>
      <c r="M2477" s="219" t="n"/>
      <c r="O2477" s="117">
        <f>C2477*P2477</f>
        <v/>
      </c>
      <c r="P2477" s="150" t="n">
        <v>1.1</v>
      </c>
      <c r="R2477" s="117" t="n"/>
      <c r="T2477" s="117" t="n"/>
    </row>
    <row r="2478" ht="16.5" customHeight="1" s="253">
      <c r="A2478" s="134" t="inlineStr">
        <is>
          <t>20582XXX</t>
        </is>
      </c>
      <c r="B2478" s="246" t="inlineStr">
        <is>
          <t>TAVERNITI  REM M/C</t>
        </is>
      </c>
      <c r="C2478" s="88" t="n">
        <v>44900</v>
      </c>
      <c r="D2478" s="22" t="n"/>
      <c r="E2478" s="22" t="n"/>
      <c r="F2478" s="22" t="n"/>
      <c r="G2478" s="219" t="n"/>
      <c r="H2478" s="219" t="n"/>
      <c r="I2478" s="219" t="n"/>
      <c r="J2478" s="219" t="n"/>
      <c r="K2478" s="219" t="n"/>
      <c r="L2478" s="219" t="n"/>
      <c r="M2478" s="219" t="n"/>
      <c r="O2478" s="117">
        <f>C2478*P2478</f>
        <v/>
      </c>
      <c r="P2478" s="150" t="n">
        <v>1.1</v>
      </c>
      <c r="R2478" s="117" t="n"/>
      <c r="T2478" s="117" t="n"/>
    </row>
    <row r="2479" ht="16.5" customHeight="1" s="253">
      <c r="A2479" s="134" t="inlineStr">
        <is>
          <t>20594XXX</t>
        </is>
      </c>
      <c r="B2479" s="246" t="inlineStr">
        <is>
          <t>TAVERNITI  REM M/C</t>
        </is>
      </c>
      <c r="C2479" s="88" t="n">
        <v>44900</v>
      </c>
      <c r="D2479" s="22" t="n"/>
      <c r="E2479" s="22" t="n"/>
      <c r="F2479" s="22" t="n"/>
      <c r="G2479" s="219" t="n"/>
      <c r="H2479" s="219" t="n"/>
      <c r="I2479" s="219" t="n"/>
      <c r="J2479" s="219" t="n"/>
      <c r="K2479" s="219" t="n"/>
      <c r="L2479" s="219" t="n"/>
      <c r="M2479" s="219" t="n"/>
      <c r="O2479" s="117">
        <f>C2479*P2479</f>
        <v/>
      </c>
      <c r="P2479" s="150" t="n">
        <v>1.1</v>
      </c>
      <c r="R2479" s="117" t="n"/>
      <c r="T2479" s="117" t="n"/>
    </row>
    <row r="2480" ht="16.5" customHeight="1" s="253">
      <c r="A2480" s="134" t="inlineStr">
        <is>
          <t>20610XXX</t>
        </is>
      </c>
      <c r="B2480" s="246" t="inlineStr">
        <is>
          <t>TAVERNITI  REM M/C</t>
        </is>
      </c>
      <c r="C2480" s="88" t="n">
        <v>55200</v>
      </c>
      <c r="D2480" s="22" t="n"/>
      <c r="E2480" s="22" t="n"/>
      <c r="F2480" s="22" t="n"/>
      <c r="G2480" s="219" t="n"/>
      <c r="H2480" s="219" t="n"/>
      <c r="I2480" s="219" t="n"/>
      <c r="J2480" s="219" t="n"/>
      <c r="K2480" s="219" t="n"/>
      <c r="L2480" s="219" t="n"/>
      <c r="M2480" s="219" t="n"/>
      <c r="O2480" s="117">
        <f>C2480*P2480</f>
        <v/>
      </c>
      <c r="P2480" s="150" t="n">
        <v>1.1</v>
      </c>
      <c r="R2480" s="117" t="n"/>
      <c r="T2480" s="117" t="n"/>
    </row>
    <row r="2481" ht="16.5" customHeight="1" s="253">
      <c r="A2481" s="134" t="inlineStr">
        <is>
          <t>20612XXX</t>
        </is>
      </c>
      <c r="B2481" s="246" t="inlineStr">
        <is>
          <t>TAVERNITI  REM M/C</t>
        </is>
      </c>
      <c r="C2481" s="88" t="n">
        <v>46800</v>
      </c>
      <c r="D2481" s="22" t="n"/>
      <c r="E2481" s="22" t="n"/>
      <c r="F2481" s="22" t="n"/>
      <c r="G2481" s="219" t="n"/>
      <c r="H2481" s="219" t="n"/>
      <c r="I2481" s="219" t="n"/>
      <c r="J2481" s="219" t="n"/>
      <c r="K2481" s="219" t="n"/>
      <c r="L2481" s="219" t="n"/>
      <c r="M2481" s="219" t="n"/>
      <c r="O2481" s="117">
        <f>C2481*P2481</f>
        <v/>
      </c>
      <c r="P2481" s="150" t="n">
        <v>1.1</v>
      </c>
      <c r="R2481" s="117" t="n"/>
      <c r="T2481" s="117" t="n"/>
    </row>
    <row r="2482" ht="16.5" customHeight="1" s="253">
      <c r="A2482" s="89" t="inlineStr">
        <is>
          <t>20616XXX</t>
        </is>
      </c>
      <c r="B2482" s="135" t="inlineStr">
        <is>
          <t>TAVERNITI  REM M/C</t>
        </is>
      </c>
      <c r="C2482" s="88" t="n">
        <v>43100</v>
      </c>
      <c r="D2482" s="170" t="n"/>
      <c r="E2482" s="170" t="n"/>
      <c r="F2482" s="170" t="n"/>
      <c r="G2482" s="170" t="n"/>
      <c r="H2482" s="170" t="n"/>
      <c r="I2482" s="170" t="n"/>
      <c r="J2482" s="170" t="n"/>
      <c r="K2482" s="170" t="n"/>
      <c r="L2482" s="170" t="n"/>
      <c r="M2482" s="170" t="n"/>
      <c r="N2482" s="30" t="n"/>
      <c r="O2482" s="150">
        <f>C2482*P2482</f>
        <v/>
      </c>
      <c r="P2482" s="150" t="n">
        <v>1.1</v>
      </c>
      <c r="Q2482" s="30" t="n"/>
      <c r="R2482" s="170" t="n"/>
      <c r="S2482" s="30" t="n"/>
      <c r="T2482" s="170" t="n"/>
      <c r="U2482" s="30" t="n"/>
      <c r="V2482" s="30" t="n"/>
      <c r="W2482" s="30" t="n"/>
      <c r="X2482" s="30" t="n"/>
      <c r="Y2482" s="30" t="n"/>
      <c r="Z2482" s="30" t="n"/>
      <c r="AA2482" s="30" t="n"/>
      <c r="AB2482" s="30" t="n"/>
      <c r="AC2482" s="30" t="n"/>
      <c r="AD2482" s="30" t="n"/>
      <c r="AE2482" s="30" t="n"/>
      <c r="AF2482" s="30" t="n"/>
      <c r="AG2482" s="30" t="n"/>
      <c r="AH2482" s="30" t="n"/>
      <c r="AI2482" s="30" t="n"/>
      <c r="AJ2482" s="30" t="n"/>
      <c r="AK2482" s="30" t="n"/>
      <c r="AL2482" s="30" t="n"/>
      <c r="AM2482" s="30" t="n"/>
      <c r="AN2482" s="30" t="n"/>
      <c r="AO2482" s="30" t="n"/>
    </row>
    <row r="2483" ht="16.5" customHeight="1" s="253">
      <c r="A2483" s="134" t="inlineStr">
        <is>
          <t>20618XXX</t>
        </is>
      </c>
      <c r="B2483" s="246" t="inlineStr">
        <is>
          <t>TAVERNITI  REM M/C</t>
        </is>
      </c>
      <c r="C2483" s="88" t="n">
        <v>49200</v>
      </c>
      <c r="D2483" s="22" t="n"/>
      <c r="E2483" s="22" t="n"/>
      <c r="F2483" s="22" t="n"/>
      <c r="G2483" s="219" t="n"/>
      <c r="H2483" s="219" t="n"/>
      <c r="I2483" s="219" t="n"/>
      <c r="J2483" s="219" t="n"/>
      <c r="K2483" s="219" t="n"/>
      <c r="L2483" s="219" t="n"/>
      <c r="M2483" s="219" t="n"/>
      <c r="O2483" s="117">
        <f>C2483*P2483</f>
        <v/>
      </c>
      <c r="P2483" s="150" t="n">
        <v>1.1</v>
      </c>
      <c r="R2483" s="117" t="n"/>
      <c r="T2483" s="117" t="n"/>
    </row>
    <row r="2484" ht="16.5" customHeight="1" s="253">
      <c r="A2484" s="134" t="inlineStr">
        <is>
          <t>20694XXX</t>
        </is>
      </c>
      <c r="B2484" s="246" t="inlineStr">
        <is>
          <t>TAVERNITI  REM M/C</t>
        </is>
      </c>
      <c r="C2484" s="88" t="n">
        <v>57800</v>
      </c>
      <c r="D2484" s="22" t="n"/>
      <c r="E2484" s="22" t="n"/>
      <c r="F2484" s="22" t="n"/>
      <c r="G2484" s="219" t="n"/>
      <c r="H2484" s="219" t="n"/>
      <c r="I2484" s="219" t="n"/>
      <c r="J2484" s="219" t="n"/>
      <c r="K2484" s="219" t="n"/>
      <c r="L2484" s="219" t="n"/>
      <c r="M2484" s="219" t="n"/>
      <c r="O2484" s="117">
        <f>C2484*P2484</f>
        <v/>
      </c>
      <c r="P2484" s="150" t="n">
        <v>1.1</v>
      </c>
      <c r="R2484" s="117" t="n"/>
      <c r="T2484" s="117" t="n"/>
    </row>
    <row r="2485" ht="16.5" customHeight="1" s="253">
      <c r="A2485" s="134" t="inlineStr">
        <is>
          <t>20696XXX</t>
        </is>
      </c>
      <c r="B2485" s="246" t="inlineStr">
        <is>
          <t>TAVERNITI  REM M/C</t>
        </is>
      </c>
      <c r="C2485" s="88" t="n">
        <v>47000</v>
      </c>
      <c r="D2485" s="22" t="n"/>
      <c r="E2485" s="22" t="n"/>
      <c r="F2485" s="22" t="n"/>
      <c r="G2485" s="219" t="n"/>
      <c r="H2485" s="219" t="n"/>
      <c r="I2485" s="219" t="n"/>
      <c r="J2485" s="219" t="n"/>
      <c r="K2485" s="219" t="n"/>
      <c r="L2485" s="219" t="n"/>
      <c r="M2485" s="219" t="n"/>
      <c r="O2485" s="117">
        <f>C2485*P2485</f>
        <v/>
      </c>
      <c r="P2485" s="150" t="n">
        <v>1.1</v>
      </c>
      <c r="R2485" s="117" t="n"/>
      <c r="T2485" s="117" t="n"/>
    </row>
    <row r="2486" ht="16.5" customHeight="1" s="253">
      <c r="A2486" s="134" t="inlineStr">
        <is>
          <t>20698XXX</t>
        </is>
      </c>
      <c r="B2486" s="246" t="inlineStr">
        <is>
          <t>TAVERNITI  REM M/C</t>
        </is>
      </c>
      <c r="C2486" s="88" t="n">
        <v>57800</v>
      </c>
      <c r="D2486" s="22" t="n"/>
      <c r="E2486" s="22" t="n"/>
      <c r="F2486" s="22" t="n"/>
      <c r="G2486" s="219" t="n"/>
      <c r="H2486" s="219" t="n"/>
      <c r="I2486" s="219" t="n"/>
      <c r="J2486" s="219" t="n"/>
      <c r="K2486" s="219" t="n"/>
      <c r="L2486" s="219" t="n"/>
      <c r="M2486" s="219" t="n"/>
      <c r="O2486" s="117">
        <f>C2486*P2486</f>
        <v/>
      </c>
      <c r="P2486" s="150" t="n">
        <v>1.1</v>
      </c>
      <c r="R2486" s="117" t="n"/>
      <c r="T2486" s="117" t="n"/>
    </row>
    <row r="2487" ht="16.5" customHeight="1" s="253">
      <c r="A2487" s="134" t="inlineStr">
        <is>
          <t>20700XXX</t>
        </is>
      </c>
      <c r="B2487" s="246" t="inlineStr">
        <is>
          <t>TAVERNITI  REM M/C</t>
        </is>
      </c>
      <c r="C2487" s="88" t="n">
        <v>57800</v>
      </c>
      <c r="D2487" s="22" t="n"/>
      <c r="E2487" s="22" t="n"/>
      <c r="F2487" s="22" t="n"/>
      <c r="G2487" s="219" t="n"/>
      <c r="H2487" s="219" t="n"/>
      <c r="I2487" s="219" t="n"/>
      <c r="J2487" s="219" t="n"/>
      <c r="K2487" s="219" t="n"/>
      <c r="L2487" s="219" t="n"/>
      <c r="M2487" s="219" t="n"/>
      <c r="O2487" s="117">
        <f>C2487*P2487</f>
        <v/>
      </c>
      <c r="P2487" s="150" t="n">
        <v>1.1</v>
      </c>
      <c r="R2487" s="117" t="n"/>
      <c r="T2487" s="117" t="n"/>
    </row>
    <row r="2488" ht="16.5" customHeight="1" s="253">
      <c r="A2488" s="89" t="inlineStr">
        <is>
          <t>20702XXX</t>
        </is>
      </c>
      <c r="B2488" s="135" t="inlineStr">
        <is>
          <t>TAVERNITI  REM M/C</t>
        </is>
      </c>
      <c r="C2488" s="88" t="n">
        <v>59900</v>
      </c>
      <c r="D2488" s="170" t="n"/>
      <c r="E2488" s="170" t="n"/>
      <c r="F2488" s="170" t="n"/>
      <c r="G2488" s="170" t="n"/>
      <c r="H2488" s="170" t="n"/>
      <c r="I2488" s="170" t="n"/>
      <c r="J2488" s="170" t="n"/>
      <c r="K2488" s="170" t="n"/>
      <c r="L2488" s="170" t="n"/>
      <c r="M2488" s="170" t="n"/>
      <c r="N2488" s="30" t="n"/>
      <c r="O2488" s="150">
        <f>C2488*P2488</f>
        <v/>
      </c>
      <c r="P2488" s="150" t="n">
        <v>1.1</v>
      </c>
      <c r="Q2488" s="30" t="n"/>
      <c r="R2488" s="170" t="n"/>
      <c r="S2488" s="30" t="n"/>
      <c r="T2488" s="170" t="n"/>
      <c r="U2488" s="30" t="n"/>
      <c r="V2488" s="30" t="n"/>
      <c r="W2488" s="30" t="n"/>
      <c r="X2488" s="30" t="n"/>
      <c r="Y2488" s="30" t="n"/>
      <c r="Z2488" s="30" t="n"/>
      <c r="AA2488" s="30" t="n"/>
      <c r="AB2488" s="30" t="n"/>
      <c r="AC2488" s="30" t="n"/>
      <c r="AD2488" s="30" t="n"/>
      <c r="AE2488" s="30" t="n"/>
      <c r="AF2488" s="30" t="n"/>
      <c r="AG2488" s="30" t="n"/>
      <c r="AH2488" s="30" t="n"/>
      <c r="AI2488" s="30" t="n"/>
      <c r="AJ2488" s="30" t="n"/>
      <c r="AK2488" s="30" t="n"/>
      <c r="AL2488" s="30" t="n"/>
      <c r="AM2488" s="30" t="n"/>
      <c r="AN2488" s="30" t="n"/>
      <c r="AO2488" s="30" t="n"/>
    </row>
    <row r="2489" ht="16.5" customHeight="1" s="253">
      <c r="A2489" s="134" t="inlineStr">
        <is>
          <t>20704XXX</t>
        </is>
      </c>
      <c r="B2489" s="246" t="inlineStr">
        <is>
          <t>TAVERNITI  REM M/C</t>
        </is>
      </c>
      <c r="C2489" s="88" t="n">
        <v>50900</v>
      </c>
      <c r="D2489" s="22" t="n"/>
      <c r="E2489" s="22" t="n"/>
      <c r="F2489" s="22" t="n"/>
      <c r="G2489" s="219" t="n"/>
      <c r="H2489" s="219" t="n"/>
      <c r="I2489" s="219" t="n"/>
      <c r="J2489" s="219" t="n"/>
      <c r="K2489" s="219" t="n"/>
      <c r="L2489" s="219" t="n"/>
      <c r="M2489" s="219" t="n"/>
      <c r="O2489" s="117">
        <f>C2489*P2489</f>
        <v/>
      </c>
      <c r="P2489" s="150" t="n">
        <v>1.1</v>
      </c>
      <c r="R2489" s="117" t="n"/>
      <c r="T2489" s="117" t="n"/>
    </row>
    <row r="2490" ht="16.5" customHeight="1" s="253">
      <c r="A2490" s="134" t="inlineStr">
        <is>
          <t>20706XXX</t>
        </is>
      </c>
      <c r="B2490" s="246" t="inlineStr">
        <is>
          <t>TAVERNITI  REM M/C</t>
        </is>
      </c>
      <c r="C2490" s="88" t="n">
        <v>47500</v>
      </c>
      <c r="D2490" s="22" t="n"/>
      <c r="E2490" s="22" t="n"/>
      <c r="F2490" s="22" t="n"/>
      <c r="G2490" s="219" t="n"/>
      <c r="H2490" s="219" t="n"/>
      <c r="I2490" s="219" t="n"/>
      <c r="J2490" s="219" t="n"/>
      <c r="K2490" s="219" t="n"/>
      <c r="L2490" s="219" t="n"/>
      <c r="M2490" s="219" t="n"/>
      <c r="O2490" s="117">
        <f>C2490*P2490</f>
        <v/>
      </c>
      <c r="P2490" s="150" t="n">
        <v>1.1</v>
      </c>
      <c r="R2490" s="117" t="n"/>
      <c r="T2490" s="117" t="n"/>
    </row>
    <row r="2491" ht="16.5" customHeight="1" s="253">
      <c r="A2491" s="134" t="inlineStr">
        <is>
          <t>20708XXX</t>
        </is>
      </c>
      <c r="B2491" s="246" t="inlineStr">
        <is>
          <t>TAVERNITI  REM M/C</t>
        </is>
      </c>
      <c r="C2491" s="88" t="n">
        <v>47000</v>
      </c>
      <c r="D2491" s="22" t="n"/>
      <c r="E2491" s="22" t="n"/>
      <c r="F2491" s="22" t="n"/>
      <c r="G2491" s="219" t="n"/>
      <c r="H2491" s="219" t="n"/>
      <c r="I2491" s="219" t="n"/>
      <c r="J2491" s="219" t="n"/>
      <c r="K2491" s="219" t="n"/>
      <c r="L2491" s="219" t="n"/>
      <c r="M2491" s="219" t="n"/>
      <c r="O2491" s="117">
        <f>C2491*P2491</f>
        <v/>
      </c>
      <c r="P2491" s="150" t="n">
        <v>1.1</v>
      </c>
      <c r="R2491" s="117" t="n"/>
      <c r="T2491" s="117" t="n"/>
    </row>
    <row r="2492" ht="16.5" customHeight="1" s="253">
      <c r="A2492" s="89" t="inlineStr">
        <is>
          <t>20710XXX</t>
        </is>
      </c>
      <c r="B2492" s="135" t="inlineStr">
        <is>
          <t>TAVERNITI  REM M/C</t>
        </is>
      </c>
      <c r="C2492" s="88" t="n">
        <v>50900</v>
      </c>
      <c r="D2492" s="170" t="n"/>
      <c r="E2492" s="170" t="n"/>
      <c r="F2492" s="170" t="n"/>
      <c r="G2492" s="170" t="n"/>
      <c r="H2492" s="170" t="n"/>
      <c r="I2492" s="170" t="n"/>
      <c r="J2492" s="170" t="n"/>
      <c r="K2492" s="170" t="n"/>
      <c r="L2492" s="170" t="n"/>
      <c r="M2492" s="170" t="n"/>
      <c r="N2492" s="30" t="n"/>
      <c r="O2492" s="150">
        <f>C2492*P2492</f>
        <v/>
      </c>
      <c r="P2492" s="150" t="n">
        <v>1.1</v>
      </c>
      <c r="Q2492" s="30" t="n"/>
      <c r="R2492" s="170" t="n"/>
      <c r="S2492" s="30" t="n"/>
      <c r="T2492" s="170" t="n"/>
      <c r="U2492" s="30" t="n"/>
      <c r="V2492" s="30" t="n"/>
      <c r="W2492" s="30" t="n"/>
      <c r="X2492" s="30" t="n"/>
      <c r="Y2492" s="30" t="n"/>
      <c r="Z2492" s="30" t="n"/>
      <c r="AA2492" s="30" t="n"/>
      <c r="AB2492" s="30" t="n"/>
      <c r="AC2492" s="30" t="n"/>
      <c r="AD2492" s="30" t="n"/>
      <c r="AE2492" s="30" t="n"/>
      <c r="AF2492" s="30" t="n"/>
      <c r="AG2492" s="30" t="n"/>
      <c r="AH2492" s="30" t="n"/>
      <c r="AI2492" s="30" t="n"/>
      <c r="AJ2492" s="30" t="n"/>
      <c r="AK2492" s="30" t="n"/>
      <c r="AL2492" s="30" t="n"/>
      <c r="AM2492" s="30" t="n"/>
      <c r="AN2492" s="30" t="n"/>
      <c r="AO2492" s="30" t="n"/>
    </row>
    <row r="2493" ht="16.5" customHeight="1" s="253">
      <c r="A2493" s="134" t="inlineStr">
        <is>
          <t>20712XXX</t>
        </is>
      </c>
      <c r="B2493" s="246" t="inlineStr">
        <is>
          <t>TAVERNITI  REM M/C</t>
        </is>
      </c>
      <c r="C2493" s="88" t="n">
        <v>59900</v>
      </c>
      <c r="D2493" s="22" t="n"/>
      <c r="E2493" s="22" t="n"/>
      <c r="F2493" s="22" t="n"/>
      <c r="G2493" s="219" t="n"/>
      <c r="H2493" s="219" t="n"/>
      <c r="I2493" s="219" t="n"/>
      <c r="J2493" s="219" t="n"/>
      <c r="K2493" s="219" t="n"/>
      <c r="L2493" s="219" t="n"/>
      <c r="M2493" s="219" t="n"/>
      <c r="O2493" s="117">
        <f>C2493*P2493</f>
        <v/>
      </c>
      <c r="P2493" s="150" t="n">
        <v>1.1</v>
      </c>
      <c r="R2493" s="117" t="n"/>
      <c r="T2493" s="117" t="n"/>
    </row>
    <row r="2494" ht="16.5" customHeight="1" s="253">
      <c r="A2494" s="89" t="inlineStr">
        <is>
          <t>20772XXX</t>
        </is>
      </c>
      <c r="B2494" s="135" t="inlineStr">
        <is>
          <t>TAVERNITI  REM M/C</t>
        </is>
      </c>
      <c r="C2494" s="88" t="n">
        <v>57800</v>
      </c>
      <c r="D2494" s="170" t="n"/>
      <c r="E2494" s="170" t="n"/>
      <c r="F2494" s="170" t="n"/>
      <c r="G2494" s="170" t="n"/>
      <c r="H2494" s="170" t="n"/>
      <c r="I2494" s="170" t="n"/>
      <c r="J2494" s="170" t="n"/>
      <c r="K2494" s="170" t="n"/>
      <c r="L2494" s="170" t="n"/>
      <c r="M2494" s="170" t="n"/>
      <c r="N2494" s="30" t="n"/>
      <c r="O2494" s="150">
        <f>C2494*P2494</f>
        <v/>
      </c>
      <c r="P2494" s="150" t="n">
        <v>1.1</v>
      </c>
      <c r="Q2494" s="30" t="n"/>
      <c r="R2494" s="170" t="n"/>
      <c r="S2494" s="30" t="n"/>
      <c r="T2494" s="170" t="n"/>
      <c r="U2494" s="30" t="n"/>
      <c r="V2494" s="30" t="n"/>
      <c r="W2494" s="30" t="n"/>
      <c r="X2494" s="30" t="n"/>
      <c r="Y2494" s="30" t="n"/>
      <c r="Z2494" s="30" t="n"/>
      <c r="AA2494" s="30" t="n"/>
      <c r="AB2494" s="30" t="n"/>
      <c r="AC2494" s="30" t="n"/>
      <c r="AD2494" s="30" t="n"/>
      <c r="AE2494" s="30" t="n"/>
      <c r="AF2494" s="30" t="n"/>
      <c r="AG2494" s="30" t="n"/>
      <c r="AH2494" s="30" t="n"/>
      <c r="AI2494" s="30" t="n"/>
      <c r="AJ2494" s="30" t="n"/>
      <c r="AK2494" s="30" t="n"/>
      <c r="AL2494" s="30" t="n"/>
      <c r="AM2494" s="30" t="n"/>
      <c r="AN2494" s="30" t="n"/>
      <c r="AO2494" s="30" t="n"/>
    </row>
    <row r="2495" ht="16.5" customHeight="1" s="253">
      <c r="A2495" s="134" t="inlineStr">
        <is>
          <t>20752XXX</t>
        </is>
      </c>
      <c r="B2495" s="246" t="inlineStr">
        <is>
          <t>TAVERNITI  REM M/C</t>
        </is>
      </c>
      <c r="C2495" s="88" t="n">
        <v>57400</v>
      </c>
      <c r="D2495" s="22" t="n"/>
      <c r="E2495" s="22" t="n"/>
      <c r="F2495" s="22" t="n"/>
      <c r="G2495" s="219" t="n"/>
      <c r="H2495" s="219" t="n"/>
      <c r="I2495" s="219" t="n"/>
      <c r="J2495" s="219" t="n"/>
      <c r="K2495" s="219" t="n"/>
      <c r="L2495" s="219" t="n"/>
      <c r="M2495" s="219" t="n"/>
      <c r="O2495" s="117">
        <f>C2495*P2495</f>
        <v/>
      </c>
      <c r="P2495" s="150" t="n">
        <v>1.1</v>
      </c>
      <c r="R2495" s="117" t="n"/>
      <c r="T2495" s="117" t="n"/>
    </row>
    <row r="2496" ht="16.5" customHeight="1" s="253">
      <c r="A2496" s="134" t="inlineStr">
        <is>
          <t>20754XXX</t>
        </is>
      </c>
      <c r="B2496" s="246" t="inlineStr">
        <is>
          <t>TAVERNITI  REM M/C</t>
        </is>
      </c>
      <c r="C2496" s="88" t="n">
        <v>58600</v>
      </c>
      <c r="D2496" s="22" t="n"/>
      <c r="E2496" s="22" t="n"/>
      <c r="F2496" s="22" t="n"/>
      <c r="G2496" s="219" t="n"/>
      <c r="H2496" s="219" t="n"/>
      <c r="I2496" s="219" t="n"/>
      <c r="J2496" s="219" t="n"/>
      <c r="K2496" s="219" t="n"/>
      <c r="L2496" s="219" t="n"/>
      <c r="M2496" s="219" t="n"/>
      <c r="O2496" s="117">
        <f>C2496*P2496</f>
        <v/>
      </c>
      <c r="P2496" s="150" t="n">
        <v>1.1</v>
      </c>
      <c r="R2496" s="117" t="n"/>
      <c r="T2496" s="117" t="n"/>
    </row>
    <row r="2497" ht="16.5" customHeight="1" s="253">
      <c r="A2497" s="134" t="inlineStr">
        <is>
          <t>20756XXX</t>
        </is>
      </c>
      <c r="B2497" s="246" t="inlineStr">
        <is>
          <t>TAVERNITI  REM M/C</t>
        </is>
      </c>
      <c r="C2497" s="88" t="n">
        <v>59400</v>
      </c>
      <c r="D2497" s="22" t="n"/>
      <c r="E2497" s="22" t="n"/>
      <c r="F2497" s="22" t="n"/>
      <c r="G2497" s="219" t="n"/>
      <c r="H2497" s="219" t="n"/>
      <c r="I2497" s="219" t="n"/>
      <c r="J2497" s="219" t="n"/>
      <c r="K2497" s="219" t="n"/>
      <c r="L2497" s="219" t="n"/>
      <c r="M2497" s="219" t="n"/>
      <c r="O2497" s="117">
        <f>C2497*P2497</f>
        <v/>
      </c>
      <c r="P2497" s="150" t="n">
        <v>1.1</v>
      </c>
      <c r="R2497" s="117" t="n"/>
      <c r="T2497" s="117" t="n"/>
    </row>
    <row r="2498" ht="16.5" customHeight="1" s="253">
      <c r="A2498" s="89" t="inlineStr">
        <is>
          <t>20760XXX</t>
        </is>
      </c>
      <c r="B2498" s="135" t="inlineStr">
        <is>
          <t>TAVERNITI  REM M/C</t>
        </is>
      </c>
      <c r="C2498" s="88" t="n">
        <v>57800</v>
      </c>
      <c r="D2498" s="170" t="n"/>
      <c r="E2498" s="170" t="n"/>
      <c r="F2498" s="170" t="n"/>
      <c r="G2498" s="170" t="n"/>
      <c r="H2498" s="170" t="n"/>
      <c r="I2498" s="170" t="n"/>
      <c r="J2498" s="170" t="n"/>
      <c r="K2498" s="170" t="n"/>
      <c r="L2498" s="170" t="n"/>
      <c r="M2498" s="170" t="n"/>
      <c r="N2498" s="30" t="n"/>
      <c r="O2498" s="150">
        <f>C2498*P2498</f>
        <v/>
      </c>
      <c r="P2498" s="150" t="n">
        <v>1.1</v>
      </c>
      <c r="Q2498" s="30" t="n"/>
      <c r="R2498" s="170" t="n"/>
      <c r="S2498" s="30" t="n"/>
      <c r="T2498" s="170" t="n"/>
      <c r="U2498" s="30" t="n"/>
      <c r="V2498" s="30" t="n"/>
      <c r="W2498" s="30" t="n"/>
      <c r="X2498" s="30" t="n"/>
      <c r="Y2498" s="30" t="n"/>
      <c r="Z2498" s="30" t="n"/>
      <c r="AA2498" s="30" t="n"/>
      <c r="AB2498" s="30" t="n"/>
      <c r="AC2498" s="30" t="n"/>
      <c r="AD2498" s="30" t="n"/>
      <c r="AE2498" s="30" t="n"/>
      <c r="AF2498" s="30" t="n"/>
      <c r="AG2498" s="30" t="n"/>
      <c r="AH2498" s="30" t="n"/>
      <c r="AI2498" s="30" t="n"/>
      <c r="AJ2498" s="30" t="n"/>
      <c r="AK2498" s="30" t="n"/>
      <c r="AL2498" s="30" t="n"/>
      <c r="AM2498" s="30" t="n"/>
      <c r="AN2498" s="30" t="n"/>
      <c r="AO2498" s="30" t="n"/>
    </row>
    <row r="2499" ht="16.5" customHeight="1" s="253">
      <c r="A2499" s="89" t="inlineStr">
        <is>
          <t>20762XXX</t>
        </is>
      </c>
      <c r="B2499" s="135" t="inlineStr">
        <is>
          <t>TAVERNITI  REM M/C</t>
        </is>
      </c>
      <c r="C2499" s="88" t="n">
        <v>57800</v>
      </c>
      <c r="D2499" s="170" t="n"/>
      <c r="E2499" s="170" t="n"/>
      <c r="F2499" s="170" t="n"/>
      <c r="G2499" s="170" t="n"/>
      <c r="H2499" s="170" t="n"/>
      <c r="I2499" s="170" t="n"/>
      <c r="J2499" s="170" t="n"/>
      <c r="K2499" s="170" t="n"/>
      <c r="L2499" s="170" t="n"/>
      <c r="M2499" s="170" t="n"/>
      <c r="N2499" s="30" t="n"/>
      <c r="O2499" s="150">
        <f>C2499*P2499</f>
        <v/>
      </c>
      <c r="P2499" s="150" t="n">
        <v>1.1</v>
      </c>
      <c r="Q2499" s="30" t="n"/>
      <c r="R2499" s="170" t="n"/>
      <c r="S2499" s="30" t="n"/>
      <c r="T2499" s="170" t="n"/>
      <c r="U2499" s="30" t="n"/>
      <c r="V2499" s="30" t="n"/>
      <c r="W2499" s="30" t="n"/>
      <c r="X2499" s="30" t="n"/>
      <c r="Y2499" s="30" t="n"/>
      <c r="Z2499" s="30" t="n"/>
      <c r="AA2499" s="30" t="n"/>
      <c r="AB2499" s="30" t="n"/>
      <c r="AC2499" s="30" t="n"/>
      <c r="AD2499" s="30" t="n"/>
      <c r="AE2499" s="30" t="n"/>
      <c r="AF2499" s="30" t="n"/>
      <c r="AG2499" s="30" t="n"/>
      <c r="AH2499" s="30" t="n"/>
      <c r="AI2499" s="30" t="n"/>
      <c r="AJ2499" s="30" t="n"/>
      <c r="AK2499" s="30" t="n"/>
      <c r="AL2499" s="30" t="n"/>
      <c r="AM2499" s="30" t="n"/>
      <c r="AN2499" s="30" t="n"/>
      <c r="AO2499" s="30" t="n"/>
    </row>
    <row r="2500" ht="16.5" customHeight="1" s="253">
      <c r="A2500" s="89" t="inlineStr">
        <is>
          <t>20768XXX</t>
        </is>
      </c>
      <c r="B2500" s="135" t="inlineStr">
        <is>
          <t>TAVERNITI  REM M/C</t>
        </is>
      </c>
      <c r="C2500" s="88" t="n">
        <v>57800</v>
      </c>
      <c r="D2500" s="170" t="n"/>
      <c r="E2500" s="170" t="n"/>
      <c r="F2500" s="170" t="n"/>
      <c r="G2500" s="170" t="n"/>
      <c r="H2500" s="170" t="n"/>
      <c r="I2500" s="170" t="n"/>
      <c r="J2500" s="170" t="n"/>
      <c r="K2500" s="170" t="n"/>
      <c r="L2500" s="170" t="n"/>
      <c r="M2500" s="170" t="n"/>
      <c r="N2500" s="30" t="n"/>
      <c r="O2500" s="150">
        <f>C2500*P2500</f>
        <v/>
      </c>
      <c r="P2500" s="150" t="n">
        <v>1.1</v>
      </c>
      <c r="Q2500" s="30" t="n"/>
      <c r="R2500" s="170" t="n"/>
      <c r="S2500" s="30" t="n"/>
      <c r="T2500" s="170" t="n"/>
      <c r="U2500" s="30" t="n"/>
      <c r="V2500" s="30" t="n"/>
      <c r="W2500" s="30" t="n"/>
      <c r="X2500" s="30" t="n"/>
      <c r="Y2500" s="30" t="n"/>
      <c r="Z2500" s="30" t="n"/>
      <c r="AA2500" s="30" t="n"/>
      <c r="AB2500" s="30" t="n"/>
      <c r="AC2500" s="30" t="n"/>
      <c r="AD2500" s="30" t="n"/>
      <c r="AE2500" s="30" t="n"/>
      <c r="AF2500" s="30" t="n"/>
      <c r="AG2500" s="30" t="n"/>
      <c r="AH2500" s="30" t="n"/>
      <c r="AI2500" s="30" t="n"/>
      <c r="AJ2500" s="30" t="n"/>
      <c r="AK2500" s="30" t="n"/>
      <c r="AL2500" s="30" t="n"/>
      <c r="AM2500" s="30" t="n"/>
      <c r="AN2500" s="30" t="n"/>
      <c r="AO2500" s="30" t="n"/>
    </row>
    <row r="2501" ht="16.5" customHeight="1" s="253">
      <c r="A2501" s="89" t="inlineStr">
        <is>
          <t>20770XXX</t>
        </is>
      </c>
      <c r="B2501" s="135" t="inlineStr">
        <is>
          <t>TAVERNITI  REM M/C</t>
        </is>
      </c>
      <c r="C2501" s="88" t="n">
        <v>57800</v>
      </c>
      <c r="D2501" s="170" t="n"/>
      <c r="E2501" s="170" t="n"/>
      <c r="F2501" s="170" t="n"/>
      <c r="G2501" s="170" t="n"/>
      <c r="H2501" s="170" t="n"/>
      <c r="I2501" s="170" t="n"/>
      <c r="J2501" s="170" t="n"/>
      <c r="K2501" s="170" t="n"/>
      <c r="L2501" s="170" t="n"/>
      <c r="M2501" s="170" t="n"/>
      <c r="N2501" s="30" t="n"/>
      <c r="O2501" s="150">
        <f>C2501*P2501</f>
        <v/>
      </c>
      <c r="P2501" s="150" t="n">
        <v>1.1</v>
      </c>
      <c r="Q2501" s="30" t="n"/>
      <c r="R2501" s="170" t="n"/>
      <c r="S2501" s="30" t="n"/>
      <c r="T2501" s="170" t="n"/>
      <c r="U2501" s="30" t="n"/>
      <c r="V2501" s="30" t="n"/>
      <c r="W2501" s="30" t="n"/>
      <c r="X2501" s="30" t="n"/>
      <c r="Y2501" s="30" t="n"/>
      <c r="Z2501" s="30" t="n"/>
      <c r="AA2501" s="30" t="n"/>
      <c r="AB2501" s="30" t="n"/>
      <c r="AC2501" s="30" t="n"/>
      <c r="AD2501" s="30" t="n"/>
      <c r="AE2501" s="30" t="n"/>
      <c r="AF2501" s="30" t="n"/>
      <c r="AG2501" s="30" t="n"/>
      <c r="AH2501" s="30" t="n"/>
      <c r="AI2501" s="30" t="n"/>
      <c r="AJ2501" s="30" t="n"/>
      <c r="AK2501" s="30" t="n"/>
      <c r="AL2501" s="30" t="n"/>
      <c r="AM2501" s="30" t="n"/>
      <c r="AN2501" s="30" t="n"/>
      <c r="AO2501" s="30" t="n"/>
    </row>
    <row r="2502" ht="16.5" customHeight="1" s="253">
      <c r="A2502" s="89" t="inlineStr">
        <is>
          <t>20772XXX</t>
        </is>
      </c>
      <c r="B2502" s="135" t="inlineStr">
        <is>
          <t>TAVERNITI  REM M/C</t>
        </is>
      </c>
      <c r="C2502" s="88" t="n">
        <v>57800</v>
      </c>
      <c r="D2502" s="170" t="n"/>
      <c r="E2502" s="170" t="n"/>
      <c r="F2502" s="170" t="n"/>
      <c r="G2502" s="170" t="n"/>
      <c r="H2502" s="170" t="n"/>
      <c r="I2502" s="170" t="n"/>
      <c r="J2502" s="170" t="n"/>
      <c r="K2502" s="170" t="n"/>
      <c r="L2502" s="170" t="n"/>
      <c r="M2502" s="170" t="n"/>
      <c r="N2502" s="30" t="n"/>
      <c r="O2502" s="150">
        <f>C2502*P2502</f>
        <v/>
      </c>
      <c r="P2502" s="150" t="n">
        <v>1.1</v>
      </c>
      <c r="Q2502" s="30" t="n"/>
      <c r="R2502" s="170" t="n"/>
      <c r="S2502" s="30" t="n"/>
      <c r="T2502" s="170" t="n"/>
      <c r="U2502" s="30" t="n"/>
      <c r="V2502" s="30" t="n"/>
      <c r="W2502" s="30" t="n"/>
      <c r="X2502" s="30" t="n"/>
      <c r="Y2502" s="30" t="n"/>
      <c r="Z2502" s="30" t="n"/>
      <c r="AA2502" s="30" t="n"/>
      <c r="AB2502" s="30" t="n"/>
      <c r="AC2502" s="30" t="n"/>
      <c r="AD2502" s="30" t="n"/>
      <c r="AE2502" s="30" t="n"/>
      <c r="AF2502" s="30" t="n"/>
      <c r="AG2502" s="30" t="n"/>
      <c r="AH2502" s="30" t="n"/>
      <c r="AI2502" s="30" t="n"/>
      <c r="AJ2502" s="30" t="n"/>
      <c r="AK2502" s="30" t="n"/>
      <c r="AL2502" s="30" t="n"/>
      <c r="AM2502" s="30" t="n"/>
      <c r="AN2502" s="30" t="n"/>
      <c r="AO2502" s="30" t="n"/>
    </row>
    <row r="2503" ht="16.5" customHeight="1" s="253">
      <c r="A2503" s="89" t="inlineStr">
        <is>
          <t>20772XXX</t>
        </is>
      </c>
      <c r="B2503" s="135" t="inlineStr">
        <is>
          <t>TAVERNITI  REM M/C</t>
        </is>
      </c>
      <c r="C2503" s="88" t="n">
        <v>57800</v>
      </c>
      <c r="D2503" s="170" t="n"/>
      <c r="E2503" s="170" t="n"/>
      <c r="F2503" s="170" t="n"/>
      <c r="G2503" s="170" t="n"/>
      <c r="H2503" s="170" t="n"/>
      <c r="I2503" s="170" t="n"/>
      <c r="J2503" s="170" t="n"/>
      <c r="K2503" s="170" t="n"/>
      <c r="L2503" s="170" t="n"/>
      <c r="M2503" s="170" t="n"/>
      <c r="N2503" s="30" t="n"/>
      <c r="O2503" s="150">
        <f>C2503*P2503</f>
        <v/>
      </c>
      <c r="P2503" s="150" t="n">
        <v>1.1</v>
      </c>
      <c r="Q2503" s="30" t="n"/>
      <c r="R2503" s="170" t="n"/>
      <c r="S2503" s="30" t="n"/>
      <c r="T2503" s="170" t="n"/>
      <c r="U2503" s="30" t="n"/>
      <c r="V2503" s="30" t="n"/>
      <c r="W2503" s="30" t="n"/>
      <c r="X2503" s="30" t="n"/>
      <c r="Y2503" s="30" t="n"/>
      <c r="Z2503" s="30" t="n"/>
      <c r="AA2503" s="30" t="n"/>
      <c r="AB2503" s="30" t="n"/>
      <c r="AC2503" s="30" t="n"/>
      <c r="AD2503" s="30" t="n"/>
      <c r="AE2503" s="30" t="n"/>
      <c r="AF2503" s="30" t="n"/>
      <c r="AG2503" s="30" t="n"/>
      <c r="AH2503" s="30" t="n"/>
      <c r="AI2503" s="30" t="n"/>
      <c r="AJ2503" s="30" t="n"/>
      <c r="AK2503" s="30" t="n"/>
      <c r="AL2503" s="30" t="n"/>
      <c r="AM2503" s="30" t="n"/>
      <c r="AN2503" s="30" t="n"/>
      <c r="AO2503" s="30" t="n"/>
    </row>
    <row r="2504" ht="16.5" customHeight="1" s="253">
      <c r="A2504" s="89" t="inlineStr">
        <is>
          <t>20778XXX</t>
        </is>
      </c>
      <c r="B2504" s="135" t="inlineStr">
        <is>
          <t>TAVERNITI  REM M/C</t>
        </is>
      </c>
      <c r="C2504" s="88" t="n">
        <v>57800</v>
      </c>
      <c r="D2504" s="170" t="n"/>
      <c r="E2504" s="170" t="n"/>
      <c r="F2504" s="170" t="n"/>
      <c r="G2504" s="170" t="n"/>
      <c r="H2504" s="170" t="n"/>
      <c r="I2504" s="170" t="n"/>
      <c r="J2504" s="170" t="n"/>
      <c r="K2504" s="170" t="n"/>
      <c r="L2504" s="170" t="n"/>
      <c r="M2504" s="170" t="n"/>
      <c r="N2504" s="30" t="n"/>
      <c r="O2504" s="150">
        <f>C2504*P2504</f>
        <v/>
      </c>
      <c r="P2504" s="150" t="n">
        <v>1.1</v>
      </c>
      <c r="Q2504" s="30" t="n"/>
      <c r="R2504" s="170" t="n"/>
      <c r="S2504" s="30" t="n"/>
      <c r="T2504" s="170" t="n"/>
      <c r="U2504" s="30" t="n"/>
      <c r="V2504" s="30" t="n"/>
      <c r="W2504" s="30" t="n"/>
      <c r="X2504" s="30" t="n"/>
      <c r="Y2504" s="30" t="n"/>
      <c r="Z2504" s="30" t="n"/>
      <c r="AA2504" s="30" t="n"/>
      <c r="AB2504" s="30" t="n"/>
      <c r="AC2504" s="30" t="n"/>
      <c r="AD2504" s="30" t="n"/>
      <c r="AE2504" s="30" t="n"/>
      <c r="AF2504" s="30" t="n"/>
      <c r="AG2504" s="30" t="n"/>
      <c r="AH2504" s="30" t="n"/>
      <c r="AI2504" s="30" t="n"/>
      <c r="AJ2504" s="30" t="n"/>
      <c r="AK2504" s="30" t="n"/>
      <c r="AL2504" s="30" t="n"/>
      <c r="AM2504" s="30" t="n"/>
      <c r="AN2504" s="30" t="n"/>
      <c r="AO2504" s="30" t="n"/>
    </row>
    <row r="2505" ht="16.5" customHeight="1" s="253">
      <c r="A2505" s="89" t="inlineStr">
        <is>
          <t>20782XXX</t>
        </is>
      </c>
      <c r="B2505" s="135" t="inlineStr">
        <is>
          <t>TAVERNITI  REM M/C</t>
        </is>
      </c>
      <c r="C2505" s="88" t="n">
        <v>55000</v>
      </c>
      <c r="D2505" s="170" t="n"/>
      <c r="E2505" s="170" t="n"/>
      <c r="F2505" s="170" t="n"/>
      <c r="G2505" s="170" t="n"/>
      <c r="H2505" s="170" t="n"/>
      <c r="I2505" s="170" t="n"/>
      <c r="J2505" s="170" t="n"/>
      <c r="K2505" s="170" t="n"/>
      <c r="L2505" s="170" t="n"/>
      <c r="M2505" s="170" t="n"/>
      <c r="N2505" s="30" t="n"/>
      <c r="O2505" s="150">
        <f>C2505*P2505</f>
        <v/>
      </c>
      <c r="P2505" s="150" t="n">
        <v>1.1</v>
      </c>
      <c r="Q2505" s="30" t="n"/>
      <c r="R2505" s="170" t="n"/>
      <c r="S2505" s="30" t="n"/>
      <c r="T2505" s="170" t="n"/>
      <c r="U2505" s="30" t="n"/>
      <c r="V2505" s="30" t="n"/>
      <c r="W2505" s="30" t="n"/>
      <c r="X2505" s="30" t="n"/>
      <c r="Y2505" s="30" t="n"/>
      <c r="Z2505" s="30" t="n"/>
      <c r="AA2505" s="30" t="n"/>
      <c r="AB2505" s="30" t="n"/>
      <c r="AC2505" s="30" t="n"/>
      <c r="AD2505" s="30" t="n"/>
      <c r="AE2505" s="30" t="n"/>
      <c r="AF2505" s="30" t="n"/>
      <c r="AG2505" s="30" t="n"/>
      <c r="AH2505" s="30" t="n"/>
      <c r="AI2505" s="30" t="n"/>
      <c r="AJ2505" s="30" t="n"/>
      <c r="AK2505" s="30" t="n"/>
      <c r="AL2505" s="30" t="n"/>
      <c r="AM2505" s="30" t="n"/>
      <c r="AN2505" s="30" t="n"/>
      <c r="AO2505" s="30" t="n"/>
    </row>
    <row r="2506" ht="16.5" customHeight="1" s="253">
      <c r="A2506" s="134" t="inlineStr">
        <is>
          <t>20784XXX</t>
        </is>
      </c>
      <c r="B2506" s="246" t="inlineStr">
        <is>
          <t>TAVERNITI  REM M/C</t>
        </is>
      </c>
      <c r="C2506" s="88" t="n">
        <v>43100</v>
      </c>
      <c r="D2506" s="22" t="n"/>
      <c r="E2506" s="22" t="n"/>
      <c r="F2506" s="22" t="n"/>
      <c r="G2506" s="219" t="n"/>
      <c r="H2506" s="219" t="n"/>
      <c r="I2506" s="219" t="n"/>
      <c r="J2506" s="219" t="n"/>
      <c r="K2506" s="219" t="n"/>
      <c r="L2506" s="219" t="n"/>
      <c r="M2506" s="219" t="n"/>
      <c r="O2506" s="117">
        <f>C2506*P2506</f>
        <v/>
      </c>
      <c r="P2506" s="150" t="n">
        <v>1.1</v>
      </c>
      <c r="R2506" s="117" t="n"/>
      <c r="T2506" s="117" t="n"/>
    </row>
    <row r="2507" ht="16.5" customHeight="1" s="253">
      <c r="A2507" s="89" t="inlineStr">
        <is>
          <t>20786XXX</t>
        </is>
      </c>
      <c r="B2507" s="135" t="inlineStr">
        <is>
          <t>TAVERNITI  REM M/C</t>
        </is>
      </c>
      <c r="C2507" s="88" t="n">
        <v>55000</v>
      </c>
      <c r="D2507" s="170" t="n"/>
      <c r="E2507" s="170" t="n"/>
      <c r="F2507" s="170" t="n"/>
      <c r="G2507" s="170" t="n"/>
      <c r="H2507" s="170" t="n"/>
      <c r="I2507" s="170" t="n"/>
      <c r="J2507" s="170" t="n"/>
      <c r="K2507" s="170" t="n"/>
      <c r="L2507" s="170" t="n"/>
      <c r="M2507" s="170" t="n"/>
      <c r="N2507" s="30" t="n"/>
      <c r="O2507" s="150">
        <f>C2507*P2507</f>
        <v/>
      </c>
      <c r="P2507" s="150" t="n">
        <v>1.1</v>
      </c>
      <c r="Q2507" s="30" t="n"/>
      <c r="R2507" s="170" t="n"/>
      <c r="S2507" s="30" t="n"/>
      <c r="T2507" s="170" t="n"/>
      <c r="U2507" s="30" t="n"/>
      <c r="V2507" s="30" t="n"/>
      <c r="W2507" s="30" t="n"/>
      <c r="X2507" s="30" t="n"/>
      <c r="Y2507" s="30" t="n"/>
      <c r="Z2507" s="30" t="n"/>
      <c r="AA2507" s="30" t="n"/>
      <c r="AB2507" s="30" t="n"/>
      <c r="AC2507" s="30" t="n"/>
      <c r="AD2507" s="30" t="n"/>
      <c r="AE2507" s="30" t="n"/>
      <c r="AF2507" s="30" t="n"/>
      <c r="AG2507" s="30" t="n"/>
      <c r="AH2507" s="30" t="n"/>
      <c r="AI2507" s="30" t="n"/>
      <c r="AJ2507" s="30" t="n"/>
      <c r="AK2507" s="30" t="n"/>
      <c r="AL2507" s="30" t="n"/>
      <c r="AM2507" s="30" t="n"/>
      <c r="AN2507" s="30" t="n"/>
      <c r="AO2507" s="30" t="n"/>
    </row>
    <row r="2508" ht="16.5" customHeight="1" s="253">
      <c r="A2508" s="134" t="inlineStr">
        <is>
          <t>20788XXX</t>
        </is>
      </c>
      <c r="B2508" s="246" t="inlineStr">
        <is>
          <t>TAVERNITI  REM M/C</t>
        </is>
      </c>
      <c r="C2508" s="88" t="n">
        <v>57800</v>
      </c>
      <c r="D2508" s="22" t="n"/>
      <c r="E2508" s="22" t="n"/>
      <c r="F2508" s="22" t="n"/>
      <c r="G2508" s="219" t="n"/>
      <c r="H2508" s="219" t="n"/>
      <c r="I2508" s="219" t="n"/>
      <c r="J2508" s="219" t="n"/>
      <c r="K2508" s="219" t="n"/>
      <c r="L2508" s="219" t="n"/>
      <c r="M2508" s="219" t="n"/>
      <c r="O2508" s="117">
        <f>C2508*P2508</f>
        <v/>
      </c>
      <c r="P2508" s="150" t="n">
        <v>1.1</v>
      </c>
      <c r="R2508" s="117" t="n"/>
      <c r="T2508" s="117" t="n"/>
    </row>
    <row r="2509" ht="16.5" customHeight="1" s="253">
      <c r="A2509" s="134" t="inlineStr">
        <is>
          <t>20792XXX</t>
        </is>
      </c>
      <c r="B2509" s="246" t="inlineStr">
        <is>
          <t>TAVERNITI  REM M/C</t>
        </is>
      </c>
      <c r="C2509" s="88" t="n">
        <v>56400</v>
      </c>
      <c r="D2509" s="22" t="n"/>
      <c r="E2509" s="22" t="n"/>
      <c r="F2509" s="22" t="n"/>
      <c r="G2509" s="219" t="n"/>
      <c r="H2509" s="219" t="n"/>
      <c r="I2509" s="219" t="n"/>
      <c r="J2509" s="219" t="n"/>
      <c r="K2509" s="219" t="n"/>
      <c r="L2509" s="219" t="n"/>
      <c r="M2509" s="219" t="n"/>
      <c r="O2509" s="117">
        <f>C2509*P2509</f>
        <v/>
      </c>
      <c r="P2509" s="150" t="n">
        <v>1.1</v>
      </c>
      <c r="R2509" s="117" t="n"/>
      <c r="T2509" s="117" t="n"/>
    </row>
    <row r="2510" ht="16.5" customHeight="1" s="253">
      <c r="A2510" s="89" t="inlineStr">
        <is>
          <t>20796XXX</t>
        </is>
      </c>
      <c r="B2510" s="135" t="inlineStr">
        <is>
          <t>TAVERNITI  REM M/C</t>
        </is>
      </c>
      <c r="C2510" s="88" t="n">
        <v>57800</v>
      </c>
      <c r="D2510" s="170" t="n"/>
      <c r="E2510" s="170" t="n"/>
      <c r="F2510" s="170" t="n"/>
      <c r="G2510" s="170" t="n"/>
      <c r="H2510" s="170" t="n"/>
      <c r="I2510" s="170" t="n"/>
      <c r="J2510" s="170" t="n"/>
      <c r="K2510" s="170" t="n"/>
      <c r="L2510" s="170" t="n"/>
      <c r="M2510" s="170" t="n"/>
      <c r="N2510" s="30" t="n"/>
      <c r="O2510" s="150">
        <f>C2510*P2510</f>
        <v/>
      </c>
      <c r="P2510" s="150" t="n">
        <v>1.1</v>
      </c>
      <c r="Q2510" s="30" t="n"/>
      <c r="R2510" s="170" t="n"/>
      <c r="S2510" s="30" t="n"/>
      <c r="T2510" s="170" t="n"/>
      <c r="U2510" s="30" t="n"/>
      <c r="V2510" s="30" t="n"/>
      <c r="W2510" s="30" t="n"/>
      <c r="X2510" s="30" t="n"/>
      <c r="Y2510" s="30" t="n"/>
      <c r="Z2510" s="30" t="n"/>
      <c r="AA2510" s="30" t="n"/>
      <c r="AB2510" s="30" t="n"/>
      <c r="AC2510" s="30" t="n"/>
      <c r="AD2510" s="30" t="n"/>
      <c r="AE2510" s="30" t="n"/>
      <c r="AF2510" s="30" t="n"/>
      <c r="AG2510" s="30" t="n"/>
      <c r="AH2510" s="30" t="n"/>
      <c r="AI2510" s="30" t="n"/>
      <c r="AJ2510" s="30" t="n"/>
      <c r="AK2510" s="30" t="n"/>
      <c r="AL2510" s="30" t="n"/>
      <c r="AM2510" s="30" t="n"/>
      <c r="AN2510" s="30" t="n"/>
      <c r="AO2510" s="30" t="n"/>
    </row>
    <row r="2511" ht="16.5" customHeight="1" s="253">
      <c r="A2511" s="134" t="inlineStr">
        <is>
          <t>20798XXX</t>
        </is>
      </c>
      <c r="B2511" s="246" t="inlineStr">
        <is>
          <t>TAVERNITI  REM M/C</t>
        </is>
      </c>
      <c r="C2511" s="88" t="n">
        <v>57800</v>
      </c>
      <c r="D2511" s="22" t="n"/>
      <c r="E2511" s="22" t="n"/>
      <c r="F2511" s="22" t="n"/>
      <c r="G2511" s="219" t="n"/>
      <c r="H2511" s="219" t="n"/>
      <c r="I2511" s="219" t="n"/>
      <c r="J2511" s="219" t="n"/>
      <c r="K2511" s="219" t="n"/>
      <c r="L2511" s="219" t="n"/>
      <c r="M2511" s="219" t="n"/>
      <c r="O2511" s="117">
        <f>C2511*P2511</f>
        <v/>
      </c>
      <c r="P2511" s="150" t="n">
        <v>1.1</v>
      </c>
      <c r="R2511" s="117" t="n"/>
      <c r="T2511" s="117" t="n"/>
    </row>
    <row r="2512" ht="16.5" customHeight="1" s="253">
      <c r="A2512" s="89" t="inlineStr">
        <is>
          <t>20806XXX</t>
        </is>
      </c>
      <c r="B2512" s="135" t="inlineStr">
        <is>
          <t>TAVERNITI  REM M/C</t>
        </is>
      </c>
      <c r="C2512" s="88" t="n">
        <v>57800</v>
      </c>
      <c r="D2512" s="170" t="n"/>
      <c r="E2512" s="170" t="n"/>
      <c r="F2512" s="170" t="n"/>
      <c r="G2512" s="170" t="n"/>
      <c r="H2512" s="170" t="n"/>
      <c r="I2512" s="170" t="n"/>
      <c r="J2512" s="170" t="n"/>
      <c r="K2512" s="170" t="n"/>
      <c r="L2512" s="170" t="n"/>
      <c r="M2512" s="170" t="n"/>
      <c r="N2512" s="30" t="n"/>
      <c r="O2512" s="150">
        <f>C2512*P2512</f>
        <v/>
      </c>
      <c r="P2512" s="150" t="n">
        <v>1.1</v>
      </c>
      <c r="Q2512" s="30" t="n"/>
      <c r="R2512" s="170" t="n"/>
      <c r="S2512" s="30" t="n"/>
      <c r="T2512" s="170" t="n"/>
      <c r="U2512" s="30" t="n"/>
      <c r="V2512" s="30" t="n"/>
      <c r="W2512" s="30" t="n"/>
      <c r="X2512" s="30" t="n"/>
      <c r="Y2512" s="30" t="n"/>
      <c r="Z2512" s="30" t="n"/>
      <c r="AA2512" s="30" t="n"/>
      <c r="AB2512" s="30" t="n"/>
      <c r="AC2512" s="30" t="n"/>
      <c r="AD2512" s="30" t="n"/>
      <c r="AE2512" s="30" t="n"/>
      <c r="AF2512" s="30" t="n"/>
      <c r="AG2512" s="30" t="n"/>
      <c r="AH2512" s="30" t="n"/>
      <c r="AI2512" s="30" t="n"/>
      <c r="AJ2512" s="30" t="n"/>
      <c r="AK2512" s="30" t="n"/>
      <c r="AL2512" s="30" t="n"/>
      <c r="AM2512" s="30" t="n"/>
      <c r="AN2512" s="30" t="n"/>
      <c r="AO2512" s="30" t="n"/>
    </row>
    <row r="2513" ht="16.5" customHeight="1" s="253">
      <c r="A2513" s="134" t="inlineStr">
        <is>
          <t>20808XXX</t>
        </is>
      </c>
      <c r="B2513" s="246" t="inlineStr">
        <is>
          <t>TAVERNITI  REM M/C</t>
        </is>
      </c>
      <c r="C2513" s="88" t="n">
        <v>57800</v>
      </c>
      <c r="D2513" s="22" t="n"/>
      <c r="E2513" s="22" t="n"/>
      <c r="F2513" s="22" t="n"/>
      <c r="G2513" s="219" t="n"/>
      <c r="H2513" s="219" t="n"/>
      <c r="I2513" s="219" t="n"/>
      <c r="J2513" s="219" t="n"/>
      <c r="K2513" s="219" t="n"/>
      <c r="L2513" s="219" t="n"/>
      <c r="M2513" s="219" t="n"/>
      <c r="O2513" s="117">
        <f>C2513*P2513</f>
        <v/>
      </c>
      <c r="P2513" s="150" t="n">
        <v>1.1</v>
      </c>
      <c r="R2513" s="117" t="n"/>
      <c r="T2513" s="117" t="n"/>
    </row>
    <row r="2514" ht="16.5" customHeight="1" s="253">
      <c r="A2514" s="134" t="inlineStr">
        <is>
          <t>20810XXX</t>
        </is>
      </c>
      <c r="B2514" s="246" t="inlineStr">
        <is>
          <t>TAVERNITI  REM M/C</t>
        </is>
      </c>
      <c r="C2514" s="88" t="n">
        <v>57800</v>
      </c>
      <c r="D2514" s="22" t="n"/>
      <c r="E2514" s="22" t="n"/>
      <c r="F2514" s="22" t="n"/>
      <c r="G2514" s="219" t="n"/>
      <c r="H2514" s="219" t="n"/>
      <c r="I2514" s="219" t="n"/>
      <c r="J2514" s="219" t="n"/>
      <c r="K2514" s="219" t="n"/>
      <c r="L2514" s="219" t="n"/>
      <c r="M2514" s="219" t="n"/>
      <c r="O2514" s="117">
        <f>C2514*P2514</f>
        <v/>
      </c>
      <c r="P2514" s="150" t="n">
        <v>1.1</v>
      </c>
      <c r="R2514" s="117" t="n"/>
      <c r="T2514" s="117" t="n"/>
    </row>
    <row r="2515" ht="16.5" customHeight="1" s="253">
      <c r="A2515" s="134" t="inlineStr">
        <is>
          <t>20812XXX</t>
        </is>
      </c>
      <c r="B2515" s="246" t="inlineStr">
        <is>
          <t>TAVERNITI  REM M/C</t>
        </is>
      </c>
      <c r="C2515" s="88" t="n">
        <v>57800</v>
      </c>
      <c r="D2515" s="22" t="n"/>
      <c r="E2515" s="22" t="n"/>
      <c r="F2515" s="22" t="n"/>
      <c r="G2515" s="219" t="n"/>
      <c r="H2515" s="219" t="n"/>
      <c r="I2515" s="219" t="n"/>
      <c r="J2515" s="219" t="n"/>
      <c r="K2515" s="219" t="n"/>
      <c r="L2515" s="219" t="n"/>
      <c r="M2515" s="219" t="n"/>
      <c r="O2515" s="117">
        <f>C2515*P2515</f>
        <v/>
      </c>
      <c r="P2515" s="150" t="n">
        <v>1.1</v>
      </c>
      <c r="R2515" s="117" t="n"/>
      <c r="T2515" s="117" t="n"/>
    </row>
    <row r="2516" ht="16.5" customHeight="1" s="253">
      <c r="A2516" s="134" t="inlineStr">
        <is>
          <t>20820XXX</t>
        </is>
      </c>
      <c r="B2516" s="246" t="inlineStr">
        <is>
          <t>TAVERNITI  REM M/C</t>
        </is>
      </c>
      <c r="C2516" s="88" t="n">
        <v>57800</v>
      </c>
      <c r="D2516" s="22" t="n"/>
      <c r="E2516" s="22" t="n"/>
      <c r="F2516" s="22" t="n"/>
      <c r="G2516" s="219" t="n"/>
      <c r="H2516" s="219" t="n"/>
      <c r="I2516" s="219" t="n"/>
      <c r="J2516" s="219" t="n"/>
      <c r="K2516" s="219" t="n"/>
      <c r="L2516" s="219" t="n"/>
      <c r="M2516" s="219" t="n"/>
      <c r="O2516" s="117">
        <f>C2516*P2516</f>
        <v/>
      </c>
      <c r="P2516" s="150" t="n">
        <v>1.1</v>
      </c>
      <c r="R2516" s="117" t="n"/>
      <c r="T2516" s="117" t="n"/>
    </row>
    <row r="2517" ht="16.5" customHeight="1" s="253">
      <c r="A2517" s="134" t="inlineStr">
        <is>
          <t>20828XXX</t>
        </is>
      </c>
      <c r="B2517" s="246" t="inlineStr">
        <is>
          <t>TAVERNITI  REM M/C</t>
        </is>
      </c>
      <c r="C2517" s="88" t="n">
        <v>57800</v>
      </c>
      <c r="D2517" s="22" t="n"/>
      <c r="E2517" s="22" t="n"/>
      <c r="F2517" s="22" t="n"/>
      <c r="G2517" s="219" t="n"/>
      <c r="H2517" s="219" t="n"/>
      <c r="I2517" s="219" t="n"/>
      <c r="J2517" s="219" t="n"/>
      <c r="K2517" s="219" t="n"/>
      <c r="L2517" s="219" t="n"/>
      <c r="M2517" s="219" t="n"/>
      <c r="O2517" s="117">
        <f>C2517*P2517</f>
        <v/>
      </c>
      <c r="P2517" s="150" t="n">
        <v>1.1</v>
      </c>
      <c r="R2517" s="117" t="n"/>
      <c r="T2517" s="117" t="n"/>
    </row>
    <row r="2518" ht="16.5" customHeight="1" s="253">
      <c r="A2518" s="89" t="inlineStr">
        <is>
          <t>20846XXX</t>
        </is>
      </c>
      <c r="B2518" s="135" t="inlineStr">
        <is>
          <t>TAVERNITI  REM M/C</t>
        </is>
      </c>
      <c r="C2518" s="88" t="n">
        <v>35300</v>
      </c>
      <c r="D2518" s="170" t="n"/>
      <c r="E2518" s="170" t="n"/>
      <c r="F2518" s="170" t="n"/>
      <c r="G2518" s="170" t="n"/>
      <c r="H2518" s="170" t="n"/>
      <c r="I2518" s="170" t="n"/>
      <c r="J2518" s="170" t="n"/>
      <c r="K2518" s="170" t="n"/>
      <c r="L2518" s="170" t="n"/>
      <c r="M2518" s="170" t="n"/>
      <c r="N2518" s="30" t="n"/>
      <c r="O2518" s="150">
        <f>C2518*P2518</f>
        <v/>
      </c>
      <c r="P2518" s="150" t="n">
        <v>1.1</v>
      </c>
      <c r="Q2518" s="30" t="n"/>
      <c r="R2518" s="170" t="n"/>
      <c r="S2518" s="30" t="n"/>
      <c r="T2518" s="170" t="n"/>
      <c r="U2518" s="30" t="n"/>
      <c r="V2518" s="30" t="n"/>
      <c r="W2518" s="30" t="n"/>
      <c r="X2518" s="30" t="n"/>
      <c r="Y2518" s="30" t="n"/>
      <c r="Z2518" s="30" t="n"/>
      <c r="AA2518" s="30" t="n"/>
      <c r="AB2518" s="30" t="n"/>
      <c r="AC2518" s="30" t="n"/>
      <c r="AD2518" s="30" t="n"/>
      <c r="AE2518" s="30" t="n"/>
      <c r="AF2518" s="30" t="n"/>
      <c r="AG2518" s="30" t="n"/>
      <c r="AH2518" s="30" t="n"/>
      <c r="AI2518" s="30" t="n"/>
      <c r="AJ2518" s="30" t="n"/>
      <c r="AK2518" s="30" t="n"/>
      <c r="AL2518" s="30" t="n"/>
      <c r="AM2518" s="30" t="n"/>
      <c r="AN2518" s="30" t="n"/>
      <c r="AO2518" s="30" t="n"/>
    </row>
    <row r="2519" ht="16.5" customHeight="1" s="253">
      <c r="A2519" s="89" t="inlineStr">
        <is>
          <t>20850XXX</t>
        </is>
      </c>
      <c r="B2519" s="135" t="inlineStr">
        <is>
          <t>TAVERNITI  REM M/C</t>
        </is>
      </c>
      <c r="C2519" s="88" t="n">
        <v>57800</v>
      </c>
      <c r="D2519" s="170" t="n"/>
      <c r="E2519" s="170" t="n"/>
      <c r="F2519" s="170" t="n"/>
      <c r="G2519" s="170" t="n"/>
      <c r="H2519" s="170" t="n"/>
      <c r="I2519" s="170" t="n"/>
      <c r="J2519" s="170" t="n"/>
      <c r="K2519" s="170" t="n"/>
      <c r="L2519" s="170" t="n"/>
      <c r="M2519" s="170" t="n"/>
      <c r="N2519" s="30" t="n"/>
      <c r="O2519" s="150">
        <f>C2519*P2519</f>
        <v/>
      </c>
      <c r="P2519" s="150" t="n">
        <v>1.1</v>
      </c>
      <c r="Q2519" s="30" t="n"/>
      <c r="R2519" s="170" t="n"/>
      <c r="S2519" s="30" t="n"/>
      <c r="T2519" s="170" t="n"/>
      <c r="U2519" s="30" t="n"/>
      <c r="V2519" s="30" t="n"/>
      <c r="W2519" s="30" t="n"/>
      <c r="X2519" s="30" t="n"/>
      <c r="Y2519" s="30" t="n"/>
      <c r="Z2519" s="30" t="n"/>
      <c r="AA2519" s="30" t="n"/>
      <c r="AB2519" s="30" t="n"/>
      <c r="AC2519" s="30" t="n"/>
      <c r="AD2519" s="30" t="n"/>
      <c r="AE2519" s="30" t="n"/>
      <c r="AF2519" s="30" t="n"/>
      <c r="AG2519" s="30" t="n"/>
      <c r="AH2519" s="30" t="n"/>
      <c r="AI2519" s="30" t="n"/>
      <c r="AJ2519" s="30" t="n"/>
      <c r="AK2519" s="30" t="n"/>
      <c r="AL2519" s="30" t="n"/>
      <c r="AM2519" s="30" t="n"/>
      <c r="AN2519" s="30" t="n"/>
      <c r="AO2519" s="30" t="n"/>
    </row>
    <row r="2520" ht="16.5" customHeight="1" s="253">
      <c r="A2520" s="89" t="inlineStr">
        <is>
          <t>20852XXX</t>
        </is>
      </c>
      <c r="B2520" s="135" t="inlineStr">
        <is>
          <t>TAVERNITI  REM M/C</t>
        </is>
      </c>
      <c r="C2520" s="88" t="n">
        <v>57800</v>
      </c>
      <c r="D2520" s="170" t="n"/>
      <c r="E2520" s="170" t="n"/>
      <c r="F2520" s="170" t="n"/>
      <c r="G2520" s="170" t="n"/>
      <c r="H2520" s="170" t="n"/>
      <c r="I2520" s="170" t="n"/>
      <c r="J2520" s="170" t="n"/>
      <c r="K2520" s="170" t="n"/>
      <c r="L2520" s="170" t="n"/>
      <c r="M2520" s="170" t="n"/>
      <c r="N2520" s="30" t="n"/>
      <c r="O2520" s="150">
        <f>C2520*P2520</f>
        <v/>
      </c>
      <c r="P2520" s="150" t="n">
        <v>1.1</v>
      </c>
      <c r="Q2520" s="30" t="n"/>
      <c r="R2520" s="170" t="n"/>
      <c r="S2520" s="30" t="n"/>
      <c r="T2520" s="170" t="n"/>
      <c r="U2520" s="30" t="n"/>
      <c r="V2520" s="30" t="n"/>
      <c r="W2520" s="30" t="n"/>
      <c r="X2520" s="30" t="n"/>
      <c r="Y2520" s="30" t="n"/>
      <c r="Z2520" s="30" t="n"/>
      <c r="AA2520" s="30" t="n"/>
      <c r="AB2520" s="30" t="n"/>
      <c r="AC2520" s="30" t="n"/>
      <c r="AD2520" s="30" t="n"/>
      <c r="AE2520" s="30" t="n"/>
      <c r="AF2520" s="30" t="n"/>
      <c r="AG2520" s="30" t="n"/>
      <c r="AH2520" s="30" t="n"/>
      <c r="AI2520" s="30" t="n"/>
      <c r="AJ2520" s="30" t="n"/>
      <c r="AK2520" s="30" t="n"/>
      <c r="AL2520" s="30" t="n"/>
      <c r="AM2520" s="30" t="n"/>
      <c r="AN2520" s="30" t="n"/>
      <c r="AO2520" s="30" t="n"/>
    </row>
    <row r="2521" ht="16.5" customHeight="1" s="253">
      <c r="A2521" s="89" t="inlineStr">
        <is>
          <t>20854XXX</t>
        </is>
      </c>
      <c r="B2521" s="135" t="inlineStr">
        <is>
          <t>TAVERNITI  REM M/C</t>
        </is>
      </c>
      <c r="C2521" s="88" t="n">
        <v>57800</v>
      </c>
      <c r="D2521" s="170" t="n"/>
      <c r="E2521" s="170" t="n"/>
      <c r="F2521" s="170" t="n"/>
      <c r="G2521" s="170" t="n"/>
      <c r="H2521" s="170" t="n"/>
      <c r="I2521" s="170" t="n"/>
      <c r="J2521" s="170" t="n"/>
      <c r="K2521" s="170" t="n"/>
      <c r="L2521" s="170" t="n"/>
      <c r="M2521" s="170" t="n"/>
      <c r="N2521" s="30" t="n"/>
      <c r="O2521" s="150">
        <f>C2521*P2521</f>
        <v/>
      </c>
      <c r="P2521" s="150" t="n">
        <v>1.1</v>
      </c>
      <c r="Q2521" s="30" t="n"/>
      <c r="R2521" s="170" t="n"/>
      <c r="S2521" s="30" t="n"/>
      <c r="T2521" s="170" t="n"/>
      <c r="U2521" s="30" t="n"/>
      <c r="V2521" s="30" t="n"/>
      <c r="W2521" s="30" t="n"/>
      <c r="X2521" s="30" t="n"/>
      <c r="Y2521" s="30" t="n"/>
      <c r="Z2521" s="30" t="n"/>
      <c r="AA2521" s="30" t="n"/>
      <c r="AB2521" s="30" t="n"/>
      <c r="AC2521" s="30" t="n"/>
      <c r="AD2521" s="30" t="n"/>
      <c r="AE2521" s="30" t="n"/>
      <c r="AF2521" s="30" t="n"/>
      <c r="AG2521" s="30" t="n"/>
      <c r="AH2521" s="30" t="n"/>
      <c r="AI2521" s="30" t="n"/>
      <c r="AJ2521" s="30" t="n"/>
      <c r="AK2521" s="30" t="n"/>
      <c r="AL2521" s="30" t="n"/>
      <c r="AM2521" s="30" t="n"/>
      <c r="AN2521" s="30" t="n"/>
      <c r="AO2521" s="30" t="n"/>
    </row>
    <row r="2522" ht="16.5" customHeight="1" s="253">
      <c r="A2522" s="89" t="inlineStr">
        <is>
          <t>20856XXX</t>
        </is>
      </c>
      <c r="B2522" s="135" t="inlineStr">
        <is>
          <t>TAVERNITI  REM M/C</t>
        </is>
      </c>
      <c r="C2522" s="88" t="n">
        <v>57800</v>
      </c>
      <c r="D2522" s="170" t="n"/>
      <c r="E2522" s="170" t="n"/>
      <c r="F2522" s="170" t="n"/>
      <c r="G2522" s="170" t="n"/>
      <c r="H2522" s="170" t="n"/>
      <c r="I2522" s="170" t="n"/>
      <c r="J2522" s="170" t="n"/>
      <c r="K2522" s="170" t="n"/>
      <c r="L2522" s="170" t="n"/>
      <c r="M2522" s="170" t="n"/>
      <c r="N2522" s="30" t="n"/>
      <c r="O2522" s="150">
        <f>C2522*P2522</f>
        <v/>
      </c>
      <c r="P2522" s="150" t="n">
        <v>1.1</v>
      </c>
      <c r="Q2522" s="30" t="n"/>
      <c r="R2522" s="170" t="n"/>
      <c r="S2522" s="30" t="n"/>
      <c r="T2522" s="170" t="n"/>
      <c r="U2522" s="30" t="n"/>
      <c r="V2522" s="30" t="n"/>
      <c r="W2522" s="30" t="n"/>
      <c r="X2522" s="30" t="n"/>
      <c r="Y2522" s="30" t="n"/>
      <c r="Z2522" s="30" t="n"/>
      <c r="AA2522" s="30" t="n"/>
      <c r="AB2522" s="30" t="n"/>
      <c r="AC2522" s="30" t="n"/>
      <c r="AD2522" s="30" t="n"/>
      <c r="AE2522" s="30" t="n"/>
      <c r="AF2522" s="30" t="n"/>
      <c r="AG2522" s="30" t="n"/>
      <c r="AH2522" s="30" t="n"/>
      <c r="AI2522" s="30" t="n"/>
      <c r="AJ2522" s="30" t="n"/>
      <c r="AK2522" s="30" t="n"/>
      <c r="AL2522" s="30" t="n"/>
      <c r="AM2522" s="30" t="n"/>
      <c r="AN2522" s="30" t="n"/>
      <c r="AO2522" s="30" t="n"/>
    </row>
    <row r="2523" ht="16.5" customHeight="1" s="253">
      <c r="A2523" s="89" t="inlineStr">
        <is>
          <t>20858XXX</t>
        </is>
      </c>
      <c r="B2523" s="135" t="inlineStr">
        <is>
          <t>TAVERNITI  REM M/C</t>
        </is>
      </c>
      <c r="C2523" s="88" t="n">
        <v>57800</v>
      </c>
      <c r="D2523" s="170" t="n"/>
      <c r="E2523" s="170" t="n"/>
      <c r="F2523" s="170" t="n"/>
      <c r="G2523" s="170" t="n"/>
      <c r="H2523" s="170" t="n"/>
      <c r="I2523" s="170" t="n"/>
      <c r="J2523" s="170" t="n"/>
      <c r="K2523" s="170" t="n"/>
      <c r="L2523" s="170" t="n"/>
      <c r="M2523" s="170" t="n"/>
      <c r="N2523" s="30" t="n"/>
      <c r="O2523" s="150">
        <f>C2523*P2523</f>
        <v/>
      </c>
      <c r="P2523" s="150" t="n">
        <v>1.1</v>
      </c>
      <c r="Q2523" s="30" t="n"/>
      <c r="R2523" s="170" t="n"/>
      <c r="S2523" s="30" t="n"/>
      <c r="T2523" s="170" t="n"/>
      <c r="U2523" s="30" t="n"/>
      <c r="V2523" s="30" t="n"/>
      <c r="W2523" s="30" t="n"/>
      <c r="X2523" s="30" t="n"/>
      <c r="Y2523" s="30" t="n"/>
      <c r="Z2523" s="30" t="n"/>
      <c r="AA2523" s="30" t="n"/>
      <c r="AB2523" s="30" t="n"/>
      <c r="AC2523" s="30" t="n"/>
      <c r="AD2523" s="30" t="n"/>
      <c r="AE2523" s="30" t="n"/>
      <c r="AF2523" s="30" t="n"/>
      <c r="AG2523" s="30" t="n"/>
      <c r="AH2523" s="30" t="n"/>
      <c r="AI2523" s="30" t="n"/>
      <c r="AJ2523" s="30" t="n"/>
      <c r="AK2523" s="30" t="n"/>
      <c r="AL2523" s="30" t="n"/>
      <c r="AM2523" s="30" t="n"/>
      <c r="AN2523" s="30" t="n"/>
      <c r="AO2523" s="30" t="n"/>
    </row>
    <row r="2524" ht="16.5" customHeight="1" s="253">
      <c r="A2524" s="89" t="inlineStr">
        <is>
          <t>20860XXX</t>
        </is>
      </c>
      <c r="B2524" s="135" t="inlineStr">
        <is>
          <t>TAVERNITI  REM M/C</t>
        </is>
      </c>
      <c r="C2524" s="88" t="n">
        <v>57800</v>
      </c>
      <c r="D2524" s="170" t="n"/>
      <c r="E2524" s="170" t="n"/>
      <c r="F2524" s="170" t="n"/>
      <c r="G2524" s="170" t="n"/>
      <c r="H2524" s="170" t="n"/>
      <c r="I2524" s="170" t="n"/>
      <c r="J2524" s="170" t="n"/>
      <c r="K2524" s="170" t="n"/>
      <c r="L2524" s="170" t="n"/>
      <c r="M2524" s="170" t="n"/>
      <c r="N2524" s="30" t="n"/>
      <c r="O2524" s="150">
        <f>C2524*P2524</f>
        <v/>
      </c>
      <c r="P2524" s="150" t="n">
        <v>1.1</v>
      </c>
      <c r="Q2524" s="30" t="n"/>
      <c r="R2524" s="170" t="n"/>
      <c r="S2524" s="30" t="n"/>
      <c r="T2524" s="170" t="n"/>
      <c r="U2524" s="30" t="n"/>
      <c r="V2524" s="30" t="n"/>
      <c r="W2524" s="30" t="n"/>
      <c r="X2524" s="30" t="n"/>
      <c r="Y2524" s="30" t="n"/>
      <c r="Z2524" s="30" t="n"/>
      <c r="AA2524" s="30" t="n"/>
      <c r="AB2524" s="30" t="n"/>
      <c r="AC2524" s="30" t="n"/>
      <c r="AD2524" s="30" t="n"/>
      <c r="AE2524" s="30" t="n"/>
      <c r="AF2524" s="30" t="n"/>
      <c r="AG2524" s="30" t="n"/>
      <c r="AH2524" s="30" t="n"/>
      <c r="AI2524" s="30" t="n"/>
      <c r="AJ2524" s="30" t="n"/>
      <c r="AK2524" s="30" t="n"/>
      <c r="AL2524" s="30" t="n"/>
      <c r="AM2524" s="30" t="n"/>
      <c r="AN2524" s="30" t="n"/>
      <c r="AO2524" s="30" t="n"/>
    </row>
    <row r="2525" ht="16.5" customHeight="1" s="253">
      <c r="A2525" s="89" t="inlineStr">
        <is>
          <t>20862XXX</t>
        </is>
      </c>
      <c r="B2525" s="135" t="inlineStr">
        <is>
          <t>TAVERNITI  REM M/C</t>
        </is>
      </c>
      <c r="C2525" s="88" t="n">
        <v>54700</v>
      </c>
      <c r="D2525" s="170" t="n"/>
      <c r="E2525" s="170" t="n"/>
      <c r="F2525" s="170" t="n"/>
      <c r="G2525" s="170" t="n"/>
      <c r="H2525" s="170" t="n"/>
      <c r="I2525" s="170" t="n"/>
      <c r="J2525" s="170" t="n"/>
      <c r="K2525" s="170" t="n"/>
      <c r="L2525" s="170" t="n"/>
      <c r="M2525" s="170" t="n"/>
      <c r="N2525" s="30" t="n"/>
      <c r="O2525" s="150">
        <f>C2525*P2525</f>
        <v/>
      </c>
      <c r="P2525" s="150" t="n">
        <v>1.1</v>
      </c>
      <c r="Q2525" s="30" t="n"/>
      <c r="R2525" s="170" t="n"/>
      <c r="S2525" s="30" t="n"/>
      <c r="T2525" s="170" t="n"/>
      <c r="U2525" s="30" t="n"/>
      <c r="V2525" s="30" t="n"/>
      <c r="W2525" s="30" t="n"/>
      <c r="X2525" s="30" t="n"/>
      <c r="Y2525" s="30" t="n"/>
      <c r="Z2525" s="30" t="n"/>
      <c r="AA2525" s="30" t="n"/>
      <c r="AB2525" s="30" t="n"/>
      <c r="AC2525" s="30" t="n"/>
      <c r="AD2525" s="30" t="n"/>
      <c r="AE2525" s="30" t="n"/>
      <c r="AF2525" s="30" t="n"/>
      <c r="AG2525" s="30" t="n"/>
      <c r="AH2525" s="30" t="n"/>
      <c r="AI2525" s="30" t="n"/>
      <c r="AJ2525" s="30" t="n"/>
      <c r="AK2525" s="30" t="n"/>
      <c r="AL2525" s="30" t="n"/>
      <c r="AM2525" s="30" t="n"/>
      <c r="AN2525" s="30" t="n"/>
      <c r="AO2525" s="30" t="n"/>
    </row>
    <row r="2526" ht="16.5" customHeight="1" s="253">
      <c r="A2526" s="89" t="inlineStr">
        <is>
          <t>20868XXX</t>
        </is>
      </c>
      <c r="B2526" s="135" t="inlineStr">
        <is>
          <t>TAVERNITI  REM M/C</t>
        </is>
      </c>
      <c r="C2526" s="88" t="n">
        <v>41100</v>
      </c>
      <c r="D2526" s="170" t="n"/>
      <c r="E2526" s="170" t="n"/>
      <c r="F2526" s="170" t="n"/>
      <c r="G2526" s="170" t="n"/>
      <c r="H2526" s="170" t="n"/>
      <c r="I2526" s="170" t="n"/>
      <c r="J2526" s="170" t="n"/>
      <c r="K2526" s="170" t="n"/>
      <c r="L2526" s="170" t="n"/>
      <c r="M2526" s="170" t="n"/>
      <c r="N2526" s="30" t="n"/>
      <c r="O2526" s="150">
        <f>C2526*P2526</f>
        <v/>
      </c>
      <c r="P2526" s="150" t="n">
        <v>1.1</v>
      </c>
      <c r="Q2526" s="30" t="n"/>
      <c r="R2526" s="170" t="n"/>
      <c r="S2526" s="30" t="n"/>
      <c r="T2526" s="170" t="n"/>
      <c r="U2526" s="30" t="n"/>
      <c r="V2526" s="30" t="n"/>
      <c r="W2526" s="30" t="n"/>
      <c r="X2526" s="30" t="n"/>
      <c r="Y2526" s="30" t="n"/>
      <c r="Z2526" s="30" t="n"/>
      <c r="AA2526" s="30" t="n"/>
      <c r="AB2526" s="30" t="n"/>
      <c r="AC2526" s="30" t="n"/>
      <c r="AD2526" s="30" t="n"/>
      <c r="AE2526" s="30" t="n"/>
      <c r="AF2526" s="30" t="n"/>
      <c r="AG2526" s="30" t="n"/>
      <c r="AH2526" s="30" t="n"/>
      <c r="AI2526" s="30" t="n"/>
      <c r="AJ2526" s="30" t="n"/>
      <c r="AK2526" s="30" t="n"/>
      <c r="AL2526" s="30" t="n"/>
      <c r="AM2526" s="30" t="n"/>
      <c r="AN2526" s="30" t="n"/>
      <c r="AO2526" s="30" t="n"/>
    </row>
    <row r="2527" ht="16.5" customHeight="1" s="253">
      <c r="A2527" s="89" t="inlineStr">
        <is>
          <t>20870XXX</t>
        </is>
      </c>
      <c r="B2527" s="135" t="inlineStr">
        <is>
          <t>TAVERNITI  REM M/C</t>
        </is>
      </c>
      <c r="C2527" s="88" t="n">
        <v>57800</v>
      </c>
      <c r="D2527" s="170" t="n"/>
      <c r="E2527" s="170" t="n"/>
      <c r="F2527" s="170" t="n"/>
      <c r="G2527" s="170" t="n"/>
      <c r="H2527" s="170" t="n"/>
      <c r="I2527" s="170" t="n"/>
      <c r="J2527" s="170" t="n"/>
      <c r="K2527" s="170" t="n"/>
      <c r="L2527" s="170" t="n"/>
      <c r="M2527" s="170" t="n"/>
      <c r="N2527" s="30" t="n"/>
      <c r="O2527" s="150">
        <f>C2527*P2527</f>
        <v/>
      </c>
      <c r="P2527" s="150" t="n">
        <v>1.1</v>
      </c>
      <c r="Q2527" s="30" t="n"/>
      <c r="R2527" s="170" t="n"/>
      <c r="S2527" s="30" t="n"/>
      <c r="T2527" s="170" t="n"/>
      <c r="U2527" s="30" t="n"/>
      <c r="V2527" s="30" t="n"/>
      <c r="W2527" s="30" t="n"/>
      <c r="X2527" s="30" t="n"/>
      <c r="Y2527" s="30" t="n"/>
      <c r="Z2527" s="30" t="n"/>
      <c r="AA2527" s="30" t="n"/>
      <c r="AB2527" s="30" t="n"/>
      <c r="AC2527" s="30" t="n"/>
      <c r="AD2527" s="30" t="n"/>
      <c r="AE2527" s="30" t="n"/>
      <c r="AF2527" s="30" t="n"/>
      <c r="AG2527" s="30" t="n"/>
      <c r="AH2527" s="30" t="n"/>
      <c r="AI2527" s="30" t="n"/>
      <c r="AJ2527" s="30" t="n"/>
      <c r="AK2527" s="30" t="n"/>
      <c r="AL2527" s="30" t="n"/>
      <c r="AM2527" s="30" t="n"/>
      <c r="AN2527" s="30" t="n"/>
      <c r="AO2527" s="30" t="n"/>
    </row>
    <row r="2528" ht="16.5" customHeight="1" s="253">
      <c r="A2528" s="134" t="inlineStr">
        <is>
          <t>20872XXX</t>
        </is>
      </c>
      <c r="B2528" s="246" t="inlineStr">
        <is>
          <t>TAVERNITI  REM M/C</t>
        </is>
      </c>
      <c r="C2528" s="88" t="n">
        <v>57800</v>
      </c>
      <c r="D2528" s="22" t="n"/>
      <c r="E2528" s="22" t="n"/>
      <c r="F2528" s="22" t="n"/>
      <c r="G2528" s="219" t="n"/>
      <c r="H2528" s="219" t="n"/>
      <c r="I2528" s="219" t="n"/>
      <c r="J2528" s="219" t="n"/>
      <c r="K2528" s="219" t="n"/>
      <c r="L2528" s="219" t="n"/>
      <c r="M2528" s="219" t="n"/>
      <c r="O2528" s="117">
        <f>C2528*P2528</f>
        <v/>
      </c>
      <c r="P2528" s="150" t="n">
        <v>1.1</v>
      </c>
      <c r="R2528" s="117" t="n"/>
      <c r="T2528" s="117" t="n"/>
    </row>
    <row r="2529" ht="16.5" customHeight="1" s="253">
      <c r="A2529" s="134" t="inlineStr">
        <is>
          <t>20874XXX</t>
        </is>
      </c>
      <c r="B2529" s="246" t="inlineStr">
        <is>
          <t>TAVERNITI  REM M/C</t>
        </is>
      </c>
      <c r="C2529" s="88" t="n">
        <v>54500</v>
      </c>
      <c r="D2529" s="22" t="n"/>
      <c r="E2529" s="22" t="n"/>
      <c r="F2529" s="22" t="n"/>
      <c r="G2529" s="219" t="n"/>
      <c r="H2529" s="219" t="n"/>
      <c r="I2529" s="219" t="n"/>
      <c r="J2529" s="219" t="n"/>
      <c r="K2529" s="219" t="n"/>
      <c r="L2529" s="219" t="n"/>
      <c r="M2529" s="219" t="n"/>
      <c r="O2529" s="117">
        <f>C2529*P2529</f>
        <v/>
      </c>
      <c r="P2529" s="150" t="n">
        <v>1.1</v>
      </c>
      <c r="R2529" s="117" t="n"/>
      <c r="T2529" s="117" t="n"/>
    </row>
    <row r="2530" ht="16.5" customHeight="1" s="253">
      <c r="A2530" s="134" t="inlineStr">
        <is>
          <t>20878XXX</t>
        </is>
      </c>
      <c r="B2530" s="246" t="inlineStr">
        <is>
          <t>TAVERNITI  REM M/C</t>
        </is>
      </c>
      <c r="C2530" s="88" t="n">
        <v>57800</v>
      </c>
      <c r="D2530" s="22" t="n"/>
      <c r="E2530" s="22" t="n"/>
      <c r="F2530" s="22" t="n"/>
      <c r="G2530" s="219" t="n"/>
      <c r="H2530" s="219" t="n"/>
      <c r="I2530" s="219" t="n"/>
      <c r="J2530" s="219" t="n"/>
      <c r="K2530" s="219" t="n"/>
      <c r="L2530" s="219" t="n"/>
      <c r="M2530" s="219" t="n"/>
      <c r="O2530" s="117">
        <f>C2530*P2530</f>
        <v/>
      </c>
      <c r="P2530" s="150" t="n">
        <v>1.1</v>
      </c>
      <c r="R2530" s="117" t="n"/>
      <c r="T2530" s="117" t="n"/>
    </row>
    <row r="2531" ht="16.5" customHeight="1" s="253">
      <c r="A2531" s="134" t="inlineStr">
        <is>
          <t>20880XXX</t>
        </is>
      </c>
      <c r="B2531" s="246" t="inlineStr">
        <is>
          <t>TAVERNITI  REM M/C</t>
        </is>
      </c>
      <c r="C2531" s="88" t="n">
        <v>42400</v>
      </c>
      <c r="D2531" s="22" t="n"/>
      <c r="E2531" s="22" t="n"/>
      <c r="F2531" s="22" t="n"/>
      <c r="G2531" s="219" t="n"/>
      <c r="H2531" s="219" t="n"/>
      <c r="I2531" s="219" t="n"/>
      <c r="J2531" s="219" t="n"/>
      <c r="K2531" s="219" t="n"/>
      <c r="L2531" s="219" t="n"/>
      <c r="M2531" s="219" t="n"/>
      <c r="O2531" s="117">
        <f>C2531*P2531</f>
        <v/>
      </c>
      <c r="P2531" s="150" t="n">
        <v>1.1</v>
      </c>
      <c r="R2531" s="117" t="n"/>
      <c r="T2531" s="117" t="n"/>
    </row>
    <row r="2532" ht="16.5" customHeight="1" s="253">
      <c r="A2532" s="134" t="inlineStr">
        <is>
          <t>20884XXX</t>
        </is>
      </c>
      <c r="B2532" s="246" t="inlineStr">
        <is>
          <t>TAVERNITI  REM M/C</t>
        </is>
      </c>
      <c r="C2532" s="88" t="n">
        <v>57800</v>
      </c>
      <c r="D2532" s="22" t="n"/>
      <c r="E2532" s="22" t="n"/>
      <c r="F2532" s="22" t="n"/>
      <c r="G2532" s="219" t="n"/>
      <c r="H2532" s="219" t="n"/>
      <c r="I2532" s="219" t="n"/>
      <c r="J2532" s="219" t="n"/>
      <c r="K2532" s="219" t="n"/>
      <c r="L2532" s="219" t="n"/>
      <c r="M2532" s="219" t="n"/>
      <c r="O2532" s="117">
        <f>C2532*P2532</f>
        <v/>
      </c>
      <c r="P2532" s="150" t="n">
        <v>1.1</v>
      </c>
      <c r="R2532" s="117" t="n"/>
      <c r="T2532" s="117" t="n"/>
    </row>
    <row r="2533" ht="16.5" customHeight="1" s="253">
      <c r="A2533" s="134" t="inlineStr">
        <is>
          <t>20886XXX</t>
        </is>
      </c>
      <c r="B2533" s="246" t="inlineStr">
        <is>
          <t>TAVERNITI  REM M/C</t>
        </is>
      </c>
      <c r="C2533" s="88" t="n">
        <v>57800</v>
      </c>
      <c r="D2533" s="22" t="n"/>
      <c r="E2533" s="22" t="n"/>
      <c r="F2533" s="22" t="n"/>
      <c r="G2533" s="219" t="n"/>
      <c r="H2533" s="219" t="n"/>
      <c r="I2533" s="219" t="n"/>
      <c r="J2533" s="219" t="n"/>
      <c r="K2533" s="219" t="n"/>
      <c r="L2533" s="219" t="n"/>
      <c r="M2533" s="219" t="n"/>
      <c r="O2533" s="117">
        <f>C2533*P2533</f>
        <v/>
      </c>
      <c r="P2533" s="150" t="n">
        <v>1.1</v>
      </c>
      <c r="R2533" s="117" t="n"/>
      <c r="T2533" s="117" t="n"/>
    </row>
    <row r="2534" ht="16.5" customHeight="1" s="253">
      <c r="A2534" s="134" t="inlineStr">
        <is>
          <t>20904XXX</t>
        </is>
      </c>
      <c r="B2534" s="246" t="inlineStr">
        <is>
          <t>TAVERNITI  REM M/C</t>
        </is>
      </c>
      <c r="C2534" s="88" t="n">
        <v>51500</v>
      </c>
      <c r="D2534" s="22" t="n"/>
      <c r="E2534" s="22" t="n"/>
      <c r="F2534" s="22" t="n"/>
      <c r="G2534" s="219" t="n"/>
      <c r="H2534" s="219" t="n"/>
      <c r="I2534" s="219" t="n"/>
      <c r="J2534" s="219" t="n"/>
      <c r="K2534" s="219" t="n"/>
      <c r="L2534" s="219" t="n"/>
      <c r="M2534" s="219" t="n"/>
      <c r="O2534" s="117">
        <f>C2534*P2534</f>
        <v/>
      </c>
      <c r="P2534" s="150" t="n">
        <v>1.1</v>
      </c>
      <c r="R2534" s="117" t="n"/>
      <c r="T2534" s="117" t="n"/>
    </row>
    <row r="2535" ht="16.5" customHeight="1" s="253">
      <c r="A2535" s="89" t="inlineStr">
        <is>
          <t>21020XXX</t>
        </is>
      </c>
      <c r="B2535" s="135" t="inlineStr">
        <is>
          <t>TAVERNITI  REM M/C</t>
        </is>
      </c>
      <c r="C2535" s="88" t="n">
        <v>54600</v>
      </c>
      <c r="D2535" s="170" t="n"/>
      <c r="E2535" s="170" t="n"/>
      <c r="F2535" s="170" t="n"/>
      <c r="G2535" s="170" t="n"/>
      <c r="H2535" s="170" t="n"/>
      <c r="I2535" s="170" t="n"/>
      <c r="J2535" s="170" t="n"/>
      <c r="K2535" s="170" t="n"/>
      <c r="L2535" s="170" t="n"/>
      <c r="M2535" s="170" t="n"/>
      <c r="N2535" s="30" t="n"/>
      <c r="O2535" s="150">
        <f>C2535*P2535</f>
        <v/>
      </c>
      <c r="P2535" s="150" t="n">
        <v>1.1</v>
      </c>
      <c r="Q2535" s="30" t="n"/>
      <c r="R2535" s="170" t="n"/>
      <c r="S2535" s="30" t="n"/>
      <c r="T2535" s="170" t="n"/>
      <c r="U2535" s="30" t="n"/>
      <c r="V2535" s="30" t="n"/>
      <c r="W2535" s="30" t="n"/>
      <c r="X2535" s="30" t="n"/>
      <c r="Y2535" s="30" t="n"/>
      <c r="Z2535" s="30" t="n"/>
      <c r="AA2535" s="30" t="n"/>
      <c r="AB2535" s="30" t="n"/>
      <c r="AC2535" s="30" t="n"/>
      <c r="AD2535" s="30" t="n"/>
      <c r="AE2535" s="30" t="n"/>
      <c r="AF2535" s="30" t="n"/>
      <c r="AG2535" s="30" t="n"/>
      <c r="AH2535" s="30" t="n"/>
      <c r="AI2535" s="30" t="n"/>
      <c r="AJ2535" s="30" t="n"/>
      <c r="AK2535" s="30" t="n"/>
      <c r="AL2535" s="30" t="n"/>
      <c r="AM2535" s="30" t="n"/>
      <c r="AN2535" s="30" t="n"/>
      <c r="AO2535" s="30" t="n"/>
    </row>
    <row r="2536" ht="16.5" customHeight="1" s="253">
      <c r="A2536" s="89" t="inlineStr">
        <is>
          <t>21022XXX</t>
        </is>
      </c>
      <c r="B2536" s="135" t="inlineStr">
        <is>
          <t>TAVERNITI  REM M/C</t>
        </is>
      </c>
      <c r="C2536" s="88" t="n">
        <v>54600</v>
      </c>
      <c r="D2536" s="170" t="n"/>
      <c r="E2536" s="170" t="n"/>
      <c r="F2536" s="170" t="n"/>
      <c r="G2536" s="170" t="n"/>
      <c r="H2536" s="170" t="n"/>
      <c r="I2536" s="170" t="n"/>
      <c r="J2536" s="170" t="n"/>
      <c r="K2536" s="170" t="n"/>
      <c r="L2536" s="170" t="n"/>
      <c r="M2536" s="170" t="n"/>
      <c r="N2536" s="30" t="n"/>
      <c r="O2536" s="150">
        <f>C2536*P2536</f>
        <v/>
      </c>
      <c r="P2536" s="150" t="n">
        <v>1.1</v>
      </c>
      <c r="Q2536" s="30" t="n"/>
      <c r="R2536" s="170" t="n"/>
      <c r="S2536" s="30" t="n"/>
      <c r="T2536" s="170" t="n"/>
      <c r="U2536" s="30" t="n"/>
      <c r="V2536" s="30" t="n"/>
      <c r="W2536" s="30" t="n"/>
      <c r="X2536" s="30" t="n"/>
      <c r="Y2536" s="30" t="n"/>
      <c r="Z2536" s="30" t="n"/>
      <c r="AA2536" s="30" t="n"/>
      <c r="AB2536" s="30" t="n"/>
      <c r="AC2536" s="30" t="n"/>
      <c r="AD2536" s="30" t="n"/>
      <c r="AE2536" s="30" t="n"/>
      <c r="AF2536" s="30" t="n"/>
      <c r="AG2536" s="30" t="n"/>
      <c r="AH2536" s="30" t="n"/>
      <c r="AI2536" s="30" t="n"/>
      <c r="AJ2536" s="30" t="n"/>
      <c r="AK2536" s="30" t="n"/>
      <c r="AL2536" s="30" t="n"/>
      <c r="AM2536" s="30" t="n"/>
      <c r="AN2536" s="30" t="n"/>
      <c r="AO2536" s="30" t="n"/>
    </row>
    <row r="2537" ht="16.5" customHeight="1" s="253">
      <c r="A2537" s="89" t="inlineStr">
        <is>
          <t>21040XXX</t>
        </is>
      </c>
      <c r="B2537" s="135" t="inlineStr">
        <is>
          <t>TAVERNITI  REM M/C</t>
        </is>
      </c>
      <c r="C2537" s="88" t="n">
        <v>50100</v>
      </c>
      <c r="D2537" s="170" t="n"/>
      <c r="E2537" s="170" t="n"/>
      <c r="F2537" s="170" t="n"/>
      <c r="G2537" s="170" t="n"/>
      <c r="H2537" s="170" t="n"/>
      <c r="I2537" s="170" t="n"/>
      <c r="J2537" s="170" t="n"/>
      <c r="K2537" s="170" t="n"/>
      <c r="L2537" s="170" t="n"/>
      <c r="M2537" s="170" t="n"/>
      <c r="N2537" s="30" t="n"/>
      <c r="O2537" s="150">
        <f>C2537*P2537</f>
        <v/>
      </c>
      <c r="P2537" s="150" t="n">
        <v>1.1</v>
      </c>
      <c r="Q2537" s="30" t="n"/>
      <c r="R2537" s="170" t="n"/>
      <c r="S2537" s="30" t="n"/>
      <c r="T2537" s="170" t="n"/>
      <c r="U2537" s="30" t="n"/>
      <c r="V2537" s="30" t="n"/>
      <c r="W2537" s="30" t="n"/>
      <c r="X2537" s="30" t="n"/>
      <c r="Y2537" s="30" t="n"/>
      <c r="Z2537" s="30" t="n"/>
      <c r="AA2537" s="30" t="n"/>
      <c r="AB2537" s="30" t="n"/>
      <c r="AC2537" s="30" t="n"/>
      <c r="AD2537" s="30" t="n"/>
      <c r="AE2537" s="30" t="n"/>
      <c r="AF2537" s="30" t="n"/>
      <c r="AG2537" s="30" t="n"/>
      <c r="AH2537" s="30" t="n"/>
      <c r="AI2537" s="30" t="n"/>
      <c r="AJ2537" s="30" t="n"/>
      <c r="AK2537" s="30" t="n"/>
      <c r="AL2537" s="30" t="n"/>
      <c r="AM2537" s="30" t="n"/>
      <c r="AN2537" s="30" t="n"/>
      <c r="AO2537" s="30" t="n"/>
    </row>
    <row r="2538" ht="16.5" customHeight="1" s="253">
      <c r="A2538" s="89" t="inlineStr">
        <is>
          <t>21048XXX</t>
        </is>
      </c>
      <c r="B2538" s="135" t="inlineStr">
        <is>
          <t>TAVERNITI  REM M/C</t>
        </is>
      </c>
      <c r="C2538" s="88" t="n">
        <v>51400</v>
      </c>
      <c r="D2538" s="170" t="n"/>
      <c r="E2538" s="170" t="n"/>
      <c r="F2538" s="170" t="n"/>
      <c r="G2538" s="170" t="n"/>
      <c r="H2538" s="170" t="n"/>
      <c r="I2538" s="170" t="n"/>
      <c r="J2538" s="170" t="n"/>
      <c r="K2538" s="170" t="n"/>
      <c r="L2538" s="170" t="n"/>
      <c r="M2538" s="170" t="n"/>
      <c r="N2538" s="30" t="n"/>
      <c r="O2538" s="150">
        <f>C2538*P2538</f>
        <v/>
      </c>
      <c r="P2538" s="150" t="n">
        <v>1.1</v>
      </c>
      <c r="Q2538" s="30" t="n"/>
      <c r="R2538" s="170" t="n"/>
      <c r="S2538" s="30" t="n"/>
      <c r="T2538" s="170" t="n"/>
      <c r="U2538" s="30" t="n"/>
      <c r="V2538" s="30" t="n"/>
      <c r="W2538" s="30" t="n"/>
      <c r="X2538" s="30" t="n"/>
      <c r="Y2538" s="30" t="n"/>
      <c r="Z2538" s="30" t="n"/>
      <c r="AA2538" s="30" t="n"/>
      <c r="AB2538" s="30" t="n"/>
      <c r="AC2538" s="30" t="n"/>
      <c r="AD2538" s="30" t="n"/>
      <c r="AE2538" s="30" t="n"/>
      <c r="AF2538" s="30" t="n"/>
      <c r="AG2538" s="30" t="n"/>
      <c r="AH2538" s="30" t="n"/>
      <c r="AI2538" s="30" t="n"/>
      <c r="AJ2538" s="30" t="n"/>
      <c r="AK2538" s="30" t="n"/>
      <c r="AL2538" s="30" t="n"/>
      <c r="AM2538" s="30" t="n"/>
      <c r="AN2538" s="30" t="n"/>
      <c r="AO2538" s="30" t="n"/>
    </row>
    <row r="2539" ht="16.5" customHeight="1" s="253">
      <c r="A2539" s="134" t="inlineStr">
        <is>
          <t>21080XXX</t>
        </is>
      </c>
      <c r="B2539" s="246" t="inlineStr">
        <is>
          <t>TAVERNITI  REM M/C</t>
        </is>
      </c>
      <c r="C2539" s="88" t="n">
        <v>54600</v>
      </c>
      <c r="D2539" s="22" t="n"/>
      <c r="E2539" s="22" t="n"/>
      <c r="F2539" s="22" t="n"/>
      <c r="G2539" s="219" t="n"/>
      <c r="H2539" s="219" t="n"/>
      <c r="I2539" s="219" t="n"/>
      <c r="J2539" s="219" t="n"/>
      <c r="K2539" s="219" t="n"/>
      <c r="L2539" s="219" t="n"/>
      <c r="M2539" s="219" t="n"/>
      <c r="O2539" s="117">
        <f>C2539*P2539</f>
        <v/>
      </c>
      <c r="P2539" s="150" t="n">
        <v>1.1</v>
      </c>
      <c r="R2539" s="117" t="n"/>
      <c r="T2539" s="117" t="n"/>
    </row>
    <row r="2540" ht="16.5" customHeight="1" s="253">
      <c r="A2540" s="134" t="inlineStr">
        <is>
          <t>21082XXX</t>
        </is>
      </c>
      <c r="B2540" s="246" t="inlineStr">
        <is>
          <t>TAVERNITI  REM M/C</t>
        </is>
      </c>
      <c r="C2540" s="88" t="n">
        <v>44700</v>
      </c>
      <c r="D2540" s="22" t="n"/>
      <c r="E2540" s="22" t="n"/>
      <c r="F2540" s="22" t="n"/>
      <c r="G2540" s="219" t="n"/>
      <c r="H2540" s="219" t="n"/>
      <c r="I2540" s="219" t="n"/>
      <c r="J2540" s="219" t="n"/>
      <c r="K2540" s="219" t="n"/>
      <c r="L2540" s="219" t="n"/>
      <c r="M2540" s="219" t="n"/>
      <c r="O2540" s="117">
        <f>C2540*P2540</f>
        <v/>
      </c>
      <c r="P2540" s="150" t="n">
        <v>1.1</v>
      </c>
      <c r="R2540" s="117" t="n"/>
      <c r="T2540" s="117" t="n"/>
    </row>
    <row r="2541" ht="16.5" customHeight="1" s="253">
      <c r="A2541" s="134" t="inlineStr">
        <is>
          <t>21088XXX</t>
        </is>
      </c>
      <c r="B2541" s="246" t="inlineStr">
        <is>
          <t>TAVERNITI  REM M/C</t>
        </is>
      </c>
      <c r="C2541" s="88" t="n">
        <v>43600</v>
      </c>
      <c r="D2541" s="22" t="n"/>
      <c r="E2541" s="22" t="n"/>
      <c r="F2541" s="22" t="n"/>
      <c r="G2541" s="219" t="n"/>
      <c r="H2541" s="219" t="n"/>
      <c r="I2541" s="219" t="n"/>
      <c r="J2541" s="219" t="n"/>
      <c r="K2541" s="219" t="n"/>
      <c r="L2541" s="219" t="n"/>
      <c r="M2541" s="219" t="n"/>
      <c r="O2541" s="117">
        <f>C2541*P2541</f>
        <v/>
      </c>
      <c r="P2541" s="150" t="n">
        <v>1.1</v>
      </c>
      <c r="R2541" s="117" t="n"/>
      <c r="T2541" s="117" t="n"/>
    </row>
    <row r="2542" ht="16.5" customHeight="1" s="253">
      <c r="A2542" s="89" t="inlineStr">
        <is>
          <t>21122XXX</t>
        </is>
      </c>
      <c r="B2542" s="135" t="inlineStr">
        <is>
          <t>TAVERNITI  REM M/C</t>
        </is>
      </c>
      <c r="C2542" s="88" t="n">
        <v>44900</v>
      </c>
      <c r="D2542" s="170" t="n"/>
      <c r="E2542" s="170" t="n"/>
      <c r="F2542" s="170" t="n"/>
      <c r="G2542" s="170" t="n"/>
      <c r="H2542" s="170" t="n"/>
      <c r="I2542" s="170" t="n"/>
      <c r="J2542" s="170" t="n"/>
      <c r="K2542" s="170" t="n"/>
      <c r="L2542" s="170" t="n"/>
      <c r="M2542" s="170" t="n"/>
      <c r="N2542" s="30" t="n"/>
      <c r="O2542" s="150">
        <f>C2542*P2542</f>
        <v/>
      </c>
      <c r="P2542" s="150" t="n">
        <v>1.1</v>
      </c>
      <c r="Q2542" s="30" t="n"/>
      <c r="R2542" s="170" t="n"/>
      <c r="S2542" s="30" t="n"/>
      <c r="T2542" s="170" t="n"/>
      <c r="U2542" s="30" t="n"/>
      <c r="V2542" s="30" t="n"/>
      <c r="W2542" s="30" t="n"/>
      <c r="X2542" s="30" t="n"/>
      <c r="Y2542" s="30" t="n"/>
      <c r="Z2542" s="30" t="n"/>
      <c r="AA2542" s="30" t="n"/>
      <c r="AB2542" s="30" t="n"/>
      <c r="AC2542" s="30" t="n"/>
      <c r="AD2542" s="30" t="n"/>
      <c r="AE2542" s="30" t="n"/>
      <c r="AF2542" s="30" t="n"/>
      <c r="AG2542" s="30" t="n"/>
      <c r="AH2542" s="30" t="n"/>
      <c r="AI2542" s="30" t="n"/>
      <c r="AJ2542" s="30" t="n"/>
      <c r="AK2542" s="30" t="n"/>
      <c r="AL2542" s="30" t="n"/>
      <c r="AM2542" s="30" t="n"/>
      <c r="AN2542" s="30" t="n"/>
      <c r="AO2542" s="30" t="n"/>
    </row>
    <row r="2543" ht="16.5" customHeight="1" s="253">
      <c r="A2543" s="89" t="inlineStr">
        <is>
          <t>21106XXX</t>
        </is>
      </c>
      <c r="B2543" s="135" t="inlineStr">
        <is>
          <t>TAVERNITI  REM M/C</t>
        </is>
      </c>
      <c r="C2543" s="88" t="n">
        <v>44900</v>
      </c>
      <c r="D2543" s="170" t="n"/>
      <c r="E2543" s="170" t="n"/>
      <c r="F2543" s="170" t="n"/>
      <c r="G2543" s="170" t="n"/>
      <c r="H2543" s="170" t="n"/>
      <c r="I2543" s="170" t="n"/>
      <c r="J2543" s="170" t="n"/>
      <c r="K2543" s="170" t="n"/>
      <c r="L2543" s="170" t="n"/>
      <c r="M2543" s="170" t="n"/>
      <c r="N2543" s="30" t="n"/>
      <c r="O2543" s="150">
        <f>C2543*P2543</f>
        <v/>
      </c>
      <c r="P2543" s="150" t="n">
        <v>1.1</v>
      </c>
      <c r="Q2543" s="30" t="n"/>
      <c r="R2543" s="170" t="n"/>
      <c r="S2543" s="30" t="n"/>
      <c r="T2543" s="170" t="n"/>
      <c r="U2543" s="30" t="n"/>
      <c r="V2543" s="30" t="n"/>
      <c r="W2543" s="30" t="n"/>
      <c r="X2543" s="30" t="n"/>
      <c r="Y2543" s="30" t="n"/>
      <c r="Z2543" s="30" t="n"/>
      <c r="AA2543" s="30" t="n"/>
      <c r="AB2543" s="30" t="n"/>
      <c r="AC2543" s="30" t="n"/>
      <c r="AD2543" s="30" t="n"/>
      <c r="AE2543" s="30" t="n"/>
      <c r="AF2543" s="30" t="n"/>
      <c r="AG2543" s="30" t="n"/>
      <c r="AH2543" s="30" t="n"/>
      <c r="AI2543" s="30" t="n"/>
      <c r="AJ2543" s="30" t="n"/>
      <c r="AK2543" s="30" t="n"/>
      <c r="AL2543" s="30" t="n"/>
      <c r="AM2543" s="30" t="n"/>
      <c r="AN2543" s="30" t="n"/>
      <c r="AO2543" s="30" t="n"/>
    </row>
    <row r="2544" ht="16.5" customHeight="1" s="253">
      <c r="A2544" s="89" t="inlineStr">
        <is>
          <t>21124XXX</t>
        </is>
      </c>
      <c r="B2544" s="135" t="inlineStr">
        <is>
          <t>TAVERNITI  REM M/C</t>
        </is>
      </c>
      <c r="C2544" s="88" t="n">
        <v>44900</v>
      </c>
      <c r="D2544" s="170" t="n"/>
      <c r="E2544" s="170" t="n"/>
      <c r="F2544" s="170" t="n"/>
      <c r="G2544" s="170" t="n"/>
      <c r="H2544" s="170" t="n"/>
      <c r="I2544" s="170" t="n"/>
      <c r="J2544" s="170" t="n"/>
      <c r="K2544" s="170" t="n"/>
      <c r="L2544" s="170" t="n"/>
      <c r="M2544" s="170" t="n"/>
      <c r="N2544" s="30" t="n"/>
      <c r="O2544" s="150">
        <f>C2544*P2544</f>
        <v/>
      </c>
      <c r="P2544" s="150" t="n">
        <v>1.1</v>
      </c>
      <c r="Q2544" s="30" t="n"/>
      <c r="R2544" s="170" t="n"/>
      <c r="S2544" s="30" t="n"/>
      <c r="T2544" s="170" t="n"/>
      <c r="U2544" s="30" t="n"/>
      <c r="V2544" s="30" t="n"/>
      <c r="W2544" s="30" t="n"/>
      <c r="X2544" s="30" t="n"/>
      <c r="Y2544" s="30" t="n"/>
      <c r="Z2544" s="30" t="n"/>
      <c r="AA2544" s="30" t="n"/>
      <c r="AB2544" s="30" t="n"/>
      <c r="AC2544" s="30" t="n"/>
      <c r="AD2544" s="30" t="n"/>
      <c r="AE2544" s="30" t="n"/>
      <c r="AF2544" s="30" t="n"/>
      <c r="AG2544" s="30" t="n"/>
      <c r="AH2544" s="30" t="n"/>
      <c r="AI2544" s="30" t="n"/>
      <c r="AJ2544" s="30" t="n"/>
      <c r="AK2544" s="30" t="n"/>
      <c r="AL2544" s="30" t="n"/>
      <c r="AM2544" s="30" t="n"/>
      <c r="AN2544" s="30" t="n"/>
      <c r="AO2544" s="30" t="n"/>
    </row>
    <row r="2545" ht="16.5" customHeight="1" s="253">
      <c r="A2545" s="89" t="inlineStr">
        <is>
          <t>21126XXX</t>
        </is>
      </c>
      <c r="B2545" s="135" t="inlineStr">
        <is>
          <t>TAVERNITI  REM M/C</t>
        </is>
      </c>
      <c r="C2545" s="88" t="n">
        <v>44900</v>
      </c>
      <c r="D2545" s="170" t="n"/>
      <c r="E2545" s="170" t="n"/>
      <c r="F2545" s="170" t="n"/>
      <c r="G2545" s="170" t="n"/>
      <c r="H2545" s="170" t="n"/>
      <c r="I2545" s="170" t="n"/>
      <c r="J2545" s="170" t="n"/>
      <c r="K2545" s="170" t="n"/>
      <c r="L2545" s="170" t="n"/>
      <c r="M2545" s="170" t="n"/>
      <c r="N2545" s="30" t="n"/>
      <c r="O2545" s="150">
        <f>C2545*P2545</f>
        <v/>
      </c>
      <c r="P2545" s="150" t="n">
        <v>1.1</v>
      </c>
      <c r="Q2545" s="30" t="n"/>
      <c r="R2545" s="170" t="n"/>
      <c r="S2545" s="30" t="n"/>
      <c r="T2545" s="170" t="n"/>
      <c r="U2545" s="30" t="n"/>
      <c r="V2545" s="30" t="n"/>
      <c r="W2545" s="30" t="n"/>
      <c r="X2545" s="30" t="n"/>
      <c r="Y2545" s="30" t="n"/>
      <c r="Z2545" s="30" t="n"/>
      <c r="AA2545" s="30" t="n"/>
      <c r="AB2545" s="30" t="n"/>
      <c r="AC2545" s="30" t="n"/>
      <c r="AD2545" s="30" t="n"/>
      <c r="AE2545" s="30" t="n"/>
      <c r="AF2545" s="30" t="n"/>
      <c r="AG2545" s="30" t="n"/>
      <c r="AH2545" s="30" t="n"/>
      <c r="AI2545" s="30" t="n"/>
      <c r="AJ2545" s="30" t="n"/>
      <c r="AK2545" s="30" t="n"/>
      <c r="AL2545" s="30" t="n"/>
      <c r="AM2545" s="30" t="n"/>
      <c r="AN2545" s="30" t="n"/>
      <c r="AO2545" s="30" t="n"/>
    </row>
    <row r="2546" ht="16.5" customHeight="1" s="253">
      <c r="A2546" s="89" t="inlineStr">
        <is>
          <t>21132XXX</t>
        </is>
      </c>
      <c r="B2546" s="135" t="inlineStr">
        <is>
          <t>TAVERNITI  REM M/C</t>
        </is>
      </c>
      <c r="C2546" s="88" t="n">
        <v>44900</v>
      </c>
      <c r="D2546" s="170" t="n"/>
      <c r="E2546" s="170" t="n"/>
      <c r="F2546" s="170" t="n"/>
      <c r="G2546" s="170" t="n"/>
      <c r="H2546" s="170" t="n"/>
      <c r="I2546" s="170" t="n"/>
      <c r="J2546" s="170" t="n"/>
      <c r="K2546" s="170" t="n"/>
      <c r="L2546" s="170" t="n"/>
      <c r="M2546" s="170" t="n"/>
      <c r="N2546" s="30" t="n"/>
      <c r="O2546" s="150">
        <f>C2546*P2546</f>
        <v/>
      </c>
      <c r="P2546" s="150" t="n">
        <v>1.1</v>
      </c>
      <c r="Q2546" s="30" t="n"/>
      <c r="R2546" s="170" t="n"/>
      <c r="S2546" s="30" t="n"/>
      <c r="T2546" s="170" t="n"/>
      <c r="U2546" s="30" t="n"/>
      <c r="V2546" s="30" t="n"/>
      <c r="W2546" s="30" t="n"/>
      <c r="X2546" s="30" t="n"/>
      <c r="Y2546" s="30" t="n"/>
      <c r="Z2546" s="30" t="n"/>
      <c r="AA2546" s="30" t="n"/>
      <c r="AB2546" s="30" t="n"/>
      <c r="AC2546" s="30" t="n"/>
      <c r="AD2546" s="30" t="n"/>
      <c r="AE2546" s="30" t="n"/>
      <c r="AF2546" s="30" t="n"/>
      <c r="AG2546" s="30" t="n"/>
      <c r="AH2546" s="30" t="n"/>
      <c r="AI2546" s="30" t="n"/>
      <c r="AJ2546" s="30" t="n"/>
      <c r="AK2546" s="30" t="n"/>
      <c r="AL2546" s="30" t="n"/>
      <c r="AM2546" s="30" t="n"/>
      <c r="AN2546" s="30" t="n"/>
      <c r="AO2546" s="30" t="n"/>
    </row>
    <row r="2547" ht="16.5" customHeight="1" s="253">
      <c r="A2547" s="89" t="inlineStr">
        <is>
          <t>21154XXX</t>
        </is>
      </c>
      <c r="B2547" s="135" t="inlineStr">
        <is>
          <t>TAVERNITI  REM M/C</t>
        </is>
      </c>
      <c r="C2547" s="88" t="n">
        <v>59900</v>
      </c>
      <c r="D2547" s="170" t="n"/>
      <c r="E2547" s="170" t="n"/>
      <c r="F2547" s="170" t="n"/>
      <c r="G2547" s="170" t="n"/>
      <c r="H2547" s="170" t="n"/>
      <c r="I2547" s="170" t="n"/>
      <c r="J2547" s="170" t="n"/>
      <c r="K2547" s="170" t="n"/>
      <c r="L2547" s="170" t="n"/>
      <c r="M2547" s="170" t="n"/>
      <c r="N2547" s="30" t="n"/>
      <c r="O2547" s="150">
        <f>C2547*P2547</f>
        <v/>
      </c>
      <c r="P2547" s="150" t="n">
        <v>1.1</v>
      </c>
      <c r="Q2547" s="30" t="n"/>
      <c r="R2547" s="170" t="n"/>
      <c r="S2547" s="30" t="n"/>
      <c r="T2547" s="170" t="n"/>
      <c r="U2547" s="30" t="n"/>
      <c r="V2547" s="30" t="n"/>
      <c r="W2547" s="30" t="n"/>
      <c r="X2547" s="30" t="n"/>
      <c r="Y2547" s="30" t="n"/>
      <c r="Z2547" s="30" t="n"/>
      <c r="AA2547" s="30" t="n"/>
      <c r="AB2547" s="30" t="n"/>
      <c r="AC2547" s="30" t="n"/>
      <c r="AD2547" s="30" t="n"/>
      <c r="AE2547" s="30" t="n"/>
      <c r="AF2547" s="30" t="n"/>
      <c r="AG2547" s="30" t="n"/>
      <c r="AH2547" s="30" t="n"/>
      <c r="AI2547" s="30" t="n"/>
      <c r="AJ2547" s="30" t="n"/>
      <c r="AK2547" s="30" t="n"/>
      <c r="AL2547" s="30" t="n"/>
      <c r="AM2547" s="30" t="n"/>
      <c r="AN2547" s="30" t="n"/>
      <c r="AO2547" s="30" t="n"/>
    </row>
    <row r="2548" ht="16.5" customHeight="1" s="253">
      <c r="A2548" s="89" t="inlineStr">
        <is>
          <t>21156XXX</t>
        </is>
      </c>
      <c r="B2548" s="135" t="inlineStr">
        <is>
          <t>TAVERNITI  REM M/C</t>
        </is>
      </c>
      <c r="C2548" s="88" t="n">
        <v>56100</v>
      </c>
      <c r="D2548" s="170" t="n"/>
      <c r="E2548" s="170" t="n"/>
      <c r="F2548" s="170" t="n"/>
      <c r="G2548" s="170" t="n"/>
      <c r="H2548" s="170" t="n"/>
      <c r="I2548" s="170" t="n"/>
      <c r="J2548" s="170" t="n"/>
      <c r="K2548" s="170" t="n"/>
      <c r="L2548" s="170" t="n"/>
      <c r="M2548" s="170" t="n"/>
      <c r="N2548" s="30" t="n"/>
      <c r="O2548" s="150">
        <f>C2548*P2548</f>
        <v/>
      </c>
      <c r="P2548" s="150" t="n">
        <v>1.1</v>
      </c>
      <c r="Q2548" s="30" t="n"/>
      <c r="R2548" s="170" t="n"/>
      <c r="S2548" s="30" t="n"/>
      <c r="T2548" s="170" t="n"/>
      <c r="U2548" s="30" t="n"/>
      <c r="V2548" s="30" t="n"/>
      <c r="W2548" s="30" t="n"/>
      <c r="X2548" s="30" t="n"/>
      <c r="Y2548" s="30" t="n"/>
      <c r="Z2548" s="30" t="n"/>
      <c r="AA2548" s="30" t="n"/>
      <c r="AB2548" s="30" t="n"/>
      <c r="AC2548" s="30" t="n"/>
      <c r="AD2548" s="30" t="n"/>
      <c r="AE2548" s="30" t="n"/>
      <c r="AF2548" s="30" t="n"/>
      <c r="AG2548" s="30" t="n"/>
      <c r="AH2548" s="30" t="n"/>
      <c r="AI2548" s="30" t="n"/>
      <c r="AJ2548" s="30" t="n"/>
      <c r="AK2548" s="30" t="n"/>
      <c r="AL2548" s="30" t="n"/>
      <c r="AM2548" s="30" t="n"/>
      <c r="AN2548" s="30" t="n"/>
      <c r="AO2548" s="30" t="n"/>
    </row>
    <row r="2549" ht="16.5" customHeight="1" s="253">
      <c r="A2549" s="134" t="inlineStr">
        <is>
          <t>21158XXX</t>
        </is>
      </c>
      <c r="B2549" s="246" t="inlineStr">
        <is>
          <t>TAVERNITI  REM M/C</t>
        </is>
      </c>
      <c r="C2549" s="88" t="n">
        <v>59900</v>
      </c>
      <c r="D2549" s="22" t="n"/>
      <c r="E2549" s="22" t="n"/>
      <c r="F2549" s="22" t="n"/>
      <c r="G2549" s="219" t="n"/>
      <c r="H2549" s="219" t="n"/>
      <c r="I2549" s="219" t="n"/>
      <c r="J2549" s="219" t="n"/>
      <c r="K2549" s="219" t="n"/>
      <c r="L2549" s="219" t="n"/>
      <c r="M2549" s="219" t="n"/>
      <c r="O2549" s="117">
        <f>C2549*P2549</f>
        <v/>
      </c>
      <c r="P2549" s="150" t="n">
        <v>1.1</v>
      </c>
      <c r="R2549" s="117" t="n"/>
      <c r="T2549" s="117" t="n"/>
    </row>
    <row r="2550" ht="16.5" customHeight="1" s="253">
      <c r="A2550" s="134" t="inlineStr">
        <is>
          <t>21160XXX</t>
        </is>
      </c>
      <c r="B2550" s="246" t="inlineStr">
        <is>
          <t>TAVERNITI  REM M/C</t>
        </is>
      </c>
      <c r="C2550" s="88" t="n">
        <v>56100</v>
      </c>
      <c r="D2550" s="22" t="n"/>
      <c r="E2550" s="22" t="n"/>
      <c r="F2550" s="22" t="n"/>
      <c r="G2550" s="219" t="n"/>
      <c r="H2550" s="219" t="n"/>
      <c r="I2550" s="219" t="n"/>
      <c r="J2550" s="219" t="n"/>
      <c r="K2550" s="219" t="n"/>
      <c r="L2550" s="219" t="n"/>
      <c r="M2550" s="219" t="n"/>
      <c r="O2550" s="117">
        <f>C2550*P2550</f>
        <v/>
      </c>
      <c r="P2550" s="150" t="n">
        <v>1.1</v>
      </c>
      <c r="R2550" s="117" t="n"/>
      <c r="T2550" s="117" t="n"/>
    </row>
    <row r="2551" ht="16.5" customHeight="1" s="253">
      <c r="A2551" s="134" t="inlineStr">
        <is>
          <t>21162XXX</t>
        </is>
      </c>
      <c r="B2551" s="246" t="inlineStr">
        <is>
          <t>TAVERNITI  REM M/C</t>
        </is>
      </c>
      <c r="C2551" s="88" t="n">
        <v>56100</v>
      </c>
      <c r="D2551" s="22" t="n"/>
      <c r="E2551" s="22" t="n"/>
      <c r="F2551" s="22" t="n"/>
      <c r="G2551" s="219" t="n"/>
      <c r="H2551" s="219" t="n"/>
      <c r="I2551" s="219" t="n"/>
      <c r="J2551" s="219" t="n"/>
      <c r="K2551" s="219" t="n"/>
      <c r="L2551" s="219" t="n"/>
      <c r="M2551" s="219" t="n"/>
      <c r="O2551" s="117">
        <f>C2551*P2551</f>
        <v/>
      </c>
      <c r="P2551" s="150" t="n">
        <v>1.1</v>
      </c>
      <c r="R2551" s="117" t="n"/>
      <c r="T2551" s="117" t="n"/>
    </row>
    <row r="2552" ht="16.5" customHeight="1" s="253">
      <c r="A2552" s="89" t="inlineStr">
        <is>
          <t>21164XXX</t>
        </is>
      </c>
      <c r="B2552" s="135" t="inlineStr">
        <is>
          <t>TAVERNITI  REM M/C</t>
        </is>
      </c>
      <c r="C2552" s="88" t="n">
        <v>56100</v>
      </c>
      <c r="D2552" s="170" t="n"/>
      <c r="E2552" s="170" t="n"/>
      <c r="F2552" s="170" t="n"/>
      <c r="G2552" s="170" t="n"/>
      <c r="H2552" s="170" t="n"/>
      <c r="I2552" s="170" t="n"/>
      <c r="J2552" s="170" t="n"/>
      <c r="K2552" s="170" t="n"/>
      <c r="L2552" s="170" t="n"/>
      <c r="M2552" s="170" t="n"/>
      <c r="N2552" s="30" t="n"/>
      <c r="O2552" s="150">
        <f>C2552*P2552</f>
        <v/>
      </c>
      <c r="P2552" s="150" t="n">
        <v>1.1</v>
      </c>
      <c r="Q2552" s="30" t="n"/>
      <c r="R2552" s="170" t="n"/>
      <c r="S2552" s="30" t="n"/>
      <c r="T2552" s="170" t="n"/>
      <c r="U2552" s="30" t="n"/>
      <c r="V2552" s="30" t="n"/>
      <c r="W2552" s="30" t="n"/>
      <c r="X2552" s="30" t="n"/>
      <c r="Y2552" s="30" t="n"/>
      <c r="Z2552" s="30" t="n"/>
      <c r="AA2552" s="30" t="n"/>
      <c r="AB2552" s="30" t="n"/>
      <c r="AC2552" s="30" t="n"/>
      <c r="AD2552" s="30" t="n"/>
      <c r="AE2552" s="30" t="n"/>
      <c r="AF2552" s="30" t="n"/>
      <c r="AG2552" s="30" t="n"/>
      <c r="AH2552" s="30" t="n"/>
      <c r="AI2552" s="30" t="n"/>
      <c r="AJ2552" s="30" t="n"/>
      <c r="AK2552" s="30" t="n"/>
      <c r="AL2552" s="30" t="n"/>
      <c r="AM2552" s="30" t="n"/>
      <c r="AN2552" s="30" t="n"/>
      <c r="AO2552" s="30" t="n"/>
    </row>
    <row r="2553" ht="16.5" customHeight="1" s="253">
      <c r="A2553" s="134" t="inlineStr">
        <is>
          <t>21166XXX</t>
        </is>
      </c>
      <c r="B2553" s="246" t="inlineStr">
        <is>
          <t>TAVERNITI  REM M/C</t>
        </is>
      </c>
      <c r="C2553" s="88" t="n">
        <v>57800</v>
      </c>
      <c r="D2553" s="22" t="n"/>
      <c r="E2553" s="22" t="n"/>
      <c r="F2553" s="22" t="n"/>
      <c r="G2553" s="219" t="n"/>
      <c r="H2553" s="219" t="n"/>
      <c r="I2553" s="219" t="n"/>
      <c r="J2553" s="219" t="n"/>
      <c r="K2553" s="219" t="n"/>
      <c r="L2553" s="219" t="n"/>
      <c r="M2553" s="219" t="n"/>
      <c r="O2553" s="117">
        <f>C2553*P2553</f>
        <v/>
      </c>
      <c r="P2553" s="150" t="n">
        <v>1.1</v>
      </c>
      <c r="R2553" s="117" t="n"/>
      <c r="T2553" s="117" t="n"/>
    </row>
    <row r="2554" ht="16.5" customHeight="1" s="253">
      <c r="A2554" s="134" t="inlineStr">
        <is>
          <t>21166XXX</t>
        </is>
      </c>
      <c r="B2554" s="246" t="inlineStr">
        <is>
          <t>TAVERNITI  REM M/C</t>
        </is>
      </c>
      <c r="C2554" s="88" t="n">
        <v>59900</v>
      </c>
      <c r="D2554" s="22" t="n"/>
      <c r="E2554" s="22" t="n"/>
      <c r="F2554" s="22" t="n"/>
      <c r="G2554" s="219" t="n"/>
      <c r="H2554" s="219" t="n"/>
      <c r="I2554" s="219" t="n"/>
      <c r="J2554" s="219" t="n"/>
      <c r="K2554" s="219" t="n"/>
      <c r="L2554" s="219" t="n"/>
      <c r="M2554" s="219" t="n"/>
      <c r="O2554" s="117">
        <f>C2554*P2554</f>
        <v/>
      </c>
      <c r="P2554" s="150" t="n">
        <v>1.1</v>
      </c>
      <c r="R2554" s="117" t="n"/>
      <c r="T2554" s="117" t="n"/>
    </row>
    <row r="2555" ht="16.5" customHeight="1" s="253">
      <c r="A2555" s="134" t="inlineStr">
        <is>
          <t>21168XXX</t>
        </is>
      </c>
      <c r="B2555" s="246" t="inlineStr">
        <is>
          <t>TAVERNITI  REM M/C</t>
        </is>
      </c>
      <c r="C2555" s="88" t="n">
        <v>57800</v>
      </c>
      <c r="D2555" s="22" t="n"/>
      <c r="E2555" s="22" t="n"/>
      <c r="F2555" s="22" t="n"/>
      <c r="G2555" s="219" t="n"/>
      <c r="H2555" s="219" t="n"/>
      <c r="I2555" s="219" t="n"/>
      <c r="J2555" s="219" t="n"/>
      <c r="K2555" s="219" t="n"/>
      <c r="L2555" s="219" t="n"/>
      <c r="M2555" s="219" t="n"/>
      <c r="O2555" s="117">
        <f>C2555*P2555</f>
        <v/>
      </c>
      <c r="P2555" s="150" t="n">
        <v>1.1</v>
      </c>
      <c r="R2555" s="117" t="n"/>
      <c r="T2555" s="117" t="n"/>
    </row>
    <row r="2556" ht="16.5" customHeight="1" s="253">
      <c r="A2556" s="89" t="inlineStr">
        <is>
          <t>21170XXX</t>
        </is>
      </c>
      <c r="B2556" s="135" t="inlineStr">
        <is>
          <t>TAVERNITI  REM M/C</t>
        </is>
      </c>
      <c r="C2556" s="88" t="n">
        <v>57800</v>
      </c>
      <c r="D2556" s="170" t="n"/>
      <c r="E2556" s="170" t="n"/>
      <c r="F2556" s="170" t="n"/>
      <c r="G2556" s="170" t="n"/>
      <c r="H2556" s="170" t="n"/>
      <c r="I2556" s="170" t="n"/>
      <c r="J2556" s="170" t="n"/>
      <c r="K2556" s="170" t="n"/>
      <c r="L2556" s="170" t="n"/>
      <c r="M2556" s="170" t="n"/>
      <c r="N2556" s="30" t="n"/>
      <c r="O2556" s="150">
        <f>C2556*P2556</f>
        <v/>
      </c>
      <c r="P2556" s="150" t="n">
        <v>1.1</v>
      </c>
      <c r="Q2556" s="30" t="n"/>
      <c r="R2556" s="170" t="n"/>
      <c r="S2556" s="30" t="n"/>
      <c r="T2556" s="170" t="n"/>
      <c r="U2556" s="30" t="n"/>
      <c r="V2556" s="30" t="n"/>
      <c r="W2556" s="30" t="n"/>
      <c r="X2556" s="30" t="n"/>
      <c r="Y2556" s="30" t="n"/>
      <c r="Z2556" s="30" t="n"/>
      <c r="AA2556" s="30" t="n"/>
      <c r="AB2556" s="30" t="n"/>
      <c r="AC2556" s="30" t="n"/>
      <c r="AD2556" s="30" t="n"/>
      <c r="AE2556" s="30" t="n"/>
      <c r="AF2556" s="30" t="n"/>
      <c r="AG2556" s="30" t="n"/>
      <c r="AH2556" s="30" t="n"/>
      <c r="AI2556" s="30" t="n"/>
      <c r="AJ2556" s="30" t="n"/>
      <c r="AK2556" s="30" t="n"/>
      <c r="AL2556" s="30" t="n"/>
      <c r="AM2556" s="30" t="n"/>
      <c r="AN2556" s="30" t="n"/>
      <c r="AO2556" s="30" t="n"/>
    </row>
    <row r="2557" ht="16.5" customHeight="1" s="253">
      <c r="A2557" s="134" t="inlineStr">
        <is>
          <t>21172XXX</t>
        </is>
      </c>
      <c r="B2557" s="246" t="inlineStr">
        <is>
          <t>TAVERNITI  REM M/C</t>
        </is>
      </c>
      <c r="C2557" s="88" t="n">
        <v>59900</v>
      </c>
      <c r="D2557" s="22" t="n"/>
      <c r="E2557" s="22" t="n"/>
      <c r="F2557" s="22" t="n"/>
      <c r="G2557" s="219" t="n"/>
      <c r="H2557" s="219" t="n"/>
      <c r="I2557" s="219" t="n"/>
      <c r="J2557" s="219" t="n"/>
      <c r="K2557" s="219" t="n"/>
      <c r="L2557" s="219" t="n"/>
      <c r="M2557" s="219" t="n"/>
      <c r="O2557" s="117">
        <f>C2557*P2557</f>
        <v/>
      </c>
      <c r="P2557" s="150" t="n">
        <v>1.1</v>
      </c>
      <c r="R2557" s="117" t="n"/>
      <c r="T2557" s="117" t="n"/>
    </row>
    <row r="2558" ht="16.5" customHeight="1" s="253">
      <c r="A2558" s="134" t="inlineStr">
        <is>
          <t>21194XXX</t>
        </is>
      </c>
      <c r="B2558" s="246" t="inlineStr">
        <is>
          <t>TAVERNITI  REM M/C</t>
        </is>
      </c>
      <c r="C2558" s="88" t="n">
        <v>44400</v>
      </c>
      <c r="D2558" s="22" t="n"/>
      <c r="E2558" s="22" t="n"/>
      <c r="F2558" s="22" t="n"/>
      <c r="G2558" s="219" t="n"/>
      <c r="H2558" s="219" t="n"/>
      <c r="I2558" s="219" t="n"/>
      <c r="J2558" s="219" t="n"/>
      <c r="K2558" s="219" t="n"/>
      <c r="L2558" s="219" t="n"/>
      <c r="M2558" s="219" t="n"/>
      <c r="O2558" s="117">
        <f>C2558*P2558</f>
        <v/>
      </c>
      <c r="P2558" s="150" t="n">
        <v>1.1</v>
      </c>
      <c r="R2558" s="117" t="n"/>
      <c r="T2558" s="117" t="n"/>
    </row>
    <row r="2559" ht="16.5" customHeight="1" s="253">
      <c r="A2559" s="134" t="inlineStr">
        <is>
          <t>21196XXX</t>
        </is>
      </c>
      <c r="B2559" s="246" t="inlineStr">
        <is>
          <t>TAVERNITI  REM M/C</t>
        </is>
      </c>
      <c r="C2559" s="88" t="n">
        <v>44400</v>
      </c>
      <c r="D2559" s="22" t="n"/>
      <c r="E2559" s="22" t="n"/>
      <c r="F2559" s="22" t="n"/>
      <c r="G2559" s="219" t="n"/>
      <c r="H2559" s="219" t="n"/>
      <c r="I2559" s="219" t="n"/>
      <c r="J2559" s="219" t="n"/>
      <c r="K2559" s="219" t="n"/>
      <c r="L2559" s="219" t="n"/>
      <c r="M2559" s="219" t="n"/>
      <c r="O2559" s="117">
        <f>C2559*P2559</f>
        <v/>
      </c>
      <c r="P2559" s="150" t="n">
        <v>1.1</v>
      </c>
      <c r="R2559" s="117" t="n"/>
      <c r="T2559" s="117" t="n"/>
    </row>
    <row r="2560" ht="16.5" customHeight="1" s="253">
      <c r="A2560" s="89" t="inlineStr">
        <is>
          <t>21232XXX</t>
        </is>
      </c>
      <c r="B2560" s="135" t="inlineStr">
        <is>
          <t>TAVERNITI  REM M/C</t>
        </is>
      </c>
      <c r="C2560" s="88" t="n">
        <v>48800</v>
      </c>
      <c r="D2560" s="170" t="n"/>
      <c r="E2560" s="170" t="n"/>
      <c r="F2560" s="170" t="n"/>
      <c r="G2560" s="170" t="n"/>
      <c r="H2560" s="170" t="n"/>
      <c r="I2560" s="170" t="n"/>
      <c r="J2560" s="170" t="n"/>
      <c r="K2560" s="170" t="n"/>
      <c r="L2560" s="170" t="n"/>
      <c r="M2560" s="170" t="n"/>
      <c r="N2560" s="30" t="n"/>
      <c r="O2560" s="150">
        <f>C2560*P2560</f>
        <v/>
      </c>
      <c r="P2560" s="150" t="n">
        <v>1.1</v>
      </c>
      <c r="Q2560" s="30" t="n"/>
      <c r="R2560" s="170" t="n"/>
      <c r="S2560" s="30" t="n"/>
      <c r="T2560" s="170" t="n"/>
      <c r="U2560" s="30" t="n"/>
      <c r="V2560" s="30" t="n"/>
      <c r="W2560" s="30" t="n"/>
      <c r="X2560" s="30" t="n"/>
      <c r="Y2560" s="30" t="n"/>
      <c r="Z2560" s="30" t="n"/>
      <c r="AA2560" s="30" t="n"/>
      <c r="AB2560" s="30" t="n"/>
      <c r="AC2560" s="30" t="n"/>
      <c r="AD2560" s="30" t="n"/>
      <c r="AE2560" s="30" t="n"/>
      <c r="AF2560" s="30" t="n"/>
      <c r="AG2560" s="30" t="n"/>
      <c r="AH2560" s="30" t="n"/>
      <c r="AI2560" s="30" t="n"/>
      <c r="AJ2560" s="30" t="n"/>
      <c r="AK2560" s="30" t="n"/>
      <c r="AL2560" s="30" t="n"/>
      <c r="AM2560" s="30" t="n"/>
      <c r="AN2560" s="30" t="n"/>
      <c r="AO2560" s="30" t="n"/>
    </row>
    <row r="2561" ht="16.5" customHeight="1" s="253">
      <c r="A2561" s="89" t="inlineStr">
        <is>
          <t>21244XXX</t>
        </is>
      </c>
      <c r="B2561" s="135" t="inlineStr">
        <is>
          <t>TAVERNITI  REM M/C</t>
        </is>
      </c>
      <c r="C2561" s="88" t="n">
        <v>48800</v>
      </c>
      <c r="D2561" s="170" t="n"/>
      <c r="E2561" s="170" t="n"/>
      <c r="F2561" s="170" t="n"/>
      <c r="G2561" s="170" t="n"/>
      <c r="H2561" s="170" t="n"/>
      <c r="I2561" s="170" t="n"/>
      <c r="J2561" s="170" t="n"/>
      <c r="K2561" s="170" t="n"/>
      <c r="L2561" s="170" t="n"/>
      <c r="M2561" s="170" t="n"/>
      <c r="N2561" s="30" t="n"/>
      <c r="O2561" s="150">
        <f>C2561*P2561</f>
        <v/>
      </c>
      <c r="P2561" s="150" t="n">
        <v>1.1</v>
      </c>
      <c r="Q2561" s="30" t="n"/>
      <c r="R2561" s="170" t="n"/>
      <c r="S2561" s="30" t="n"/>
      <c r="T2561" s="170" t="n"/>
      <c r="U2561" s="30" t="n"/>
      <c r="V2561" s="30" t="n"/>
      <c r="W2561" s="30" t="n"/>
      <c r="X2561" s="30" t="n"/>
      <c r="Y2561" s="30" t="n"/>
      <c r="Z2561" s="30" t="n"/>
      <c r="AA2561" s="30" t="n"/>
      <c r="AB2561" s="30" t="n"/>
      <c r="AC2561" s="30" t="n"/>
      <c r="AD2561" s="30" t="n"/>
      <c r="AE2561" s="30" t="n"/>
      <c r="AF2561" s="30" t="n"/>
      <c r="AG2561" s="30" t="n"/>
      <c r="AH2561" s="30" t="n"/>
      <c r="AI2561" s="30" t="n"/>
      <c r="AJ2561" s="30" t="n"/>
      <c r="AK2561" s="30" t="n"/>
      <c r="AL2561" s="30" t="n"/>
      <c r="AM2561" s="30" t="n"/>
      <c r="AN2561" s="30" t="n"/>
      <c r="AO2561" s="30" t="n"/>
    </row>
    <row r="2562" ht="16.5" customHeight="1" s="253">
      <c r="A2562" s="89" t="inlineStr">
        <is>
          <t>21256XXX</t>
        </is>
      </c>
      <c r="B2562" s="135" t="inlineStr">
        <is>
          <t>TAVERNITI  REM M/C</t>
        </is>
      </c>
      <c r="C2562" s="88" t="n">
        <v>51400</v>
      </c>
      <c r="D2562" s="170" t="n"/>
      <c r="E2562" s="170" t="n"/>
      <c r="F2562" s="170" t="n"/>
      <c r="G2562" s="170" t="n"/>
      <c r="H2562" s="170" t="n"/>
      <c r="I2562" s="170" t="n"/>
      <c r="J2562" s="170" t="n"/>
      <c r="K2562" s="170" t="n"/>
      <c r="L2562" s="170" t="n"/>
      <c r="M2562" s="170" t="n"/>
      <c r="N2562" s="30" t="n"/>
      <c r="O2562" s="150">
        <f>C2562*P2562</f>
        <v/>
      </c>
      <c r="P2562" s="150" t="n">
        <v>1.1</v>
      </c>
      <c r="Q2562" s="30" t="n"/>
      <c r="R2562" s="170" t="n"/>
      <c r="S2562" s="30" t="n"/>
      <c r="T2562" s="170" t="n"/>
      <c r="U2562" s="30" t="n"/>
      <c r="V2562" s="30" t="n"/>
      <c r="W2562" s="30" t="n"/>
      <c r="X2562" s="30" t="n"/>
      <c r="Y2562" s="30" t="n"/>
      <c r="Z2562" s="30" t="n"/>
      <c r="AA2562" s="30" t="n"/>
      <c r="AB2562" s="30" t="n"/>
      <c r="AC2562" s="30" t="n"/>
      <c r="AD2562" s="30" t="n"/>
      <c r="AE2562" s="30" t="n"/>
      <c r="AF2562" s="30" t="n"/>
      <c r="AG2562" s="30" t="n"/>
      <c r="AH2562" s="30" t="n"/>
      <c r="AI2562" s="30" t="n"/>
      <c r="AJ2562" s="30" t="n"/>
      <c r="AK2562" s="30" t="n"/>
      <c r="AL2562" s="30" t="n"/>
      <c r="AM2562" s="30" t="n"/>
      <c r="AN2562" s="30" t="n"/>
      <c r="AO2562" s="30" t="n"/>
    </row>
    <row r="2563" ht="16.5" customHeight="1" s="253">
      <c r="A2563" s="89" t="inlineStr">
        <is>
          <t>21262XXX</t>
        </is>
      </c>
      <c r="B2563" s="135" t="inlineStr">
        <is>
          <t>TAVERNITI  REM M/C</t>
        </is>
      </c>
      <c r="C2563" s="88" t="n">
        <v>51400</v>
      </c>
      <c r="D2563" s="170" t="n"/>
      <c r="E2563" s="170" t="n"/>
      <c r="F2563" s="170" t="n"/>
      <c r="G2563" s="170" t="n"/>
      <c r="H2563" s="170" t="n"/>
      <c r="I2563" s="170" t="n"/>
      <c r="J2563" s="170" t="n"/>
      <c r="K2563" s="170" t="n"/>
      <c r="L2563" s="170" t="n"/>
      <c r="M2563" s="170" t="n"/>
      <c r="N2563" s="30" t="n"/>
      <c r="O2563" s="150">
        <f>C2563*P2563</f>
        <v/>
      </c>
      <c r="P2563" s="150" t="n">
        <v>1.1</v>
      </c>
      <c r="Q2563" s="30" t="n"/>
      <c r="R2563" s="170" t="n"/>
      <c r="S2563" s="30" t="n"/>
      <c r="T2563" s="170" t="n"/>
      <c r="U2563" s="30" t="n"/>
      <c r="V2563" s="30" t="n"/>
      <c r="W2563" s="30" t="n"/>
      <c r="X2563" s="30" t="n"/>
      <c r="Y2563" s="30" t="n"/>
      <c r="Z2563" s="30" t="n"/>
      <c r="AA2563" s="30" t="n"/>
      <c r="AB2563" s="30" t="n"/>
      <c r="AC2563" s="30" t="n"/>
      <c r="AD2563" s="30" t="n"/>
      <c r="AE2563" s="30" t="n"/>
      <c r="AF2563" s="30" t="n"/>
      <c r="AG2563" s="30" t="n"/>
      <c r="AH2563" s="30" t="n"/>
      <c r="AI2563" s="30" t="n"/>
      <c r="AJ2563" s="30" t="n"/>
      <c r="AK2563" s="30" t="n"/>
      <c r="AL2563" s="30" t="n"/>
      <c r="AM2563" s="30" t="n"/>
      <c r="AN2563" s="30" t="n"/>
      <c r="AO2563" s="30" t="n"/>
    </row>
    <row r="2564" ht="16.5" customHeight="1" s="253">
      <c r="A2564" s="89" t="inlineStr">
        <is>
          <t>21264XXX</t>
        </is>
      </c>
      <c r="B2564" s="135" t="inlineStr">
        <is>
          <t>TAVERNITI  REM M/C</t>
        </is>
      </c>
      <c r="C2564" s="88" t="n">
        <v>51400</v>
      </c>
      <c r="D2564" s="170" t="n"/>
      <c r="E2564" s="170" t="n"/>
      <c r="F2564" s="170" t="n"/>
      <c r="G2564" s="170" t="n"/>
      <c r="H2564" s="170" t="n"/>
      <c r="I2564" s="170" t="n"/>
      <c r="J2564" s="170" t="n"/>
      <c r="K2564" s="170" t="n"/>
      <c r="L2564" s="170" t="n"/>
      <c r="M2564" s="170" t="n"/>
      <c r="N2564" s="30" t="n"/>
      <c r="O2564" s="150">
        <f>C2564*P2564</f>
        <v/>
      </c>
      <c r="P2564" s="150" t="n">
        <v>1.1</v>
      </c>
      <c r="Q2564" s="30" t="n"/>
      <c r="R2564" s="170" t="n"/>
      <c r="S2564" s="30" t="n"/>
      <c r="T2564" s="170" t="n"/>
      <c r="U2564" s="30" t="n"/>
      <c r="V2564" s="30" t="n"/>
      <c r="W2564" s="30" t="n"/>
      <c r="X2564" s="30" t="n"/>
      <c r="Y2564" s="30" t="n"/>
      <c r="Z2564" s="30" t="n"/>
      <c r="AA2564" s="30" t="n"/>
      <c r="AB2564" s="30" t="n"/>
      <c r="AC2564" s="30" t="n"/>
      <c r="AD2564" s="30" t="n"/>
      <c r="AE2564" s="30" t="n"/>
      <c r="AF2564" s="30" t="n"/>
      <c r="AG2564" s="30" t="n"/>
      <c r="AH2564" s="30" t="n"/>
      <c r="AI2564" s="30" t="n"/>
      <c r="AJ2564" s="30" t="n"/>
      <c r="AK2564" s="30" t="n"/>
      <c r="AL2564" s="30" t="n"/>
      <c r="AM2564" s="30" t="n"/>
      <c r="AN2564" s="30" t="n"/>
      <c r="AO2564" s="30" t="n"/>
    </row>
    <row r="2565" ht="16.5" customHeight="1" s="253">
      <c r="A2565" s="89" t="inlineStr">
        <is>
          <t>21268XXX</t>
        </is>
      </c>
      <c r="B2565" s="135" t="inlineStr">
        <is>
          <t>TAVERNITI  REM M/C</t>
        </is>
      </c>
      <c r="C2565" s="88" t="n">
        <v>51400</v>
      </c>
      <c r="D2565" s="170" t="n"/>
      <c r="E2565" s="170" t="n"/>
      <c r="F2565" s="170" t="n"/>
      <c r="G2565" s="170" t="n"/>
      <c r="H2565" s="170" t="n"/>
      <c r="I2565" s="170" t="n"/>
      <c r="J2565" s="170" t="n"/>
      <c r="K2565" s="170" t="n"/>
      <c r="L2565" s="170" t="n"/>
      <c r="M2565" s="170" t="n"/>
      <c r="N2565" s="30" t="n"/>
      <c r="O2565" s="150">
        <f>C2565*P2565</f>
        <v/>
      </c>
      <c r="P2565" s="150" t="n">
        <v>1.1</v>
      </c>
      <c r="Q2565" s="30" t="n"/>
      <c r="R2565" s="170" t="n"/>
      <c r="S2565" s="30" t="n"/>
      <c r="T2565" s="170" t="n"/>
      <c r="U2565" s="30" t="n"/>
      <c r="V2565" s="30" t="n"/>
      <c r="W2565" s="30" t="n"/>
      <c r="X2565" s="30" t="n"/>
      <c r="Y2565" s="30" t="n"/>
      <c r="Z2565" s="30" t="n"/>
      <c r="AA2565" s="30" t="n"/>
      <c r="AB2565" s="30" t="n"/>
      <c r="AC2565" s="30" t="n"/>
      <c r="AD2565" s="30" t="n"/>
      <c r="AE2565" s="30" t="n"/>
      <c r="AF2565" s="30" t="n"/>
      <c r="AG2565" s="30" t="n"/>
      <c r="AH2565" s="30" t="n"/>
      <c r="AI2565" s="30" t="n"/>
      <c r="AJ2565" s="30" t="n"/>
      <c r="AK2565" s="30" t="n"/>
      <c r="AL2565" s="30" t="n"/>
      <c r="AM2565" s="30" t="n"/>
      <c r="AN2565" s="30" t="n"/>
      <c r="AO2565" s="30" t="n"/>
    </row>
    <row r="2566" ht="16.5" customHeight="1" s="253">
      <c r="A2566" s="89" t="inlineStr">
        <is>
          <t>21278XXX</t>
        </is>
      </c>
      <c r="B2566" s="135" t="inlineStr">
        <is>
          <t>TAVERNITI  REM M/C</t>
        </is>
      </c>
      <c r="C2566" s="88" t="n">
        <v>51400</v>
      </c>
      <c r="D2566" s="170" t="n"/>
      <c r="E2566" s="170" t="n"/>
      <c r="F2566" s="170" t="n"/>
      <c r="G2566" s="170" t="n"/>
      <c r="H2566" s="170" t="n"/>
      <c r="I2566" s="170" t="n"/>
      <c r="J2566" s="170" t="n"/>
      <c r="K2566" s="170" t="n"/>
      <c r="L2566" s="170" t="n"/>
      <c r="M2566" s="170" t="n"/>
      <c r="N2566" s="30" t="n"/>
      <c r="O2566" s="150">
        <f>C2566*P2566</f>
        <v/>
      </c>
      <c r="P2566" s="150" t="n">
        <v>1.1</v>
      </c>
      <c r="Q2566" s="30" t="n"/>
      <c r="R2566" s="170" t="n"/>
      <c r="S2566" s="30" t="n"/>
      <c r="T2566" s="170" t="n"/>
      <c r="U2566" s="30" t="n"/>
      <c r="V2566" s="30" t="n"/>
      <c r="W2566" s="30" t="n"/>
      <c r="X2566" s="30" t="n"/>
      <c r="Y2566" s="30" t="n"/>
      <c r="Z2566" s="30" t="n"/>
      <c r="AA2566" s="30" t="n"/>
      <c r="AB2566" s="30" t="n"/>
      <c r="AC2566" s="30" t="n"/>
      <c r="AD2566" s="30" t="n"/>
      <c r="AE2566" s="30" t="n"/>
      <c r="AF2566" s="30" t="n"/>
      <c r="AG2566" s="30" t="n"/>
      <c r="AH2566" s="30" t="n"/>
      <c r="AI2566" s="30" t="n"/>
      <c r="AJ2566" s="30" t="n"/>
      <c r="AK2566" s="30" t="n"/>
      <c r="AL2566" s="30" t="n"/>
      <c r="AM2566" s="30" t="n"/>
      <c r="AN2566" s="30" t="n"/>
      <c r="AO2566" s="30" t="n"/>
    </row>
    <row r="2567" ht="16.5" customHeight="1" s="253">
      <c r="A2567" s="89" t="inlineStr">
        <is>
          <t>21288XXX</t>
        </is>
      </c>
      <c r="B2567" s="135" t="inlineStr">
        <is>
          <t>TAVERNITI  REM M/C</t>
        </is>
      </c>
      <c r="C2567" s="88" t="n">
        <v>54500</v>
      </c>
      <c r="D2567" s="170" t="n"/>
      <c r="E2567" s="170" t="n"/>
      <c r="F2567" s="170" t="n"/>
      <c r="G2567" s="170" t="n"/>
      <c r="H2567" s="170" t="n"/>
      <c r="I2567" s="170" t="n"/>
      <c r="J2567" s="170" t="n"/>
      <c r="K2567" s="170" t="n"/>
      <c r="L2567" s="170" t="n"/>
      <c r="M2567" s="170" t="n"/>
      <c r="N2567" s="30" t="n"/>
      <c r="O2567" s="150">
        <f>C2567*P2567</f>
        <v/>
      </c>
      <c r="P2567" s="150" t="n">
        <v>1.1</v>
      </c>
      <c r="Q2567" s="30" t="n"/>
      <c r="R2567" s="170" t="n"/>
      <c r="S2567" s="30" t="n"/>
      <c r="T2567" s="170" t="n"/>
      <c r="U2567" s="30" t="n"/>
      <c r="V2567" s="30" t="n"/>
      <c r="W2567" s="30" t="n"/>
      <c r="X2567" s="30" t="n"/>
      <c r="Y2567" s="30" t="n"/>
      <c r="Z2567" s="30" t="n"/>
      <c r="AA2567" s="30" t="n"/>
      <c r="AB2567" s="30" t="n"/>
      <c r="AC2567" s="30" t="n"/>
      <c r="AD2567" s="30" t="n"/>
      <c r="AE2567" s="30" t="n"/>
      <c r="AF2567" s="30" t="n"/>
      <c r="AG2567" s="30" t="n"/>
      <c r="AH2567" s="30" t="n"/>
      <c r="AI2567" s="30" t="n"/>
      <c r="AJ2567" s="30" t="n"/>
      <c r="AK2567" s="30" t="n"/>
      <c r="AL2567" s="30" t="n"/>
      <c r="AM2567" s="30" t="n"/>
      <c r="AN2567" s="30" t="n"/>
      <c r="AO2567" s="30" t="n"/>
    </row>
    <row r="2568" ht="16.5" customHeight="1" s="253">
      <c r="A2568" s="89" t="inlineStr">
        <is>
          <t>21342XXX</t>
        </is>
      </c>
      <c r="B2568" s="135" t="inlineStr">
        <is>
          <t>TAVERNITI  REM M/C</t>
        </is>
      </c>
      <c r="C2568" s="88" t="n">
        <v>44900</v>
      </c>
      <c r="D2568" s="170" t="n"/>
      <c r="E2568" s="170" t="n"/>
      <c r="F2568" s="170" t="n"/>
      <c r="G2568" s="170" t="n"/>
      <c r="H2568" s="170" t="n"/>
      <c r="I2568" s="170" t="n"/>
      <c r="J2568" s="170" t="n"/>
      <c r="K2568" s="170" t="n"/>
      <c r="L2568" s="170" t="n"/>
      <c r="M2568" s="170" t="n"/>
      <c r="N2568" s="30" t="n"/>
      <c r="O2568" s="150">
        <f>C2568*P2568</f>
        <v/>
      </c>
      <c r="P2568" s="150" t="n">
        <v>1.1</v>
      </c>
      <c r="Q2568" s="30" t="n"/>
      <c r="R2568" s="170" t="n"/>
      <c r="S2568" s="30" t="n"/>
      <c r="T2568" s="170" t="n"/>
      <c r="U2568" s="30" t="n"/>
      <c r="V2568" s="30" t="n"/>
      <c r="W2568" s="30" t="n"/>
      <c r="X2568" s="30" t="n"/>
      <c r="Y2568" s="30" t="n"/>
      <c r="Z2568" s="30" t="n"/>
      <c r="AA2568" s="30" t="n"/>
      <c r="AB2568" s="30" t="n"/>
      <c r="AC2568" s="30" t="n"/>
      <c r="AD2568" s="30" t="n"/>
      <c r="AE2568" s="30" t="n"/>
      <c r="AF2568" s="30" t="n"/>
      <c r="AG2568" s="30" t="n"/>
      <c r="AH2568" s="30" t="n"/>
      <c r="AI2568" s="30" t="n"/>
      <c r="AJ2568" s="30" t="n"/>
      <c r="AK2568" s="30" t="n"/>
      <c r="AL2568" s="30" t="n"/>
      <c r="AM2568" s="30" t="n"/>
      <c r="AN2568" s="30" t="n"/>
      <c r="AO2568" s="30" t="n"/>
    </row>
    <row r="2569" ht="16.5" customHeight="1" s="253">
      <c r="A2569" s="134" t="inlineStr">
        <is>
          <t>21354XXX</t>
        </is>
      </c>
      <c r="B2569" s="246" t="inlineStr">
        <is>
          <t>TAVERNITI  REM M/C</t>
        </is>
      </c>
      <c r="C2569" s="88" t="n">
        <v>42400</v>
      </c>
      <c r="D2569" s="22" t="n"/>
      <c r="E2569" s="22" t="n"/>
      <c r="F2569" s="22" t="n"/>
      <c r="G2569" s="219" t="n"/>
      <c r="H2569" s="219" t="n"/>
      <c r="I2569" s="219" t="n"/>
      <c r="J2569" s="219" t="n"/>
      <c r="K2569" s="219" t="n"/>
      <c r="L2569" s="219" t="n"/>
      <c r="M2569" s="219" t="n"/>
      <c r="O2569" s="117">
        <f>C2569*P2569</f>
        <v/>
      </c>
      <c r="P2569" s="150" t="n">
        <v>1.1</v>
      </c>
      <c r="R2569" s="117" t="n"/>
      <c r="T2569" s="117" t="n"/>
    </row>
    <row r="2570" ht="16.5" customHeight="1" s="253">
      <c r="A2570" s="134" t="inlineStr">
        <is>
          <t>21358XXX</t>
        </is>
      </c>
      <c r="B2570" s="246" t="inlineStr">
        <is>
          <t>TAVERNITI  REM M/C</t>
        </is>
      </c>
      <c r="C2570" s="88" t="n">
        <v>38500</v>
      </c>
      <c r="D2570" s="22" t="n"/>
      <c r="E2570" s="22" t="n"/>
      <c r="F2570" s="22" t="n"/>
      <c r="G2570" s="219" t="n"/>
      <c r="H2570" s="219" t="n"/>
      <c r="I2570" s="219" t="n"/>
      <c r="J2570" s="219" t="n"/>
      <c r="K2570" s="219" t="n"/>
      <c r="L2570" s="219" t="n"/>
      <c r="M2570" s="219" t="n"/>
      <c r="O2570" s="117">
        <f>C2570*P2570</f>
        <v/>
      </c>
      <c r="P2570" s="150" t="n">
        <v>1.1</v>
      </c>
      <c r="R2570" s="117" t="n"/>
      <c r="T2570" s="117" t="n"/>
    </row>
    <row r="2571" ht="16.5" customHeight="1" s="253">
      <c r="A2571" s="89" t="inlineStr">
        <is>
          <t>21436XXX</t>
        </is>
      </c>
      <c r="B2571" s="135" t="inlineStr">
        <is>
          <t>TAVERNITI  REM M/C</t>
        </is>
      </c>
      <c r="C2571" s="88" t="n">
        <v>45900</v>
      </c>
      <c r="D2571" s="170" t="n"/>
      <c r="E2571" s="170" t="n"/>
      <c r="F2571" s="170" t="n"/>
      <c r="G2571" s="170" t="n"/>
      <c r="H2571" s="170" t="n"/>
      <c r="I2571" s="170" t="n"/>
      <c r="J2571" s="170" t="n"/>
      <c r="K2571" s="170" t="n"/>
      <c r="L2571" s="170" t="n"/>
      <c r="M2571" s="170" t="n"/>
      <c r="N2571" s="30" t="n"/>
      <c r="O2571" s="150">
        <f>C2571*P2571</f>
        <v/>
      </c>
      <c r="P2571" s="150" t="n">
        <v>1.1</v>
      </c>
      <c r="Q2571" s="30" t="n"/>
      <c r="R2571" s="170" t="n"/>
      <c r="S2571" s="30" t="n"/>
      <c r="T2571" s="170" t="n"/>
      <c r="U2571" s="30" t="n"/>
      <c r="V2571" s="30" t="n"/>
      <c r="W2571" s="30" t="n"/>
      <c r="X2571" s="30" t="n"/>
      <c r="Y2571" s="30" t="n"/>
      <c r="Z2571" s="30" t="n"/>
      <c r="AA2571" s="30" t="n"/>
      <c r="AB2571" s="30" t="n"/>
      <c r="AC2571" s="30" t="n"/>
      <c r="AD2571" s="30" t="n"/>
      <c r="AE2571" s="30" t="n"/>
      <c r="AF2571" s="30" t="n"/>
      <c r="AG2571" s="30" t="n"/>
      <c r="AH2571" s="30" t="n"/>
      <c r="AI2571" s="30" t="n"/>
      <c r="AJ2571" s="30" t="n"/>
      <c r="AK2571" s="30" t="n"/>
      <c r="AL2571" s="30" t="n"/>
      <c r="AM2571" s="30" t="n"/>
      <c r="AN2571" s="30" t="n"/>
      <c r="AO2571" s="30" t="n"/>
    </row>
    <row r="2572" ht="16.5" customHeight="1" s="253">
      <c r="A2572" s="89" t="inlineStr">
        <is>
          <t>21440XXX</t>
        </is>
      </c>
      <c r="B2572" s="135" t="inlineStr">
        <is>
          <t>TAVERNITI  REM M/C</t>
        </is>
      </c>
      <c r="C2572" s="88" t="n">
        <v>45700</v>
      </c>
      <c r="D2572" s="170" t="n"/>
      <c r="E2572" s="170" t="n"/>
      <c r="F2572" s="170" t="n"/>
      <c r="G2572" s="170" t="n"/>
      <c r="H2572" s="170" t="n"/>
      <c r="I2572" s="170" t="n"/>
      <c r="J2572" s="170" t="n"/>
      <c r="K2572" s="170" t="n"/>
      <c r="L2572" s="170" t="n"/>
      <c r="M2572" s="170" t="n"/>
      <c r="N2572" s="30" t="n"/>
      <c r="O2572" s="150">
        <f>C2572*P2572</f>
        <v/>
      </c>
      <c r="P2572" s="150" t="n">
        <v>1.1</v>
      </c>
      <c r="Q2572" s="30" t="n"/>
      <c r="R2572" s="170" t="n"/>
      <c r="S2572" s="30" t="n"/>
      <c r="T2572" s="170" t="n"/>
      <c r="U2572" s="30" t="n"/>
      <c r="V2572" s="30" t="n"/>
      <c r="W2572" s="30" t="n"/>
      <c r="X2572" s="30" t="n"/>
      <c r="Y2572" s="30" t="n"/>
      <c r="Z2572" s="30" t="n"/>
      <c r="AA2572" s="30" t="n"/>
      <c r="AB2572" s="30" t="n"/>
      <c r="AC2572" s="30" t="n"/>
      <c r="AD2572" s="30" t="n"/>
      <c r="AE2572" s="30" t="n"/>
      <c r="AF2572" s="30" t="n"/>
      <c r="AG2572" s="30" t="n"/>
      <c r="AH2572" s="30" t="n"/>
      <c r="AI2572" s="30" t="n"/>
      <c r="AJ2572" s="30" t="n"/>
      <c r="AK2572" s="30" t="n"/>
      <c r="AL2572" s="30" t="n"/>
      <c r="AM2572" s="30" t="n"/>
      <c r="AN2572" s="30" t="n"/>
      <c r="AO2572" s="30" t="n"/>
    </row>
    <row r="2573" ht="16.5" customHeight="1" s="253">
      <c r="A2573" s="134" t="inlineStr">
        <is>
          <t>21442XXX</t>
        </is>
      </c>
      <c r="B2573" s="246" t="inlineStr">
        <is>
          <t>TAVERNITI  REM M/C</t>
        </is>
      </c>
      <c r="C2573" s="88" t="n">
        <v>51200</v>
      </c>
      <c r="D2573" s="22" t="n"/>
      <c r="E2573" s="22" t="n"/>
      <c r="F2573" s="22" t="n"/>
      <c r="G2573" s="219" t="n"/>
      <c r="H2573" s="219" t="n"/>
      <c r="I2573" s="219" t="n"/>
      <c r="J2573" s="219" t="n"/>
      <c r="K2573" s="219" t="n"/>
      <c r="L2573" s="219" t="n"/>
      <c r="M2573" s="219" t="n"/>
      <c r="O2573" s="117">
        <f>C2573*P2573</f>
        <v/>
      </c>
      <c r="P2573" s="150" t="n">
        <v>1.1</v>
      </c>
      <c r="R2573" s="117" t="n"/>
      <c r="T2573" s="117" t="n"/>
    </row>
    <row r="2574" ht="16.5" customHeight="1" s="253">
      <c r="A2574" s="89" t="inlineStr">
        <is>
          <t>21444XXX</t>
        </is>
      </c>
      <c r="B2574" s="135" t="inlineStr">
        <is>
          <t>TAVERNITI  REM M/C</t>
        </is>
      </c>
      <c r="C2574" s="88" t="n">
        <v>45700</v>
      </c>
      <c r="D2574" s="170" t="n"/>
      <c r="E2574" s="170" t="n"/>
      <c r="F2574" s="170" t="n"/>
      <c r="G2574" s="170" t="n"/>
      <c r="H2574" s="170" t="n"/>
      <c r="I2574" s="170" t="n"/>
      <c r="J2574" s="170" t="n"/>
      <c r="K2574" s="170" t="n"/>
      <c r="L2574" s="170" t="n"/>
      <c r="M2574" s="170" t="n"/>
      <c r="N2574" s="30" t="n"/>
      <c r="O2574" s="150">
        <f>C2574*P2574</f>
        <v/>
      </c>
      <c r="P2574" s="150" t="n">
        <v>1.1</v>
      </c>
      <c r="Q2574" s="30" t="n"/>
      <c r="R2574" s="170" t="n"/>
      <c r="S2574" s="30" t="n"/>
      <c r="T2574" s="170" t="n"/>
      <c r="U2574" s="30" t="n"/>
      <c r="V2574" s="30" t="n"/>
      <c r="W2574" s="30" t="n"/>
      <c r="X2574" s="30" t="n"/>
      <c r="Y2574" s="30" t="n"/>
      <c r="Z2574" s="30" t="n"/>
      <c r="AA2574" s="30" t="n"/>
      <c r="AB2574" s="30" t="n"/>
      <c r="AC2574" s="30" t="n"/>
      <c r="AD2574" s="30" t="n"/>
      <c r="AE2574" s="30" t="n"/>
      <c r="AF2574" s="30" t="n"/>
      <c r="AG2574" s="30" t="n"/>
      <c r="AH2574" s="30" t="n"/>
      <c r="AI2574" s="30" t="n"/>
      <c r="AJ2574" s="30" t="n"/>
      <c r="AK2574" s="30" t="n"/>
      <c r="AL2574" s="30" t="n"/>
      <c r="AM2574" s="30" t="n"/>
      <c r="AN2574" s="30" t="n"/>
      <c r="AO2574" s="30" t="n"/>
    </row>
    <row r="2575" ht="16.5" customHeight="1" s="253">
      <c r="A2575" s="89" t="inlineStr">
        <is>
          <t>21446XXX</t>
        </is>
      </c>
      <c r="B2575" s="135" t="inlineStr">
        <is>
          <t>TAVERNITI  REM M/C</t>
        </is>
      </c>
      <c r="C2575" s="88" t="n">
        <v>45900</v>
      </c>
      <c r="D2575" s="170" t="n"/>
      <c r="E2575" s="170" t="n"/>
      <c r="F2575" s="170" t="n"/>
      <c r="G2575" s="170" t="n"/>
      <c r="H2575" s="170" t="n"/>
      <c r="I2575" s="170" t="n"/>
      <c r="J2575" s="170" t="n"/>
      <c r="K2575" s="170" t="n"/>
      <c r="L2575" s="170" t="n"/>
      <c r="M2575" s="170" t="n"/>
      <c r="N2575" s="30" t="n"/>
      <c r="O2575" s="150">
        <f>C2575*P2575</f>
        <v/>
      </c>
      <c r="P2575" s="150" t="n">
        <v>1.1</v>
      </c>
      <c r="Q2575" s="30" t="n"/>
      <c r="R2575" s="170" t="n"/>
      <c r="S2575" s="30" t="n"/>
      <c r="T2575" s="170" t="n"/>
      <c r="U2575" s="30" t="n"/>
      <c r="V2575" s="30" t="n"/>
      <c r="W2575" s="30" t="n"/>
      <c r="X2575" s="30" t="n"/>
      <c r="Y2575" s="30" t="n"/>
      <c r="Z2575" s="30" t="n"/>
      <c r="AA2575" s="30" t="n"/>
      <c r="AB2575" s="30" t="n"/>
      <c r="AC2575" s="30" t="n"/>
      <c r="AD2575" s="30" t="n"/>
      <c r="AE2575" s="30" t="n"/>
      <c r="AF2575" s="30" t="n"/>
      <c r="AG2575" s="30" t="n"/>
      <c r="AH2575" s="30" t="n"/>
      <c r="AI2575" s="30" t="n"/>
      <c r="AJ2575" s="30" t="n"/>
      <c r="AK2575" s="30" t="n"/>
      <c r="AL2575" s="30" t="n"/>
      <c r="AM2575" s="30" t="n"/>
      <c r="AN2575" s="30" t="n"/>
      <c r="AO2575" s="30" t="n"/>
    </row>
    <row r="2576" ht="16.5" customHeight="1" s="253">
      <c r="A2576" s="89" t="inlineStr">
        <is>
          <t>21448XXX</t>
        </is>
      </c>
      <c r="B2576" s="135" t="inlineStr">
        <is>
          <t>TAVERNITI  REM M/C</t>
        </is>
      </c>
      <c r="C2576" s="88" t="n">
        <v>45900</v>
      </c>
      <c r="D2576" s="170" t="n"/>
      <c r="E2576" s="170" t="n"/>
      <c r="F2576" s="170" t="n"/>
      <c r="G2576" s="170" t="n"/>
      <c r="H2576" s="170" t="n"/>
      <c r="I2576" s="170" t="n"/>
      <c r="J2576" s="170" t="n"/>
      <c r="K2576" s="170" t="n"/>
      <c r="L2576" s="170" t="n"/>
      <c r="M2576" s="170" t="n"/>
      <c r="N2576" s="30" t="n"/>
      <c r="O2576" s="150">
        <f>C2576*P2576</f>
        <v/>
      </c>
      <c r="P2576" s="150" t="n">
        <v>1.1</v>
      </c>
      <c r="Q2576" s="30" t="n"/>
      <c r="R2576" s="170" t="n"/>
      <c r="S2576" s="30" t="n"/>
      <c r="T2576" s="170" t="n"/>
      <c r="U2576" s="30" t="n"/>
      <c r="V2576" s="30" t="n"/>
      <c r="W2576" s="30" t="n"/>
      <c r="X2576" s="30" t="n"/>
      <c r="Y2576" s="30" t="n"/>
      <c r="Z2576" s="30" t="n"/>
      <c r="AA2576" s="30" t="n"/>
      <c r="AB2576" s="30" t="n"/>
      <c r="AC2576" s="30" t="n"/>
      <c r="AD2576" s="30" t="n"/>
      <c r="AE2576" s="30" t="n"/>
      <c r="AF2576" s="30" t="n"/>
      <c r="AG2576" s="30" t="n"/>
      <c r="AH2576" s="30" t="n"/>
      <c r="AI2576" s="30" t="n"/>
      <c r="AJ2576" s="30" t="n"/>
      <c r="AK2576" s="30" t="n"/>
      <c r="AL2576" s="30" t="n"/>
      <c r="AM2576" s="30" t="n"/>
      <c r="AN2576" s="30" t="n"/>
      <c r="AO2576" s="30" t="n"/>
    </row>
    <row r="2577" ht="16.5" customHeight="1" s="253">
      <c r="A2577" s="134" t="inlineStr">
        <is>
          <t>21452XXX</t>
        </is>
      </c>
      <c r="B2577" s="246" t="inlineStr">
        <is>
          <t>TAVERNITI  REM M/C</t>
        </is>
      </c>
      <c r="C2577" s="88" t="n">
        <v>51200</v>
      </c>
      <c r="D2577" s="22" t="n"/>
      <c r="E2577" s="22" t="n"/>
      <c r="F2577" s="22" t="n"/>
      <c r="G2577" s="219" t="n"/>
      <c r="H2577" s="219" t="n"/>
      <c r="I2577" s="219" t="n"/>
      <c r="J2577" s="219" t="n"/>
      <c r="K2577" s="219" t="n"/>
      <c r="L2577" s="219" t="n"/>
      <c r="M2577" s="219" t="n"/>
      <c r="O2577" s="117">
        <f>C2577*P2577</f>
        <v/>
      </c>
      <c r="P2577" s="150" t="n">
        <v>1.1</v>
      </c>
      <c r="R2577" s="117" t="n"/>
      <c r="T2577" s="117" t="n"/>
    </row>
    <row r="2578" ht="16.5" customHeight="1" s="253">
      <c r="A2578" s="134" t="inlineStr">
        <is>
          <t>21454XXX</t>
        </is>
      </c>
      <c r="B2578" s="246" t="inlineStr">
        <is>
          <t>TAVERNITI  REM M/C</t>
        </is>
      </c>
      <c r="C2578" s="88" t="n">
        <v>49900</v>
      </c>
      <c r="D2578" s="22" t="n"/>
      <c r="E2578" s="22" t="n"/>
      <c r="F2578" s="22" t="n"/>
      <c r="G2578" s="219" t="n"/>
      <c r="H2578" s="219" t="n"/>
      <c r="I2578" s="219" t="n"/>
      <c r="J2578" s="219" t="n"/>
      <c r="K2578" s="219" t="n"/>
      <c r="L2578" s="219" t="n"/>
      <c r="M2578" s="219" t="n"/>
      <c r="O2578" s="117" t="n">
        <v>49925.12000000001</v>
      </c>
      <c r="P2578" s="150" t="n">
        <v>1.1</v>
      </c>
      <c r="R2578" s="117" t="n"/>
      <c r="T2578" s="117" t="n"/>
    </row>
    <row r="2579" ht="16.5" customHeight="1" s="253">
      <c r="A2579" s="89" t="inlineStr">
        <is>
          <t>21522XXX</t>
        </is>
      </c>
      <c r="B2579" s="135" t="inlineStr">
        <is>
          <t>TAVERNITI  REM M/C</t>
        </is>
      </c>
      <c r="C2579" s="88" t="n">
        <v>42000</v>
      </c>
      <c r="D2579" s="170" t="n"/>
      <c r="E2579" s="170" t="n"/>
      <c r="F2579" s="170" t="n"/>
      <c r="G2579" s="170" t="n"/>
      <c r="H2579" s="170" t="n"/>
      <c r="I2579" s="170" t="n"/>
      <c r="J2579" s="170" t="n"/>
      <c r="K2579" s="170" t="n"/>
      <c r="L2579" s="170" t="n"/>
      <c r="M2579" s="170" t="n"/>
      <c r="N2579" s="30" t="n"/>
      <c r="O2579" s="150">
        <f>C2579*P2579</f>
        <v/>
      </c>
      <c r="P2579" s="150" t="n">
        <v>1.1</v>
      </c>
      <c r="Q2579" s="30" t="n"/>
      <c r="R2579" s="170" t="n"/>
      <c r="S2579" s="30" t="n"/>
      <c r="T2579" s="170" t="n"/>
      <c r="U2579" s="30" t="n"/>
      <c r="V2579" s="30" t="n"/>
      <c r="W2579" s="30" t="n"/>
      <c r="X2579" s="30" t="n"/>
      <c r="Y2579" s="30" t="n"/>
      <c r="Z2579" s="30" t="n"/>
      <c r="AA2579" s="30" t="n"/>
      <c r="AB2579" s="30" t="n"/>
      <c r="AC2579" s="30" t="n"/>
      <c r="AD2579" s="30" t="n"/>
      <c r="AE2579" s="30" t="n"/>
      <c r="AF2579" s="30" t="n"/>
      <c r="AG2579" s="30" t="n"/>
      <c r="AH2579" s="30" t="n"/>
      <c r="AI2579" s="30" t="n"/>
      <c r="AJ2579" s="30" t="n"/>
      <c r="AK2579" s="30" t="n"/>
      <c r="AL2579" s="30" t="n"/>
      <c r="AM2579" s="30" t="n"/>
      <c r="AN2579" s="30" t="n"/>
      <c r="AO2579" s="30" t="n"/>
    </row>
    <row r="2580" ht="16.5" customHeight="1" s="253">
      <c r="A2580" s="89" t="inlineStr">
        <is>
          <t>21524XXX</t>
        </is>
      </c>
      <c r="B2580" s="135" t="inlineStr">
        <is>
          <t>TAVERNITI  REM M/C</t>
        </is>
      </c>
      <c r="C2580" s="88" t="n">
        <v>42000</v>
      </c>
      <c r="D2580" s="170" t="n"/>
      <c r="E2580" s="170" t="n"/>
      <c r="F2580" s="170" t="n"/>
      <c r="G2580" s="170" t="n"/>
      <c r="H2580" s="170" t="n"/>
      <c r="I2580" s="170" t="n"/>
      <c r="J2580" s="170" t="n"/>
      <c r="K2580" s="170" t="n"/>
      <c r="L2580" s="170" t="n"/>
      <c r="M2580" s="170" t="n"/>
      <c r="N2580" s="30" t="n"/>
      <c r="O2580" s="150">
        <f>C2580*P2580</f>
        <v/>
      </c>
      <c r="P2580" s="150" t="n">
        <v>1.1</v>
      </c>
      <c r="Q2580" s="30" t="n"/>
      <c r="R2580" s="170" t="n"/>
      <c r="S2580" s="30" t="n"/>
      <c r="T2580" s="170" t="n"/>
      <c r="U2580" s="30" t="n"/>
      <c r="V2580" s="30" t="n"/>
      <c r="W2580" s="30" t="n"/>
      <c r="X2580" s="30" t="n"/>
      <c r="Y2580" s="30" t="n"/>
      <c r="Z2580" s="30" t="n"/>
      <c r="AA2580" s="30" t="n"/>
      <c r="AB2580" s="30" t="n"/>
      <c r="AC2580" s="30" t="n"/>
      <c r="AD2580" s="30" t="n"/>
      <c r="AE2580" s="30" t="n"/>
      <c r="AF2580" s="30" t="n"/>
      <c r="AG2580" s="30" t="n"/>
      <c r="AH2580" s="30" t="n"/>
      <c r="AI2580" s="30" t="n"/>
      <c r="AJ2580" s="30" t="n"/>
      <c r="AK2580" s="30" t="n"/>
      <c r="AL2580" s="30" t="n"/>
      <c r="AM2580" s="30" t="n"/>
      <c r="AN2580" s="30" t="n"/>
      <c r="AO2580" s="30" t="n"/>
    </row>
    <row r="2581" ht="16.5" customHeight="1" s="253">
      <c r="A2581" s="89" t="inlineStr">
        <is>
          <t>21526XXX</t>
        </is>
      </c>
      <c r="B2581" s="135" t="inlineStr">
        <is>
          <t>TAVERNITI  REM M/C</t>
        </is>
      </c>
      <c r="C2581" s="88" t="n">
        <v>42000</v>
      </c>
      <c r="D2581" s="170" t="n"/>
      <c r="E2581" s="170" t="n"/>
      <c r="F2581" s="170" t="n"/>
      <c r="G2581" s="170" t="n"/>
      <c r="H2581" s="170" t="n"/>
      <c r="I2581" s="170" t="n"/>
      <c r="J2581" s="170" t="n"/>
      <c r="K2581" s="170" t="n"/>
      <c r="L2581" s="170" t="n"/>
      <c r="M2581" s="170" t="n"/>
      <c r="N2581" s="30" t="n"/>
      <c r="O2581" s="150">
        <f>C2581*P2581</f>
        <v/>
      </c>
      <c r="P2581" s="150" t="n">
        <v>1.1</v>
      </c>
      <c r="Q2581" s="30" t="n"/>
      <c r="R2581" s="170" t="n"/>
      <c r="S2581" s="30" t="n"/>
      <c r="T2581" s="170" t="n"/>
      <c r="U2581" s="30" t="n"/>
      <c r="V2581" s="30" t="n"/>
      <c r="W2581" s="30" t="n"/>
      <c r="X2581" s="30" t="n"/>
      <c r="Y2581" s="30" t="n"/>
      <c r="Z2581" s="30" t="n"/>
      <c r="AA2581" s="30" t="n"/>
      <c r="AB2581" s="30" t="n"/>
      <c r="AC2581" s="30" t="n"/>
      <c r="AD2581" s="30" t="n"/>
      <c r="AE2581" s="30" t="n"/>
      <c r="AF2581" s="30" t="n"/>
      <c r="AG2581" s="30" t="n"/>
      <c r="AH2581" s="30" t="n"/>
      <c r="AI2581" s="30" t="n"/>
      <c r="AJ2581" s="30" t="n"/>
      <c r="AK2581" s="30" t="n"/>
      <c r="AL2581" s="30" t="n"/>
      <c r="AM2581" s="30" t="n"/>
      <c r="AN2581" s="30" t="n"/>
      <c r="AO2581" s="30" t="n"/>
    </row>
    <row r="2582" ht="16.5" customHeight="1" s="253">
      <c r="A2582" s="134" t="inlineStr">
        <is>
          <t>21528XXX</t>
        </is>
      </c>
      <c r="B2582" s="246" t="inlineStr">
        <is>
          <t>TAVERNITI  REM M/C</t>
        </is>
      </c>
      <c r="C2582" s="88" t="n">
        <v>42000</v>
      </c>
      <c r="D2582" s="22" t="n"/>
      <c r="E2582" s="22" t="n"/>
      <c r="F2582" s="22" t="n"/>
      <c r="G2582" s="219" t="n"/>
      <c r="H2582" s="219" t="n"/>
      <c r="I2582" s="219" t="n"/>
      <c r="J2582" s="219" t="n"/>
      <c r="K2582" s="219" t="n"/>
      <c r="L2582" s="219" t="n"/>
      <c r="M2582" s="219" t="n"/>
      <c r="O2582" s="117">
        <f>C2582*P2582</f>
        <v/>
      </c>
      <c r="P2582" s="150" t="n">
        <v>1.1</v>
      </c>
      <c r="R2582" s="117" t="n"/>
      <c r="T2582" s="117" t="n"/>
    </row>
    <row r="2583" ht="16.5" customHeight="1" s="253">
      <c r="A2583" s="134" t="inlineStr">
        <is>
          <t>21530XXX</t>
        </is>
      </c>
      <c r="B2583" s="246" t="inlineStr">
        <is>
          <t>TAVERNITI  REM M/C</t>
        </is>
      </c>
      <c r="C2583" s="88" t="n">
        <v>42000</v>
      </c>
      <c r="D2583" s="22" t="n"/>
      <c r="E2583" s="22" t="n"/>
      <c r="F2583" s="22" t="n"/>
      <c r="G2583" s="219" t="n"/>
      <c r="H2583" s="219" t="n"/>
      <c r="I2583" s="219" t="n"/>
      <c r="J2583" s="219" t="n"/>
      <c r="K2583" s="219" t="n"/>
      <c r="L2583" s="219" t="n"/>
      <c r="M2583" s="219" t="n"/>
      <c r="O2583" s="117">
        <f>C2583*P2583</f>
        <v/>
      </c>
      <c r="P2583" s="150" t="n">
        <v>1.1</v>
      </c>
      <c r="R2583" s="117" t="n"/>
      <c r="T2583" s="117" t="n"/>
    </row>
    <row r="2584" ht="16.5" customHeight="1" s="253">
      <c r="A2584" s="134" t="inlineStr">
        <is>
          <t>21532XXX</t>
        </is>
      </c>
      <c r="B2584" s="246" t="inlineStr">
        <is>
          <t>TAVERNITI  REM M/C</t>
        </is>
      </c>
      <c r="C2584" s="88" t="n">
        <v>42000</v>
      </c>
      <c r="D2584" s="22" t="n"/>
      <c r="E2584" s="22" t="n"/>
      <c r="F2584" s="22" t="n"/>
      <c r="G2584" s="219" t="n"/>
      <c r="H2584" s="219" t="n"/>
      <c r="I2584" s="219" t="n"/>
      <c r="J2584" s="219" t="n"/>
      <c r="K2584" s="219" t="n"/>
      <c r="L2584" s="219" t="n"/>
      <c r="M2584" s="219" t="n"/>
      <c r="O2584" s="117">
        <f>C2584*P2584</f>
        <v/>
      </c>
      <c r="P2584" s="150" t="n">
        <v>1.1</v>
      </c>
      <c r="R2584" s="117" t="n"/>
      <c r="T2584" s="117" t="n"/>
    </row>
    <row r="2585" ht="16.5" customHeight="1" s="253">
      <c r="A2585" s="134" t="inlineStr">
        <is>
          <t>21536XXX</t>
        </is>
      </c>
      <c r="B2585" s="246" t="inlineStr">
        <is>
          <t>TAVERNITI  REM M/C</t>
        </is>
      </c>
      <c r="C2585" s="88" t="n">
        <v>45600</v>
      </c>
      <c r="D2585" s="22" t="n"/>
      <c r="E2585" s="22" t="n"/>
      <c r="F2585" s="22" t="n"/>
      <c r="G2585" s="219" t="n"/>
      <c r="H2585" s="219" t="n"/>
      <c r="I2585" s="219" t="n"/>
      <c r="J2585" s="219" t="n"/>
      <c r="K2585" s="219" t="n"/>
      <c r="L2585" s="219" t="n"/>
      <c r="M2585" s="219" t="n"/>
      <c r="O2585" s="117">
        <f>C2585*P2585</f>
        <v/>
      </c>
      <c r="P2585" s="150" t="n">
        <v>1.1</v>
      </c>
      <c r="R2585" s="117" t="n"/>
      <c r="T2585" s="117" t="n"/>
    </row>
    <row r="2586" ht="16.5" customHeight="1" s="253">
      <c r="A2586" s="89" t="inlineStr">
        <is>
          <t>21538XXX</t>
        </is>
      </c>
      <c r="B2586" s="135" t="inlineStr">
        <is>
          <t>TAVERNITI  REM M/C</t>
        </is>
      </c>
      <c r="C2586" s="88" t="n">
        <v>45700</v>
      </c>
      <c r="D2586" s="170" t="n"/>
      <c r="E2586" s="170" t="n"/>
      <c r="F2586" s="170" t="n"/>
      <c r="G2586" s="170" t="n"/>
      <c r="H2586" s="170" t="n"/>
      <c r="I2586" s="170" t="n"/>
      <c r="J2586" s="170" t="n"/>
      <c r="K2586" s="170" t="n"/>
      <c r="L2586" s="170" t="n"/>
      <c r="M2586" s="170" t="n"/>
      <c r="N2586" s="30" t="n"/>
      <c r="O2586" s="150">
        <f>C2586*P2586</f>
        <v/>
      </c>
      <c r="P2586" s="150" t="n">
        <v>1.1</v>
      </c>
      <c r="Q2586" s="30" t="n"/>
      <c r="R2586" s="170" t="n"/>
      <c r="S2586" s="30" t="n"/>
      <c r="T2586" s="170" t="n"/>
      <c r="U2586" s="30" t="n"/>
      <c r="V2586" s="30" t="n"/>
      <c r="W2586" s="30" t="n"/>
      <c r="X2586" s="30" t="n"/>
      <c r="Y2586" s="30" t="n"/>
      <c r="Z2586" s="30" t="n"/>
      <c r="AA2586" s="30" t="n"/>
      <c r="AB2586" s="30" t="n"/>
      <c r="AC2586" s="30" t="n"/>
      <c r="AD2586" s="30" t="n"/>
      <c r="AE2586" s="30" t="n"/>
      <c r="AF2586" s="30" t="n"/>
      <c r="AG2586" s="30" t="n"/>
      <c r="AH2586" s="30" t="n"/>
      <c r="AI2586" s="30" t="n"/>
      <c r="AJ2586" s="30" t="n"/>
      <c r="AK2586" s="30" t="n"/>
      <c r="AL2586" s="30" t="n"/>
      <c r="AM2586" s="30" t="n"/>
      <c r="AN2586" s="30" t="n"/>
      <c r="AO2586" s="30" t="n"/>
    </row>
    <row r="2587" ht="16.5" customHeight="1" s="253">
      <c r="A2587" s="89" t="inlineStr">
        <is>
          <t>21544XXX</t>
        </is>
      </c>
      <c r="B2587" s="135" t="inlineStr">
        <is>
          <t>TAVERNITI  REM M/C</t>
        </is>
      </c>
      <c r="C2587" s="88" t="n">
        <v>49000</v>
      </c>
      <c r="D2587" s="170" t="n"/>
      <c r="E2587" s="170" t="n"/>
      <c r="F2587" s="170" t="n"/>
      <c r="G2587" s="170" t="n"/>
      <c r="H2587" s="170" t="n"/>
      <c r="I2587" s="170" t="n"/>
      <c r="J2587" s="170" t="n"/>
      <c r="K2587" s="170" t="n"/>
      <c r="L2587" s="170" t="n"/>
      <c r="M2587" s="170" t="n"/>
      <c r="N2587" s="30" t="n"/>
      <c r="O2587" s="150">
        <f>C2587*P2587</f>
        <v/>
      </c>
      <c r="P2587" s="150" t="n">
        <v>1.1</v>
      </c>
      <c r="Q2587" s="30" t="n"/>
      <c r="R2587" s="170" t="n"/>
      <c r="S2587" s="30" t="n"/>
      <c r="T2587" s="170" t="n"/>
      <c r="U2587" s="30" t="n"/>
      <c r="V2587" s="30" t="n"/>
      <c r="W2587" s="30" t="n"/>
      <c r="X2587" s="30" t="n"/>
      <c r="Y2587" s="30" t="n"/>
      <c r="Z2587" s="30" t="n"/>
      <c r="AA2587" s="30" t="n"/>
      <c r="AB2587" s="30" t="n"/>
      <c r="AC2587" s="30" t="n"/>
      <c r="AD2587" s="30" t="n"/>
      <c r="AE2587" s="30" t="n"/>
      <c r="AF2587" s="30" t="n"/>
      <c r="AG2587" s="30" t="n"/>
      <c r="AH2587" s="30" t="n"/>
      <c r="AI2587" s="30" t="n"/>
      <c r="AJ2587" s="30" t="n"/>
      <c r="AK2587" s="30" t="n"/>
      <c r="AL2587" s="30" t="n"/>
      <c r="AM2587" s="30" t="n"/>
      <c r="AN2587" s="30" t="n"/>
      <c r="AO2587" s="30" t="n"/>
    </row>
    <row r="2588" ht="16.5" customHeight="1" s="253">
      <c r="A2588" s="89" t="inlineStr">
        <is>
          <t>21546XXX</t>
        </is>
      </c>
      <c r="B2588" s="135" t="inlineStr">
        <is>
          <t>TAVERNITI  REM M/C</t>
        </is>
      </c>
      <c r="C2588" s="88" t="n">
        <v>49000</v>
      </c>
      <c r="D2588" s="170" t="n"/>
      <c r="E2588" s="170" t="n"/>
      <c r="F2588" s="170" t="n"/>
      <c r="G2588" s="170" t="n"/>
      <c r="H2588" s="170" t="n"/>
      <c r="I2588" s="170" t="n"/>
      <c r="J2588" s="170" t="n"/>
      <c r="K2588" s="170" t="n"/>
      <c r="L2588" s="170" t="n"/>
      <c r="M2588" s="170" t="n"/>
      <c r="N2588" s="30" t="n"/>
      <c r="O2588" s="150">
        <f>C2588*P2588</f>
        <v/>
      </c>
      <c r="P2588" s="150" t="n">
        <v>1.1</v>
      </c>
      <c r="Q2588" s="30" t="n"/>
      <c r="R2588" s="170" t="n"/>
      <c r="S2588" s="30" t="n"/>
      <c r="T2588" s="170" t="n"/>
      <c r="U2588" s="30" t="n"/>
      <c r="V2588" s="30" t="n"/>
      <c r="W2588" s="30" t="n"/>
      <c r="X2588" s="30" t="n"/>
      <c r="Y2588" s="30" t="n"/>
      <c r="Z2588" s="30" t="n"/>
      <c r="AA2588" s="30" t="n"/>
      <c r="AB2588" s="30" t="n"/>
      <c r="AC2588" s="30" t="n"/>
      <c r="AD2588" s="30" t="n"/>
      <c r="AE2588" s="30" t="n"/>
      <c r="AF2588" s="30" t="n"/>
      <c r="AG2588" s="30" t="n"/>
      <c r="AH2588" s="30" t="n"/>
      <c r="AI2588" s="30" t="n"/>
      <c r="AJ2588" s="30" t="n"/>
      <c r="AK2588" s="30" t="n"/>
      <c r="AL2588" s="30" t="n"/>
      <c r="AM2588" s="30" t="n"/>
      <c r="AN2588" s="30" t="n"/>
      <c r="AO2588" s="30" t="n"/>
    </row>
    <row r="2589" ht="16.5" customHeight="1" s="253">
      <c r="A2589" s="89" t="inlineStr">
        <is>
          <t>23056XXX</t>
        </is>
      </c>
      <c r="B2589" s="135" t="inlineStr">
        <is>
          <t>TAVERNITI  REM M/C</t>
        </is>
      </c>
      <c r="C2589" s="88" t="n">
        <v>45700</v>
      </c>
      <c r="D2589" s="170" t="n"/>
      <c r="E2589" s="170" t="n"/>
      <c r="F2589" s="170" t="n"/>
      <c r="G2589" s="170" t="n"/>
      <c r="H2589" s="170" t="n"/>
      <c r="I2589" s="170" t="n"/>
      <c r="J2589" s="170" t="n"/>
      <c r="K2589" s="170" t="n"/>
      <c r="L2589" s="170" t="n"/>
      <c r="M2589" s="170" t="n"/>
      <c r="N2589" s="30" t="n"/>
      <c r="O2589" s="150">
        <f>C2589*P2589</f>
        <v/>
      </c>
      <c r="P2589" s="150" t="n">
        <v>1.1</v>
      </c>
      <c r="Q2589" s="30" t="n"/>
      <c r="R2589" s="170" t="n"/>
      <c r="S2589" s="30" t="n"/>
      <c r="T2589" s="170" t="n"/>
      <c r="U2589" s="30" t="n"/>
      <c r="V2589" s="30" t="n"/>
      <c r="W2589" s="30" t="n"/>
      <c r="X2589" s="30" t="n"/>
      <c r="Y2589" s="30" t="n"/>
      <c r="Z2589" s="30" t="n"/>
      <c r="AA2589" s="30" t="n"/>
      <c r="AB2589" s="30" t="n"/>
      <c r="AC2589" s="30" t="n"/>
      <c r="AD2589" s="30" t="n"/>
      <c r="AE2589" s="30" t="n"/>
      <c r="AF2589" s="30" t="n"/>
      <c r="AG2589" s="30" t="n"/>
      <c r="AH2589" s="30" t="n"/>
      <c r="AI2589" s="30" t="n"/>
      <c r="AJ2589" s="30" t="n"/>
      <c r="AK2589" s="30" t="n"/>
      <c r="AL2589" s="30" t="n"/>
      <c r="AM2589" s="30" t="n"/>
      <c r="AN2589" s="30" t="n"/>
      <c r="AO2589" s="30" t="n"/>
    </row>
    <row r="2590" ht="16.5" customHeight="1" s="253">
      <c r="A2590" s="89" t="inlineStr">
        <is>
          <t>23058XXX</t>
        </is>
      </c>
      <c r="B2590" s="135" t="inlineStr">
        <is>
          <t>TAVERNITI  REM M/C</t>
        </is>
      </c>
      <c r="C2590" s="88" t="n">
        <v>60400</v>
      </c>
      <c r="D2590" s="170" t="n"/>
      <c r="E2590" s="170" t="n"/>
      <c r="F2590" s="170" t="n"/>
      <c r="G2590" s="170" t="n"/>
      <c r="H2590" s="170" t="n"/>
      <c r="I2590" s="170" t="n"/>
      <c r="J2590" s="170" t="n"/>
      <c r="K2590" s="170" t="n"/>
      <c r="L2590" s="170" t="n"/>
      <c r="M2590" s="170" t="n"/>
      <c r="N2590" s="30" t="n"/>
      <c r="O2590" s="150">
        <f>C2590*P2590</f>
        <v/>
      </c>
      <c r="P2590" s="150" t="n">
        <v>1.1</v>
      </c>
      <c r="Q2590" s="30" t="n"/>
      <c r="R2590" s="170" t="n"/>
      <c r="S2590" s="30" t="n"/>
      <c r="T2590" s="170" t="n"/>
      <c r="U2590" s="30" t="n"/>
      <c r="V2590" s="30" t="n"/>
      <c r="W2590" s="30" t="n"/>
      <c r="X2590" s="30" t="n"/>
      <c r="Y2590" s="30" t="n"/>
      <c r="Z2590" s="30" t="n"/>
      <c r="AA2590" s="30" t="n"/>
      <c r="AB2590" s="30" t="n"/>
      <c r="AC2590" s="30" t="n"/>
      <c r="AD2590" s="30" t="n"/>
      <c r="AE2590" s="30" t="n"/>
      <c r="AF2590" s="30" t="n"/>
      <c r="AG2590" s="30" t="n"/>
      <c r="AH2590" s="30" t="n"/>
      <c r="AI2590" s="30" t="n"/>
      <c r="AJ2590" s="30" t="n"/>
      <c r="AK2590" s="30" t="n"/>
      <c r="AL2590" s="30" t="n"/>
      <c r="AM2590" s="30" t="n"/>
      <c r="AN2590" s="30" t="n"/>
      <c r="AO2590" s="30" t="n"/>
    </row>
    <row r="2591" ht="16.5" customHeight="1" s="253">
      <c r="A2591" s="89" t="inlineStr">
        <is>
          <t>23084XXX</t>
        </is>
      </c>
      <c r="B2591" s="135" t="inlineStr">
        <is>
          <t>TAVERNITI  REM M/C</t>
        </is>
      </c>
      <c r="C2591" s="88" t="n">
        <v>60400</v>
      </c>
      <c r="D2591" s="170" t="n"/>
      <c r="E2591" s="170" t="n"/>
      <c r="F2591" s="170" t="n"/>
      <c r="G2591" s="170" t="n"/>
      <c r="H2591" s="170" t="n"/>
      <c r="I2591" s="170" t="n"/>
      <c r="J2591" s="170" t="n"/>
      <c r="K2591" s="170" t="n"/>
      <c r="L2591" s="170" t="n"/>
      <c r="M2591" s="170" t="n"/>
      <c r="N2591" s="30" t="n"/>
      <c r="O2591" s="150">
        <f>C2591*P2591</f>
        <v/>
      </c>
      <c r="P2591" s="150" t="n">
        <v>1.1</v>
      </c>
      <c r="Q2591" s="30" t="n"/>
      <c r="R2591" s="170" t="n"/>
      <c r="S2591" s="30" t="n"/>
      <c r="T2591" s="170" t="n"/>
      <c r="U2591" s="30" t="n"/>
      <c r="V2591" s="30" t="n"/>
      <c r="W2591" s="30" t="n"/>
      <c r="X2591" s="30" t="n"/>
      <c r="Y2591" s="30" t="n"/>
      <c r="Z2591" s="30" t="n"/>
      <c r="AA2591" s="30" t="n"/>
      <c r="AB2591" s="30" t="n"/>
      <c r="AC2591" s="30" t="n"/>
      <c r="AD2591" s="30" t="n"/>
      <c r="AE2591" s="30" t="n"/>
      <c r="AF2591" s="30" t="n"/>
      <c r="AG2591" s="30" t="n"/>
      <c r="AH2591" s="30" t="n"/>
      <c r="AI2591" s="30" t="n"/>
      <c r="AJ2591" s="30" t="n"/>
      <c r="AK2591" s="30" t="n"/>
      <c r="AL2591" s="30" t="n"/>
      <c r="AM2591" s="30" t="n"/>
      <c r="AN2591" s="30" t="n"/>
      <c r="AO2591" s="30" t="n"/>
    </row>
    <row r="2592" ht="16.5" customHeight="1" s="253">
      <c r="A2592" s="89" t="inlineStr">
        <is>
          <t>23086XXX</t>
        </is>
      </c>
      <c r="B2592" s="135" t="inlineStr">
        <is>
          <t>TAVERNITI  REM M/C</t>
        </is>
      </c>
      <c r="C2592" s="88" t="n">
        <v>60400</v>
      </c>
      <c r="D2592" s="170" t="n"/>
      <c r="E2592" s="170" t="n"/>
      <c r="F2592" s="170" t="n"/>
      <c r="G2592" s="170" t="n"/>
      <c r="H2592" s="170" t="n"/>
      <c r="I2592" s="170" t="n"/>
      <c r="J2592" s="170" t="n"/>
      <c r="K2592" s="170" t="n"/>
      <c r="L2592" s="170" t="n"/>
      <c r="M2592" s="170" t="n"/>
      <c r="N2592" s="30" t="n"/>
      <c r="O2592" s="150">
        <f>C2592*P2592</f>
        <v/>
      </c>
      <c r="P2592" s="150" t="n">
        <v>1.1</v>
      </c>
      <c r="Q2592" s="30" t="n"/>
      <c r="R2592" s="170" t="n"/>
      <c r="S2592" s="30" t="n"/>
      <c r="T2592" s="170" t="n"/>
      <c r="U2592" s="30" t="n"/>
      <c r="V2592" s="30" t="n"/>
      <c r="W2592" s="30" t="n"/>
      <c r="X2592" s="30" t="n"/>
      <c r="Y2592" s="30" t="n"/>
      <c r="Z2592" s="30" t="n"/>
      <c r="AA2592" s="30" t="n"/>
      <c r="AB2592" s="30" t="n"/>
      <c r="AC2592" s="30" t="n"/>
      <c r="AD2592" s="30" t="n"/>
      <c r="AE2592" s="30" t="n"/>
      <c r="AF2592" s="30" t="n"/>
      <c r="AG2592" s="30" t="n"/>
      <c r="AH2592" s="30" t="n"/>
      <c r="AI2592" s="30" t="n"/>
      <c r="AJ2592" s="30" t="n"/>
      <c r="AK2592" s="30" t="n"/>
      <c r="AL2592" s="30" t="n"/>
      <c r="AM2592" s="30" t="n"/>
      <c r="AN2592" s="30" t="n"/>
      <c r="AO2592" s="30" t="n"/>
    </row>
    <row r="2593" ht="16.5" customHeight="1" s="253">
      <c r="A2593" s="89" t="inlineStr">
        <is>
          <t>23088XXX</t>
        </is>
      </c>
      <c r="B2593" s="135" t="inlineStr">
        <is>
          <t>TAVERNITI  REM M/C</t>
        </is>
      </c>
      <c r="C2593" s="88" t="n">
        <v>60400</v>
      </c>
      <c r="D2593" s="170" t="n"/>
      <c r="E2593" s="170" t="n"/>
      <c r="F2593" s="170" t="n"/>
      <c r="G2593" s="170" t="n"/>
      <c r="H2593" s="170" t="n"/>
      <c r="I2593" s="170" t="n"/>
      <c r="J2593" s="170" t="n"/>
      <c r="K2593" s="170" t="n"/>
      <c r="L2593" s="170" t="n"/>
      <c r="M2593" s="170" t="n"/>
      <c r="N2593" s="30" t="n"/>
      <c r="O2593" s="150">
        <f>C2593*P2593</f>
        <v/>
      </c>
      <c r="P2593" s="150" t="n">
        <v>1.1</v>
      </c>
      <c r="Q2593" s="30" t="n"/>
      <c r="R2593" s="170" t="n"/>
      <c r="S2593" s="30" t="n"/>
      <c r="T2593" s="170" t="n"/>
      <c r="U2593" s="30" t="n"/>
      <c r="V2593" s="30" t="n"/>
      <c r="W2593" s="30" t="n"/>
      <c r="X2593" s="30" t="n"/>
      <c r="Y2593" s="30" t="n"/>
      <c r="Z2593" s="30" t="n"/>
      <c r="AA2593" s="30" t="n"/>
      <c r="AB2593" s="30" t="n"/>
      <c r="AC2593" s="30" t="n"/>
      <c r="AD2593" s="30" t="n"/>
      <c r="AE2593" s="30" t="n"/>
      <c r="AF2593" s="30" t="n"/>
      <c r="AG2593" s="30" t="n"/>
      <c r="AH2593" s="30" t="n"/>
      <c r="AI2593" s="30" t="n"/>
      <c r="AJ2593" s="30" t="n"/>
      <c r="AK2593" s="30" t="n"/>
      <c r="AL2593" s="30" t="n"/>
      <c r="AM2593" s="30" t="n"/>
      <c r="AN2593" s="30" t="n"/>
      <c r="AO2593" s="30" t="n"/>
    </row>
    <row r="2594" ht="16.5" customHeight="1" s="253">
      <c r="A2594" s="89" t="inlineStr">
        <is>
          <t>23090XXX</t>
        </is>
      </c>
      <c r="B2594" s="135" t="inlineStr">
        <is>
          <t>TAVERNITI  REM M/C</t>
        </is>
      </c>
      <c r="C2594" s="88" t="n">
        <v>61600</v>
      </c>
      <c r="D2594" s="170" t="n"/>
      <c r="E2594" s="170" t="n"/>
      <c r="F2594" s="170" t="n"/>
      <c r="G2594" s="170" t="n"/>
      <c r="H2594" s="170" t="n"/>
      <c r="I2594" s="170" t="n"/>
      <c r="J2594" s="170" t="n"/>
      <c r="K2594" s="170" t="n"/>
      <c r="L2594" s="170" t="n"/>
      <c r="M2594" s="170" t="n"/>
      <c r="N2594" s="30" t="n"/>
      <c r="O2594" s="150">
        <f>C2594*P2594</f>
        <v/>
      </c>
      <c r="P2594" s="150" t="n">
        <v>1.1</v>
      </c>
      <c r="Q2594" s="30" t="n"/>
      <c r="R2594" s="170" t="n"/>
      <c r="S2594" s="30" t="n"/>
      <c r="T2594" s="170" t="n"/>
      <c r="U2594" s="30" t="n"/>
      <c r="V2594" s="30" t="n"/>
      <c r="W2594" s="30" t="n"/>
      <c r="X2594" s="30" t="n"/>
      <c r="Y2594" s="30" t="n"/>
      <c r="Z2594" s="30" t="n"/>
      <c r="AA2594" s="30" t="n"/>
      <c r="AB2594" s="30" t="n"/>
      <c r="AC2594" s="30" t="n"/>
      <c r="AD2594" s="30" t="n"/>
      <c r="AE2594" s="30" t="n"/>
      <c r="AF2594" s="30" t="n"/>
      <c r="AG2594" s="30" t="n"/>
      <c r="AH2594" s="30" t="n"/>
      <c r="AI2594" s="30" t="n"/>
      <c r="AJ2594" s="30" t="n"/>
      <c r="AK2594" s="30" t="n"/>
      <c r="AL2594" s="30" t="n"/>
      <c r="AM2594" s="30" t="n"/>
      <c r="AN2594" s="30" t="n"/>
      <c r="AO2594" s="30" t="n"/>
    </row>
    <row r="2595" ht="16.5" customHeight="1" s="253">
      <c r="A2595" s="89" t="inlineStr">
        <is>
          <t>23094XXX</t>
        </is>
      </c>
      <c r="B2595" s="135" t="inlineStr">
        <is>
          <t>TAVERNITI  REM M/C</t>
        </is>
      </c>
      <c r="C2595" s="88" t="n">
        <v>60400</v>
      </c>
      <c r="D2595" s="170" t="n"/>
      <c r="E2595" s="170" t="n"/>
      <c r="F2595" s="170" t="n"/>
      <c r="G2595" s="170" t="n"/>
      <c r="H2595" s="170" t="n"/>
      <c r="I2595" s="170" t="n"/>
      <c r="J2595" s="170" t="n"/>
      <c r="K2595" s="170" t="n"/>
      <c r="L2595" s="170" t="n"/>
      <c r="M2595" s="170" t="n"/>
      <c r="N2595" s="30" t="n"/>
      <c r="O2595" s="150">
        <f>C2595*P2595</f>
        <v/>
      </c>
      <c r="P2595" s="150" t="n">
        <v>1.1</v>
      </c>
      <c r="Q2595" s="30" t="n"/>
      <c r="R2595" s="170" t="n"/>
      <c r="S2595" s="30" t="n"/>
      <c r="T2595" s="170" t="n"/>
      <c r="U2595" s="30" t="n"/>
      <c r="V2595" s="30" t="n"/>
      <c r="W2595" s="30" t="n"/>
      <c r="X2595" s="30" t="n"/>
      <c r="Y2595" s="30" t="n"/>
      <c r="Z2595" s="30" t="n"/>
      <c r="AA2595" s="30" t="n"/>
      <c r="AB2595" s="30" t="n"/>
      <c r="AC2595" s="30" t="n"/>
      <c r="AD2595" s="30" t="n"/>
      <c r="AE2595" s="30" t="n"/>
      <c r="AF2595" s="30" t="n"/>
      <c r="AG2595" s="30" t="n"/>
      <c r="AH2595" s="30" t="n"/>
      <c r="AI2595" s="30" t="n"/>
      <c r="AJ2595" s="30" t="n"/>
      <c r="AK2595" s="30" t="n"/>
      <c r="AL2595" s="30" t="n"/>
      <c r="AM2595" s="30" t="n"/>
      <c r="AN2595" s="30" t="n"/>
      <c r="AO2595" s="30" t="n"/>
    </row>
    <row r="2596" ht="16.5" customHeight="1" s="253">
      <c r="A2596" s="89" t="inlineStr">
        <is>
          <t>23096XXX</t>
        </is>
      </c>
      <c r="B2596" s="135" t="inlineStr">
        <is>
          <t>TAVERNITI  REM M/C</t>
        </is>
      </c>
      <c r="C2596" s="88" t="n">
        <v>60400</v>
      </c>
      <c r="D2596" s="170" t="n"/>
      <c r="E2596" s="170" t="n"/>
      <c r="F2596" s="170" t="n"/>
      <c r="G2596" s="170" t="n"/>
      <c r="H2596" s="170" t="n"/>
      <c r="I2596" s="170" t="n"/>
      <c r="J2596" s="170" t="n"/>
      <c r="K2596" s="170" t="n"/>
      <c r="L2596" s="170" t="n"/>
      <c r="M2596" s="170" t="n"/>
      <c r="N2596" s="30" t="n"/>
      <c r="O2596" s="150">
        <f>C2596*P2596</f>
        <v/>
      </c>
      <c r="P2596" s="150" t="n">
        <v>1.1</v>
      </c>
      <c r="Q2596" s="30" t="n"/>
      <c r="R2596" s="170" t="n"/>
      <c r="S2596" s="30" t="n"/>
      <c r="T2596" s="170" t="n"/>
      <c r="U2596" s="30" t="n"/>
      <c r="V2596" s="30" t="n"/>
      <c r="W2596" s="30" t="n"/>
      <c r="X2596" s="30" t="n"/>
      <c r="Y2596" s="30" t="n"/>
      <c r="Z2596" s="30" t="n"/>
      <c r="AA2596" s="30" t="n"/>
      <c r="AB2596" s="30" t="n"/>
      <c r="AC2596" s="30" t="n"/>
      <c r="AD2596" s="30" t="n"/>
      <c r="AE2596" s="30" t="n"/>
      <c r="AF2596" s="30" t="n"/>
      <c r="AG2596" s="30" t="n"/>
      <c r="AH2596" s="30" t="n"/>
      <c r="AI2596" s="30" t="n"/>
      <c r="AJ2596" s="30" t="n"/>
      <c r="AK2596" s="30" t="n"/>
      <c r="AL2596" s="30" t="n"/>
      <c r="AM2596" s="30" t="n"/>
      <c r="AN2596" s="30" t="n"/>
      <c r="AO2596" s="30" t="n"/>
    </row>
    <row r="2597" ht="16.5" customHeight="1" s="253">
      <c r="A2597" s="89" t="inlineStr">
        <is>
          <t>23098XXX</t>
        </is>
      </c>
      <c r="B2597" s="135" t="inlineStr">
        <is>
          <t>TAVERNITI  REM M/C</t>
        </is>
      </c>
      <c r="C2597" s="88" t="n">
        <v>60400</v>
      </c>
      <c r="D2597" s="170" t="n"/>
      <c r="E2597" s="170" t="n"/>
      <c r="F2597" s="170" t="n"/>
      <c r="G2597" s="170" t="n"/>
      <c r="H2597" s="170" t="n"/>
      <c r="I2597" s="170" t="n"/>
      <c r="J2597" s="170" t="n"/>
      <c r="K2597" s="170" t="n"/>
      <c r="L2597" s="170" t="n"/>
      <c r="M2597" s="170" t="n"/>
      <c r="N2597" s="30" t="n"/>
      <c r="O2597" s="150">
        <f>C2597*P2597</f>
        <v/>
      </c>
      <c r="P2597" s="150" t="n">
        <v>1.1</v>
      </c>
      <c r="Q2597" s="30" t="n"/>
      <c r="R2597" s="170" t="n"/>
      <c r="S2597" s="30" t="n"/>
      <c r="T2597" s="170" t="n"/>
      <c r="U2597" s="30" t="n"/>
      <c r="V2597" s="30" t="n"/>
      <c r="W2597" s="30" t="n"/>
      <c r="X2597" s="30" t="n"/>
      <c r="Y2597" s="30" t="n"/>
      <c r="Z2597" s="30" t="n"/>
      <c r="AA2597" s="30" t="n"/>
      <c r="AB2597" s="30" t="n"/>
      <c r="AC2597" s="30" t="n"/>
      <c r="AD2597" s="30" t="n"/>
      <c r="AE2597" s="30" t="n"/>
      <c r="AF2597" s="30" t="n"/>
      <c r="AG2597" s="30" t="n"/>
      <c r="AH2597" s="30" t="n"/>
      <c r="AI2597" s="30" t="n"/>
      <c r="AJ2597" s="30" t="n"/>
      <c r="AK2597" s="30" t="n"/>
      <c r="AL2597" s="30" t="n"/>
      <c r="AM2597" s="30" t="n"/>
      <c r="AN2597" s="30" t="n"/>
      <c r="AO2597" s="30" t="n"/>
    </row>
    <row r="2598" ht="16.5" customHeight="1" s="253">
      <c r="A2598" s="89" t="inlineStr">
        <is>
          <t>23100XXX</t>
        </is>
      </c>
      <c r="B2598" s="135" t="inlineStr">
        <is>
          <t>TAVERNITI  REM M/C</t>
        </is>
      </c>
      <c r="C2598" s="88" t="n">
        <v>61600</v>
      </c>
      <c r="D2598" s="170" t="n"/>
      <c r="E2598" s="170" t="n"/>
      <c r="F2598" s="170" t="n"/>
      <c r="G2598" s="170" t="n"/>
      <c r="H2598" s="170" t="n"/>
      <c r="I2598" s="170" t="n"/>
      <c r="J2598" s="170" t="n"/>
      <c r="K2598" s="170" t="n"/>
      <c r="L2598" s="170" t="n"/>
      <c r="M2598" s="170" t="n"/>
      <c r="N2598" s="30" t="n"/>
      <c r="O2598" s="150">
        <f>C2598*P2598</f>
        <v/>
      </c>
      <c r="P2598" s="150" t="n">
        <v>1.1</v>
      </c>
      <c r="Q2598" s="30" t="n"/>
      <c r="R2598" s="170" t="n"/>
      <c r="S2598" s="30" t="n"/>
      <c r="T2598" s="170" t="n"/>
      <c r="U2598" s="30" t="n"/>
      <c r="V2598" s="30" t="n"/>
      <c r="W2598" s="30" t="n"/>
      <c r="X2598" s="30" t="n"/>
      <c r="Y2598" s="30" t="n"/>
      <c r="Z2598" s="30" t="n"/>
      <c r="AA2598" s="30" t="n"/>
      <c r="AB2598" s="30" t="n"/>
      <c r="AC2598" s="30" t="n"/>
      <c r="AD2598" s="30" t="n"/>
      <c r="AE2598" s="30" t="n"/>
      <c r="AF2598" s="30" t="n"/>
      <c r="AG2598" s="30" t="n"/>
      <c r="AH2598" s="30" t="n"/>
      <c r="AI2598" s="30" t="n"/>
      <c r="AJ2598" s="30" t="n"/>
      <c r="AK2598" s="30" t="n"/>
      <c r="AL2598" s="30" t="n"/>
      <c r="AM2598" s="30" t="n"/>
      <c r="AN2598" s="30" t="n"/>
      <c r="AO2598" s="30" t="n"/>
    </row>
    <row r="2599" ht="16.5" customHeight="1" s="253">
      <c r="A2599" s="89" t="inlineStr">
        <is>
          <t>23102XXX</t>
        </is>
      </c>
      <c r="B2599" s="135" t="inlineStr">
        <is>
          <t>TAVERNITI  REM M/C</t>
        </is>
      </c>
      <c r="C2599" s="88" t="n">
        <v>60400</v>
      </c>
      <c r="D2599" s="170" t="n"/>
      <c r="E2599" s="170" t="n"/>
      <c r="F2599" s="170" t="n"/>
      <c r="G2599" s="170" t="n"/>
      <c r="H2599" s="170" t="n"/>
      <c r="I2599" s="170" t="n"/>
      <c r="J2599" s="170" t="n"/>
      <c r="K2599" s="170" t="n"/>
      <c r="L2599" s="170" t="n"/>
      <c r="M2599" s="170" t="n"/>
      <c r="N2599" s="30" t="n"/>
      <c r="O2599" s="150">
        <f>C2599*P2599</f>
        <v/>
      </c>
      <c r="P2599" s="150" t="n">
        <v>1.1</v>
      </c>
      <c r="Q2599" s="30" t="n"/>
      <c r="R2599" s="170" t="n"/>
      <c r="S2599" s="30" t="n"/>
      <c r="T2599" s="170" t="n"/>
      <c r="U2599" s="30" t="n"/>
      <c r="V2599" s="30" t="n"/>
      <c r="W2599" s="30" t="n"/>
      <c r="X2599" s="30" t="n"/>
      <c r="Y2599" s="30" t="n"/>
      <c r="Z2599" s="30" t="n"/>
      <c r="AA2599" s="30" t="n"/>
      <c r="AB2599" s="30" t="n"/>
      <c r="AC2599" s="30" t="n"/>
      <c r="AD2599" s="30" t="n"/>
      <c r="AE2599" s="30" t="n"/>
      <c r="AF2599" s="30" t="n"/>
      <c r="AG2599" s="30" t="n"/>
      <c r="AH2599" s="30" t="n"/>
      <c r="AI2599" s="30" t="n"/>
      <c r="AJ2599" s="30" t="n"/>
      <c r="AK2599" s="30" t="n"/>
      <c r="AL2599" s="30" t="n"/>
      <c r="AM2599" s="30" t="n"/>
      <c r="AN2599" s="30" t="n"/>
      <c r="AO2599" s="30" t="n"/>
    </row>
    <row r="2600" ht="16.5" customHeight="1" s="253">
      <c r="A2600" s="89" t="inlineStr">
        <is>
          <t>23104XXX</t>
        </is>
      </c>
      <c r="B2600" s="135" t="inlineStr">
        <is>
          <t>TAVERNITI  REM M/C</t>
        </is>
      </c>
      <c r="C2600" s="88" t="n">
        <v>60400</v>
      </c>
      <c r="D2600" s="170" t="n"/>
      <c r="E2600" s="170" t="n"/>
      <c r="F2600" s="170" t="n"/>
      <c r="G2600" s="170" t="n"/>
      <c r="H2600" s="170" t="n"/>
      <c r="I2600" s="170" t="n"/>
      <c r="J2600" s="170" t="n"/>
      <c r="K2600" s="170" t="n"/>
      <c r="L2600" s="170" t="n"/>
      <c r="M2600" s="170" t="n"/>
      <c r="N2600" s="30" t="n"/>
      <c r="O2600" s="150">
        <f>C2600*P2600</f>
        <v/>
      </c>
      <c r="P2600" s="150" t="n">
        <v>1.1</v>
      </c>
      <c r="Q2600" s="30" t="n"/>
      <c r="R2600" s="170" t="n"/>
      <c r="S2600" s="30" t="n"/>
      <c r="T2600" s="170" t="n"/>
      <c r="U2600" s="30" t="n"/>
      <c r="V2600" s="30" t="n"/>
      <c r="W2600" s="30" t="n"/>
      <c r="X2600" s="30" t="n"/>
      <c r="Y2600" s="30" t="n"/>
      <c r="Z2600" s="30" t="n"/>
      <c r="AA2600" s="30" t="n"/>
      <c r="AB2600" s="30" t="n"/>
      <c r="AC2600" s="30" t="n"/>
      <c r="AD2600" s="30" t="n"/>
      <c r="AE2600" s="30" t="n"/>
      <c r="AF2600" s="30" t="n"/>
      <c r="AG2600" s="30" t="n"/>
      <c r="AH2600" s="30" t="n"/>
      <c r="AI2600" s="30" t="n"/>
      <c r="AJ2600" s="30" t="n"/>
      <c r="AK2600" s="30" t="n"/>
      <c r="AL2600" s="30" t="n"/>
      <c r="AM2600" s="30" t="n"/>
      <c r="AN2600" s="30" t="n"/>
      <c r="AO2600" s="30" t="n"/>
    </row>
    <row r="2601" ht="16.5" customHeight="1" s="253">
      <c r="A2601" s="89" t="inlineStr">
        <is>
          <t>23106XXX</t>
        </is>
      </c>
      <c r="B2601" s="135" t="inlineStr">
        <is>
          <t>TAVERNITI  REM M/C</t>
        </is>
      </c>
      <c r="C2601" s="88" t="n">
        <v>61500</v>
      </c>
      <c r="D2601" s="170" t="n"/>
      <c r="E2601" s="170" t="n"/>
      <c r="F2601" s="170" t="n"/>
      <c r="G2601" s="170" t="n"/>
      <c r="H2601" s="170" t="n"/>
      <c r="I2601" s="170" t="n"/>
      <c r="J2601" s="170" t="n"/>
      <c r="K2601" s="170" t="n"/>
      <c r="L2601" s="170" t="n"/>
      <c r="M2601" s="170" t="n"/>
      <c r="N2601" s="30" t="n"/>
      <c r="O2601" s="150">
        <f>C2601*P2601</f>
        <v/>
      </c>
      <c r="P2601" s="150" t="n">
        <v>1.1</v>
      </c>
      <c r="Q2601" s="30" t="n"/>
      <c r="R2601" s="170" t="n"/>
      <c r="S2601" s="30" t="n"/>
      <c r="T2601" s="170" t="n"/>
      <c r="U2601" s="30" t="n"/>
      <c r="V2601" s="30" t="n"/>
      <c r="W2601" s="30" t="n"/>
      <c r="X2601" s="30" t="n"/>
      <c r="Y2601" s="30" t="n"/>
      <c r="Z2601" s="30" t="n"/>
      <c r="AA2601" s="30" t="n"/>
      <c r="AB2601" s="30" t="n"/>
      <c r="AC2601" s="30" t="n"/>
      <c r="AD2601" s="30" t="n"/>
      <c r="AE2601" s="30" t="n"/>
      <c r="AF2601" s="30" t="n"/>
      <c r="AG2601" s="30" t="n"/>
      <c r="AH2601" s="30" t="n"/>
      <c r="AI2601" s="30" t="n"/>
      <c r="AJ2601" s="30" t="n"/>
      <c r="AK2601" s="30" t="n"/>
      <c r="AL2601" s="30" t="n"/>
      <c r="AM2601" s="30" t="n"/>
      <c r="AN2601" s="30" t="n"/>
      <c r="AO2601" s="30" t="n"/>
    </row>
    <row r="2602" ht="16.5" customHeight="1" s="253">
      <c r="A2602" s="89" t="inlineStr">
        <is>
          <t>23110XXX</t>
        </is>
      </c>
      <c r="B2602" s="135" t="inlineStr">
        <is>
          <t>TAVERNITI  REM M/C</t>
        </is>
      </c>
      <c r="C2602" s="88" t="n">
        <v>60400</v>
      </c>
      <c r="D2602" s="170" t="n"/>
      <c r="E2602" s="170" t="n"/>
      <c r="F2602" s="170" t="n"/>
      <c r="G2602" s="170" t="n"/>
      <c r="H2602" s="170" t="n"/>
      <c r="I2602" s="170" t="n"/>
      <c r="J2602" s="170" t="n"/>
      <c r="K2602" s="170" t="n"/>
      <c r="L2602" s="170" t="n"/>
      <c r="M2602" s="170" t="n"/>
      <c r="N2602" s="30" t="n"/>
      <c r="O2602" s="150">
        <f>C2602*P2602</f>
        <v/>
      </c>
      <c r="P2602" s="150" t="n">
        <v>1.1</v>
      </c>
      <c r="Q2602" s="30" t="n"/>
      <c r="R2602" s="170" t="n"/>
      <c r="S2602" s="30" t="n"/>
      <c r="T2602" s="170" t="n"/>
      <c r="U2602" s="30" t="n"/>
      <c r="V2602" s="30" t="n"/>
      <c r="W2602" s="30" t="n"/>
      <c r="X2602" s="30" t="n"/>
      <c r="Y2602" s="30" t="n"/>
      <c r="Z2602" s="30" t="n"/>
      <c r="AA2602" s="30" t="n"/>
      <c r="AB2602" s="30" t="n"/>
      <c r="AC2602" s="30" t="n"/>
      <c r="AD2602" s="30" t="n"/>
      <c r="AE2602" s="30" t="n"/>
      <c r="AF2602" s="30" t="n"/>
      <c r="AG2602" s="30" t="n"/>
      <c r="AH2602" s="30" t="n"/>
      <c r="AI2602" s="30" t="n"/>
      <c r="AJ2602" s="30" t="n"/>
      <c r="AK2602" s="30" t="n"/>
      <c r="AL2602" s="30" t="n"/>
      <c r="AM2602" s="30" t="n"/>
      <c r="AN2602" s="30" t="n"/>
      <c r="AO2602" s="30" t="n"/>
    </row>
    <row r="2603" ht="16.5" customHeight="1" s="253">
      <c r="A2603" s="89" t="inlineStr">
        <is>
          <t>23112XXX</t>
        </is>
      </c>
      <c r="B2603" s="135" t="inlineStr">
        <is>
          <t>TAVERNITI  REM M/C</t>
        </is>
      </c>
      <c r="C2603" s="88" t="n">
        <v>60400</v>
      </c>
      <c r="D2603" s="170" t="n"/>
      <c r="E2603" s="170" t="n"/>
      <c r="F2603" s="170" t="n"/>
      <c r="G2603" s="170" t="n"/>
      <c r="H2603" s="170" t="n"/>
      <c r="I2603" s="170" t="n"/>
      <c r="J2603" s="170" t="n"/>
      <c r="K2603" s="170" t="n"/>
      <c r="L2603" s="170" t="n"/>
      <c r="M2603" s="170" t="n"/>
      <c r="N2603" s="30" t="n"/>
      <c r="O2603" s="150">
        <f>C2603*P2603</f>
        <v/>
      </c>
      <c r="P2603" s="150" t="n">
        <v>1.1</v>
      </c>
      <c r="Q2603" s="30" t="n"/>
      <c r="R2603" s="170" t="n"/>
      <c r="S2603" s="30" t="n"/>
      <c r="T2603" s="170" t="n"/>
      <c r="U2603" s="30" t="n"/>
      <c r="V2603" s="30" t="n"/>
      <c r="W2603" s="30" t="n"/>
      <c r="X2603" s="30" t="n"/>
      <c r="Y2603" s="30" t="n"/>
      <c r="Z2603" s="30" t="n"/>
      <c r="AA2603" s="30" t="n"/>
      <c r="AB2603" s="30" t="n"/>
      <c r="AC2603" s="30" t="n"/>
      <c r="AD2603" s="30" t="n"/>
      <c r="AE2603" s="30" t="n"/>
      <c r="AF2603" s="30" t="n"/>
      <c r="AG2603" s="30" t="n"/>
      <c r="AH2603" s="30" t="n"/>
      <c r="AI2603" s="30" t="n"/>
      <c r="AJ2603" s="30" t="n"/>
      <c r="AK2603" s="30" t="n"/>
      <c r="AL2603" s="30" t="n"/>
      <c r="AM2603" s="30" t="n"/>
      <c r="AN2603" s="30" t="n"/>
      <c r="AO2603" s="30" t="n"/>
    </row>
    <row r="2604" ht="16.5" customHeight="1" s="253">
      <c r="A2604" s="89" t="inlineStr">
        <is>
          <t>23114XXX</t>
        </is>
      </c>
      <c r="B2604" s="135" t="inlineStr">
        <is>
          <t>TAVERNITI  REM M/C</t>
        </is>
      </c>
      <c r="C2604" s="88" t="n">
        <v>60400</v>
      </c>
      <c r="D2604" s="170" t="n"/>
      <c r="E2604" s="170" t="n"/>
      <c r="F2604" s="170" t="n"/>
      <c r="G2604" s="170" t="n"/>
      <c r="H2604" s="170" t="n"/>
      <c r="I2604" s="170" t="n"/>
      <c r="J2604" s="170" t="n"/>
      <c r="K2604" s="170" t="n"/>
      <c r="L2604" s="170" t="n"/>
      <c r="M2604" s="170" t="n"/>
      <c r="N2604" s="30" t="n"/>
      <c r="O2604" s="150">
        <f>C2604*P2604</f>
        <v/>
      </c>
      <c r="P2604" s="150" t="n">
        <v>1.1</v>
      </c>
      <c r="Q2604" s="30" t="n"/>
      <c r="R2604" s="170" t="n"/>
      <c r="S2604" s="30" t="n"/>
      <c r="T2604" s="170" t="n"/>
      <c r="U2604" s="30" t="n"/>
      <c r="V2604" s="30" t="n"/>
      <c r="W2604" s="30" t="n"/>
      <c r="X2604" s="30" t="n"/>
      <c r="Y2604" s="30" t="n"/>
      <c r="Z2604" s="30" t="n"/>
      <c r="AA2604" s="30" t="n"/>
      <c r="AB2604" s="30" t="n"/>
      <c r="AC2604" s="30" t="n"/>
      <c r="AD2604" s="30" t="n"/>
      <c r="AE2604" s="30" t="n"/>
      <c r="AF2604" s="30" t="n"/>
      <c r="AG2604" s="30" t="n"/>
      <c r="AH2604" s="30" t="n"/>
      <c r="AI2604" s="30" t="n"/>
      <c r="AJ2604" s="30" t="n"/>
      <c r="AK2604" s="30" t="n"/>
      <c r="AL2604" s="30" t="n"/>
      <c r="AM2604" s="30" t="n"/>
      <c r="AN2604" s="30" t="n"/>
      <c r="AO2604" s="30" t="n"/>
    </row>
    <row r="2605" ht="16.5" customHeight="1" s="253">
      <c r="A2605" s="89" t="inlineStr">
        <is>
          <t>23184XXX</t>
        </is>
      </c>
      <c r="B2605" s="135" t="inlineStr">
        <is>
          <t>TAVERNITI  REM M/C</t>
        </is>
      </c>
      <c r="C2605" s="88" t="n">
        <v>45700</v>
      </c>
      <c r="D2605" s="170" t="n"/>
      <c r="E2605" s="170" t="n"/>
      <c r="F2605" s="170" t="n"/>
      <c r="G2605" s="170" t="n"/>
      <c r="H2605" s="170" t="n"/>
      <c r="I2605" s="170" t="n"/>
      <c r="J2605" s="170" t="n"/>
      <c r="K2605" s="170" t="n"/>
      <c r="L2605" s="170" t="n"/>
      <c r="M2605" s="170" t="n"/>
      <c r="N2605" s="30" t="n"/>
      <c r="O2605" s="150">
        <f>C2605*P2605</f>
        <v/>
      </c>
      <c r="P2605" s="150" t="n">
        <v>1.1</v>
      </c>
      <c r="Q2605" s="30" t="n"/>
      <c r="R2605" s="170" t="n"/>
      <c r="S2605" s="30" t="n"/>
      <c r="T2605" s="170" t="n"/>
      <c r="U2605" s="30" t="n"/>
      <c r="V2605" s="30" t="n"/>
      <c r="W2605" s="30" t="n"/>
      <c r="X2605" s="30" t="n"/>
      <c r="Y2605" s="30" t="n"/>
      <c r="Z2605" s="30" t="n"/>
      <c r="AA2605" s="30" t="n"/>
      <c r="AB2605" s="30" t="n"/>
      <c r="AC2605" s="30" t="n"/>
      <c r="AD2605" s="30" t="n"/>
      <c r="AE2605" s="30" t="n"/>
      <c r="AF2605" s="30" t="n"/>
      <c r="AG2605" s="30" t="n"/>
      <c r="AH2605" s="30" t="n"/>
      <c r="AI2605" s="30" t="n"/>
      <c r="AJ2605" s="30" t="n"/>
      <c r="AK2605" s="30" t="n"/>
      <c r="AL2605" s="30" t="n"/>
      <c r="AM2605" s="30" t="n"/>
      <c r="AN2605" s="30" t="n"/>
      <c r="AO2605" s="30" t="n"/>
    </row>
    <row r="2606" ht="16.5" customHeight="1" s="253">
      <c r="A2606" s="89" t="inlineStr">
        <is>
          <t>23200XXX</t>
        </is>
      </c>
      <c r="B2606" s="135" t="inlineStr">
        <is>
          <t>TAVERNITI  REM M/C</t>
        </is>
      </c>
      <c r="C2606" s="88" t="n">
        <v>46100</v>
      </c>
      <c r="D2606" s="170" t="n"/>
      <c r="E2606" s="170" t="n"/>
      <c r="F2606" s="170" t="n"/>
      <c r="G2606" s="170" t="n"/>
      <c r="H2606" s="170" t="n"/>
      <c r="I2606" s="170" t="n"/>
      <c r="J2606" s="170" t="n"/>
      <c r="K2606" s="170" t="n"/>
      <c r="L2606" s="170" t="n"/>
      <c r="M2606" s="170" t="n"/>
      <c r="N2606" s="30" t="n"/>
      <c r="O2606" s="150">
        <f>C2606*P2606</f>
        <v/>
      </c>
      <c r="P2606" s="150" t="n">
        <v>1.1</v>
      </c>
      <c r="Q2606" s="30" t="n"/>
      <c r="R2606" s="170" t="n"/>
      <c r="S2606" s="30" t="n"/>
      <c r="T2606" s="170" t="n"/>
      <c r="U2606" s="30" t="n"/>
      <c r="V2606" s="30" t="n"/>
      <c r="W2606" s="30" t="n"/>
      <c r="X2606" s="30" t="n"/>
      <c r="Y2606" s="30" t="n"/>
      <c r="Z2606" s="30" t="n"/>
      <c r="AA2606" s="30" t="n"/>
      <c r="AB2606" s="30" t="n"/>
      <c r="AC2606" s="30" t="n"/>
      <c r="AD2606" s="30" t="n"/>
      <c r="AE2606" s="30" t="n"/>
      <c r="AF2606" s="30" t="n"/>
      <c r="AG2606" s="30" t="n"/>
      <c r="AH2606" s="30" t="n"/>
      <c r="AI2606" s="30" t="n"/>
      <c r="AJ2606" s="30" t="n"/>
      <c r="AK2606" s="30" t="n"/>
      <c r="AL2606" s="30" t="n"/>
      <c r="AM2606" s="30" t="n"/>
      <c r="AN2606" s="30" t="n"/>
      <c r="AO2606" s="30" t="n"/>
    </row>
    <row r="2607" ht="16.5" customHeight="1" s="253">
      <c r="A2607" s="89" t="inlineStr">
        <is>
          <t>23232XXX</t>
        </is>
      </c>
      <c r="B2607" s="135" t="inlineStr">
        <is>
          <t>TAVERNITI  REM M/C</t>
        </is>
      </c>
      <c r="C2607" s="88" t="n">
        <v>56000</v>
      </c>
      <c r="D2607" s="170" t="n"/>
      <c r="E2607" s="170" t="n"/>
      <c r="F2607" s="170" t="n"/>
      <c r="G2607" s="170" t="n"/>
      <c r="H2607" s="170" t="n"/>
      <c r="I2607" s="170" t="n"/>
      <c r="J2607" s="170" t="n"/>
      <c r="K2607" s="170" t="n"/>
      <c r="L2607" s="170" t="n"/>
      <c r="M2607" s="170" t="n"/>
      <c r="N2607" s="30" t="n"/>
      <c r="O2607" s="150">
        <f>C2607*P2607</f>
        <v/>
      </c>
      <c r="P2607" s="150" t="n">
        <v>1.1</v>
      </c>
      <c r="Q2607" s="30" t="n"/>
      <c r="R2607" s="170" t="n"/>
      <c r="S2607" s="30" t="n"/>
      <c r="T2607" s="170" t="n"/>
      <c r="U2607" s="30" t="n"/>
      <c r="V2607" s="30" t="n"/>
      <c r="W2607" s="30" t="n"/>
      <c r="X2607" s="30" t="n"/>
      <c r="Y2607" s="30" t="n"/>
      <c r="Z2607" s="30" t="n"/>
      <c r="AA2607" s="30" t="n"/>
      <c r="AB2607" s="30" t="n"/>
      <c r="AC2607" s="30" t="n"/>
      <c r="AD2607" s="30" t="n"/>
      <c r="AE2607" s="30" t="n"/>
      <c r="AF2607" s="30" t="n"/>
      <c r="AG2607" s="30" t="n"/>
      <c r="AH2607" s="30" t="n"/>
      <c r="AI2607" s="30" t="n"/>
      <c r="AJ2607" s="30" t="n"/>
      <c r="AK2607" s="30" t="n"/>
      <c r="AL2607" s="30" t="n"/>
      <c r="AM2607" s="30" t="n"/>
      <c r="AN2607" s="30" t="n"/>
      <c r="AO2607" s="30" t="n"/>
    </row>
    <row r="2608" ht="16.5" customHeight="1" s="253">
      <c r="A2608" s="89" t="inlineStr">
        <is>
          <t>23234XXX</t>
        </is>
      </c>
      <c r="B2608" s="135" t="inlineStr">
        <is>
          <t>TAVERNITI  REM M/C</t>
        </is>
      </c>
      <c r="C2608" s="88" t="n">
        <v>56000</v>
      </c>
      <c r="D2608" s="170" t="n"/>
      <c r="E2608" s="170" t="n"/>
      <c r="F2608" s="170" t="n"/>
      <c r="G2608" s="170" t="n"/>
      <c r="H2608" s="170" t="n"/>
      <c r="I2608" s="170" t="n"/>
      <c r="J2608" s="170" t="n"/>
      <c r="K2608" s="170" t="n"/>
      <c r="L2608" s="170" t="n"/>
      <c r="M2608" s="170" t="n"/>
      <c r="N2608" s="30" t="n"/>
      <c r="O2608" s="150">
        <f>C2608*P2608</f>
        <v/>
      </c>
      <c r="P2608" s="150" t="n">
        <v>1.1</v>
      </c>
      <c r="Q2608" s="30" t="n"/>
      <c r="R2608" s="170" t="n"/>
      <c r="S2608" s="30" t="n"/>
      <c r="T2608" s="170" t="n"/>
      <c r="U2608" s="30" t="n"/>
      <c r="V2608" s="30" t="n"/>
      <c r="W2608" s="30" t="n"/>
      <c r="X2608" s="30" t="n"/>
      <c r="Y2608" s="30" t="n"/>
      <c r="Z2608" s="30" t="n"/>
      <c r="AA2608" s="30" t="n"/>
      <c r="AB2608" s="30" t="n"/>
      <c r="AC2608" s="30" t="n"/>
      <c r="AD2608" s="30" t="n"/>
      <c r="AE2608" s="30" t="n"/>
      <c r="AF2608" s="30" t="n"/>
      <c r="AG2608" s="30" t="n"/>
      <c r="AH2608" s="30" t="n"/>
      <c r="AI2608" s="30" t="n"/>
      <c r="AJ2608" s="30" t="n"/>
      <c r="AK2608" s="30" t="n"/>
      <c r="AL2608" s="30" t="n"/>
      <c r="AM2608" s="30" t="n"/>
      <c r="AN2608" s="30" t="n"/>
      <c r="AO2608" s="30" t="n"/>
    </row>
    <row r="2609" ht="16.5" customHeight="1" s="253">
      <c r="A2609" s="89" t="inlineStr">
        <is>
          <t>23240XXX</t>
        </is>
      </c>
      <c r="B2609" s="135" t="inlineStr">
        <is>
          <t>TAVERNITI  REM M/C</t>
        </is>
      </c>
      <c r="C2609" s="88" t="n">
        <v>56000</v>
      </c>
      <c r="D2609" s="170" t="n"/>
      <c r="E2609" s="170" t="n"/>
      <c r="F2609" s="170" t="n"/>
      <c r="G2609" s="170" t="n"/>
      <c r="H2609" s="170" t="n"/>
      <c r="I2609" s="170" t="n"/>
      <c r="J2609" s="170" t="n"/>
      <c r="K2609" s="170" t="n"/>
      <c r="L2609" s="170" t="n"/>
      <c r="M2609" s="170" t="n"/>
      <c r="N2609" s="30" t="n"/>
      <c r="O2609" s="150">
        <f>C2609*P2609</f>
        <v/>
      </c>
      <c r="P2609" s="150" t="n">
        <v>1.1</v>
      </c>
      <c r="Q2609" s="30" t="n"/>
      <c r="R2609" s="170" t="n"/>
      <c r="S2609" s="30" t="n"/>
      <c r="T2609" s="170" t="n"/>
      <c r="U2609" s="30" t="n"/>
      <c r="V2609" s="30" t="n"/>
      <c r="W2609" s="30" t="n"/>
      <c r="X2609" s="30" t="n"/>
      <c r="Y2609" s="30" t="n"/>
      <c r="Z2609" s="30" t="n"/>
      <c r="AA2609" s="30" t="n"/>
      <c r="AB2609" s="30" t="n"/>
      <c r="AC2609" s="30" t="n"/>
      <c r="AD2609" s="30" t="n"/>
      <c r="AE2609" s="30" t="n"/>
      <c r="AF2609" s="30" t="n"/>
      <c r="AG2609" s="30" t="n"/>
      <c r="AH2609" s="30" t="n"/>
      <c r="AI2609" s="30" t="n"/>
      <c r="AJ2609" s="30" t="n"/>
      <c r="AK2609" s="30" t="n"/>
      <c r="AL2609" s="30" t="n"/>
      <c r="AM2609" s="30" t="n"/>
      <c r="AN2609" s="30" t="n"/>
      <c r="AO2609" s="30" t="n"/>
    </row>
    <row r="2610" ht="16.5" customHeight="1" s="253">
      <c r="A2610" s="89" t="inlineStr">
        <is>
          <t>23242XXX</t>
        </is>
      </c>
      <c r="B2610" s="135" t="inlineStr">
        <is>
          <t>TAVERNITI  REM M/C</t>
        </is>
      </c>
      <c r="C2610" s="88" t="n">
        <v>56000</v>
      </c>
      <c r="D2610" s="170" t="n"/>
      <c r="E2610" s="170" t="n"/>
      <c r="F2610" s="170" t="n"/>
      <c r="G2610" s="170" t="n"/>
      <c r="H2610" s="170" t="n"/>
      <c r="I2610" s="170" t="n"/>
      <c r="J2610" s="170" t="n"/>
      <c r="K2610" s="170" t="n"/>
      <c r="L2610" s="170" t="n"/>
      <c r="M2610" s="170" t="n"/>
      <c r="N2610" s="30" t="n"/>
      <c r="O2610" s="150">
        <f>C2610*P2610</f>
        <v/>
      </c>
      <c r="P2610" s="150" t="n">
        <v>1.1</v>
      </c>
      <c r="Q2610" s="30" t="n"/>
      <c r="R2610" s="170" t="n"/>
      <c r="S2610" s="30" t="n"/>
      <c r="T2610" s="170" t="n"/>
      <c r="U2610" s="30" t="n"/>
      <c r="V2610" s="30" t="n"/>
      <c r="W2610" s="30" t="n"/>
      <c r="X2610" s="30" t="n"/>
      <c r="Y2610" s="30" t="n"/>
      <c r="Z2610" s="30" t="n"/>
      <c r="AA2610" s="30" t="n"/>
      <c r="AB2610" s="30" t="n"/>
      <c r="AC2610" s="30" t="n"/>
      <c r="AD2610" s="30" t="n"/>
      <c r="AE2610" s="30" t="n"/>
      <c r="AF2610" s="30" t="n"/>
      <c r="AG2610" s="30" t="n"/>
      <c r="AH2610" s="30" t="n"/>
      <c r="AI2610" s="30" t="n"/>
      <c r="AJ2610" s="30" t="n"/>
      <c r="AK2610" s="30" t="n"/>
      <c r="AL2610" s="30" t="n"/>
      <c r="AM2610" s="30" t="n"/>
      <c r="AN2610" s="30" t="n"/>
      <c r="AO2610" s="30" t="n"/>
    </row>
    <row r="2611" ht="16.5" customHeight="1" s="253">
      <c r="A2611" s="89" t="inlineStr">
        <is>
          <t>23262XXX</t>
        </is>
      </c>
      <c r="B2611" s="135" t="inlineStr">
        <is>
          <t>TAVERNITI  REM M/C</t>
        </is>
      </c>
      <c r="C2611" s="88" t="n">
        <v>56000</v>
      </c>
      <c r="D2611" s="170" t="n"/>
      <c r="E2611" s="170" t="n"/>
      <c r="F2611" s="170" t="n"/>
      <c r="G2611" s="170" t="n"/>
      <c r="H2611" s="170" t="n"/>
      <c r="I2611" s="170" t="n"/>
      <c r="J2611" s="170" t="n"/>
      <c r="K2611" s="170" t="n"/>
      <c r="L2611" s="170" t="n"/>
      <c r="M2611" s="170" t="n"/>
      <c r="N2611" s="30" t="n"/>
      <c r="O2611" s="150">
        <f>C2611*P2611</f>
        <v/>
      </c>
      <c r="P2611" s="150" t="n">
        <v>1.1</v>
      </c>
      <c r="Q2611" s="30" t="n"/>
      <c r="R2611" s="170" t="n"/>
      <c r="S2611" s="30" t="n"/>
      <c r="T2611" s="170" t="n"/>
      <c r="U2611" s="30" t="n"/>
      <c r="V2611" s="30" t="n"/>
      <c r="W2611" s="30" t="n"/>
      <c r="X2611" s="30" t="n"/>
      <c r="Y2611" s="30" t="n"/>
      <c r="Z2611" s="30" t="n"/>
      <c r="AA2611" s="30" t="n"/>
      <c r="AB2611" s="30" t="n"/>
      <c r="AC2611" s="30" t="n"/>
      <c r="AD2611" s="30" t="n"/>
      <c r="AE2611" s="30" t="n"/>
      <c r="AF2611" s="30" t="n"/>
      <c r="AG2611" s="30" t="n"/>
      <c r="AH2611" s="30" t="n"/>
      <c r="AI2611" s="30" t="n"/>
      <c r="AJ2611" s="30" t="n"/>
      <c r="AK2611" s="30" t="n"/>
      <c r="AL2611" s="30" t="n"/>
      <c r="AM2611" s="30" t="n"/>
      <c r="AN2611" s="30" t="n"/>
      <c r="AO2611" s="30" t="n"/>
    </row>
    <row r="2612" ht="16.5" customHeight="1" s="253">
      <c r="A2612" s="89" t="inlineStr">
        <is>
          <t>23264XXX</t>
        </is>
      </c>
      <c r="B2612" s="135" t="inlineStr">
        <is>
          <t>TAVERNITI  REM M/C</t>
        </is>
      </c>
      <c r="C2612" s="88" t="n">
        <v>56000</v>
      </c>
      <c r="D2612" s="170" t="n"/>
      <c r="E2612" s="170" t="n"/>
      <c r="F2612" s="170" t="n"/>
      <c r="G2612" s="170" t="n"/>
      <c r="H2612" s="170" t="n"/>
      <c r="I2612" s="170" t="n"/>
      <c r="J2612" s="170" t="n"/>
      <c r="K2612" s="170" t="n"/>
      <c r="L2612" s="170" t="n"/>
      <c r="M2612" s="170" t="n"/>
      <c r="N2612" s="30" t="n"/>
      <c r="O2612" s="150">
        <f>C2612*P2612</f>
        <v/>
      </c>
      <c r="P2612" s="150" t="n">
        <v>1.1</v>
      </c>
      <c r="Q2612" s="30" t="n"/>
      <c r="R2612" s="170" t="n"/>
      <c r="S2612" s="30" t="n"/>
      <c r="T2612" s="170" t="n"/>
      <c r="U2612" s="30" t="n"/>
      <c r="V2612" s="30" t="n"/>
      <c r="W2612" s="30" t="n"/>
      <c r="X2612" s="30" t="n"/>
      <c r="Y2612" s="30" t="n"/>
      <c r="Z2612" s="30" t="n"/>
      <c r="AA2612" s="30" t="n"/>
      <c r="AB2612" s="30" t="n"/>
      <c r="AC2612" s="30" t="n"/>
      <c r="AD2612" s="30" t="n"/>
      <c r="AE2612" s="30" t="n"/>
      <c r="AF2612" s="30" t="n"/>
      <c r="AG2612" s="30" t="n"/>
      <c r="AH2612" s="30" t="n"/>
      <c r="AI2612" s="30" t="n"/>
      <c r="AJ2612" s="30" t="n"/>
      <c r="AK2612" s="30" t="n"/>
      <c r="AL2612" s="30" t="n"/>
      <c r="AM2612" s="30" t="n"/>
      <c r="AN2612" s="30" t="n"/>
      <c r="AO2612" s="30" t="n"/>
    </row>
    <row r="2613" ht="16.5" customHeight="1" s="253">
      <c r="A2613" s="89" t="inlineStr">
        <is>
          <t>23266XXX</t>
        </is>
      </c>
      <c r="B2613" s="135" t="inlineStr">
        <is>
          <t>TAVERNITI  REM M/C</t>
        </is>
      </c>
      <c r="C2613" s="88" t="n">
        <v>52300</v>
      </c>
      <c r="D2613" s="170" t="n"/>
      <c r="E2613" s="170" t="n"/>
      <c r="F2613" s="170" t="n"/>
      <c r="G2613" s="170" t="n"/>
      <c r="H2613" s="170" t="n"/>
      <c r="I2613" s="170" t="n"/>
      <c r="J2613" s="170" t="n"/>
      <c r="K2613" s="170" t="n"/>
      <c r="L2613" s="170" t="n"/>
      <c r="M2613" s="170" t="n"/>
      <c r="N2613" s="30" t="n"/>
      <c r="O2613" s="150">
        <f>C2613*P2613</f>
        <v/>
      </c>
      <c r="P2613" s="150" t="n">
        <v>1.1</v>
      </c>
      <c r="Q2613" s="30" t="n"/>
      <c r="R2613" s="170" t="n"/>
      <c r="S2613" s="30" t="n"/>
      <c r="T2613" s="170" t="n"/>
      <c r="U2613" s="30" t="n"/>
      <c r="V2613" s="30" t="n"/>
      <c r="W2613" s="30" t="n"/>
      <c r="X2613" s="30" t="n"/>
      <c r="Y2613" s="30" t="n"/>
      <c r="Z2613" s="30" t="n"/>
      <c r="AA2613" s="30" t="n"/>
      <c r="AB2613" s="30" t="n"/>
      <c r="AC2613" s="30" t="n"/>
      <c r="AD2613" s="30" t="n"/>
      <c r="AE2613" s="30" t="n"/>
      <c r="AF2613" s="30" t="n"/>
      <c r="AG2613" s="30" t="n"/>
      <c r="AH2613" s="30" t="n"/>
      <c r="AI2613" s="30" t="n"/>
      <c r="AJ2613" s="30" t="n"/>
      <c r="AK2613" s="30" t="n"/>
      <c r="AL2613" s="30" t="n"/>
      <c r="AM2613" s="30" t="n"/>
      <c r="AN2613" s="30" t="n"/>
      <c r="AO2613" s="30" t="n"/>
    </row>
    <row r="2614" ht="16.5" customHeight="1" s="253">
      <c r="A2614" s="89" t="inlineStr">
        <is>
          <t>23272XXX</t>
        </is>
      </c>
      <c r="B2614" s="135" t="inlineStr">
        <is>
          <t>TAVERNITI  REM M/C</t>
        </is>
      </c>
      <c r="C2614" s="88" t="n">
        <v>60400</v>
      </c>
      <c r="D2614" s="170" t="n"/>
      <c r="E2614" s="170" t="n"/>
      <c r="F2614" s="170" t="n"/>
      <c r="G2614" s="170" t="n"/>
      <c r="H2614" s="170" t="n"/>
      <c r="I2614" s="170" t="n"/>
      <c r="J2614" s="170" t="n"/>
      <c r="K2614" s="170" t="n"/>
      <c r="L2614" s="170" t="n"/>
      <c r="M2614" s="170" t="n"/>
      <c r="N2614" s="30" t="n"/>
      <c r="O2614" s="150">
        <f>C2614*P2614</f>
        <v/>
      </c>
      <c r="P2614" s="150" t="n">
        <v>1.1</v>
      </c>
      <c r="Q2614" s="30" t="n"/>
      <c r="R2614" s="170" t="n"/>
      <c r="S2614" s="30" t="n"/>
      <c r="T2614" s="170" t="n"/>
      <c r="U2614" s="30" t="n"/>
      <c r="V2614" s="30" t="n"/>
      <c r="W2614" s="30" t="n"/>
      <c r="X2614" s="30" t="n"/>
      <c r="Y2614" s="30" t="n"/>
      <c r="Z2614" s="30" t="n"/>
      <c r="AA2614" s="30" t="n"/>
      <c r="AB2614" s="30" t="n"/>
      <c r="AC2614" s="30" t="n"/>
      <c r="AD2614" s="30" t="n"/>
      <c r="AE2614" s="30" t="n"/>
      <c r="AF2614" s="30" t="n"/>
      <c r="AG2614" s="30" t="n"/>
      <c r="AH2614" s="30" t="n"/>
      <c r="AI2614" s="30" t="n"/>
      <c r="AJ2614" s="30" t="n"/>
      <c r="AK2614" s="30" t="n"/>
      <c r="AL2614" s="30" t="n"/>
      <c r="AM2614" s="30" t="n"/>
      <c r="AN2614" s="30" t="n"/>
      <c r="AO2614" s="30" t="n"/>
    </row>
    <row r="2615" ht="16.5" customHeight="1" s="253">
      <c r="A2615" s="89" t="inlineStr">
        <is>
          <t>23274XXX</t>
        </is>
      </c>
      <c r="B2615" s="135" t="inlineStr">
        <is>
          <t>TAVERNITI  REM M/C</t>
        </is>
      </c>
      <c r="C2615" s="88" t="n">
        <v>60400</v>
      </c>
      <c r="D2615" s="170" t="n"/>
      <c r="E2615" s="170" t="n"/>
      <c r="F2615" s="170" t="n"/>
      <c r="G2615" s="170" t="n"/>
      <c r="H2615" s="170" t="n"/>
      <c r="I2615" s="170" t="n"/>
      <c r="J2615" s="170" t="n"/>
      <c r="K2615" s="170" t="n"/>
      <c r="L2615" s="170" t="n"/>
      <c r="M2615" s="170" t="n"/>
      <c r="N2615" s="30" t="n"/>
      <c r="O2615" s="150">
        <f>C2615*P2615</f>
        <v/>
      </c>
      <c r="P2615" s="150" t="n">
        <v>1.1</v>
      </c>
      <c r="Q2615" s="30" t="n"/>
      <c r="R2615" s="170" t="n"/>
      <c r="S2615" s="30" t="n"/>
      <c r="T2615" s="170" t="n"/>
      <c r="U2615" s="30" t="n"/>
      <c r="V2615" s="30" t="n"/>
      <c r="W2615" s="30" t="n"/>
      <c r="X2615" s="30" t="n"/>
      <c r="Y2615" s="30" t="n"/>
      <c r="Z2615" s="30" t="n"/>
      <c r="AA2615" s="30" t="n"/>
      <c r="AB2615" s="30" t="n"/>
      <c r="AC2615" s="30" t="n"/>
      <c r="AD2615" s="30" t="n"/>
      <c r="AE2615" s="30" t="n"/>
      <c r="AF2615" s="30" t="n"/>
      <c r="AG2615" s="30" t="n"/>
      <c r="AH2615" s="30" t="n"/>
      <c r="AI2615" s="30" t="n"/>
      <c r="AJ2615" s="30" t="n"/>
      <c r="AK2615" s="30" t="n"/>
      <c r="AL2615" s="30" t="n"/>
      <c r="AM2615" s="30" t="n"/>
      <c r="AN2615" s="30" t="n"/>
      <c r="AO2615" s="30" t="n"/>
    </row>
    <row r="2616" ht="16.5" customHeight="1" s="253">
      <c r="A2616" s="89" t="inlineStr">
        <is>
          <t>23302XXX</t>
        </is>
      </c>
      <c r="B2616" s="135" t="inlineStr">
        <is>
          <t>TAVERNITI  REM M/C</t>
        </is>
      </c>
      <c r="C2616" s="88" t="n">
        <v>45700</v>
      </c>
      <c r="D2616" s="170" t="n"/>
      <c r="E2616" s="170" t="n"/>
      <c r="F2616" s="170" t="n"/>
      <c r="G2616" s="170" t="n"/>
      <c r="H2616" s="170" t="n"/>
      <c r="I2616" s="170" t="n"/>
      <c r="J2616" s="170" t="n"/>
      <c r="K2616" s="170" t="n"/>
      <c r="L2616" s="170" t="n"/>
      <c r="M2616" s="170" t="n"/>
      <c r="N2616" s="30" t="n"/>
      <c r="O2616" s="150">
        <f>C2616*P2616</f>
        <v/>
      </c>
      <c r="P2616" s="150" t="n">
        <v>1.1</v>
      </c>
      <c r="Q2616" s="30" t="n"/>
      <c r="R2616" s="170" t="n"/>
      <c r="S2616" s="30" t="n"/>
      <c r="T2616" s="170" t="n"/>
      <c r="U2616" s="30" t="n"/>
      <c r="V2616" s="30" t="n"/>
      <c r="W2616" s="30" t="n"/>
      <c r="X2616" s="30" t="n"/>
      <c r="Y2616" s="30" t="n"/>
      <c r="Z2616" s="30" t="n"/>
      <c r="AA2616" s="30" t="n"/>
      <c r="AB2616" s="30" t="n"/>
      <c r="AC2616" s="30" t="n"/>
      <c r="AD2616" s="30" t="n"/>
      <c r="AE2616" s="30" t="n"/>
      <c r="AF2616" s="30" t="n"/>
      <c r="AG2616" s="30" t="n"/>
      <c r="AH2616" s="30" t="n"/>
      <c r="AI2616" s="30" t="n"/>
      <c r="AJ2616" s="30" t="n"/>
      <c r="AK2616" s="30" t="n"/>
      <c r="AL2616" s="30" t="n"/>
      <c r="AM2616" s="30" t="n"/>
      <c r="AN2616" s="30" t="n"/>
      <c r="AO2616" s="30" t="n"/>
    </row>
    <row r="2617" ht="16.5" customHeight="1" s="253">
      <c r="A2617" s="89" t="inlineStr">
        <is>
          <t>23304XXX</t>
        </is>
      </c>
      <c r="B2617" s="135" t="inlineStr">
        <is>
          <t>TAVERNITI  REM M/C</t>
        </is>
      </c>
      <c r="C2617" s="88" t="n">
        <v>45700</v>
      </c>
      <c r="D2617" s="170" t="n"/>
      <c r="E2617" s="170" t="n"/>
      <c r="F2617" s="170" t="n"/>
      <c r="G2617" s="170" t="n"/>
      <c r="H2617" s="170" t="n"/>
      <c r="I2617" s="170" t="n"/>
      <c r="J2617" s="170" t="n"/>
      <c r="K2617" s="170" t="n"/>
      <c r="L2617" s="170" t="n"/>
      <c r="M2617" s="170" t="n"/>
      <c r="N2617" s="30" t="n"/>
      <c r="O2617" s="150">
        <f>C2617*P2617</f>
        <v/>
      </c>
      <c r="P2617" s="150" t="n">
        <v>1.1</v>
      </c>
      <c r="Q2617" s="30" t="n"/>
      <c r="R2617" s="170" t="n"/>
      <c r="S2617" s="30" t="n"/>
      <c r="T2617" s="170" t="n"/>
      <c r="U2617" s="30" t="n"/>
      <c r="V2617" s="30" t="n"/>
      <c r="W2617" s="30" t="n"/>
      <c r="X2617" s="30" t="n"/>
      <c r="Y2617" s="30" t="n"/>
      <c r="Z2617" s="30" t="n"/>
      <c r="AA2617" s="30" t="n"/>
      <c r="AB2617" s="30" t="n"/>
      <c r="AC2617" s="30" t="n"/>
      <c r="AD2617" s="30" t="n"/>
      <c r="AE2617" s="30" t="n"/>
      <c r="AF2617" s="30" t="n"/>
      <c r="AG2617" s="30" t="n"/>
      <c r="AH2617" s="30" t="n"/>
      <c r="AI2617" s="30" t="n"/>
      <c r="AJ2617" s="30" t="n"/>
      <c r="AK2617" s="30" t="n"/>
      <c r="AL2617" s="30" t="n"/>
      <c r="AM2617" s="30" t="n"/>
      <c r="AN2617" s="30" t="n"/>
      <c r="AO2617" s="30" t="n"/>
    </row>
    <row r="2618" ht="16.5" customHeight="1" s="253">
      <c r="A2618" s="89" t="inlineStr">
        <is>
          <t>23306XXX</t>
        </is>
      </c>
      <c r="B2618" s="135" t="inlineStr">
        <is>
          <t>TAVERNITI  REM M/C</t>
        </is>
      </c>
      <c r="C2618" s="88" t="n">
        <v>49000</v>
      </c>
      <c r="D2618" s="170" t="n"/>
      <c r="E2618" s="170" t="n"/>
      <c r="F2618" s="170" t="n"/>
      <c r="G2618" s="170" t="n"/>
      <c r="H2618" s="170" t="n"/>
      <c r="I2618" s="170" t="n"/>
      <c r="J2618" s="170" t="n"/>
      <c r="K2618" s="170" t="n"/>
      <c r="L2618" s="170" t="n"/>
      <c r="M2618" s="170" t="n"/>
      <c r="N2618" s="30" t="n"/>
      <c r="O2618" s="150">
        <f>C2618*P2618</f>
        <v/>
      </c>
      <c r="P2618" s="150" t="n">
        <v>1.1</v>
      </c>
      <c r="Q2618" s="30" t="n"/>
      <c r="R2618" s="170" t="n"/>
      <c r="S2618" s="30" t="n"/>
      <c r="T2618" s="170" t="n"/>
      <c r="U2618" s="30" t="n"/>
      <c r="V2618" s="30" t="n"/>
      <c r="W2618" s="30" t="n"/>
      <c r="X2618" s="30" t="n"/>
      <c r="Y2618" s="30" t="n"/>
      <c r="Z2618" s="30" t="n"/>
      <c r="AA2618" s="30" t="n"/>
      <c r="AB2618" s="30" t="n"/>
      <c r="AC2618" s="30" t="n"/>
      <c r="AD2618" s="30" t="n"/>
      <c r="AE2618" s="30" t="n"/>
      <c r="AF2618" s="30" t="n"/>
      <c r="AG2618" s="30" t="n"/>
      <c r="AH2618" s="30" t="n"/>
      <c r="AI2618" s="30" t="n"/>
      <c r="AJ2618" s="30" t="n"/>
      <c r="AK2618" s="30" t="n"/>
      <c r="AL2618" s="30" t="n"/>
      <c r="AM2618" s="30" t="n"/>
      <c r="AN2618" s="30" t="n"/>
      <c r="AO2618" s="30" t="n"/>
    </row>
    <row r="2619" ht="16.5" customHeight="1" s="253">
      <c r="A2619" s="89" t="inlineStr">
        <is>
          <t>23310XXX</t>
        </is>
      </c>
      <c r="B2619" s="135" t="inlineStr">
        <is>
          <t>TAVERNITI  REM M/C</t>
        </is>
      </c>
      <c r="C2619" s="88" t="n">
        <v>48300</v>
      </c>
      <c r="D2619" s="170" t="n"/>
      <c r="E2619" s="170" t="n"/>
      <c r="F2619" s="170" t="n"/>
      <c r="G2619" s="170" t="n"/>
      <c r="H2619" s="170" t="n"/>
      <c r="I2619" s="170" t="n"/>
      <c r="J2619" s="170" t="n"/>
      <c r="K2619" s="170" t="n"/>
      <c r="L2619" s="170" t="n"/>
      <c r="M2619" s="170" t="n"/>
      <c r="N2619" s="30" t="n"/>
      <c r="O2619" s="150">
        <f>C2619*P2619</f>
        <v/>
      </c>
      <c r="P2619" s="150" t="n">
        <v>1.1</v>
      </c>
      <c r="Q2619" s="30" t="n"/>
      <c r="R2619" s="170" t="n"/>
      <c r="S2619" s="30" t="n"/>
      <c r="T2619" s="170" t="n"/>
      <c r="U2619" s="30" t="n"/>
      <c r="V2619" s="30" t="n"/>
      <c r="W2619" s="30" t="n"/>
      <c r="X2619" s="30" t="n"/>
      <c r="Y2619" s="30" t="n"/>
      <c r="Z2619" s="30" t="n"/>
      <c r="AA2619" s="30" t="n"/>
      <c r="AB2619" s="30" t="n"/>
      <c r="AC2619" s="30" t="n"/>
      <c r="AD2619" s="30" t="n"/>
      <c r="AE2619" s="30" t="n"/>
      <c r="AF2619" s="30" t="n"/>
      <c r="AG2619" s="30" t="n"/>
      <c r="AH2619" s="30" t="n"/>
      <c r="AI2619" s="30" t="n"/>
      <c r="AJ2619" s="30" t="n"/>
      <c r="AK2619" s="30" t="n"/>
      <c r="AL2619" s="30" t="n"/>
      <c r="AM2619" s="30" t="n"/>
      <c r="AN2619" s="30" t="n"/>
      <c r="AO2619" s="30" t="n"/>
    </row>
    <row r="2620" ht="16.5" customHeight="1" s="253">
      <c r="A2620" s="89" t="inlineStr">
        <is>
          <t>23320XXX</t>
        </is>
      </c>
      <c r="B2620" s="135" t="inlineStr">
        <is>
          <t>TAVERNITI  REM M/C</t>
        </is>
      </c>
      <c r="C2620" s="88" t="n">
        <v>49000</v>
      </c>
      <c r="D2620" s="170" t="n"/>
      <c r="E2620" s="170" t="n"/>
      <c r="F2620" s="170" t="n"/>
      <c r="G2620" s="170" t="n"/>
      <c r="H2620" s="170" t="n"/>
      <c r="I2620" s="170" t="n"/>
      <c r="J2620" s="170" t="n"/>
      <c r="K2620" s="170" t="n"/>
      <c r="L2620" s="170" t="n"/>
      <c r="M2620" s="170" t="n"/>
      <c r="N2620" s="30" t="n"/>
      <c r="O2620" s="150">
        <f>C2620*P2620</f>
        <v/>
      </c>
      <c r="P2620" s="150" t="n">
        <v>1.1</v>
      </c>
      <c r="Q2620" s="30" t="n"/>
      <c r="R2620" s="170" t="n"/>
      <c r="S2620" s="30" t="n"/>
      <c r="T2620" s="170" t="n"/>
      <c r="U2620" s="30" t="n"/>
      <c r="V2620" s="30" t="n"/>
      <c r="W2620" s="30" t="n"/>
      <c r="X2620" s="30" t="n"/>
      <c r="Y2620" s="30" t="n"/>
      <c r="Z2620" s="30" t="n"/>
      <c r="AA2620" s="30" t="n"/>
      <c r="AB2620" s="30" t="n"/>
      <c r="AC2620" s="30" t="n"/>
      <c r="AD2620" s="30" t="n"/>
      <c r="AE2620" s="30" t="n"/>
      <c r="AF2620" s="30" t="n"/>
      <c r="AG2620" s="30" t="n"/>
      <c r="AH2620" s="30" t="n"/>
      <c r="AI2620" s="30" t="n"/>
      <c r="AJ2620" s="30" t="n"/>
      <c r="AK2620" s="30" t="n"/>
      <c r="AL2620" s="30" t="n"/>
      <c r="AM2620" s="30" t="n"/>
      <c r="AN2620" s="30" t="n"/>
      <c r="AO2620" s="30" t="n"/>
    </row>
    <row r="2621" ht="16.5" customHeight="1" s="253">
      <c r="A2621" s="89" t="inlineStr">
        <is>
          <t>23326XXX</t>
        </is>
      </c>
      <c r="B2621" s="135" t="inlineStr">
        <is>
          <t>TAVERNITI  REM M/C</t>
        </is>
      </c>
      <c r="C2621" s="88" t="n">
        <v>49000</v>
      </c>
      <c r="D2621" s="170" t="n"/>
      <c r="E2621" s="170" t="n"/>
      <c r="F2621" s="170" t="n"/>
      <c r="G2621" s="170" t="n"/>
      <c r="H2621" s="170" t="n"/>
      <c r="I2621" s="170" t="n"/>
      <c r="J2621" s="170" t="n"/>
      <c r="K2621" s="170" t="n"/>
      <c r="L2621" s="170" t="n"/>
      <c r="M2621" s="170" t="n"/>
      <c r="N2621" s="30" t="n"/>
      <c r="O2621" s="150">
        <f>C2621*P2621</f>
        <v/>
      </c>
      <c r="P2621" s="150" t="n">
        <v>1.1</v>
      </c>
      <c r="Q2621" s="30" t="n"/>
      <c r="R2621" s="170" t="n"/>
      <c r="S2621" s="30" t="n"/>
      <c r="T2621" s="170" t="n"/>
      <c r="U2621" s="30" t="n"/>
      <c r="V2621" s="30" t="n"/>
      <c r="W2621" s="30" t="n"/>
      <c r="X2621" s="30" t="n"/>
      <c r="Y2621" s="30" t="n"/>
      <c r="Z2621" s="30" t="n"/>
      <c r="AA2621" s="30" t="n"/>
      <c r="AB2621" s="30" t="n"/>
      <c r="AC2621" s="30" t="n"/>
      <c r="AD2621" s="30" t="n"/>
      <c r="AE2621" s="30" t="n"/>
      <c r="AF2621" s="30" t="n"/>
      <c r="AG2621" s="30" t="n"/>
      <c r="AH2621" s="30" t="n"/>
      <c r="AI2621" s="30" t="n"/>
      <c r="AJ2621" s="30" t="n"/>
      <c r="AK2621" s="30" t="n"/>
      <c r="AL2621" s="30" t="n"/>
      <c r="AM2621" s="30" t="n"/>
      <c r="AN2621" s="30" t="n"/>
      <c r="AO2621" s="30" t="n"/>
    </row>
    <row r="2622" ht="16.5" customHeight="1" s="253">
      <c r="A2622" s="89" t="inlineStr">
        <is>
          <t>23330XXX</t>
        </is>
      </c>
      <c r="B2622" s="135" t="inlineStr">
        <is>
          <t>TAVERNITI  REM M/C</t>
        </is>
      </c>
      <c r="C2622" s="88" t="n">
        <v>46800</v>
      </c>
      <c r="D2622" s="170" t="n"/>
      <c r="E2622" s="170" t="n"/>
      <c r="F2622" s="170" t="n"/>
      <c r="G2622" s="170" t="n"/>
      <c r="H2622" s="170" t="n"/>
      <c r="I2622" s="170" t="n"/>
      <c r="J2622" s="170" t="n"/>
      <c r="K2622" s="170" t="n"/>
      <c r="L2622" s="170" t="n"/>
      <c r="M2622" s="170" t="n"/>
      <c r="N2622" s="30" t="n"/>
      <c r="O2622" s="150">
        <f>C2622*P2622</f>
        <v/>
      </c>
      <c r="P2622" s="150" t="n">
        <v>1.1</v>
      </c>
      <c r="Q2622" s="30" t="n"/>
      <c r="R2622" s="170" t="n"/>
      <c r="S2622" s="30" t="n"/>
      <c r="T2622" s="170" t="n"/>
      <c r="U2622" s="30" t="n"/>
      <c r="V2622" s="30" t="n"/>
      <c r="W2622" s="30" t="n"/>
      <c r="X2622" s="30" t="n"/>
      <c r="Y2622" s="30" t="n"/>
      <c r="Z2622" s="30" t="n"/>
      <c r="AA2622" s="30" t="n"/>
      <c r="AB2622" s="30" t="n"/>
      <c r="AC2622" s="30" t="n"/>
      <c r="AD2622" s="30" t="n"/>
      <c r="AE2622" s="30" t="n"/>
      <c r="AF2622" s="30" t="n"/>
      <c r="AG2622" s="30" t="n"/>
      <c r="AH2622" s="30" t="n"/>
      <c r="AI2622" s="30" t="n"/>
      <c r="AJ2622" s="30" t="n"/>
      <c r="AK2622" s="30" t="n"/>
      <c r="AL2622" s="30" t="n"/>
      <c r="AM2622" s="30" t="n"/>
      <c r="AN2622" s="30" t="n"/>
      <c r="AO2622" s="30" t="n"/>
    </row>
    <row r="2623" ht="16.5" customHeight="1" s="253">
      <c r="A2623" s="89" t="inlineStr">
        <is>
          <t>23334XXX</t>
        </is>
      </c>
      <c r="B2623" s="135" t="inlineStr">
        <is>
          <t>TAVERNITI  REM M/C</t>
        </is>
      </c>
      <c r="C2623" s="88" t="n">
        <v>41800</v>
      </c>
      <c r="D2623" s="170" t="n"/>
      <c r="E2623" s="170" t="n"/>
      <c r="F2623" s="170" t="n"/>
      <c r="G2623" s="170" t="n"/>
      <c r="H2623" s="170" t="n"/>
      <c r="I2623" s="170" t="n"/>
      <c r="J2623" s="170" t="n"/>
      <c r="K2623" s="170" t="n"/>
      <c r="L2623" s="170" t="n"/>
      <c r="M2623" s="170" t="n"/>
      <c r="N2623" s="30" t="n"/>
      <c r="O2623" s="150">
        <f>C2623*P2623</f>
        <v/>
      </c>
      <c r="P2623" s="150" t="n">
        <v>1.1</v>
      </c>
      <c r="Q2623" s="30" t="n"/>
      <c r="R2623" s="170" t="n"/>
      <c r="S2623" s="30" t="n"/>
      <c r="T2623" s="170" t="n"/>
      <c r="U2623" s="30" t="n"/>
      <c r="V2623" s="30" t="n"/>
      <c r="W2623" s="30" t="n"/>
      <c r="X2623" s="30" t="n"/>
      <c r="Y2623" s="30" t="n"/>
      <c r="Z2623" s="30" t="n"/>
      <c r="AA2623" s="30" t="n"/>
      <c r="AB2623" s="30" t="n"/>
      <c r="AC2623" s="30" t="n"/>
      <c r="AD2623" s="30" t="n"/>
      <c r="AE2623" s="30" t="n"/>
      <c r="AF2623" s="30" t="n"/>
      <c r="AG2623" s="30" t="n"/>
      <c r="AH2623" s="30" t="n"/>
      <c r="AI2623" s="30" t="n"/>
      <c r="AJ2623" s="30" t="n"/>
      <c r="AK2623" s="30" t="n"/>
      <c r="AL2623" s="30" t="n"/>
      <c r="AM2623" s="30" t="n"/>
      <c r="AN2623" s="30" t="n"/>
      <c r="AO2623" s="30" t="n"/>
    </row>
    <row r="2624" ht="16.5" customHeight="1" s="253">
      <c r="A2624" s="89" t="inlineStr">
        <is>
          <t>23336XXX</t>
        </is>
      </c>
      <c r="B2624" s="135" t="inlineStr">
        <is>
          <t>TAVERNITI  REM M/C</t>
        </is>
      </c>
      <c r="C2624" s="88" t="n">
        <v>41800</v>
      </c>
      <c r="D2624" s="170" t="n"/>
      <c r="E2624" s="170" t="n"/>
      <c r="F2624" s="170" t="n"/>
      <c r="G2624" s="170" t="n"/>
      <c r="H2624" s="170" t="n"/>
      <c r="I2624" s="170" t="n"/>
      <c r="J2624" s="170" t="n"/>
      <c r="K2624" s="170" t="n"/>
      <c r="L2624" s="170" t="n"/>
      <c r="M2624" s="170" t="n"/>
      <c r="N2624" s="30" t="n"/>
      <c r="O2624" s="150">
        <f>C2624*P2624</f>
        <v/>
      </c>
      <c r="P2624" s="150" t="n">
        <v>1.1</v>
      </c>
      <c r="Q2624" s="30" t="n"/>
      <c r="R2624" s="170" t="n"/>
      <c r="S2624" s="30" t="n"/>
      <c r="T2624" s="170" t="n"/>
      <c r="U2624" s="30" t="n"/>
      <c r="V2624" s="30" t="n"/>
      <c r="W2624" s="30" t="n"/>
      <c r="X2624" s="30" t="n"/>
      <c r="Y2624" s="30" t="n"/>
      <c r="Z2624" s="30" t="n"/>
      <c r="AA2624" s="30" t="n"/>
      <c r="AB2624" s="30" t="n"/>
      <c r="AC2624" s="30" t="n"/>
      <c r="AD2624" s="30" t="n"/>
      <c r="AE2624" s="30" t="n"/>
      <c r="AF2624" s="30" t="n"/>
      <c r="AG2624" s="30" t="n"/>
      <c r="AH2624" s="30" t="n"/>
      <c r="AI2624" s="30" t="n"/>
      <c r="AJ2624" s="30" t="n"/>
      <c r="AK2624" s="30" t="n"/>
      <c r="AL2624" s="30" t="n"/>
      <c r="AM2624" s="30" t="n"/>
      <c r="AN2624" s="30" t="n"/>
      <c r="AO2624" s="30" t="n"/>
    </row>
    <row r="2625" ht="16.5" customHeight="1" s="253">
      <c r="A2625" s="89" t="inlineStr">
        <is>
          <t>23338XXX</t>
        </is>
      </c>
      <c r="B2625" s="135" t="inlineStr">
        <is>
          <t>TAVERNITI  REM M/C</t>
        </is>
      </c>
      <c r="C2625" s="88" t="n">
        <v>41800</v>
      </c>
      <c r="D2625" s="170" t="n"/>
      <c r="E2625" s="170" t="n"/>
      <c r="F2625" s="170" t="n"/>
      <c r="G2625" s="170" t="n"/>
      <c r="H2625" s="170" t="n"/>
      <c r="I2625" s="170" t="n"/>
      <c r="J2625" s="170" t="n"/>
      <c r="K2625" s="170" t="n"/>
      <c r="L2625" s="170" t="n"/>
      <c r="M2625" s="170" t="n"/>
      <c r="N2625" s="30" t="n"/>
      <c r="O2625" s="150">
        <f>C2625*P2625</f>
        <v/>
      </c>
      <c r="P2625" s="150" t="n">
        <v>1.1</v>
      </c>
      <c r="Q2625" s="30" t="n"/>
      <c r="R2625" s="170" t="n"/>
      <c r="S2625" s="30" t="n"/>
      <c r="T2625" s="170" t="n"/>
      <c r="U2625" s="30" t="n"/>
      <c r="V2625" s="30" t="n"/>
      <c r="W2625" s="30" t="n"/>
      <c r="X2625" s="30" t="n"/>
      <c r="Y2625" s="30" t="n"/>
      <c r="Z2625" s="30" t="n"/>
      <c r="AA2625" s="30" t="n"/>
      <c r="AB2625" s="30" t="n"/>
      <c r="AC2625" s="30" t="n"/>
      <c r="AD2625" s="30" t="n"/>
      <c r="AE2625" s="30" t="n"/>
      <c r="AF2625" s="30" t="n"/>
      <c r="AG2625" s="30" t="n"/>
      <c r="AH2625" s="30" t="n"/>
      <c r="AI2625" s="30" t="n"/>
      <c r="AJ2625" s="30" t="n"/>
      <c r="AK2625" s="30" t="n"/>
      <c r="AL2625" s="30" t="n"/>
      <c r="AM2625" s="30" t="n"/>
      <c r="AN2625" s="30" t="n"/>
      <c r="AO2625" s="30" t="n"/>
    </row>
    <row r="2626" ht="16.5" customHeight="1" s="253">
      <c r="A2626" s="89" t="inlineStr">
        <is>
          <t>23340XXX</t>
        </is>
      </c>
      <c r="B2626" s="135" t="inlineStr">
        <is>
          <t>TAVERNITI  REM M/C</t>
        </is>
      </c>
      <c r="C2626" s="88" t="n">
        <v>41800</v>
      </c>
      <c r="D2626" s="170" t="n"/>
      <c r="E2626" s="170" t="n"/>
      <c r="F2626" s="170" t="n"/>
      <c r="G2626" s="170" t="n"/>
      <c r="H2626" s="170" t="n"/>
      <c r="I2626" s="170" t="n"/>
      <c r="J2626" s="170" t="n"/>
      <c r="K2626" s="170" t="n"/>
      <c r="L2626" s="170" t="n"/>
      <c r="M2626" s="170" t="n"/>
      <c r="N2626" s="30" t="n"/>
      <c r="O2626" s="150">
        <f>C2626*P2626</f>
        <v/>
      </c>
      <c r="P2626" s="150" t="n">
        <v>1.1</v>
      </c>
      <c r="Q2626" s="30" t="n"/>
      <c r="R2626" s="170" t="n"/>
      <c r="S2626" s="30" t="n"/>
      <c r="T2626" s="170" t="n"/>
      <c r="U2626" s="30" t="n"/>
      <c r="V2626" s="30" t="n"/>
      <c r="W2626" s="30" t="n"/>
      <c r="X2626" s="30" t="n"/>
      <c r="Y2626" s="30" t="n"/>
      <c r="Z2626" s="30" t="n"/>
      <c r="AA2626" s="30" t="n"/>
      <c r="AB2626" s="30" t="n"/>
      <c r="AC2626" s="30" t="n"/>
      <c r="AD2626" s="30" t="n"/>
      <c r="AE2626" s="30" t="n"/>
      <c r="AF2626" s="30" t="n"/>
      <c r="AG2626" s="30" t="n"/>
      <c r="AH2626" s="30" t="n"/>
      <c r="AI2626" s="30" t="n"/>
      <c r="AJ2626" s="30" t="n"/>
      <c r="AK2626" s="30" t="n"/>
      <c r="AL2626" s="30" t="n"/>
      <c r="AM2626" s="30" t="n"/>
      <c r="AN2626" s="30" t="n"/>
      <c r="AO2626" s="30" t="n"/>
    </row>
    <row r="2627" ht="16.5" customHeight="1" s="253">
      <c r="A2627" s="89" t="inlineStr">
        <is>
          <t>23342XXX</t>
        </is>
      </c>
      <c r="B2627" s="135" t="inlineStr">
        <is>
          <t>TAVERNITI  REM M/C</t>
        </is>
      </c>
      <c r="C2627" s="88" t="n">
        <v>41800</v>
      </c>
      <c r="D2627" s="170" t="n"/>
      <c r="E2627" s="170" t="n"/>
      <c r="F2627" s="170" t="n"/>
      <c r="G2627" s="170" t="n"/>
      <c r="H2627" s="170" t="n"/>
      <c r="I2627" s="170" t="n"/>
      <c r="J2627" s="170" t="n"/>
      <c r="K2627" s="170" t="n"/>
      <c r="L2627" s="170" t="n"/>
      <c r="M2627" s="170" t="n"/>
      <c r="N2627" s="30" t="n"/>
      <c r="O2627" s="150">
        <f>C2627*P2627</f>
        <v/>
      </c>
      <c r="P2627" s="150" t="n">
        <v>1.1</v>
      </c>
      <c r="Q2627" s="30" t="n"/>
      <c r="R2627" s="170" t="n"/>
      <c r="S2627" s="30" t="n"/>
      <c r="T2627" s="170" t="n"/>
      <c r="U2627" s="30" t="n"/>
      <c r="V2627" s="30" t="n"/>
      <c r="W2627" s="30" t="n"/>
      <c r="X2627" s="30" t="n"/>
      <c r="Y2627" s="30" t="n"/>
      <c r="Z2627" s="30" t="n"/>
      <c r="AA2627" s="30" t="n"/>
      <c r="AB2627" s="30" t="n"/>
      <c r="AC2627" s="30" t="n"/>
      <c r="AD2627" s="30" t="n"/>
      <c r="AE2627" s="30" t="n"/>
      <c r="AF2627" s="30" t="n"/>
      <c r="AG2627" s="30" t="n"/>
      <c r="AH2627" s="30" t="n"/>
      <c r="AI2627" s="30" t="n"/>
      <c r="AJ2627" s="30" t="n"/>
      <c r="AK2627" s="30" t="n"/>
      <c r="AL2627" s="30" t="n"/>
      <c r="AM2627" s="30" t="n"/>
      <c r="AN2627" s="30" t="n"/>
      <c r="AO2627" s="30" t="n"/>
    </row>
    <row r="2628" ht="16.5" customHeight="1" s="253">
      <c r="A2628" s="89" t="inlineStr">
        <is>
          <t>23344XXX</t>
        </is>
      </c>
      <c r="B2628" s="135" t="inlineStr">
        <is>
          <t>TAVERNITI  REM M/C</t>
        </is>
      </c>
      <c r="C2628" s="88" t="n">
        <v>41800</v>
      </c>
      <c r="D2628" s="170" t="n"/>
      <c r="E2628" s="170" t="n"/>
      <c r="F2628" s="170" t="n"/>
      <c r="G2628" s="170" t="n"/>
      <c r="H2628" s="170" t="n"/>
      <c r="I2628" s="170" t="n"/>
      <c r="J2628" s="170" t="n"/>
      <c r="K2628" s="170" t="n"/>
      <c r="L2628" s="170" t="n"/>
      <c r="M2628" s="170" t="n"/>
      <c r="N2628" s="30" t="n"/>
      <c r="O2628" s="150">
        <f>C2628*P2628</f>
        <v/>
      </c>
      <c r="P2628" s="150" t="n">
        <v>1.1</v>
      </c>
      <c r="Q2628" s="30" t="n"/>
      <c r="R2628" s="170" t="n"/>
      <c r="S2628" s="30" t="n"/>
      <c r="T2628" s="170" t="n"/>
      <c r="U2628" s="30" t="n"/>
      <c r="V2628" s="30" t="n"/>
      <c r="W2628" s="30" t="n"/>
      <c r="X2628" s="30" t="n"/>
      <c r="Y2628" s="30" t="n"/>
      <c r="Z2628" s="30" t="n"/>
      <c r="AA2628" s="30" t="n"/>
      <c r="AB2628" s="30" t="n"/>
      <c r="AC2628" s="30" t="n"/>
      <c r="AD2628" s="30" t="n"/>
      <c r="AE2628" s="30" t="n"/>
      <c r="AF2628" s="30" t="n"/>
      <c r="AG2628" s="30" t="n"/>
      <c r="AH2628" s="30" t="n"/>
      <c r="AI2628" s="30" t="n"/>
      <c r="AJ2628" s="30" t="n"/>
      <c r="AK2628" s="30" t="n"/>
      <c r="AL2628" s="30" t="n"/>
      <c r="AM2628" s="30" t="n"/>
      <c r="AN2628" s="30" t="n"/>
      <c r="AO2628" s="30" t="n"/>
    </row>
    <row r="2629" ht="16.5" customHeight="1" s="253">
      <c r="A2629" s="89" t="inlineStr">
        <is>
          <t>23350XXX</t>
        </is>
      </c>
      <c r="B2629" s="135" t="inlineStr">
        <is>
          <t>TAVERNITI  REM M/C</t>
        </is>
      </c>
      <c r="C2629" s="88" t="n">
        <v>45400</v>
      </c>
      <c r="D2629" s="170" t="n"/>
      <c r="E2629" s="170" t="n"/>
      <c r="F2629" s="170" t="n"/>
      <c r="G2629" s="170" t="n"/>
      <c r="H2629" s="170" t="n"/>
      <c r="I2629" s="170" t="n"/>
      <c r="J2629" s="170" t="n"/>
      <c r="K2629" s="170" t="n"/>
      <c r="L2629" s="170" t="n"/>
      <c r="M2629" s="170" t="n"/>
      <c r="N2629" s="30" t="n"/>
      <c r="O2629" s="150">
        <f>C2629*P2629</f>
        <v/>
      </c>
      <c r="P2629" s="150" t="n">
        <v>1.1</v>
      </c>
      <c r="Q2629" s="30" t="n"/>
      <c r="R2629" s="170" t="n"/>
      <c r="S2629" s="30" t="n"/>
      <c r="T2629" s="170" t="n"/>
      <c r="U2629" s="30" t="n"/>
      <c r="V2629" s="30" t="n"/>
      <c r="W2629" s="30" t="n"/>
      <c r="X2629" s="30" t="n"/>
      <c r="Y2629" s="30" t="n"/>
      <c r="Z2629" s="30" t="n"/>
      <c r="AA2629" s="30" t="n"/>
      <c r="AB2629" s="30" t="n"/>
      <c r="AC2629" s="30" t="n"/>
      <c r="AD2629" s="30" t="n"/>
      <c r="AE2629" s="30" t="n"/>
      <c r="AF2629" s="30" t="n"/>
      <c r="AG2629" s="30" t="n"/>
      <c r="AH2629" s="30" t="n"/>
      <c r="AI2629" s="30" t="n"/>
      <c r="AJ2629" s="30" t="n"/>
      <c r="AK2629" s="30" t="n"/>
      <c r="AL2629" s="30" t="n"/>
      <c r="AM2629" s="30" t="n"/>
      <c r="AN2629" s="30" t="n"/>
      <c r="AO2629" s="30" t="n"/>
    </row>
    <row r="2630" ht="16.5" customHeight="1" s="253">
      <c r="A2630" s="89" t="inlineStr">
        <is>
          <t>23364XXX</t>
        </is>
      </c>
      <c r="B2630" s="135" t="inlineStr">
        <is>
          <t>TAVERNITI  REM M/C</t>
        </is>
      </c>
      <c r="C2630" s="88" t="n">
        <v>51800</v>
      </c>
      <c r="D2630" s="170" t="n"/>
      <c r="E2630" s="170" t="n"/>
      <c r="F2630" s="170" t="n"/>
      <c r="G2630" s="170" t="n"/>
      <c r="H2630" s="170" t="n"/>
      <c r="I2630" s="170" t="n"/>
      <c r="J2630" s="170" t="n"/>
      <c r="K2630" s="170" t="n"/>
      <c r="L2630" s="170" t="n"/>
      <c r="M2630" s="170" t="n"/>
      <c r="N2630" s="30" t="n"/>
      <c r="O2630" s="150">
        <f>C2630*P2630</f>
        <v/>
      </c>
      <c r="P2630" s="150" t="n">
        <v>1.1</v>
      </c>
      <c r="Q2630" s="30" t="n"/>
      <c r="R2630" s="170" t="n"/>
      <c r="S2630" s="30" t="n"/>
      <c r="T2630" s="170" t="n"/>
      <c r="U2630" s="30" t="n"/>
      <c r="V2630" s="30" t="n"/>
      <c r="W2630" s="30" t="n"/>
      <c r="X2630" s="30" t="n"/>
      <c r="Y2630" s="30" t="n"/>
      <c r="Z2630" s="30" t="n"/>
      <c r="AA2630" s="30" t="n"/>
      <c r="AB2630" s="30" t="n"/>
      <c r="AC2630" s="30" t="n"/>
      <c r="AD2630" s="30" t="n"/>
      <c r="AE2630" s="30" t="n"/>
      <c r="AF2630" s="30" t="n"/>
      <c r="AG2630" s="30" t="n"/>
      <c r="AH2630" s="30" t="n"/>
      <c r="AI2630" s="30" t="n"/>
      <c r="AJ2630" s="30" t="n"/>
      <c r="AK2630" s="30" t="n"/>
      <c r="AL2630" s="30" t="n"/>
      <c r="AM2630" s="30" t="n"/>
      <c r="AN2630" s="30" t="n"/>
      <c r="AO2630" s="30" t="n"/>
    </row>
    <row r="2631" ht="16.5" customHeight="1" s="253">
      <c r="A2631" s="89" t="inlineStr">
        <is>
          <t>23370XXX</t>
        </is>
      </c>
      <c r="B2631" s="135" t="inlineStr">
        <is>
          <t>TAVERNITI  REM M/C</t>
        </is>
      </c>
      <c r="C2631" s="88" t="n">
        <v>51600</v>
      </c>
      <c r="D2631" s="170" t="n"/>
      <c r="E2631" s="170" t="n"/>
      <c r="F2631" s="170" t="n"/>
      <c r="G2631" s="170" t="n"/>
      <c r="H2631" s="170" t="n"/>
      <c r="I2631" s="170" t="n"/>
      <c r="J2631" s="170" t="n"/>
      <c r="K2631" s="170" t="n"/>
      <c r="L2631" s="170" t="n"/>
      <c r="M2631" s="170" t="n"/>
      <c r="N2631" s="30" t="n"/>
      <c r="O2631" s="150">
        <f>C2631*P2631</f>
        <v/>
      </c>
      <c r="P2631" s="150" t="n">
        <v>1.1</v>
      </c>
      <c r="Q2631" s="30" t="n"/>
      <c r="R2631" s="170" t="n"/>
      <c r="S2631" s="30" t="n"/>
      <c r="T2631" s="170" t="n"/>
      <c r="U2631" s="30" t="n"/>
      <c r="V2631" s="30" t="n"/>
      <c r="W2631" s="30" t="n"/>
      <c r="X2631" s="30" t="n"/>
      <c r="Y2631" s="30" t="n"/>
      <c r="Z2631" s="30" t="n"/>
      <c r="AA2631" s="30" t="n"/>
      <c r="AB2631" s="30" t="n"/>
      <c r="AC2631" s="30" t="n"/>
      <c r="AD2631" s="30" t="n"/>
      <c r="AE2631" s="30" t="n"/>
      <c r="AF2631" s="30" t="n"/>
      <c r="AG2631" s="30" t="n"/>
      <c r="AH2631" s="30" t="n"/>
      <c r="AI2631" s="30" t="n"/>
      <c r="AJ2631" s="30" t="n"/>
      <c r="AK2631" s="30" t="n"/>
      <c r="AL2631" s="30" t="n"/>
      <c r="AM2631" s="30" t="n"/>
      <c r="AN2631" s="30" t="n"/>
      <c r="AO2631" s="30" t="n"/>
    </row>
    <row r="2632">
      <c r="A2632" s="134" t="n"/>
      <c r="B2632" s="246" t="n"/>
      <c r="C2632" s="219" t="n"/>
      <c r="D2632" s="219" t="n"/>
      <c r="E2632" s="219" t="n"/>
      <c r="F2632" s="219" t="n"/>
      <c r="G2632" s="219" t="n"/>
      <c r="H2632" s="219" t="n"/>
      <c r="I2632" s="219" t="n"/>
      <c r="J2632" s="219" t="n"/>
      <c r="K2632" s="219" t="n"/>
      <c r="L2632" s="219" t="n"/>
      <c r="M2632" s="219" t="n"/>
      <c r="O2632" s="118" t="n"/>
      <c r="P2632" s="117" t="n"/>
      <c r="R2632" s="117" t="n"/>
      <c r="T2632" s="117" t="n"/>
    </row>
    <row r="2633">
      <c r="A2633" s="148" t="n"/>
      <c r="B2633" s="171" t="inlineStr">
        <is>
          <t>SHORTS Y BERM. BAÑO</t>
        </is>
      </c>
      <c r="C2633" s="156" t="inlineStr">
        <is>
          <t>40-48</t>
        </is>
      </c>
      <c r="D2633" s="156" t="inlineStr">
        <is>
          <t>50-54</t>
        </is>
      </c>
      <c r="E2633" s="156" t="inlineStr">
        <is>
          <t>56-60</t>
        </is>
      </c>
      <c r="F2633" s="156" t="inlineStr">
        <is>
          <t>62-70</t>
        </is>
      </c>
      <c r="G2633" s="219" t="n"/>
      <c r="H2633" s="219" t="n"/>
      <c r="I2633" s="219" t="n"/>
      <c r="J2633" s="219" t="n"/>
      <c r="K2633" s="219" t="n"/>
      <c r="L2633" s="219" t="n"/>
      <c r="M2633" s="219" t="n"/>
      <c r="O2633" s="219" t="n"/>
      <c r="P2633" s="117" t="n"/>
      <c r="R2633" s="117" t="n"/>
      <c r="T2633" s="117" t="n"/>
    </row>
    <row r="2634">
      <c r="A2634" s="134" t="n"/>
      <c r="B2634" s="246" t="n"/>
      <c r="C2634" s="156" t="inlineStr">
        <is>
          <t>1 al 4</t>
        </is>
      </c>
      <c r="D2634" s="156" t="inlineStr">
        <is>
          <t>5 al 7</t>
        </is>
      </c>
      <c r="E2634" s="156" t="inlineStr">
        <is>
          <t>8 al 10</t>
        </is>
      </c>
      <c r="F2634" s="157" t="n"/>
      <c r="G2634" s="219" t="n"/>
      <c r="H2634" s="134" t="inlineStr">
        <is>
          <t>12/25</t>
        </is>
      </c>
      <c r="I2634" s="219" t="n"/>
      <c r="J2634" s="219" t="n"/>
      <c r="K2634" s="219" t="n"/>
      <c r="L2634" s="219" t="n"/>
      <c r="M2634" s="219" t="n"/>
      <c r="O2634" s="219" t="n"/>
      <c r="P2634" s="117" t="n"/>
      <c r="R2634" s="117" t="n"/>
      <c r="T2634" s="117" t="n"/>
    </row>
    <row r="2635">
      <c r="A2635" s="134" t="n"/>
      <c r="B2635" s="246" t="n"/>
      <c r="C2635" s="219" t="n"/>
      <c r="D2635" s="219" t="n"/>
      <c r="E2635" s="219" t="n"/>
      <c r="F2635" s="219" t="n"/>
      <c r="G2635" s="219" t="n"/>
      <c r="H2635" s="219" t="n"/>
      <c r="I2635" s="219" t="n"/>
      <c r="K2635" s="219" t="n"/>
      <c r="L2635" s="219" t="n"/>
      <c r="M2635" s="219" t="n"/>
      <c r="O2635" s="219" t="n"/>
      <c r="P2635" s="117" t="n"/>
      <c r="R2635" s="117" t="n"/>
      <c r="T2635" s="117" t="n"/>
    </row>
    <row r="2636">
      <c r="A2636" s="134" t="inlineStr">
        <is>
          <t>78521</t>
        </is>
      </c>
      <c r="B2636" s="246" t="inlineStr">
        <is>
          <t>MENSFIELD BAÑO</t>
        </is>
      </c>
      <c r="C2636" s="219" t="n">
        <v>45500</v>
      </c>
      <c r="D2636" s="219" t="n"/>
      <c r="E2636" s="219" t="n"/>
      <c r="F2636" s="219" t="n"/>
      <c r="G2636" s="219" t="n"/>
      <c r="H2636" s="219" t="n"/>
      <c r="I2636" s="219">
        <f>ROUND((C2636*J2636)/100,0)*100</f>
        <v/>
      </c>
      <c r="J2636" s="118" t="n">
        <v>1.2</v>
      </c>
      <c r="K2636" s="219" t="n"/>
      <c r="L2636" s="219" t="n"/>
      <c r="M2636" s="219" t="n"/>
      <c r="O2636" s="219" t="n"/>
      <c r="P2636" s="117" t="n"/>
      <c r="R2636" s="117" t="n"/>
      <c r="T2636" s="117" t="n"/>
    </row>
    <row r="2637">
      <c r="A2637" s="134" t="inlineStr">
        <is>
          <t>78522</t>
        </is>
      </c>
      <c r="B2637" s="246" t="inlineStr">
        <is>
          <t>PRINGLES BAÑO</t>
        </is>
      </c>
      <c r="C2637" s="219" t="n">
        <v>46700</v>
      </c>
      <c r="D2637" s="219" t="n">
        <v>39900</v>
      </c>
      <c r="E2637" s="219" t="n"/>
      <c r="F2637" s="219" t="n"/>
      <c r="G2637" s="219" t="n"/>
      <c r="H2637" s="219" t="n"/>
      <c r="I2637" s="219">
        <f>ROUND((C2637*J2637)/100,0)*100</f>
        <v/>
      </c>
      <c r="J2637" s="118" t="n">
        <v>1.2</v>
      </c>
      <c r="K2637" s="219" t="n"/>
      <c r="L2637" s="219" t="n"/>
      <c r="M2637" s="219" t="n"/>
      <c r="O2637" s="219" t="n"/>
      <c r="P2637" s="117" t="n"/>
      <c r="R2637" s="117" t="n"/>
      <c r="T2637" s="117" t="n"/>
    </row>
    <row r="2638">
      <c r="A2638" s="68" t="inlineStr">
        <is>
          <t>01196XXX</t>
        </is>
      </c>
      <c r="B2638" s="110" t="inlineStr">
        <is>
          <t>TAVERNITI BAÑO</t>
        </is>
      </c>
      <c r="C2638" s="22" t="n">
        <v>51500</v>
      </c>
      <c r="D2638" s="22" t="n"/>
      <c r="E2638" s="22" t="n"/>
      <c r="F2638" s="22" t="n"/>
      <c r="G2638" s="22" t="n"/>
      <c r="H2638" s="22" t="n"/>
      <c r="I2638" s="22">
        <f>ROUND((C2638*J2638)/100,0)*100</f>
        <v/>
      </c>
      <c r="J2638" s="118" t="n">
        <v>1.2</v>
      </c>
      <c r="K2638" s="219" t="n"/>
      <c r="L2638" s="219" t="n"/>
      <c r="M2638" s="219" t="n"/>
      <c r="O2638" s="219" t="n"/>
      <c r="P2638" s="117" t="n"/>
      <c r="R2638" s="117" t="n"/>
      <c r="T2638" s="117" t="n"/>
    </row>
    <row r="2639">
      <c r="A2639" s="68" t="inlineStr">
        <is>
          <t>01716XXX</t>
        </is>
      </c>
      <c r="B2639" s="110" t="inlineStr">
        <is>
          <t>TAVERNITI BAÑO</t>
        </is>
      </c>
      <c r="C2639" s="22" t="n">
        <v>42500</v>
      </c>
      <c r="D2639" s="22" t="n"/>
      <c r="E2639" s="22" t="n"/>
      <c r="F2639" s="22" t="n"/>
      <c r="G2639" s="22" t="n"/>
      <c r="H2639" s="22" t="n"/>
      <c r="I2639" s="22">
        <f>ROUND((C2639*J2639)/100,0)*100</f>
        <v/>
      </c>
      <c r="J2639" s="118" t="n">
        <v>1.2</v>
      </c>
      <c r="K2639" s="219" t="n"/>
      <c r="L2639" s="219" t="n"/>
      <c r="M2639" s="219" t="n"/>
      <c r="O2639" s="219" t="n"/>
      <c r="P2639" s="117" t="n"/>
      <c r="R2639" s="117" t="n"/>
      <c r="T2639" s="117" t="n"/>
    </row>
    <row r="2640" ht="15.75" customHeight="1" s="253">
      <c r="A2640" s="134" t="inlineStr">
        <is>
          <t>01158XXX</t>
        </is>
      </c>
      <c r="B2640" s="110" t="inlineStr">
        <is>
          <t>TAVERNITI BAÑO</t>
        </is>
      </c>
      <c r="C2640" s="22" t="n">
        <v>52200</v>
      </c>
      <c r="D2640" s="219" t="n"/>
      <c r="E2640" s="219" t="n"/>
      <c r="F2640" s="219" t="n"/>
      <c r="G2640" s="219" t="n"/>
      <c r="H2640" s="219" t="n"/>
      <c r="I2640" s="219">
        <f>ROUND((C2640*J2640)/100,0)*100</f>
        <v/>
      </c>
      <c r="J2640" s="118" t="n">
        <v>1.2</v>
      </c>
      <c r="K2640" s="219" t="n"/>
      <c r="L2640" s="219" t="n"/>
      <c r="M2640" s="219" t="n"/>
      <c r="O2640" s="219" t="n"/>
      <c r="P2640" s="117" t="n"/>
      <c r="R2640" s="117" t="n"/>
      <c r="T2640" s="117" t="n"/>
    </row>
    <row r="2641" ht="15.75" customHeight="1" s="253">
      <c r="A2641" s="89" t="inlineStr">
        <is>
          <t>03884XXX</t>
        </is>
      </c>
      <c r="B2641" s="216" t="inlineStr">
        <is>
          <t>TAVERNITI BAÑO</t>
        </is>
      </c>
      <c r="C2641" s="88" t="n">
        <v>58100</v>
      </c>
      <c r="D2641" s="170" t="n"/>
      <c r="E2641" s="170" t="n"/>
      <c r="F2641" s="170" t="n"/>
      <c r="G2641" s="170" t="n"/>
      <c r="H2641" s="170" t="n"/>
      <c r="I2641" s="88">
        <f>ROUND((C2641*J2641)/100,0)*100</f>
        <v/>
      </c>
      <c r="J2641" s="118" t="n">
        <v>1.2</v>
      </c>
      <c r="K2641" s="170" t="n"/>
      <c r="L2641" s="170" t="n"/>
      <c r="M2641" s="170" t="n"/>
      <c r="N2641" s="30" t="n"/>
      <c r="O2641" s="170" t="n"/>
      <c r="P2641" s="170" t="n"/>
      <c r="Q2641" s="30" t="n"/>
      <c r="R2641" s="170" t="n"/>
      <c r="S2641" s="30" t="n"/>
      <c r="T2641" s="170" t="n"/>
      <c r="U2641" s="30" t="n"/>
      <c r="V2641" s="30" t="n"/>
      <c r="W2641" s="30" t="n"/>
      <c r="X2641" s="30" t="n"/>
      <c r="Y2641" s="30" t="n"/>
      <c r="Z2641" s="30" t="n"/>
      <c r="AA2641" s="30" t="n"/>
      <c r="AB2641" s="30" t="n"/>
      <c r="AC2641" s="30" t="n"/>
      <c r="AD2641" s="30" t="n"/>
      <c r="AE2641" s="30" t="n"/>
      <c r="AF2641" s="30" t="n"/>
      <c r="AG2641" s="30" t="n"/>
      <c r="AH2641" s="30" t="n"/>
      <c r="AI2641" s="30" t="n"/>
      <c r="AJ2641" s="30" t="n"/>
      <c r="AK2641" s="30" t="n"/>
      <c r="AL2641" s="30" t="n"/>
      <c r="AM2641" s="30" t="n"/>
      <c r="AN2641" s="30" t="n"/>
      <c r="AO2641" s="30" t="n"/>
    </row>
    <row r="2642" ht="15.75" customHeight="1" s="253">
      <c r="A2642" s="134" t="inlineStr">
        <is>
          <t>03900XXX</t>
        </is>
      </c>
      <c r="B2642" s="110" t="inlineStr">
        <is>
          <t>TAVERNITI BAÑO</t>
        </is>
      </c>
      <c r="C2642" s="22" t="n">
        <v>62800</v>
      </c>
      <c r="D2642" s="219" t="n"/>
      <c r="E2642" s="219" t="n"/>
      <c r="F2642" s="219" t="n"/>
      <c r="G2642" s="219" t="n"/>
      <c r="H2642" s="219" t="n"/>
      <c r="I2642" s="219">
        <f>ROUND((C2642*J2642)/100,0)*100</f>
        <v/>
      </c>
      <c r="J2642" s="118" t="n">
        <v>1.2</v>
      </c>
      <c r="K2642" s="219" t="n"/>
      <c r="L2642" s="219" t="n"/>
      <c r="M2642" s="219" t="n"/>
      <c r="O2642" s="219" t="n"/>
      <c r="P2642" s="117" t="n"/>
      <c r="R2642" s="117" t="n"/>
      <c r="T2642" s="117" t="n"/>
    </row>
    <row r="2643">
      <c r="A2643" s="134" t="inlineStr">
        <is>
          <t>11422XXX</t>
        </is>
      </c>
      <c r="B2643" s="110" t="inlineStr">
        <is>
          <t>TAVERNITI BAÑO</t>
        </is>
      </c>
      <c r="C2643" s="22" t="n">
        <v>52200</v>
      </c>
      <c r="D2643" s="219" t="n"/>
      <c r="E2643" s="219" t="n"/>
      <c r="F2643" s="219" t="n"/>
      <c r="G2643" s="219" t="n"/>
      <c r="H2643" s="219" t="n"/>
      <c r="I2643" s="219">
        <f>ROUND((C2643*J2643)/100,0)*100</f>
        <v/>
      </c>
      <c r="J2643" s="118" t="n">
        <v>1.2</v>
      </c>
      <c r="K2643" s="219" t="n"/>
      <c r="L2643" s="219" t="n"/>
      <c r="M2643" s="219" t="n"/>
      <c r="O2643" s="219" t="n"/>
      <c r="P2643" s="117" t="n"/>
      <c r="R2643" s="117" t="n"/>
      <c r="T2643" s="117" t="n"/>
    </row>
    <row r="2644">
      <c r="A2644" s="134" t="inlineStr">
        <is>
          <t>10552XXX</t>
        </is>
      </c>
      <c r="B2644" s="110" t="inlineStr">
        <is>
          <t>TAVERNITI BAÑO</t>
        </is>
      </c>
      <c r="C2644" s="219" t="n">
        <v>53500</v>
      </c>
      <c r="D2644" s="219" t="n"/>
      <c r="E2644" s="219" t="n"/>
      <c r="F2644" s="219" t="n"/>
      <c r="G2644" s="219" t="n"/>
      <c r="H2644" s="219" t="n"/>
      <c r="I2644" s="219">
        <f>ROUND((C2644*J2644)/100,0)*100</f>
        <v/>
      </c>
      <c r="J2644" s="118" t="n">
        <v>1.2</v>
      </c>
      <c r="K2644" s="219" t="n"/>
      <c r="L2644" s="219" t="n"/>
      <c r="M2644" s="219" t="n"/>
      <c r="O2644" s="219" t="n"/>
      <c r="P2644" s="117" t="n"/>
      <c r="R2644" s="117" t="n"/>
      <c r="T2644" s="117" t="n"/>
    </row>
    <row r="2645">
      <c r="A2645" s="134" t="inlineStr">
        <is>
          <t>10556XXX</t>
        </is>
      </c>
      <c r="B2645" s="110" t="inlineStr">
        <is>
          <t>TAVERNITI BAÑO</t>
        </is>
      </c>
      <c r="C2645" s="219" t="n">
        <v>53500</v>
      </c>
      <c r="D2645" s="219" t="n"/>
      <c r="E2645" s="219" t="n"/>
      <c r="F2645" s="219" t="n"/>
      <c r="G2645" s="219" t="n"/>
      <c r="H2645" s="219" t="n"/>
      <c r="I2645" s="219">
        <f>ROUND((C2645*J2645)/100,0)*100</f>
        <v/>
      </c>
      <c r="J2645" s="118" t="n">
        <v>1.2</v>
      </c>
      <c r="K2645" s="219" t="n"/>
      <c r="L2645" s="219" t="n"/>
      <c r="M2645" s="219" t="n"/>
      <c r="O2645" s="219" t="n"/>
      <c r="P2645" s="117" t="n"/>
      <c r="R2645" s="117" t="n"/>
      <c r="T2645" s="117" t="n"/>
    </row>
    <row r="2646">
      <c r="A2646" s="134" t="inlineStr">
        <is>
          <t>10562XXX</t>
        </is>
      </c>
      <c r="B2646" s="110" t="inlineStr">
        <is>
          <t>TAVERNITI BAÑO</t>
        </is>
      </c>
      <c r="C2646" s="22" t="n">
        <v>52700</v>
      </c>
      <c r="D2646" s="219" t="n"/>
      <c r="E2646" s="219" t="n"/>
      <c r="F2646" s="219" t="n"/>
      <c r="G2646" s="219" t="n"/>
      <c r="H2646" s="219" t="n"/>
      <c r="I2646" s="219">
        <f>ROUND((C2646*J2646)/100,0)*100</f>
        <v/>
      </c>
      <c r="J2646" s="118" t="n">
        <v>1.2</v>
      </c>
      <c r="K2646" s="219" t="n"/>
      <c r="L2646" s="219" t="n"/>
      <c r="M2646" s="219" t="n"/>
      <c r="O2646" s="219" t="n"/>
      <c r="P2646" s="117" t="n"/>
      <c r="R2646" s="117" t="n"/>
      <c r="T2646" s="117" t="n"/>
    </row>
    <row r="2647">
      <c r="A2647" s="134" t="inlineStr">
        <is>
          <t>10952XXX</t>
        </is>
      </c>
      <c r="B2647" s="110" t="inlineStr">
        <is>
          <t>TAVERNITI BAÑO</t>
        </is>
      </c>
      <c r="C2647" s="22" t="n">
        <v>52700</v>
      </c>
      <c r="D2647" s="219" t="n"/>
      <c r="E2647" s="219" t="n"/>
      <c r="F2647" s="219" t="n"/>
      <c r="G2647" s="219" t="n"/>
      <c r="H2647" s="219" t="n"/>
      <c r="I2647" s="219">
        <f>ROUND((C2647*J2647)/100,0)*100</f>
        <v/>
      </c>
      <c r="J2647" s="118" t="n">
        <v>1.2</v>
      </c>
      <c r="K2647" s="219" t="n"/>
      <c r="L2647" s="219" t="n"/>
      <c r="M2647" s="219" t="n"/>
      <c r="O2647" s="219" t="n"/>
      <c r="P2647" s="117" t="n"/>
      <c r="R2647" s="117" t="n"/>
      <c r="T2647" s="117" t="n"/>
    </row>
    <row r="2648">
      <c r="A2648" s="134" t="inlineStr">
        <is>
          <t>10966XXX</t>
        </is>
      </c>
      <c r="B2648" s="110" t="inlineStr">
        <is>
          <t>TAVERNITI BAÑO</t>
        </is>
      </c>
      <c r="C2648" s="22" t="n">
        <v>52700</v>
      </c>
      <c r="D2648" s="219" t="n"/>
      <c r="E2648" s="219" t="n"/>
      <c r="F2648" s="219" t="n"/>
      <c r="G2648" s="219" t="n"/>
      <c r="H2648" s="219" t="n"/>
      <c r="I2648" s="219">
        <f>ROUND((C2648*J2648)/100,0)*100</f>
        <v/>
      </c>
      <c r="J2648" s="118" t="n">
        <v>1.2</v>
      </c>
      <c r="K2648" s="219" t="n"/>
      <c r="L2648" s="219" t="n"/>
      <c r="M2648" s="219" t="n"/>
      <c r="O2648" s="219" t="n"/>
      <c r="P2648" s="117" t="n"/>
      <c r="R2648" s="117" t="n"/>
      <c r="T2648" s="117" t="n"/>
    </row>
    <row r="2649" ht="17.25" customHeight="1" s="253">
      <c r="A2649" s="89" t="inlineStr">
        <is>
          <t>11230XXX</t>
        </is>
      </c>
      <c r="B2649" s="216" t="inlineStr">
        <is>
          <t>TAVERNITI BAÑO</t>
        </is>
      </c>
      <c r="C2649" s="88" t="n">
        <v>94200</v>
      </c>
      <c r="D2649" s="170" t="n"/>
      <c r="E2649" s="170" t="n"/>
      <c r="F2649" s="170" t="n"/>
      <c r="G2649" s="170" t="n"/>
      <c r="H2649" s="170" t="n"/>
      <c r="I2649" s="150">
        <f>ROUND((C2649*J2649)/100,0)*100</f>
        <v/>
      </c>
      <c r="J2649" s="96" t="n">
        <v>1.2</v>
      </c>
      <c r="K2649" s="170" t="n"/>
      <c r="L2649" s="170" t="n"/>
      <c r="M2649" s="170" t="n"/>
      <c r="N2649" s="30" t="n"/>
      <c r="O2649" s="170" t="n"/>
      <c r="P2649" s="170" t="n"/>
      <c r="Q2649" s="30" t="n"/>
      <c r="R2649" s="170" t="n"/>
      <c r="S2649" s="30" t="n"/>
      <c r="T2649" s="170" t="n"/>
      <c r="U2649" s="30" t="n"/>
      <c r="V2649" s="30" t="n"/>
      <c r="W2649" s="30" t="n"/>
      <c r="X2649" s="30" t="n"/>
      <c r="Y2649" s="30" t="n"/>
      <c r="Z2649" s="30" t="n"/>
      <c r="AA2649" s="30" t="n"/>
      <c r="AB2649" s="30" t="n"/>
      <c r="AC2649" s="30" t="n"/>
      <c r="AD2649" s="30" t="n"/>
      <c r="AE2649" s="30" t="n"/>
      <c r="AF2649" s="30" t="n"/>
      <c r="AG2649" s="30" t="n"/>
      <c r="AH2649" s="30" t="n"/>
      <c r="AI2649" s="30" t="n"/>
      <c r="AJ2649" s="30" t="n"/>
      <c r="AK2649" s="30" t="n"/>
      <c r="AL2649" s="30" t="n"/>
      <c r="AM2649" s="30" t="n"/>
      <c r="AN2649" s="30" t="n"/>
      <c r="AO2649" s="30" t="n"/>
    </row>
    <row r="2650" ht="17.25" customHeight="1" s="253">
      <c r="A2650" s="89" t="inlineStr">
        <is>
          <t>11678XXX</t>
        </is>
      </c>
      <c r="B2650" s="216" t="inlineStr">
        <is>
          <t>TAVERNITI BAÑO</t>
        </is>
      </c>
      <c r="C2650" s="22" t="n">
        <v>91800</v>
      </c>
      <c r="D2650" s="170" t="n"/>
      <c r="E2650" s="170" t="n"/>
      <c r="F2650" s="170" t="n"/>
      <c r="G2650" s="170" t="n"/>
      <c r="H2650" s="170" t="n"/>
      <c r="I2650" s="170">
        <f>ROUND((C2650*J2650)/100,0)*100</f>
        <v/>
      </c>
      <c r="J2650" s="118" t="n">
        <v>1.2</v>
      </c>
      <c r="K2650" s="170" t="n"/>
      <c r="L2650" s="170" t="n"/>
      <c r="M2650" s="170" t="n"/>
      <c r="N2650" s="30" t="n"/>
      <c r="O2650" s="170" t="n"/>
      <c r="P2650" s="170" t="n"/>
      <c r="Q2650" s="30" t="n"/>
      <c r="R2650" s="170" t="n"/>
      <c r="S2650" s="30" t="n"/>
      <c r="T2650" s="170" t="n"/>
      <c r="U2650" s="30" t="n"/>
      <c r="V2650" s="30" t="n"/>
      <c r="W2650" s="30" t="n"/>
      <c r="X2650" s="30" t="n"/>
      <c r="Y2650" s="30" t="n"/>
      <c r="Z2650" s="30" t="n"/>
      <c r="AA2650" s="30" t="n"/>
      <c r="AB2650" s="30" t="n"/>
      <c r="AC2650" s="30" t="n"/>
      <c r="AD2650" s="30" t="n"/>
      <c r="AE2650" s="30" t="n"/>
      <c r="AF2650" s="30" t="n"/>
      <c r="AG2650" s="30" t="n"/>
      <c r="AH2650" s="30" t="n"/>
      <c r="AI2650" s="30" t="n"/>
      <c r="AJ2650" s="30" t="n"/>
      <c r="AK2650" s="30" t="n"/>
      <c r="AL2650" s="30" t="n"/>
      <c r="AM2650" s="30" t="n"/>
      <c r="AN2650" s="30" t="n"/>
    </row>
    <row r="2651" ht="17.25" customHeight="1" s="253">
      <c r="A2651" s="134" t="inlineStr">
        <is>
          <t>11682XXX</t>
        </is>
      </c>
      <c r="B2651" s="110" t="inlineStr">
        <is>
          <t>TAVERNITI BAÑO</t>
        </is>
      </c>
      <c r="C2651" s="22" t="n">
        <v>52700</v>
      </c>
      <c r="D2651" s="219" t="n"/>
      <c r="E2651" s="219" t="n"/>
      <c r="F2651" s="219" t="n"/>
      <c r="G2651" s="219" t="n"/>
      <c r="H2651" s="219" t="n"/>
      <c r="I2651" s="219">
        <f>ROUND((C2651*J2651)/100,0)*100</f>
        <v/>
      </c>
      <c r="J2651" s="118" t="n">
        <v>1.2</v>
      </c>
      <c r="K2651" s="219" t="n"/>
      <c r="L2651" s="219" t="n"/>
      <c r="M2651" s="219" t="n"/>
      <c r="O2651" s="219" t="n"/>
      <c r="P2651" s="117" t="n"/>
      <c r="R2651" s="117" t="n"/>
      <c r="T2651" s="117" t="n"/>
    </row>
    <row r="2652" ht="17.25" customHeight="1" s="253">
      <c r="A2652" s="134" t="inlineStr">
        <is>
          <t>11684XXX</t>
        </is>
      </c>
      <c r="B2652" s="110" t="inlineStr">
        <is>
          <t>TAVERNITI BAÑO</t>
        </is>
      </c>
      <c r="C2652" s="22" t="n">
        <v>52700</v>
      </c>
      <c r="D2652" s="219" t="n"/>
      <c r="E2652" s="219" t="n"/>
      <c r="F2652" s="219" t="n"/>
      <c r="G2652" s="219" t="n"/>
      <c r="H2652" s="219" t="n"/>
      <c r="I2652" s="219">
        <f>ROUND((C2652*J2652)/100,0)*100</f>
        <v/>
      </c>
      <c r="J2652" s="118" t="n">
        <v>1.2</v>
      </c>
      <c r="K2652" s="219" t="n"/>
      <c r="L2652" s="219" t="n"/>
      <c r="M2652" s="219" t="n"/>
      <c r="O2652" s="219" t="n"/>
      <c r="P2652" s="117" t="n"/>
      <c r="R2652" s="117" t="n"/>
      <c r="T2652" s="117" t="n"/>
    </row>
    <row r="2653" ht="17.25" customHeight="1" s="253">
      <c r="A2653" s="134" t="inlineStr">
        <is>
          <t>11686XXX</t>
        </is>
      </c>
      <c r="B2653" s="110" t="inlineStr">
        <is>
          <t>TAVERNITI BAÑO</t>
        </is>
      </c>
      <c r="C2653" s="22" t="n">
        <v>52700</v>
      </c>
      <c r="D2653" s="219" t="n"/>
      <c r="E2653" s="219" t="n"/>
      <c r="F2653" s="219" t="n"/>
      <c r="G2653" s="219" t="n"/>
      <c r="H2653" s="219" t="n"/>
      <c r="I2653" s="219">
        <f>ROUND((C2653*J2653)/100,0)*100</f>
        <v/>
      </c>
      <c r="J2653" s="118" t="n">
        <v>1.2</v>
      </c>
      <c r="K2653" s="219" t="n"/>
      <c r="L2653" s="219" t="n"/>
      <c r="M2653" s="219" t="n"/>
      <c r="O2653" s="219" t="n"/>
      <c r="P2653" s="117" t="n"/>
      <c r="R2653" s="117" t="n"/>
      <c r="T2653" s="117" t="n"/>
    </row>
    <row r="2654" ht="17.25" customHeight="1" s="253">
      <c r="A2654" s="134" t="inlineStr">
        <is>
          <t>11688XXX</t>
        </is>
      </c>
      <c r="B2654" s="110" t="inlineStr">
        <is>
          <t>TAVERNITI BAÑO</t>
        </is>
      </c>
      <c r="C2654" s="22" t="n">
        <v>52700</v>
      </c>
      <c r="D2654" s="219" t="n"/>
      <c r="E2654" s="219" t="n"/>
      <c r="F2654" s="219" t="n"/>
      <c r="G2654" s="219" t="n"/>
      <c r="H2654" s="219" t="n"/>
      <c r="I2654" s="219">
        <f>ROUND((C2654*J2654)/100,0)*100</f>
        <v/>
      </c>
      <c r="J2654" s="118" t="n">
        <v>1.2</v>
      </c>
      <c r="K2654" s="219" t="n"/>
      <c r="L2654" s="219" t="n"/>
      <c r="M2654" s="219" t="n"/>
      <c r="O2654" s="219" t="n"/>
      <c r="P2654" s="117" t="n"/>
      <c r="R2654" s="117" t="n"/>
      <c r="T2654" s="117" t="n"/>
    </row>
    <row r="2655" ht="17.25" customHeight="1" s="253">
      <c r="A2655" s="134" t="inlineStr">
        <is>
          <t>11690XXX</t>
        </is>
      </c>
      <c r="B2655" s="110" t="inlineStr">
        <is>
          <t>TAVERNITI BAÑO</t>
        </is>
      </c>
      <c r="C2655" s="22" t="n">
        <v>52700</v>
      </c>
      <c r="D2655" s="219" t="n"/>
      <c r="E2655" s="219" t="n"/>
      <c r="F2655" s="219" t="n"/>
      <c r="G2655" s="219" t="n"/>
      <c r="H2655" s="219" t="n"/>
      <c r="I2655" s="219">
        <f>ROUND((C2655*J2655)/100,0)*100</f>
        <v/>
      </c>
      <c r="J2655" s="118" t="n">
        <v>1.2</v>
      </c>
      <c r="K2655" s="219" t="n"/>
      <c r="L2655" s="219" t="n"/>
      <c r="M2655" s="219" t="n"/>
      <c r="O2655" s="219" t="n"/>
      <c r="P2655" s="117" t="n"/>
      <c r="R2655" s="117" t="n"/>
      <c r="T2655" s="117" t="n"/>
    </row>
    <row r="2656" ht="17.25" customHeight="1" s="253">
      <c r="A2656" s="134" t="inlineStr">
        <is>
          <t>11692XXX</t>
        </is>
      </c>
      <c r="B2656" s="110" t="inlineStr">
        <is>
          <t>TAVERNITI BAÑO</t>
        </is>
      </c>
      <c r="C2656" s="22" t="n">
        <v>52700</v>
      </c>
      <c r="D2656" s="219" t="n"/>
      <c r="E2656" s="219" t="n"/>
      <c r="F2656" s="219" t="n"/>
      <c r="G2656" s="219" t="n"/>
      <c r="H2656" s="219" t="n"/>
      <c r="I2656" s="219">
        <f>ROUND((C2656*J2656)/100,0)*100</f>
        <v/>
      </c>
      <c r="J2656" s="118" t="n">
        <v>1.2</v>
      </c>
      <c r="K2656" s="219" t="n"/>
      <c r="L2656" s="219" t="n"/>
      <c r="M2656" s="219" t="n"/>
      <c r="O2656" s="219" t="n"/>
      <c r="P2656" s="117" t="n"/>
      <c r="R2656" s="117" t="n"/>
      <c r="T2656" s="117" t="n"/>
    </row>
    <row r="2657" ht="17.25" customHeight="1" s="253">
      <c r="A2657" s="134" t="inlineStr">
        <is>
          <t>11872XXX</t>
        </is>
      </c>
      <c r="B2657" s="110" t="inlineStr">
        <is>
          <t>TAVERNITI BAÑO</t>
        </is>
      </c>
      <c r="C2657" s="22" t="n">
        <v>49800</v>
      </c>
      <c r="D2657" s="219" t="n"/>
      <c r="E2657" s="219" t="n"/>
      <c r="F2657" s="219" t="n"/>
      <c r="G2657" s="219" t="n"/>
      <c r="H2657" s="219" t="n"/>
      <c r="I2657" s="219">
        <f>ROUND((C2657*J2657)/100,0)*100</f>
        <v/>
      </c>
      <c r="J2657" s="118" t="n">
        <v>1.2</v>
      </c>
      <c r="K2657" s="219" t="n"/>
      <c r="L2657" s="219" t="n"/>
      <c r="M2657" s="219" t="n"/>
      <c r="O2657" s="219" t="n"/>
      <c r="P2657" s="117" t="n"/>
      <c r="R2657" s="117" t="n"/>
      <c r="T2657" s="117" t="n"/>
    </row>
    <row r="2658" ht="17.25" customHeight="1" s="253">
      <c r="A2658" s="134" t="inlineStr">
        <is>
          <t>13060XXX</t>
        </is>
      </c>
      <c r="B2658" s="110" t="inlineStr">
        <is>
          <t>TAVERNITI BAÑO</t>
        </is>
      </c>
      <c r="C2658" s="22" t="n">
        <v>52200</v>
      </c>
      <c r="D2658" s="219" t="n"/>
      <c r="E2658" s="219" t="n"/>
      <c r="F2658" s="219" t="n"/>
      <c r="G2658" s="219" t="n"/>
      <c r="H2658" s="219" t="n"/>
      <c r="I2658" s="219">
        <f>ROUND((C2658*J2658)/100,0)*100</f>
        <v/>
      </c>
      <c r="J2658" s="118" t="n">
        <v>1.2</v>
      </c>
      <c r="K2658" s="219" t="n"/>
      <c r="L2658" s="219" t="n"/>
      <c r="M2658" s="219" t="n"/>
      <c r="O2658" s="219" t="n"/>
      <c r="P2658" s="117" t="n"/>
      <c r="R2658" s="117" t="n"/>
      <c r="T2658" s="117" t="n"/>
    </row>
    <row r="2659" ht="17.25" customHeight="1" s="253">
      <c r="A2659" s="134" t="inlineStr">
        <is>
          <t>13468XXX</t>
        </is>
      </c>
      <c r="B2659" s="110" t="inlineStr">
        <is>
          <t>TAVERNITI BAÑO</t>
        </is>
      </c>
      <c r="C2659" s="22" t="n">
        <v>52500</v>
      </c>
      <c r="D2659" s="219" t="n"/>
      <c r="E2659" s="219" t="n"/>
      <c r="F2659" s="219" t="n"/>
      <c r="G2659" s="219" t="n"/>
      <c r="H2659" s="219" t="n"/>
      <c r="I2659" s="219">
        <f>ROUND((C2659*J2659)/100,0)*100</f>
        <v/>
      </c>
      <c r="J2659" s="118" t="n">
        <v>1.2</v>
      </c>
      <c r="K2659" s="219" t="n"/>
      <c r="L2659" s="219" t="n"/>
      <c r="M2659" s="219" t="n"/>
      <c r="O2659" s="219" t="n"/>
      <c r="P2659" s="117" t="n"/>
      <c r="R2659" s="117" t="n"/>
      <c r="T2659" s="117" t="n"/>
    </row>
    <row r="2660" ht="17.25" customHeight="1" s="253">
      <c r="A2660" s="89" t="inlineStr">
        <is>
          <t>15436XXX</t>
        </is>
      </c>
      <c r="B2660" s="216" t="inlineStr">
        <is>
          <t>TAVERNITI BAÑO</t>
        </is>
      </c>
      <c r="C2660" s="88" t="n">
        <v>52200</v>
      </c>
      <c r="D2660" s="170" t="n"/>
      <c r="E2660" s="170" t="n"/>
      <c r="F2660" s="170" t="n"/>
      <c r="G2660" s="170" t="n"/>
      <c r="H2660" s="170" t="n"/>
      <c r="I2660" s="88">
        <f>ROUND((C2660*J2660)/100,0)*100</f>
        <v/>
      </c>
      <c r="J2660" s="96" t="n">
        <v>1.2</v>
      </c>
      <c r="K2660" s="170" t="n"/>
      <c r="L2660" s="170" t="n"/>
      <c r="M2660" s="170" t="n"/>
      <c r="N2660" s="30" t="n"/>
      <c r="O2660" s="170" t="n"/>
      <c r="P2660" s="170" t="n"/>
      <c r="Q2660" s="30" t="n"/>
      <c r="R2660" s="170" t="n"/>
      <c r="S2660" s="30" t="n"/>
      <c r="T2660" s="170" t="n"/>
      <c r="U2660" s="30" t="n"/>
      <c r="V2660" s="30" t="n"/>
      <c r="W2660" s="30" t="n"/>
      <c r="X2660" s="30" t="n"/>
      <c r="Y2660" s="30" t="n"/>
      <c r="Z2660" s="30" t="n"/>
      <c r="AA2660" s="30" t="n"/>
      <c r="AB2660" s="30" t="n"/>
      <c r="AC2660" s="30" t="n"/>
      <c r="AD2660" s="30" t="n"/>
      <c r="AE2660" s="30" t="n"/>
      <c r="AF2660" s="30" t="n"/>
      <c r="AG2660" s="30" t="n"/>
      <c r="AH2660" s="30" t="n"/>
      <c r="AI2660" s="30" t="n"/>
      <c r="AJ2660" s="30" t="n"/>
      <c r="AK2660" s="30" t="n"/>
      <c r="AL2660" s="30" t="n"/>
      <c r="AM2660" s="30" t="n"/>
      <c r="AN2660" s="30" t="n"/>
      <c r="AO2660" s="30" t="n"/>
    </row>
    <row r="2661" ht="17.25" customHeight="1" s="253">
      <c r="A2661" s="89" t="inlineStr">
        <is>
          <t>15452XXX</t>
        </is>
      </c>
      <c r="B2661" s="216" t="inlineStr">
        <is>
          <t>TAVERNITI BAÑO</t>
        </is>
      </c>
      <c r="C2661" s="88" t="n">
        <v>52200</v>
      </c>
      <c r="D2661" s="170" t="n"/>
      <c r="E2661" s="170" t="n"/>
      <c r="F2661" s="170" t="n"/>
      <c r="G2661" s="170" t="n"/>
      <c r="H2661" s="170" t="n"/>
      <c r="I2661" s="88">
        <f>ROUND((C2661*J2661)/100,0)*100</f>
        <v/>
      </c>
      <c r="J2661" s="96" t="n">
        <v>1.2</v>
      </c>
      <c r="K2661" s="170" t="n"/>
      <c r="L2661" s="170" t="n"/>
      <c r="M2661" s="170" t="n"/>
      <c r="N2661" s="30" t="n"/>
      <c r="O2661" s="170" t="n"/>
      <c r="P2661" s="170" t="n"/>
      <c r="Q2661" s="30" t="n"/>
      <c r="R2661" s="170" t="n"/>
      <c r="S2661" s="30" t="n"/>
      <c r="T2661" s="170" t="n"/>
      <c r="U2661" s="30" t="n"/>
      <c r="V2661" s="30" t="n"/>
      <c r="W2661" s="30" t="n"/>
      <c r="X2661" s="30" t="n"/>
      <c r="Y2661" s="30" t="n"/>
      <c r="Z2661" s="30" t="n"/>
      <c r="AA2661" s="30" t="n"/>
      <c r="AB2661" s="30" t="n"/>
      <c r="AC2661" s="30" t="n"/>
      <c r="AD2661" s="30" t="n"/>
      <c r="AE2661" s="30" t="n"/>
      <c r="AF2661" s="30" t="n"/>
      <c r="AG2661" s="30" t="n"/>
      <c r="AH2661" s="30" t="n"/>
      <c r="AI2661" s="30" t="n"/>
      <c r="AJ2661" s="30" t="n"/>
      <c r="AK2661" s="30" t="n"/>
      <c r="AL2661" s="30" t="n"/>
      <c r="AM2661" s="30" t="n"/>
      <c r="AN2661" s="30" t="n"/>
      <c r="AO2661" s="30" t="n"/>
    </row>
    <row r="2662" ht="17.25" customHeight="1" s="253">
      <c r="A2662" s="89" t="inlineStr">
        <is>
          <t>15454XXX</t>
        </is>
      </c>
      <c r="B2662" s="216" t="inlineStr">
        <is>
          <t>TAVERNITI BAÑO</t>
        </is>
      </c>
      <c r="C2662" s="88" t="n">
        <v>52200</v>
      </c>
      <c r="D2662" s="170" t="n"/>
      <c r="E2662" s="170" t="n"/>
      <c r="F2662" s="170" t="n"/>
      <c r="G2662" s="170" t="n"/>
      <c r="H2662" s="170" t="n"/>
      <c r="I2662" s="88">
        <f>ROUND((C2662*J2662)/100,0)*100</f>
        <v/>
      </c>
      <c r="J2662" s="96" t="n">
        <v>1.2</v>
      </c>
      <c r="K2662" s="170" t="n"/>
      <c r="L2662" s="170" t="n"/>
      <c r="M2662" s="170" t="n"/>
      <c r="N2662" s="30" t="n"/>
      <c r="O2662" s="170" t="n"/>
      <c r="P2662" s="170" t="n"/>
      <c r="Q2662" s="30" t="n"/>
      <c r="R2662" s="170" t="n"/>
      <c r="S2662" s="30" t="n"/>
      <c r="T2662" s="170" t="n"/>
      <c r="U2662" s="30" t="n"/>
      <c r="V2662" s="30" t="n"/>
      <c r="W2662" s="30" t="n"/>
      <c r="X2662" s="30" t="n"/>
      <c r="Y2662" s="30" t="n"/>
      <c r="Z2662" s="30" t="n"/>
      <c r="AA2662" s="30" t="n"/>
      <c r="AB2662" s="30" t="n"/>
      <c r="AC2662" s="30" t="n"/>
      <c r="AD2662" s="30" t="n"/>
      <c r="AE2662" s="30" t="n"/>
      <c r="AF2662" s="30" t="n"/>
      <c r="AG2662" s="30" t="n"/>
      <c r="AH2662" s="30" t="n"/>
      <c r="AI2662" s="30" t="n"/>
      <c r="AJ2662" s="30" t="n"/>
      <c r="AK2662" s="30" t="n"/>
      <c r="AL2662" s="30" t="n"/>
      <c r="AM2662" s="30" t="n"/>
      <c r="AN2662" s="30" t="n"/>
      <c r="AO2662" s="30" t="n"/>
    </row>
    <row r="2663" ht="17.25" customHeight="1" s="253">
      <c r="A2663" s="89" t="inlineStr">
        <is>
          <t>15482XXX</t>
        </is>
      </c>
      <c r="B2663" s="216" t="inlineStr">
        <is>
          <t>TAVERNITI BAÑO</t>
        </is>
      </c>
      <c r="C2663" s="88" t="n">
        <v>52200</v>
      </c>
      <c r="D2663" s="170" t="n"/>
      <c r="E2663" s="170" t="n"/>
      <c r="F2663" s="170" t="n"/>
      <c r="G2663" s="170" t="n"/>
      <c r="H2663" s="170" t="n"/>
      <c r="I2663" s="88">
        <f>ROUND((C2663*J2663)/100,0)*100</f>
        <v/>
      </c>
      <c r="J2663" s="96" t="n">
        <v>1.2</v>
      </c>
      <c r="K2663" s="170" t="n"/>
      <c r="L2663" s="170" t="n"/>
      <c r="M2663" s="170" t="n"/>
      <c r="N2663" s="30" t="n"/>
      <c r="O2663" s="170" t="n"/>
      <c r="P2663" s="170" t="n"/>
      <c r="Q2663" s="30" t="n"/>
      <c r="R2663" s="170" t="n"/>
      <c r="S2663" s="30" t="n"/>
      <c r="T2663" s="170" t="n"/>
      <c r="U2663" s="30" t="n"/>
      <c r="V2663" s="30" t="n"/>
      <c r="W2663" s="30" t="n"/>
      <c r="X2663" s="30" t="n"/>
      <c r="Y2663" s="30" t="n"/>
      <c r="Z2663" s="30" t="n"/>
      <c r="AA2663" s="30" t="n"/>
      <c r="AB2663" s="30" t="n"/>
      <c r="AC2663" s="30" t="n"/>
      <c r="AD2663" s="30" t="n"/>
      <c r="AE2663" s="30" t="n"/>
      <c r="AF2663" s="30" t="n"/>
      <c r="AG2663" s="30" t="n"/>
      <c r="AH2663" s="30" t="n"/>
      <c r="AI2663" s="30" t="n"/>
      <c r="AJ2663" s="30" t="n"/>
      <c r="AK2663" s="30" t="n"/>
      <c r="AL2663" s="30" t="n"/>
      <c r="AM2663" s="30" t="n"/>
      <c r="AN2663" s="30" t="n"/>
      <c r="AO2663" s="30" t="n"/>
    </row>
    <row r="2664" ht="17.25" customHeight="1" s="253">
      <c r="A2664" s="89" t="inlineStr">
        <is>
          <t>15484XXX</t>
        </is>
      </c>
      <c r="B2664" s="216" t="inlineStr">
        <is>
          <t>TAVERNITI BAÑO</t>
        </is>
      </c>
      <c r="C2664" s="88" t="n">
        <v>52200</v>
      </c>
      <c r="D2664" s="170" t="n"/>
      <c r="E2664" s="170" t="n"/>
      <c r="F2664" s="170" t="n"/>
      <c r="G2664" s="170" t="n"/>
      <c r="H2664" s="170" t="n"/>
      <c r="I2664" s="88">
        <f>ROUND((C2664*J2664)/100,0)*100</f>
        <v/>
      </c>
      <c r="J2664" s="96" t="n">
        <v>1.2</v>
      </c>
      <c r="K2664" s="170" t="n"/>
      <c r="L2664" s="170" t="n"/>
      <c r="M2664" s="170" t="n"/>
      <c r="N2664" s="30" t="n"/>
      <c r="O2664" s="170" t="n"/>
      <c r="P2664" s="170" t="n"/>
      <c r="Q2664" s="30" t="n"/>
      <c r="R2664" s="170" t="n"/>
      <c r="S2664" s="30" t="n"/>
      <c r="T2664" s="170" t="n"/>
      <c r="U2664" s="30" t="n"/>
      <c r="V2664" s="30" t="n"/>
      <c r="W2664" s="30" t="n"/>
      <c r="X2664" s="30" t="n"/>
      <c r="Y2664" s="30" t="n"/>
      <c r="Z2664" s="30" t="n"/>
      <c r="AA2664" s="30" t="n"/>
      <c r="AB2664" s="30" t="n"/>
      <c r="AC2664" s="30" t="n"/>
      <c r="AD2664" s="30" t="n"/>
      <c r="AE2664" s="30" t="n"/>
      <c r="AF2664" s="30" t="n"/>
      <c r="AG2664" s="30" t="n"/>
      <c r="AH2664" s="30" t="n"/>
      <c r="AI2664" s="30" t="n"/>
      <c r="AJ2664" s="30" t="n"/>
      <c r="AK2664" s="30" t="n"/>
      <c r="AL2664" s="30" t="n"/>
      <c r="AM2664" s="30" t="n"/>
      <c r="AN2664" s="30" t="n"/>
      <c r="AO2664" s="30" t="n"/>
    </row>
    <row r="2665" ht="17.25" customHeight="1" s="253">
      <c r="A2665" s="89" t="inlineStr">
        <is>
          <t>15496XXX</t>
        </is>
      </c>
      <c r="B2665" s="216" t="inlineStr">
        <is>
          <t>TAVERNITI BAÑO</t>
        </is>
      </c>
      <c r="C2665" s="88" t="n">
        <v>52200</v>
      </c>
      <c r="D2665" s="170" t="n"/>
      <c r="E2665" s="170" t="n"/>
      <c r="F2665" s="170" t="n"/>
      <c r="G2665" s="170" t="n"/>
      <c r="H2665" s="170" t="n"/>
      <c r="I2665" s="88">
        <f>ROUND((C2665*J2665)/100,0)*100</f>
        <v/>
      </c>
      <c r="J2665" s="96" t="n">
        <v>1.2</v>
      </c>
      <c r="K2665" s="170" t="n"/>
      <c r="L2665" s="170" t="n"/>
      <c r="M2665" s="170" t="n"/>
      <c r="N2665" s="30" t="n"/>
      <c r="O2665" s="170" t="n"/>
      <c r="P2665" s="170" t="n"/>
      <c r="Q2665" s="30" t="n"/>
      <c r="R2665" s="170" t="n"/>
      <c r="S2665" s="30" t="n"/>
      <c r="T2665" s="170" t="n"/>
      <c r="U2665" s="30" t="n"/>
      <c r="V2665" s="30" t="n"/>
      <c r="W2665" s="30" t="n"/>
      <c r="X2665" s="30" t="n"/>
      <c r="Y2665" s="30" t="n"/>
      <c r="Z2665" s="30" t="n"/>
      <c r="AA2665" s="30" t="n"/>
      <c r="AB2665" s="30" t="n"/>
      <c r="AC2665" s="30" t="n"/>
      <c r="AD2665" s="30" t="n"/>
      <c r="AE2665" s="30" t="n"/>
      <c r="AF2665" s="30" t="n"/>
      <c r="AG2665" s="30" t="n"/>
      <c r="AH2665" s="30" t="n"/>
      <c r="AI2665" s="30" t="n"/>
      <c r="AJ2665" s="30" t="n"/>
      <c r="AK2665" s="30" t="n"/>
      <c r="AL2665" s="30" t="n"/>
      <c r="AM2665" s="30" t="n"/>
      <c r="AN2665" s="30" t="n"/>
      <c r="AO2665" s="30" t="n"/>
    </row>
    <row r="2666" ht="17.25" customHeight="1" s="253">
      <c r="A2666" s="89" t="inlineStr">
        <is>
          <t>15498XXX</t>
        </is>
      </c>
      <c r="B2666" s="216" t="inlineStr">
        <is>
          <t>TAVERNITI BAÑO</t>
        </is>
      </c>
      <c r="C2666" s="88" t="n">
        <v>52200</v>
      </c>
      <c r="D2666" s="170" t="n"/>
      <c r="E2666" s="170" t="n"/>
      <c r="F2666" s="170" t="n"/>
      <c r="G2666" s="170" t="n"/>
      <c r="H2666" s="170" t="n"/>
      <c r="I2666" s="88">
        <f>ROUND((C2666*J2666)/100,0)*100</f>
        <v/>
      </c>
      <c r="J2666" s="96" t="n">
        <v>1.2</v>
      </c>
      <c r="K2666" s="170" t="n"/>
      <c r="L2666" s="170" t="n"/>
      <c r="M2666" s="170" t="n"/>
      <c r="N2666" s="30" t="n"/>
      <c r="O2666" s="170" t="n"/>
      <c r="P2666" s="170" t="n"/>
      <c r="Q2666" s="30" t="n"/>
      <c r="R2666" s="170" t="n"/>
      <c r="S2666" s="30" t="n"/>
      <c r="T2666" s="170" t="n"/>
      <c r="U2666" s="30" t="n"/>
      <c r="V2666" s="30" t="n"/>
      <c r="W2666" s="30" t="n"/>
      <c r="X2666" s="30" t="n"/>
      <c r="Y2666" s="30" t="n"/>
      <c r="Z2666" s="30" t="n"/>
      <c r="AA2666" s="30" t="n"/>
      <c r="AB2666" s="30" t="n"/>
      <c r="AC2666" s="30" t="n"/>
      <c r="AD2666" s="30" t="n"/>
      <c r="AE2666" s="30" t="n"/>
      <c r="AF2666" s="30" t="n"/>
      <c r="AG2666" s="30" t="n"/>
      <c r="AH2666" s="30" t="n"/>
      <c r="AI2666" s="30" t="n"/>
      <c r="AJ2666" s="30" t="n"/>
      <c r="AK2666" s="30" t="n"/>
      <c r="AL2666" s="30" t="n"/>
      <c r="AM2666" s="30" t="n"/>
      <c r="AN2666" s="30" t="n"/>
      <c r="AO2666" s="30" t="n"/>
    </row>
    <row r="2667" ht="17.25" customHeight="1" s="253">
      <c r="A2667" s="134" t="inlineStr">
        <is>
          <t>15502XXX</t>
        </is>
      </c>
      <c r="B2667" s="110" t="inlineStr">
        <is>
          <t>TAVERNITI BAÑO</t>
        </is>
      </c>
      <c r="C2667" s="22" t="n">
        <v>52200</v>
      </c>
      <c r="D2667" s="219" t="n"/>
      <c r="E2667" s="219" t="n"/>
      <c r="F2667" s="219" t="n"/>
      <c r="G2667" s="219" t="n"/>
      <c r="H2667" s="219" t="n"/>
      <c r="I2667" s="219">
        <f>ROUND((C2667*J2667)/100,0)*100</f>
        <v/>
      </c>
      <c r="J2667" s="118" t="n">
        <v>1.2</v>
      </c>
      <c r="K2667" s="219" t="n"/>
      <c r="L2667" s="219" t="n"/>
      <c r="M2667" s="219" t="n"/>
      <c r="O2667" s="219" t="n"/>
      <c r="P2667" s="117" t="n"/>
      <c r="R2667" s="117" t="n"/>
      <c r="T2667" s="117" t="n"/>
    </row>
    <row r="2668" ht="17.25" customHeight="1" s="253">
      <c r="A2668" s="89" t="inlineStr">
        <is>
          <t>15508XXX</t>
        </is>
      </c>
      <c r="B2668" s="216" t="inlineStr">
        <is>
          <t>TAVERNITI BAÑO</t>
        </is>
      </c>
      <c r="C2668" s="88" t="n">
        <v>52200</v>
      </c>
      <c r="D2668" s="170" t="n"/>
      <c r="E2668" s="170" t="n"/>
      <c r="F2668" s="170" t="n"/>
      <c r="G2668" s="170" t="n"/>
      <c r="H2668" s="170" t="n"/>
      <c r="I2668" s="88">
        <f>ROUND((C2668*J2668)/100,0)*100</f>
        <v/>
      </c>
      <c r="J2668" s="96" t="n">
        <v>1.2</v>
      </c>
      <c r="K2668" s="170" t="n"/>
      <c r="L2668" s="170" t="n"/>
      <c r="M2668" s="170" t="n"/>
      <c r="N2668" s="30" t="n"/>
      <c r="O2668" s="170" t="n"/>
      <c r="P2668" s="170" t="n"/>
      <c r="Q2668" s="30" t="n"/>
      <c r="R2668" s="170" t="n"/>
      <c r="S2668" s="30" t="n"/>
      <c r="T2668" s="170" t="n"/>
      <c r="U2668" s="30" t="n"/>
      <c r="V2668" s="30" t="n"/>
      <c r="W2668" s="30" t="n"/>
      <c r="X2668" s="30" t="n"/>
      <c r="Y2668" s="30" t="n"/>
      <c r="Z2668" s="30" t="n"/>
      <c r="AA2668" s="30" t="n"/>
      <c r="AB2668" s="30" t="n"/>
      <c r="AC2668" s="30" t="n"/>
      <c r="AD2668" s="30" t="n"/>
      <c r="AE2668" s="30" t="n"/>
      <c r="AF2668" s="30" t="n"/>
      <c r="AG2668" s="30" t="n"/>
      <c r="AH2668" s="30" t="n"/>
      <c r="AI2668" s="30" t="n"/>
      <c r="AJ2668" s="30" t="n"/>
      <c r="AK2668" s="30" t="n"/>
      <c r="AL2668" s="30" t="n"/>
      <c r="AM2668" s="30" t="n"/>
      <c r="AN2668" s="30" t="n"/>
      <c r="AO2668" s="30" t="n"/>
    </row>
    <row r="2669" ht="17.25" customHeight="1" s="253">
      <c r="A2669" s="89" t="inlineStr">
        <is>
          <t>15510XXX</t>
        </is>
      </c>
      <c r="B2669" s="216" t="inlineStr">
        <is>
          <t>TAVERNITI BAÑO</t>
        </is>
      </c>
      <c r="C2669" s="88" t="n">
        <v>52200</v>
      </c>
      <c r="D2669" s="170" t="n"/>
      <c r="E2669" s="170" t="n"/>
      <c r="F2669" s="170" t="n"/>
      <c r="G2669" s="170" t="n"/>
      <c r="H2669" s="170" t="n"/>
      <c r="I2669" s="88">
        <f>ROUND((C2669*J2669)/100,0)*100</f>
        <v/>
      </c>
      <c r="J2669" s="96" t="n">
        <v>1.2</v>
      </c>
      <c r="K2669" s="170" t="n"/>
      <c r="L2669" s="170" t="n"/>
      <c r="M2669" s="170" t="n"/>
      <c r="N2669" s="30" t="n"/>
      <c r="O2669" s="170" t="n"/>
      <c r="P2669" s="170" t="n"/>
      <c r="Q2669" s="30" t="n"/>
      <c r="R2669" s="170" t="n"/>
      <c r="S2669" s="30" t="n"/>
      <c r="T2669" s="170" t="n"/>
      <c r="U2669" s="30" t="n"/>
      <c r="V2669" s="30" t="n"/>
      <c r="W2669" s="30" t="n"/>
      <c r="X2669" s="30" t="n"/>
      <c r="Y2669" s="30" t="n"/>
      <c r="Z2669" s="30" t="n"/>
      <c r="AA2669" s="30" t="n"/>
      <c r="AB2669" s="30" t="n"/>
      <c r="AC2669" s="30" t="n"/>
      <c r="AD2669" s="30" t="n"/>
      <c r="AE2669" s="30" t="n"/>
      <c r="AF2669" s="30" t="n"/>
      <c r="AG2669" s="30" t="n"/>
      <c r="AH2669" s="30" t="n"/>
      <c r="AI2669" s="30" t="n"/>
      <c r="AJ2669" s="30" t="n"/>
      <c r="AK2669" s="30" t="n"/>
      <c r="AL2669" s="30" t="n"/>
      <c r="AM2669" s="30" t="n"/>
      <c r="AN2669" s="30" t="n"/>
      <c r="AO2669" s="30" t="n"/>
    </row>
    <row r="2670" ht="17.25" customHeight="1" s="253">
      <c r="A2670" s="89" t="inlineStr">
        <is>
          <t>15514XXX</t>
        </is>
      </c>
      <c r="B2670" s="216" t="inlineStr">
        <is>
          <t>TAVERNITI BAÑO</t>
        </is>
      </c>
      <c r="C2670" s="88" t="n">
        <v>52200</v>
      </c>
      <c r="D2670" s="170" t="n"/>
      <c r="E2670" s="170" t="n"/>
      <c r="F2670" s="170" t="n"/>
      <c r="G2670" s="170" t="n"/>
      <c r="H2670" s="170" t="n"/>
      <c r="I2670" s="88">
        <f>ROUND((C2670*J2670)/100,0)*100</f>
        <v/>
      </c>
      <c r="J2670" s="96" t="n">
        <v>1.2</v>
      </c>
      <c r="K2670" s="170" t="n"/>
      <c r="L2670" s="170" t="n"/>
      <c r="M2670" s="170" t="n"/>
      <c r="N2670" s="30" t="n"/>
      <c r="O2670" s="170" t="n"/>
      <c r="P2670" s="170" t="n"/>
      <c r="Q2670" s="30" t="n"/>
      <c r="R2670" s="170" t="n"/>
      <c r="S2670" s="30" t="n"/>
      <c r="T2670" s="170" t="n"/>
      <c r="U2670" s="30" t="n"/>
      <c r="V2670" s="30" t="n"/>
      <c r="W2670" s="30" t="n"/>
      <c r="X2670" s="30" t="n"/>
      <c r="Y2670" s="30" t="n"/>
      <c r="Z2670" s="30" t="n"/>
      <c r="AA2670" s="30" t="n"/>
      <c r="AB2670" s="30" t="n"/>
      <c r="AC2670" s="30" t="n"/>
      <c r="AD2670" s="30" t="n"/>
      <c r="AE2670" s="30" t="n"/>
      <c r="AF2670" s="30" t="n"/>
      <c r="AG2670" s="30" t="n"/>
      <c r="AH2670" s="30" t="n"/>
      <c r="AI2670" s="30" t="n"/>
      <c r="AJ2670" s="30" t="n"/>
      <c r="AK2670" s="30" t="n"/>
      <c r="AL2670" s="30" t="n"/>
      <c r="AM2670" s="30" t="n"/>
      <c r="AN2670" s="30" t="n"/>
      <c r="AO2670" s="30" t="n"/>
    </row>
    <row r="2671" ht="17.25" customHeight="1" s="253">
      <c r="A2671" s="89" t="inlineStr">
        <is>
          <t>15518XXX</t>
        </is>
      </c>
      <c r="B2671" s="216" t="inlineStr">
        <is>
          <t>TAVERNITI BAÑO</t>
        </is>
      </c>
      <c r="C2671" s="88" t="n">
        <v>52200</v>
      </c>
      <c r="D2671" s="170" t="n"/>
      <c r="E2671" s="170" t="n"/>
      <c r="F2671" s="170" t="n"/>
      <c r="G2671" s="170" t="n"/>
      <c r="H2671" s="170" t="n"/>
      <c r="I2671" s="88">
        <f>ROUND((C2671*J2671)/100,0)*100</f>
        <v/>
      </c>
      <c r="J2671" s="96" t="n">
        <v>1.2</v>
      </c>
      <c r="K2671" s="170" t="n"/>
      <c r="L2671" s="170" t="n"/>
      <c r="M2671" s="170" t="n"/>
      <c r="N2671" s="30" t="n"/>
      <c r="O2671" s="170" t="n"/>
      <c r="P2671" s="170" t="n"/>
      <c r="Q2671" s="30" t="n"/>
      <c r="R2671" s="170" t="n"/>
      <c r="S2671" s="30" t="n"/>
      <c r="T2671" s="170" t="n"/>
      <c r="U2671" s="30" t="n"/>
      <c r="V2671" s="30" t="n"/>
      <c r="W2671" s="30" t="n"/>
      <c r="X2671" s="30" t="n"/>
      <c r="Y2671" s="30" t="n"/>
      <c r="Z2671" s="30" t="n"/>
      <c r="AA2671" s="30" t="n"/>
      <c r="AB2671" s="30" t="n"/>
      <c r="AC2671" s="30" t="n"/>
      <c r="AD2671" s="30" t="n"/>
      <c r="AE2671" s="30" t="n"/>
      <c r="AF2671" s="30" t="n"/>
      <c r="AG2671" s="30" t="n"/>
      <c r="AH2671" s="30" t="n"/>
      <c r="AI2671" s="30" t="n"/>
      <c r="AJ2671" s="30" t="n"/>
      <c r="AK2671" s="30" t="n"/>
      <c r="AL2671" s="30" t="n"/>
      <c r="AM2671" s="30" t="n"/>
      <c r="AN2671" s="30" t="n"/>
      <c r="AO2671" s="30" t="n"/>
    </row>
    <row r="2672" ht="17.25" customHeight="1" s="253">
      <c r="A2672" s="89" t="inlineStr">
        <is>
          <t>15524XXX</t>
        </is>
      </c>
      <c r="B2672" s="216" t="inlineStr">
        <is>
          <t>TAVERNITI BAÑO</t>
        </is>
      </c>
      <c r="C2672" s="88" t="n">
        <v>52200</v>
      </c>
      <c r="D2672" s="170" t="n"/>
      <c r="E2672" s="170" t="n"/>
      <c r="F2672" s="170" t="n"/>
      <c r="G2672" s="170" t="n"/>
      <c r="H2672" s="170" t="n"/>
      <c r="I2672" s="88">
        <f>ROUND((C2672*J2672)/100,0)*100</f>
        <v/>
      </c>
      <c r="J2672" s="96" t="n">
        <v>1.2</v>
      </c>
      <c r="K2672" s="170" t="n"/>
      <c r="L2672" s="170" t="n"/>
      <c r="M2672" s="170" t="n"/>
      <c r="N2672" s="30" t="n"/>
      <c r="O2672" s="170" t="n"/>
      <c r="P2672" s="170" t="n"/>
      <c r="Q2672" s="30" t="n"/>
      <c r="R2672" s="170" t="n"/>
      <c r="S2672" s="30" t="n"/>
      <c r="T2672" s="170" t="n"/>
      <c r="U2672" s="30" t="n"/>
      <c r="V2672" s="30" t="n"/>
      <c r="W2672" s="30" t="n"/>
      <c r="X2672" s="30" t="n"/>
      <c r="Y2672" s="30" t="n"/>
      <c r="Z2672" s="30" t="n"/>
      <c r="AA2672" s="30" t="n"/>
      <c r="AB2672" s="30" t="n"/>
      <c r="AC2672" s="30" t="n"/>
      <c r="AD2672" s="30" t="n"/>
      <c r="AE2672" s="30" t="n"/>
      <c r="AF2672" s="30" t="n"/>
      <c r="AG2672" s="30" t="n"/>
      <c r="AH2672" s="30" t="n"/>
      <c r="AI2672" s="30" t="n"/>
      <c r="AJ2672" s="30" t="n"/>
      <c r="AK2672" s="30" t="n"/>
      <c r="AL2672" s="30" t="n"/>
      <c r="AM2672" s="30" t="n"/>
      <c r="AN2672" s="30" t="n"/>
      <c r="AO2672" s="30" t="n"/>
    </row>
    <row r="2673">
      <c r="A2673" s="134" t="n"/>
      <c r="B2673" s="110" t="n"/>
      <c r="C2673" s="22" t="n"/>
      <c r="D2673" s="219" t="n"/>
      <c r="E2673" s="219" t="n"/>
      <c r="F2673" s="219" t="n"/>
      <c r="G2673" s="219" t="n"/>
      <c r="H2673" s="219" t="n"/>
      <c r="I2673" s="219" t="n"/>
      <c r="K2673" s="219" t="n"/>
      <c r="L2673" s="219" t="n"/>
      <c r="M2673" s="219" t="n"/>
      <c r="O2673" s="219" t="n"/>
      <c r="P2673" s="117" t="n"/>
      <c r="R2673" s="117" t="n"/>
      <c r="T2673" s="117" t="n"/>
    </row>
    <row r="2674">
      <c r="A2674" s="134" t="n"/>
      <c r="B2674" s="246" t="n"/>
      <c r="C2674" s="219" t="n"/>
      <c r="D2674" s="219" t="n"/>
      <c r="E2674" s="219" t="n"/>
      <c r="F2674" s="219" t="n"/>
      <c r="G2674" s="219" t="n"/>
      <c r="H2674" s="219" t="n"/>
      <c r="I2674" s="219" t="n"/>
      <c r="J2674" s="219" t="n"/>
      <c r="K2674" s="219" t="n"/>
      <c r="L2674" s="219" t="n"/>
      <c r="M2674" s="219" t="n"/>
      <c r="O2674" s="219" t="n"/>
      <c r="P2674" s="117" t="n"/>
      <c r="R2674" s="117" t="n"/>
      <c r="T2674" s="117" t="n"/>
    </row>
    <row r="2675">
      <c r="A2675" s="148" t="n"/>
      <c r="B2675" s="171" t="inlineStr">
        <is>
          <t>BERMUDAS HOMBRE</t>
        </is>
      </c>
      <c r="C2675" s="156" t="n"/>
      <c r="D2675" s="156" t="inlineStr">
        <is>
          <t>50-54</t>
        </is>
      </c>
      <c r="E2675" s="156" t="inlineStr">
        <is>
          <t>56-60</t>
        </is>
      </c>
      <c r="F2675" s="156" t="inlineStr">
        <is>
          <t>62-70</t>
        </is>
      </c>
      <c r="G2675" s="219" t="n"/>
      <c r="H2675" s="219" t="n"/>
      <c r="I2675" s="219" t="n"/>
      <c r="J2675" s="219" t="n"/>
      <c r="K2675" s="219" t="n"/>
      <c r="L2675" s="219" t="n"/>
      <c r="M2675" s="219" t="n"/>
      <c r="O2675" s="219" t="n"/>
      <c r="P2675" s="117" t="n"/>
      <c r="R2675" s="117" t="n"/>
      <c r="T2675" s="117" t="n"/>
    </row>
    <row r="2676">
      <c r="A2676" s="134" t="n"/>
      <c r="B2676" s="246" t="n"/>
      <c r="C2676" s="156" t="inlineStr">
        <is>
          <t>1 al 4</t>
        </is>
      </c>
      <c r="D2676" s="156" t="inlineStr">
        <is>
          <t>5 al 7</t>
        </is>
      </c>
      <c r="E2676" s="156" t="inlineStr">
        <is>
          <t>8 al 10</t>
        </is>
      </c>
      <c r="F2676" s="156" t="inlineStr">
        <is>
          <t>12 al 16</t>
        </is>
      </c>
      <c r="G2676" s="219" t="n"/>
      <c r="H2676" s="219" t="n"/>
      <c r="I2676" s="219" t="n"/>
      <c r="J2676" s="219" t="n"/>
      <c r="K2676" s="148" t="inlineStr">
        <is>
          <t>11/25</t>
        </is>
      </c>
      <c r="L2676" s="219" t="n"/>
      <c r="M2676" s="219" t="n"/>
      <c r="O2676" s="219" t="n"/>
      <c r="P2676" s="117" t="n"/>
      <c r="R2676" s="117" t="n"/>
      <c r="T2676" s="117" t="n"/>
    </row>
    <row r="2677">
      <c r="A2677" s="134" t="inlineStr">
        <is>
          <t>RP-1602C</t>
        </is>
      </c>
      <c r="B2677" s="246" t="inlineStr">
        <is>
          <t xml:space="preserve"> CON CINTO</t>
        </is>
      </c>
      <c r="C2677" s="88" t="n">
        <v>42900</v>
      </c>
      <c r="D2677" s="88">
        <f>ROUND((C2677*1.07)/100,0)*100</f>
        <v/>
      </c>
      <c r="E2677" s="88">
        <f>ROUND((C2677*1.15)/100,0)*100</f>
        <v/>
      </c>
      <c r="F2677" s="88">
        <f>ROUND((C2677*1.15)/100,0)*100</f>
        <v/>
      </c>
      <c r="G2677" s="22" t="n"/>
      <c r="H2677" s="159" t="n"/>
      <c r="I2677" s="219">
        <f>ROUND((C2677*J2677)/100,0)*100</f>
        <v/>
      </c>
      <c r="J2677" s="118" t="n">
        <v>1.09</v>
      </c>
      <c r="K2677" s="219" t="n"/>
      <c r="L2677" s="219" t="n"/>
      <c r="M2677" s="18" t="n"/>
      <c r="N2677" s="18" t="n"/>
      <c r="O2677" s="18" t="n"/>
      <c r="P2677" s="43" t="n"/>
      <c r="R2677" s="117" t="n"/>
      <c r="T2677" s="117" t="n"/>
    </row>
    <row r="2678">
      <c r="A2678" s="134" t="inlineStr">
        <is>
          <t>RP-1603C</t>
        </is>
      </c>
      <c r="B2678" s="246" t="inlineStr">
        <is>
          <t xml:space="preserve"> CON CINTO</t>
        </is>
      </c>
      <c r="C2678" s="88" t="n">
        <v>42900</v>
      </c>
      <c r="D2678" s="88">
        <f>ROUND((C2678*1.07)/100,0)*100</f>
        <v/>
      </c>
      <c r="E2678" s="88">
        <f>ROUND((C2678*1.15)/100,0)*100</f>
        <v/>
      </c>
      <c r="F2678" s="88">
        <f>ROUND((C2678*1.15)/100,0)*100</f>
        <v/>
      </c>
      <c r="G2678" s="22" t="n"/>
      <c r="H2678" s="159" t="n"/>
      <c r="I2678" s="219">
        <f>ROUND((C2678*J2678)/100,0)*100</f>
        <v/>
      </c>
      <c r="J2678" s="118" t="n">
        <v>1.09</v>
      </c>
      <c r="K2678" s="219" t="n"/>
      <c r="L2678" s="219" t="n"/>
      <c r="M2678" s="18" t="n"/>
      <c r="N2678" s="18" t="n"/>
      <c r="O2678" s="18" t="n"/>
      <c r="P2678" s="43" t="n"/>
      <c r="R2678" s="117" t="n"/>
      <c r="T2678" s="117" t="n"/>
    </row>
    <row r="2679">
      <c r="A2679" s="134" t="inlineStr">
        <is>
          <t>aer83</t>
        </is>
      </c>
      <c r="B2679" s="246" t="inlineStr">
        <is>
          <t>AERO</t>
        </is>
      </c>
      <c r="C2679" s="88" t="n">
        <v>42900</v>
      </c>
      <c r="D2679" s="88">
        <f>ROUND((C2679*1.07)/100,0)*100</f>
        <v/>
      </c>
      <c r="E2679" s="88">
        <f>ROUND((C2679*1.15)/100,0)*100</f>
        <v/>
      </c>
      <c r="F2679" s="88">
        <f>ROUND((C2679*1.15)/100,0)*100</f>
        <v/>
      </c>
      <c r="G2679" s="22" t="n"/>
      <c r="H2679" s="22" t="n"/>
      <c r="I2679" s="219">
        <f>ROUND((C2679*J2679)/100,0)*100</f>
        <v/>
      </c>
      <c r="J2679" s="118" t="n">
        <v>1.09</v>
      </c>
      <c r="K2679" s="219" t="n"/>
      <c r="L2679" s="219" t="n"/>
      <c r="M2679" s="18" t="n"/>
      <c r="N2679" s="18" t="n"/>
      <c r="O2679" s="18" t="n"/>
      <c r="P2679" s="43" t="n"/>
      <c r="R2679" s="117" t="n"/>
      <c r="T2679" s="117" t="n"/>
    </row>
    <row r="2680">
      <c r="A2680" s="68" t="inlineStr">
        <is>
          <t>aer123/126</t>
        </is>
      </c>
      <c r="B2680" s="109" t="inlineStr">
        <is>
          <t xml:space="preserve"> NAUTICA GABARDINA CARGO</t>
        </is>
      </c>
      <c r="C2680" s="88" t="n">
        <v>39000</v>
      </c>
      <c r="D2680" s="88">
        <f>ROUND((C2680*1.07)/100,0)*100</f>
        <v/>
      </c>
      <c r="E2680" s="88">
        <f>ROUND((C2680*1.15)/100,0)*100</f>
        <v/>
      </c>
      <c r="F2680" s="88">
        <f>ROUND((C2680*1.15)/100,0)*100</f>
        <v/>
      </c>
      <c r="G2680" s="22" t="n"/>
      <c r="H2680" s="22" t="n"/>
      <c r="I2680" s="219">
        <f>ROUND((C2680*J2680)/100,0)*100</f>
        <v/>
      </c>
      <c r="J2680" s="118" t="n">
        <v>1.09</v>
      </c>
      <c r="K2680" s="219" t="n"/>
      <c r="L2680" s="219" t="n"/>
      <c r="M2680" s="18" t="n"/>
      <c r="N2680" s="18" t="n"/>
      <c r="O2680" s="18" t="n"/>
      <c r="P2680" s="43" t="n"/>
      <c r="R2680" s="117" t="n"/>
      <c r="T2680" s="117" t="n"/>
    </row>
    <row r="2681">
      <c r="A2681" s="68" t="inlineStr">
        <is>
          <t>aer127</t>
        </is>
      </c>
      <c r="B2681" s="109" t="inlineStr">
        <is>
          <t xml:space="preserve"> RUSTICA BOLS. C/CIERRE</t>
        </is>
      </c>
      <c r="C2681" s="88" t="n">
        <v>39000</v>
      </c>
      <c r="D2681" s="88">
        <f>ROUND((C2681*1.07)/100,0)*100</f>
        <v/>
      </c>
      <c r="E2681" s="88">
        <f>ROUND((C2681*1.15)/100,0)*100</f>
        <v/>
      </c>
      <c r="F2681" s="88">
        <f>ROUND((C2681*1.15)/100,0)*100</f>
        <v/>
      </c>
      <c r="G2681" s="22" t="n"/>
      <c r="H2681" s="22" t="n"/>
      <c r="I2681" s="219">
        <f>ROUND((C2681*J2681)/100,0)*100</f>
        <v/>
      </c>
      <c r="J2681" s="118" t="n">
        <v>1.09</v>
      </c>
      <c r="K2681" s="219" t="n"/>
      <c r="L2681" s="219" t="n"/>
      <c r="M2681" s="18" t="n"/>
      <c r="N2681" s="18" t="n"/>
      <c r="O2681" s="18" t="n"/>
      <c r="P2681" s="43" t="n"/>
      <c r="R2681" s="117" t="n"/>
      <c r="T2681" s="117" t="n"/>
    </row>
    <row r="2682">
      <c r="A2682" s="68" t="inlineStr">
        <is>
          <t>aer131</t>
        </is>
      </c>
      <c r="B2682" s="109" t="n"/>
      <c r="C2682" s="88" t="n">
        <v>22800</v>
      </c>
      <c r="D2682" s="88">
        <f>ROUND((C2682*1.07)/100,0)*100</f>
        <v/>
      </c>
      <c r="E2682" s="88">
        <f>ROUND((C2682*1.15)/100,0)*100</f>
        <v/>
      </c>
      <c r="F2682" s="88">
        <f>ROUND((C2682*1.15)/100,0)*100</f>
        <v/>
      </c>
      <c r="G2682" s="22" t="n"/>
      <c r="H2682" s="22" t="n"/>
      <c r="I2682" s="219">
        <f>ROUND((C2682*J2682)/100,0)*100</f>
        <v/>
      </c>
      <c r="J2682" s="118" t="n">
        <v>1.09</v>
      </c>
      <c r="K2682" s="219" t="n"/>
      <c r="L2682" s="219" t="n"/>
      <c r="M2682" s="18" t="n"/>
      <c r="N2682" s="18" t="n"/>
      <c r="O2682" s="18" t="n"/>
      <c r="P2682" s="43" t="n"/>
      <c r="R2682" s="117" t="n"/>
      <c r="T2682" s="117" t="n"/>
    </row>
    <row r="2683">
      <c r="A2683" s="68" t="inlineStr">
        <is>
          <t>aer132</t>
        </is>
      </c>
      <c r="B2683" s="109" t="inlineStr">
        <is>
          <t xml:space="preserve"> NAUTICA ALG/POL. CARGO</t>
        </is>
      </c>
      <c r="C2683" s="88" t="n">
        <v>39000</v>
      </c>
      <c r="D2683" s="88">
        <f>ROUND((C2683*1.07)/100,0)*100</f>
        <v/>
      </c>
      <c r="E2683" s="88">
        <f>ROUND((C2683*1.15)/100,0)*100</f>
        <v/>
      </c>
      <c r="F2683" s="88">
        <f>ROUND((C2683*1.15)/100,0)*100</f>
        <v/>
      </c>
      <c r="G2683" s="22" t="n"/>
      <c r="H2683" s="22" t="n"/>
      <c r="I2683" s="219">
        <f>ROUND((C2683*J2683)/100,0)*100</f>
        <v/>
      </c>
      <c r="J2683" s="118" t="n">
        <v>1.09</v>
      </c>
      <c r="K2683" s="219" t="n"/>
      <c r="L2683" s="219" t="n"/>
      <c r="M2683" s="18" t="n"/>
      <c r="N2683" s="18" t="n"/>
      <c r="O2683" s="18" t="n"/>
      <c r="P2683" s="43" t="n"/>
      <c r="R2683" s="117" t="n"/>
      <c r="T2683" s="117" t="n"/>
    </row>
    <row r="2684">
      <c r="A2684" s="68" t="inlineStr">
        <is>
          <t>aer133</t>
        </is>
      </c>
      <c r="B2684" s="109" t="inlineStr">
        <is>
          <t xml:space="preserve"> NAUTICA ALG/POL. CARGO</t>
        </is>
      </c>
      <c r="C2684" s="88" t="n">
        <v>39000</v>
      </c>
      <c r="D2684" s="88">
        <f>ROUND((C2684*1.07)/100,0)*100</f>
        <v/>
      </c>
      <c r="E2684" s="88">
        <f>ROUND((C2684*1.15)/100,0)*100</f>
        <v/>
      </c>
      <c r="F2684" s="88">
        <f>ROUND((C2684*1.15)/100,0)*100</f>
        <v/>
      </c>
      <c r="G2684" s="22" t="n"/>
      <c r="H2684" s="22" t="n"/>
      <c r="I2684" s="219">
        <f>ROUND((C2684*J2684)/100,0)*100</f>
        <v/>
      </c>
      <c r="J2684" s="118" t="n">
        <v>1.09</v>
      </c>
      <c r="K2684" s="219" t="n"/>
      <c r="L2684" s="219" t="n"/>
      <c r="M2684" s="18" t="n"/>
      <c r="N2684" s="18" t="n"/>
      <c r="O2684" s="18" t="n"/>
      <c r="P2684" s="43" t="n"/>
      <c r="R2684" s="117" t="n"/>
      <c r="T2684" s="117" t="n"/>
    </row>
    <row r="2685">
      <c r="A2685" s="68" t="inlineStr">
        <is>
          <t>aer145</t>
        </is>
      </c>
      <c r="B2685" s="109" t="inlineStr">
        <is>
          <t xml:space="preserve"> NAUTICA</t>
        </is>
      </c>
      <c r="C2685" s="88" t="n">
        <v>39000</v>
      </c>
      <c r="D2685" s="88">
        <f>ROUND((C2685*1.07)/100,0)*100</f>
        <v/>
      </c>
      <c r="E2685" s="88">
        <f>ROUND((C2685*1.15)/100,0)*100</f>
        <v/>
      </c>
      <c r="F2685" s="88">
        <f>ROUND((C2685*1.15)/100,0)*100</f>
        <v/>
      </c>
      <c r="G2685" s="22" t="n"/>
      <c r="H2685" s="22" t="n"/>
      <c r="I2685" s="219">
        <f>ROUND((C2685*J2685)/100,0)*100</f>
        <v/>
      </c>
      <c r="J2685" s="118" t="n">
        <v>1.09</v>
      </c>
      <c r="K2685" s="219" t="n"/>
      <c r="L2685" s="219" t="n"/>
      <c r="M2685" s="18" t="n"/>
      <c r="N2685" s="18" t="n"/>
      <c r="O2685" s="18" t="n"/>
      <c r="P2685" s="43" t="n"/>
      <c r="R2685" s="117" t="n"/>
      <c r="T2685" s="117" t="n"/>
    </row>
    <row r="2686">
      <c r="A2686" s="68" t="inlineStr">
        <is>
          <t>aer178</t>
        </is>
      </c>
      <c r="B2686" s="109" t="inlineStr">
        <is>
          <t xml:space="preserve"> GABARDINA BOLS. APLICADO</t>
        </is>
      </c>
      <c r="C2686" s="88" t="n">
        <v>38400</v>
      </c>
      <c r="D2686" s="88">
        <f>ROUND((C2686*1.07)/100,0)*100</f>
        <v/>
      </c>
      <c r="E2686" s="88">
        <f>ROUND((C2686*1.15)/100,0)*100</f>
        <v/>
      </c>
      <c r="F2686" s="88">
        <f>ROUND((C2686*1.15)/100,0)*100</f>
        <v/>
      </c>
      <c r="G2686" s="22" t="n"/>
      <c r="H2686" s="22" t="n"/>
      <c r="I2686" s="219">
        <f>ROUND((C2686*J2686)/100,0)*100</f>
        <v/>
      </c>
      <c r="J2686" s="118" t="n">
        <v>1.09</v>
      </c>
      <c r="K2686" s="219" t="n"/>
      <c r="L2686" s="219" t="n"/>
      <c r="M2686" s="18" t="n"/>
      <c r="N2686" s="18" t="n"/>
      <c r="O2686" s="18" t="n"/>
      <c r="P2686" s="43" t="n"/>
      <c r="R2686" s="117" t="n"/>
      <c r="T2686" s="117" t="n"/>
    </row>
    <row r="2687">
      <c r="A2687" s="68" t="inlineStr">
        <is>
          <t>aer180</t>
        </is>
      </c>
      <c r="B2687" s="110" t="inlineStr">
        <is>
          <t xml:space="preserve">AERO </t>
        </is>
      </c>
      <c r="C2687" s="88" t="n">
        <v>38400</v>
      </c>
      <c r="D2687" s="88">
        <f>ROUND((C2687*1.07)/100,0)*100</f>
        <v/>
      </c>
      <c r="E2687" s="88">
        <f>ROUND((C2687*1.15)/100,0)*100</f>
        <v/>
      </c>
      <c r="F2687" s="88">
        <f>ROUND((C2687*1.15)/100,0)*100</f>
        <v/>
      </c>
      <c r="G2687" s="22" t="n"/>
      <c r="H2687" s="22" t="n"/>
      <c r="I2687" s="219">
        <f>ROUND((C2687*J2687)/100,0)*100</f>
        <v/>
      </c>
      <c r="J2687" s="118" t="n">
        <v>1.09</v>
      </c>
      <c r="K2687" s="219" t="n"/>
      <c r="L2687" s="219" t="n"/>
      <c r="M2687" s="18" t="n"/>
      <c r="N2687" s="18" t="n"/>
      <c r="O2687" s="18" t="n"/>
      <c r="P2687" s="43" t="n"/>
      <c r="R2687" s="117" t="n"/>
      <c r="T2687" s="117" t="n"/>
    </row>
    <row r="2688">
      <c r="A2688" s="68" t="inlineStr">
        <is>
          <t>aer182</t>
        </is>
      </c>
      <c r="B2688" s="110" t="inlineStr">
        <is>
          <t xml:space="preserve"> GABARDINA</t>
        </is>
      </c>
      <c r="C2688" s="88" t="n">
        <v>38400</v>
      </c>
      <c r="D2688" s="88">
        <f>ROUND((C2688*1.07)/100,0)*100</f>
        <v/>
      </c>
      <c r="E2688" s="88">
        <f>ROUND((C2688*1.15)/100,0)*100</f>
        <v/>
      </c>
      <c r="F2688" s="88">
        <f>ROUND((C2688*1.15)/100,0)*100</f>
        <v/>
      </c>
      <c r="G2688" s="22" t="n"/>
      <c r="H2688" s="22" t="n"/>
      <c r="I2688" s="219">
        <f>ROUND((C2688*J2688)/100,0)*100</f>
        <v/>
      </c>
      <c r="J2688" s="118" t="n">
        <v>1.09</v>
      </c>
      <c r="K2688" s="219" t="n"/>
      <c r="L2688" s="219" t="n"/>
      <c r="M2688" s="18" t="n"/>
      <c r="N2688" s="18" t="n"/>
      <c r="O2688" s="18" t="n"/>
      <c r="P2688" s="43" t="n"/>
      <c r="R2688" s="117" t="n"/>
      <c r="T2688" s="117" t="n"/>
    </row>
    <row r="2689">
      <c r="A2689" s="68" t="inlineStr">
        <is>
          <t>aer184</t>
        </is>
      </c>
      <c r="B2689" s="110" t="inlineStr">
        <is>
          <t xml:space="preserve"> VESTIR</t>
        </is>
      </c>
      <c r="C2689" s="88" t="n">
        <v>38400</v>
      </c>
      <c r="D2689" s="88">
        <f>ROUND((C2689*1.07)/100,0)*100</f>
        <v/>
      </c>
      <c r="E2689" s="88">
        <f>ROUND((C2689*1.15)/100,0)*100</f>
        <v/>
      </c>
      <c r="F2689" s="88">
        <f>ROUND((C2689*1.15)/100,0)*100</f>
        <v/>
      </c>
      <c r="G2689" s="22" t="n"/>
      <c r="H2689" s="22" t="n"/>
      <c r="I2689" s="219">
        <f>ROUND((C2689*J2689)/100,0)*100</f>
        <v/>
      </c>
      <c r="J2689" s="118" t="n">
        <v>1.09</v>
      </c>
      <c r="K2689" s="219" t="n"/>
      <c r="L2689" s="219" t="n"/>
      <c r="M2689" s="18" t="n"/>
      <c r="N2689" s="18" t="n"/>
      <c r="O2689" s="18" t="n"/>
      <c r="P2689" s="43" t="n"/>
      <c r="R2689" s="117" t="n"/>
      <c r="T2689" s="117" t="n"/>
    </row>
    <row r="2690">
      <c r="A2690" s="68" t="inlineStr">
        <is>
          <t>aer185</t>
        </is>
      </c>
      <c r="B2690" s="110" t="n"/>
      <c r="C2690" s="88" t="n">
        <v>38400</v>
      </c>
      <c r="D2690" s="88">
        <f>ROUND((C2690*1.07)/100,0)*100</f>
        <v/>
      </c>
      <c r="E2690" s="88">
        <f>ROUND((C2690*1.15)/100,0)*100</f>
        <v/>
      </c>
      <c r="F2690" s="88">
        <f>ROUND((C2690*1.15)/100,0)*100</f>
        <v/>
      </c>
      <c r="G2690" s="22" t="n"/>
      <c r="H2690" s="22" t="n"/>
      <c r="I2690" s="219">
        <f>ROUND((C2690*J2690)/100,0)*100</f>
        <v/>
      </c>
      <c r="J2690" s="118" t="n">
        <v>1.09</v>
      </c>
      <c r="K2690" s="219" t="n"/>
      <c r="L2690" s="219" t="n"/>
      <c r="M2690" s="18" t="n"/>
      <c r="N2690" s="18" t="n"/>
      <c r="O2690" s="18" t="n"/>
      <c r="P2690" s="43" t="n"/>
      <c r="R2690" s="117" t="n"/>
      <c r="T2690" s="117" t="n"/>
    </row>
    <row r="2691">
      <c r="A2691" s="68" t="inlineStr">
        <is>
          <t>8/9/198</t>
        </is>
      </c>
      <c r="B2691" s="110" t="inlineStr">
        <is>
          <t xml:space="preserve"> RIB TOP</t>
        </is>
      </c>
      <c r="C2691" s="88" t="n">
        <v>33000</v>
      </c>
      <c r="D2691" s="88">
        <f>ROUND((C2691*1.07)/100,0)*100</f>
        <v/>
      </c>
      <c r="E2691" s="88">
        <f>ROUND((C2691*1.15)/100,0)*100</f>
        <v/>
      </c>
      <c r="F2691" s="88">
        <f>ROUND((C2691*1.15)/100,0)*100</f>
        <v/>
      </c>
      <c r="G2691" s="22" t="n"/>
      <c r="H2691" s="22" t="n"/>
      <c r="I2691" s="219">
        <f>ROUND((C2691*J2691)/100,0)*100</f>
        <v/>
      </c>
      <c r="J2691" s="118" t="n">
        <v>1.09</v>
      </c>
      <c r="K2691" s="219" t="n"/>
      <c r="L2691" s="219" t="n"/>
      <c r="M2691" s="18" t="n"/>
      <c r="N2691" s="18" t="n"/>
      <c r="O2691" s="18" t="n"/>
      <c r="P2691" s="43" t="n"/>
      <c r="R2691" s="117" t="n"/>
      <c r="T2691" s="117" t="n"/>
    </row>
    <row r="2692">
      <c r="A2692" s="68" t="inlineStr">
        <is>
          <t>aer191</t>
        </is>
      </c>
      <c r="B2692" s="110" t="inlineStr">
        <is>
          <t>AERO CARGO CAMUFL</t>
        </is>
      </c>
      <c r="C2692" s="88" t="n">
        <v>60700</v>
      </c>
      <c r="D2692" s="88">
        <f>ROUND((C2692*1.07)/100,0)*100</f>
        <v/>
      </c>
      <c r="E2692" s="88">
        <f>ROUND((C2692*1.15)/100,0)*100</f>
        <v/>
      </c>
      <c r="F2692" s="88">
        <f>ROUND((C2692*1.15)/100,0)*100</f>
        <v/>
      </c>
      <c r="G2692" s="22" t="n"/>
      <c r="H2692" s="22" t="n"/>
      <c r="I2692" s="219">
        <f>ROUND((C2692*J2692)/100,0)*100</f>
        <v/>
      </c>
      <c r="J2692" s="118" t="n">
        <v>1.09</v>
      </c>
      <c r="K2692" s="219" t="n"/>
      <c r="L2692" s="219" t="n"/>
      <c r="M2692" s="18" t="n"/>
      <c r="N2692" s="18" t="n"/>
      <c r="O2692" s="18" t="n"/>
      <c r="P2692" s="43" t="n"/>
      <c r="R2692" s="117" t="n"/>
      <c r="T2692" s="117" t="n"/>
    </row>
    <row r="2693">
      <c r="A2693" s="68" t="inlineStr">
        <is>
          <t>aer193</t>
        </is>
      </c>
      <c r="B2693" s="110" t="inlineStr">
        <is>
          <t xml:space="preserve"> CARGO GAB. TANGO</t>
        </is>
      </c>
      <c r="C2693" s="88" t="n">
        <v>58000</v>
      </c>
      <c r="D2693" s="88">
        <f>ROUND((C2693*1.07)/100,0)*100</f>
        <v/>
      </c>
      <c r="E2693" s="88">
        <f>ROUND((C2693*1.15)/100,0)*100</f>
        <v/>
      </c>
      <c r="F2693" s="88">
        <f>ROUND((C2693*1.15)/100,0)*100</f>
        <v/>
      </c>
      <c r="G2693" s="22" t="n"/>
      <c r="H2693" s="22" t="n"/>
      <c r="I2693" s="219">
        <f>ROUND((C2693*J2693)/100,0)*100</f>
        <v/>
      </c>
      <c r="J2693" s="118" t="n">
        <v>1.09</v>
      </c>
      <c r="K2693" s="219" t="n"/>
      <c r="L2693" s="219" t="n"/>
      <c r="M2693" s="18" t="n"/>
      <c r="N2693" s="18" t="n"/>
      <c r="O2693" s="18" t="n"/>
      <c r="P2693" s="43" t="n"/>
      <c r="R2693" s="117" t="n"/>
      <c r="T2693" s="117" t="n"/>
    </row>
    <row r="2694">
      <c r="A2694" s="68" t="inlineStr">
        <is>
          <t>aer194</t>
        </is>
      </c>
      <c r="B2694" s="110" t="inlineStr">
        <is>
          <t xml:space="preserve"> CARGO COMPAC MPAPER</t>
        </is>
      </c>
      <c r="C2694" s="88" t="n">
        <v>58000</v>
      </c>
      <c r="D2694" s="88">
        <f>ROUND((C2694*1.07)/100,0)*100</f>
        <v/>
      </c>
      <c r="E2694" s="88">
        <f>ROUND((C2694*1.15)/100,0)*100</f>
        <v/>
      </c>
      <c r="F2694" s="88">
        <f>ROUND((C2694*1.15)/100,0)*100</f>
        <v/>
      </c>
      <c r="G2694" s="22" t="n"/>
      <c r="H2694" s="22" t="n"/>
      <c r="I2694" s="219">
        <f>ROUND((C2694*J2694)/100,0)*100</f>
        <v/>
      </c>
      <c r="J2694" s="118" t="n">
        <v>1.09</v>
      </c>
      <c r="K2694" s="219" t="n"/>
      <c r="L2694" s="219" t="n"/>
      <c r="M2694" s="18" t="n"/>
      <c r="N2694" s="18" t="n"/>
      <c r="O2694" s="18" t="n"/>
      <c r="P2694" s="43" t="n"/>
      <c r="R2694" s="117" t="n"/>
      <c r="T2694" s="117" t="n"/>
    </row>
    <row r="2695">
      <c r="A2695" s="68" t="inlineStr">
        <is>
          <t>aer195</t>
        </is>
      </c>
      <c r="B2695" s="110" t="inlineStr">
        <is>
          <t xml:space="preserve"> PAPER TACH 2 CIERRES</t>
        </is>
      </c>
      <c r="C2695" s="88" t="n">
        <v>58000</v>
      </c>
      <c r="D2695" s="88">
        <f>ROUND((C2695*1.07)/100,0)*100</f>
        <v/>
      </c>
      <c r="E2695" s="88">
        <f>ROUND((C2695*1.15)/100,0)*100</f>
        <v/>
      </c>
      <c r="F2695" s="88">
        <f>ROUND((C2695*1.15)/100,0)*100</f>
        <v/>
      </c>
      <c r="G2695" s="22" t="n"/>
      <c r="H2695" s="22" t="n"/>
      <c r="I2695" s="219">
        <f>ROUND((C2695*J2695)/100,0)*100</f>
        <v/>
      </c>
      <c r="J2695" s="118" t="n">
        <v>1.09</v>
      </c>
      <c r="K2695" s="219" t="n"/>
      <c r="L2695" s="219" t="n"/>
      <c r="M2695" s="18" t="n"/>
      <c r="N2695" s="18" t="n"/>
      <c r="O2695" s="18" t="n"/>
      <c r="P2695" s="43" t="n"/>
      <c r="R2695" s="117" t="n"/>
      <c r="T2695" s="117" t="n"/>
    </row>
    <row r="2696">
      <c r="A2696" s="68" t="inlineStr">
        <is>
          <t>aer196</t>
        </is>
      </c>
      <c r="B2696" s="109" t="inlineStr">
        <is>
          <t xml:space="preserve"> GABARDINA CARGO C.PLANA</t>
        </is>
      </c>
      <c r="C2696" s="88" t="n">
        <v>39800</v>
      </c>
      <c r="D2696" s="88">
        <f>ROUND((C2696*1.07)/100,0)*100</f>
        <v/>
      </c>
      <c r="E2696" s="88">
        <f>ROUND((C2696*1.15)/100,0)*100</f>
        <v/>
      </c>
      <c r="F2696" s="88">
        <f>ROUND((C2696*1.15)/100,0)*100</f>
        <v/>
      </c>
      <c r="G2696" s="22" t="n"/>
      <c r="H2696" s="22" t="n"/>
      <c r="I2696" s="219">
        <f>ROUND((C2696*J2696)/100,0)*100</f>
        <v/>
      </c>
      <c r="J2696" s="118" t="n">
        <v>1.09</v>
      </c>
      <c r="K2696" s="219" t="n"/>
      <c r="L2696" s="219" t="n"/>
      <c r="M2696" s="18" t="n"/>
      <c r="N2696" s="18" t="n"/>
      <c r="O2696" s="18" t="n"/>
      <c r="P2696" s="43" t="n"/>
      <c r="R2696" s="117" t="n"/>
      <c r="T2696" s="117" t="n"/>
    </row>
    <row r="2697">
      <c r="A2697" s="68" t="inlineStr">
        <is>
          <t>aer197</t>
        </is>
      </c>
      <c r="B2697" s="109" t="inlineStr">
        <is>
          <t xml:space="preserve"> CARGO GABARDINA CORTA 6 BOLS.</t>
        </is>
      </c>
      <c r="C2697" s="88" t="n">
        <v>35000</v>
      </c>
      <c r="D2697" s="88">
        <f>ROUND((C2697*1.07)/100,0)*100</f>
        <v/>
      </c>
      <c r="E2697" s="88">
        <f>ROUND((C2697*1.15)/100,0)*100</f>
        <v/>
      </c>
      <c r="F2697" s="88">
        <f>ROUND((C2697*1.15)/100,0)*100</f>
        <v/>
      </c>
      <c r="G2697" s="22" t="n"/>
      <c r="H2697" s="22" t="n"/>
      <c r="I2697" s="219">
        <f>ROUND((C2697*J2697)/100,0)*100</f>
        <v/>
      </c>
      <c r="J2697" s="118" t="n">
        <v>1.09</v>
      </c>
      <c r="K2697" s="219" t="n"/>
      <c r="L2697" s="219" t="n"/>
      <c r="M2697" s="18" t="n"/>
      <c r="N2697" s="18" t="n"/>
      <c r="O2697" s="18" t="n"/>
      <c r="P2697" s="43" t="n"/>
      <c r="R2697" s="117" t="n"/>
      <c r="T2697" s="117" t="n"/>
    </row>
    <row r="2698">
      <c r="A2698" s="68" t="inlineStr">
        <is>
          <t>aer198</t>
        </is>
      </c>
      <c r="B2698" s="109" t="inlineStr">
        <is>
          <t xml:space="preserve"> GABARDINA CARGO C.PLANA</t>
        </is>
      </c>
      <c r="C2698" s="88" t="n">
        <v>35000</v>
      </c>
      <c r="D2698" s="88">
        <f>ROUND((C2698*1.07)/100,0)*100</f>
        <v/>
      </c>
      <c r="E2698" s="88">
        <f>ROUND((C2698*1.15)/100,0)*100</f>
        <v/>
      </c>
      <c r="F2698" s="88">
        <f>ROUND((C2698*1.15)/100,0)*100</f>
        <v/>
      </c>
      <c r="G2698" s="22" t="n"/>
      <c r="H2698" s="22" t="n"/>
      <c r="I2698" s="219">
        <f>ROUND((C2698*J2698)/100,0)*100</f>
        <v/>
      </c>
      <c r="J2698" s="118" t="n">
        <v>1.09</v>
      </c>
      <c r="K2698" s="219" t="n"/>
      <c r="L2698" s="219" t="n"/>
      <c r="M2698" s="18" t="n"/>
      <c r="N2698" s="18" t="n"/>
      <c r="O2698" s="18" t="n"/>
      <c r="P2698" s="43" t="n"/>
      <c r="R2698" s="117" t="n"/>
      <c r="T2698" s="117" t="n"/>
    </row>
    <row r="2699">
      <c r="A2699" s="68" t="inlineStr">
        <is>
          <t>AER218</t>
        </is>
      </c>
      <c r="B2699" s="109" t="inlineStr">
        <is>
          <t>BER CLASICA GABARDINA ELASTIZADA</t>
        </is>
      </c>
      <c r="C2699" s="88" t="n">
        <v>35000</v>
      </c>
      <c r="D2699" s="88">
        <f>ROUND((C2699*1.07)/100,0)*100</f>
        <v/>
      </c>
      <c r="E2699" s="88">
        <f>ROUND((C2699*1.15)/100,0)*100</f>
        <v/>
      </c>
      <c r="F2699" s="88">
        <f>ROUND((C2699*1.15)/100,0)*100</f>
        <v/>
      </c>
      <c r="G2699" s="22" t="n"/>
      <c r="H2699" s="22" t="n"/>
      <c r="I2699" s="219">
        <f>ROUND((C2699*J2699)/100,0)*100</f>
        <v/>
      </c>
      <c r="J2699" s="118" t="n">
        <v>1.09</v>
      </c>
      <c r="K2699" s="219" t="n"/>
      <c r="L2699" s="219" t="n"/>
      <c r="M2699" s="18" t="n"/>
      <c r="N2699" s="18" t="n"/>
      <c r="O2699" s="18" t="n"/>
      <c r="P2699" s="43" t="n"/>
      <c r="R2699" s="117" t="n"/>
      <c r="T2699" s="117" t="n"/>
    </row>
    <row r="2700">
      <c r="A2700" s="68" t="inlineStr">
        <is>
          <t>aer226</t>
        </is>
      </c>
      <c r="B2700" s="109" t="inlineStr">
        <is>
          <t xml:space="preserve"> NAUTICA POPLIN CARGO</t>
        </is>
      </c>
      <c r="C2700" s="88" t="n">
        <v>35000</v>
      </c>
      <c r="D2700" s="88">
        <f>ROUND((C2700*1.07)/100,0)*100</f>
        <v/>
      </c>
      <c r="E2700" s="88">
        <f>ROUND((C2700*1.15)/100,0)*100</f>
        <v/>
      </c>
      <c r="F2700" s="88">
        <f>ROUND((C2700*1.15)/100,0)*100</f>
        <v/>
      </c>
      <c r="G2700" s="22" t="n"/>
      <c r="H2700" s="22" t="n"/>
      <c r="I2700" s="219">
        <f>ROUND((C2700*J2700)/100,0)*100</f>
        <v/>
      </c>
      <c r="J2700" s="118" t="n">
        <v>1.09</v>
      </c>
      <c r="K2700" s="219" t="n"/>
      <c r="L2700" s="219" t="n"/>
      <c r="M2700" s="18" t="n"/>
      <c r="N2700" s="18" t="n"/>
      <c r="O2700" s="18" t="n"/>
      <c r="P2700" s="43" t="n"/>
      <c r="R2700" s="117" t="n"/>
      <c r="T2700" s="117" t="n"/>
    </row>
    <row r="2701">
      <c r="A2701" s="68" t="inlineStr">
        <is>
          <t>aer230</t>
        </is>
      </c>
      <c r="B2701" s="109" t="inlineStr">
        <is>
          <t xml:space="preserve"> BAÑO COMB. BOLS. C/CIERRE</t>
        </is>
      </c>
      <c r="C2701" s="88" t="n">
        <v>20200</v>
      </c>
      <c r="D2701" s="88">
        <f>ROUND((C2701*1.07)/100,0)*100</f>
        <v/>
      </c>
      <c r="E2701" s="88">
        <f>ROUND((C2701*1.15)/100,0)*100</f>
        <v/>
      </c>
      <c r="F2701" s="88">
        <f>ROUND((C2701*1.15)/100,0)*100</f>
        <v/>
      </c>
      <c r="G2701" s="22" t="n"/>
      <c r="H2701" s="22" t="n"/>
      <c r="I2701" s="219">
        <f>ROUND((C2701*J2701)/100,0)*100</f>
        <v/>
      </c>
      <c r="J2701" s="118" t="n">
        <v>1.09</v>
      </c>
      <c r="K2701" s="219" t="n"/>
      <c r="L2701" s="219" t="n"/>
      <c r="M2701" s="18" t="n"/>
      <c r="N2701" s="18" t="n"/>
      <c r="O2701" s="18" t="n"/>
      <c r="P2701" s="43" t="n"/>
      <c r="R2701" s="117" t="n"/>
      <c r="T2701" s="117" t="n"/>
    </row>
    <row r="2702">
      <c r="A2702" s="68" t="inlineStr">
        <is>
          <t>aer231</t>
        </is>
      </c>
      <c r="B2702" s="110" t="inlineStr">
        <is>
          <t>SHORT AERO</t>
        </is>
      </c>
      <c r="C2702" s="88" t="n">
        <v>27000</v>
      </c>
      <c r="D2702" s="88">
        <f>ROUND((C2702*1.07)/100,0)*100</f>
        <v/>
      </c>
      <c r="E2702" s="88">
        <f>ROUND((C2702*1.15)/100,0)*100</f>
        <v/>
      </c>
      <c r="F2702" s="88">
        <f>ROUND((C2702*1.15)/100,0)*100</f>
        <v/>
      </c>
      <c r="G2702" s="22" t="n"/>
      <c r="H2702" s="22" t="n"/>
      <c r="I2702" s="219">
        <f>ROUND((C2702*J2702)/100,0)*100</f>
        <v/>
      </c>
      <c r="J2702" s="118" t="n">
        <v>1.09</v>
      </c>
      <c r="K2702" s="219" t="n"/>
      <c r="L2702" s="219" t="n"/>
      <c r="M2702" s="18" t="n"/>
      <c r="N2702" s="18" t="n"/>
      <c r="O2702" s="18" t="n"/>
      <c r="P2702" s="43" t="n"/>
      <c r="R2702" s="117" t="n"/>
      <c r="T2702" s="117" t="n"/>
    </row>
    <row r="2703">
      <c r="A2703" s="68" t="inlineStr">
        <is>
          <t>aer232</t>
        </is>
      </c>
      <c r="B2703" s="109" t="inlineStr">
        <is>
          <t xml:space="preserve"> BAÑO C/TIRAS CARGO</t>
        </is>
      </c>
      <c r="C2703" s="88" t="n">
        <v>27000</v>
      </c>
      <c r="D2703" s="88">
        <f>ROUND((C2703*1.07)/100,0)*100</f>
        <v/>
      </c>
      <c r="E2703" s="88">
        <f>ROUND((C2703*1.15)/100,0)*100</f>
        <v/>
      </c>
      <c r="F2703" s="88">
        <f>ROUND((C2703*1.15)/100,0)*100</f>
        <v/>
      </c>
      <c r="G2703" s="22" t="n"/>
      <c r="H2703" s="22" t="n"/>
      <c r="I2703" s="219">
        <f>ROUND((C2703*J2703)/100,0)*100</f>
        <v/>
      </c>
      <c r="J2703" s="118" t="n">
        <v>1.09</v>
      </c>
      <c r="K2703" s="219" t="n"/>
      <c r="L2703" s="219" t="n"/>
      <c r="M2703" s="18" t="n"/>
      <c r="N2703" s="18" t="n"/>
      <c r="O2703" s="18" t="n"/>
      <c r="P2703" s="43" t="n"/>
      <c r="R2703" s="117" t="n"/>
      <c r="T2703" s="117" t="n"/>
    </row>
    <row r="2704">
      <c r="A2704" s="68" t="inlineStr">
        <is>
          <t>aer233</t>
        </is>
      </c>
      <c r="B2704" s="109" t="inlineStr">
        <is>
          <t xml:space="preserve"> BAÑO GUARDA COMB. BORDADA</t>
        </is>
      </c>
      <c r="C2704" s="88" t="n">
        <v>23500</v>
      </c>
      <c r="D2704" s="88">
        <f>ROUND((C2704*1.07)/100,0)*100</f>
        <v/>
      </c>
      <c r="E2704" s="88">
        <f>ROUND((C2704*1.15)/100,0)*100</f>
        <v/>
      </c>
      <c r="F2704" s="88">
        <f>ROUND((C2704*1.15)/100,0)*100</f>
        <v/>
      </c>
      <c r="G2704" s="22" t="n"/>
      <c r="H2704" s="22" t="n"/>
      <c r="I2704" s="219">
        <f>ROUND((C2704*J2704)/100,0)*100</f>
        <v/>
      </c>
      <c r="J2704" s="118" t="n">
        <v>1.09</v>
      </c>
      <c r="K2704" s="219" t="n"/>
      <c r="L2704" s="219" t="n"/>
      <c r="M2704" s="18" t="n"/>
      <c r="N2704" s="18" t="n"/>
      <c r="O2704" s="18" t="n"/>
      <c r="P2704" s="43" t="n"/>
      <c r="R2704" s="117" t="n"/>
      <c r="T2704" s="117" t="n"/>
    </row>
    <row r="2705">
      <c r="A2705" s="134" t="inlineStr">
        <is>
          <t>aer234</t>
        </is>
      </c>
      <c r="B2705" s="109" t="inlineStr">
        <is>
          <t>PACIFIC SILVER BERM DE BAÑO</t>
        </is>
      </c>
      <c r="C2705" s="88" t="n">
        <v>27200</v>
      </c>
      <c r="D2705" s="88">
        <f>ROUND((C2705*1.07)/100,0)*100</f>
        <v/>
      </c>
      <c r="E2705" s="88">
        <f>ROUND((C2705*1.15)/100,0)*100</f>
        <v/>
      </c>
      <c r="F2705" s="88">
        <f>ROUND((C2705*1.15)/100,0)*100</f>
        <v/>
      </c>
      <c r="G2705" s="22" t="n"/>
      <c r="H2705" s="22" t="n"/>
      <c r="I2705" s="219">
        <f>ROUND((C2705*J2705)/100,0)*100</f>
        <v/>
      </c>
      <c r="J2705" s="118" t="n">
        <v>1.09</v>
      </c>
      <c r="K2705" s="219" t="n"/>
      <c r="L2705" s="219" t="n"/>
      <c r="M2705" s="18" t="n"/>
      <c r="N2705" s="18" t="n"/>
      <c r="O2705" s="18" t="n"/>
      <c r="P2705" s="43" t="n"/>
      <c r="R2705" s="117" t="n"/>
      <c r="T2705" s="117" t="n"/>
    </row>
    <row r="2706">
      <c r="A2706" s="134" t="inlineStr">
        <is>
          <t>aer235</t>
        </is>
      </c>
      <c r="B2706" s="109" t="inlineStr">
        <is>
          <t>SODIO JEANS BERM DE BAÑO</t>
        </is>
      </c>
      <c r="C2706" s="88" t="n">
        <v>18700</v>
      </c>
      <c r="D2706" s="88">
        <f>ROUND((C2706*1.07)/100,0)*100</f>
        <v/>
      </c>
      <c r="E2706" s="88">
        <f>ROUND((C2706*1.15)/100,0)*100</f>
        <v/>
      </c>
      <c r="F2706" s="88">
        <f>ROUND((C2706*1.15)/100,0)*100</f>
        <v/>
      </c>
      <c r="G2706" s="22" t="n"/>
      <c r="H2706" s="22" t="n"/>
      <c r="I2706" s="219">
        <f>ROUND((C2706*J2706)/100,0)*100</f>
        <v/>
      </c>
      <c r="J2706" s="118" t="n">
        <v>1.09</v>
      </c>
      <c r="K2706" s="219" t="n"/>
      <c r="L2706" s="219" t="n"/>
      <c r="M2706" s="18" t="n"/>
      <c r="N2706" s="18" t="n"/>
      <c r="O2706" s="18" t="n"/>
      <c r="P2706" s="43" t="n"/>
      <c r="R2706" s="117" t="n"/>
      <c r="T2706" s="117" t="n"/>
    </row>
    <row r="2707">
      <c r="A2707" s="134" t="inlineStr">
        <is>
          <t>aer236</t>
        </is>
      </c>
      <c r="B2707" s="109" t="inlineStr">
        <is>
          <t>JOAN DE LA CREU BERM DE BAÑO</t>
        </is>
      </c>
      <c r="C2707" s="88" t="n">
        <v>23700</v>
      </c>
      <c r="D2707" s="88">
        <f>ROUND((C2707*1.07)/100,0)*100</f>
        <v/>
      </c>
      <c r="E2707" s="88">
        <f>ROUND((C2707*1.15)/100,0)*100</f>
        <v/>
      </c>
      <c r="F2707" s="88">
        <f>ROUND((C2707*1.15)/100,0)*100</f>
        <v/>
      </c>
      <c r="G2707" s="22" t="n"/>
      <c r="H2707" s="22" t="n"/>
      <c r="I2707" s="219">
        <f>ROUND((C2707*J2707)/100,0)*100</f>
        <v/>
      </c>
      <c r="J2707" s="118" t="n">
        <v>1.09</v>
      </c>
      <c r="K2707" s="219" t="n"/>
      <c r="L2707" s="219" t="n"/>
      <c r="M2707" s="18" t="n"/>
      <c r="N2707" s="18" t="n"/>
      <c r="O2707" s="18" t="n"/>
      <c r="P2707" s="43" t="n"/>
      <c r="R2707" s="117" t="n"/>
      <c r="T2707" s="117" t="n"/>
    </row>
    <row r="2708">
      <c r="A2708" s="134" t="inlineStr">
        <is>
          <t>AER237</t>
        </is>
      </c>
      <c r="B2708" s="109" t="inlineStr">
        <is>
          <t>SNOW BERM DE BAÑO/SNW COMB</t>
        </is>
      </c>
      <c r="C2708" s="88" t="n">
        <v>27200</v>
      </c>
      <c r="D2708" s="88">
        <f>ROUND((C2708*1.07)/100,0)*100</f>
        <v/>
      </c>
      <c r="E2708" s="88">
        <f>ROUND((C2708*1.15)/100,0)*100</f>
        <v/>
      </c>
      <c r="F2708" s="88">
        <f>ROUND((C2708*1.15)/100,0)*100</f>
        <v/>
      </c>
      <c r="G2708" s="22" t="n"/>
      <c r="H2708" s="22" t="n"/>
      <c r="I2708" s="219">
        <f>ROUND((C2708*J2708)/100,0)*100</f>
        <v/>
      </c>
      <c r="J2708" s="118" t="n">
        <v>1.09</v>
      </c>
      <c r="K2708" s="219" t="n"/>
      <c r="L2708" s="219" t="n"/>
      <c r="M2708" s="18" t="n"/>
      <c r="N2708" s="18" t="n"/>
      <c r="O2708" s="18" t="n"/>
      <c r="P2708" s="43" t="n"/>
      <c r="R2708" s="117" t="n"/>
      <c r="T2708" s="117" t="n"/>
    </row>
    <row r="2709">
      <c r="A2709" s="134" t="inlineStr">
        <is>
          <t>238</t>
        </is>
      </c>
      <c r="B2709" s="160" t="inlineStr">
        <is>
          <t>POLO CLUB BERM DE BAÑO</t>
        </is>
      </c>
      <c r="C2709" s="88" t="n">
        <v>46600</v>
      </c>
      <c r="D2709" s="88">
        <f>ROUND((C2709*1.07)/100,0)*100</f>
        <v/>
      </c>
      <c r="E2709" s="88">
        <f>ROUND((C2709*1.15)/100,0)*100</f>
        <v/>
      </c>
      <c r="F2709" s="88">
        <f>ROUND((C2709*1.15)/100,0)*100</f>
        <v/>
      </c>
      <c r="G2709" s="22" t="n"/>
      <c r="H2709" s="22" t="n"/>
      <c r="I2709" s="219">
        <f>ROUND((C2709*J2709)/100,0)*100</f>
        <v/>
      </c>
      <c r="J2709" s="118" t="n">
        <v>1.09</v>
      </c>
      <c r="K2709" s="219" t="n"/>
      <c r="L2709" s="219" t="n"/>
      <c r="M2709" s="18" t="n"/>
      <c r="N2709" s="18" t="n"/>
      <c r="O2709" s="18" t="n"/>
      <c r="P2709" s="43" t="n"/>
      <c r="R2709" s="117" t="n"/>
      <c r="T2709" s="117" t="n"/>
    </row>
    <row r="2710">
      <c r="A2710" s="68" t="inlineStr">
        <is>
          <t>239</t>
        </is>
      </c>
      <c r="B2710" s="109" t="inlineStr">
        <is>
          <t>SHORT MICROFIBRA ESTAMPADO C/CORDON</t>
        </is>
      </c>
      <c r="C2710" s="88" t="n">
        <v>23700</v>
      </c>
      <c r="D2710" s="88">
        <f>ROUND((C2710*1.07)/100,0)*100</f>
        <v/>
      </c>
      <c r="E2710" s="88">
        <f>ROUND((C2710*1.15)/100,0)*100</f>
        <v/>
      </c>
      <c r="F2710" s="88">
        <f>ROUND((C2710*1.15)/100,0)*100</f>
        <v/>
      </c>
      <c r="G2710" s="22" t="n"/>
      <c r="H2710" s="22" t="n"/>
      <c r="I2710" s="219">
        <f>ROUND((C2710*J2710)/100,0)*100</f>
        <v/>
      </c>
      <c r="J2710" s="118" t="n">
        <v>1.09</v>
      </c>
      <c r="K2710" s="219" t="n"/>
      <c r="L2710" s="219" t="n"/>
      <c r="M2710" s="18" t="n"/>
      <c r="N2710" s="18" t="n"/>
      <c r="O2710" s="18" t="n"/>
      <c r="P2710" s="43" t="n"/>
      <c r="R2710" s="117" t="n"/>
      <c r="T2710" s="117" t="n"/>
    </row>
    <row r="2711">
      <c r="A2711" s="68" t="inlineStr">
        <is>
          <t>aer242</t>
        </is>
      </c>
      <c r="B2711" s="110" t="inlineStr">
        <is>
          <t>AERO</t>
        </is>
      </c>
      <c r="C2711" s="88" t="n">
        <v>21100</v>
      </c>
      <c r="D2711" s="88">
        <f>ROUND((C2711*1.07)/100,0)*100</f>
        <v/>
      </c>
      <c r="E2711" s="88">
        <f>ROUND((C2711*1.15)/100,0)*100</f>
        <v/>
      </c>
      <c r="F2711" s="88">
        <f>ROUND((C2711*1.15)/100,0)*100</f>
        <v/>
      </c>
      <c r="G2711" s="22" t="n"/>
      <c r="H2711" s="22" t="n"/>
      <c r="I2711" s="219">
        <f>ROUND((C2711*J2711)/100,0)*100</f>
        <v/>
      </c>
      <c r="J2711" s="118" t="n">
        <v>1.09</v>
      </c>
      <c r="K2711" s="219" t="n"/>
      <c r="L2711" s="219" t="n"/>
      <c r="M2711" s="18" t="n"/>
      <c r="N2711" s="18" t="n"/>
      <c r="O2711" s="18" t="n"/>
      <c r="P2711" s="43" t="n"/>
      <c r="R2711" s="117" t="n"/>
      <c r="T2711" s="117" t="n"/>
    </row>
    <row r="2712">
      <c r="A2712" s="68" t="inlineStr">
        <is>
          <t>244</t>
        </is>
      </c>
      <c r="B2712" s="110" t="inlineStr">
        <is>
          <t xml:space="preserve"> SURF RAYADO RESINADO</t>
        </is>
      </c>
      <c r="C2712" s="88" t="n">
        <v>27900</v>
      </c>
      <c r="D2712" s="88">
        <f>ROUND((C2712*1.07)/100,0)*100</f>
        <v/>
      </c>
      <c r="E2712" s="88">
        <f>ROUND((C2712*1.15)/100,0)*100</f>
        <v/>
      </c>
      <c r="F2712" s="88">
        <f>ROUND((C2712*1.15)/100,0)*100</f>
        <v/>
      </c>
      <c r="G2712" s="22" t="n"/>
      <c r="H2712" s="22" t="n"/>
      <c r="I2712" s="219">
        <f>ROUND((C2712*J2712)/100,0)*100</f>
        <v/>
      </c>
      <c r="J2712" s="118" t="n">
        <v>1.09</v>
      </c>
      <c r="K2712" s="219" t="n"/>
      <c r="L2712" s="219" t="n"/>
      <c r="M2712" s="18" t="n"/>
      <c r="N2712" s="18" t="n"/>
      <c r="O2712" s="18" t="n"/>
      <c r="P2712" s="43" t="n"/>
      <c r="R2712" s="117" t="n"/>
      <c r="T2712" s="117" t="n"/>
    </row>
    <row r="2713">
      <c r="A2713" s="68" t="inlineStr">
        <is>
          <t>246</t>
        </is>
      </c>
      <c r="B2713" s="110" t="inlineStr">
        <is>
          <t xml:space="preserve"> SURF RAYADO RESINADO</t>
        </is>
      </c>
      <c r="C2713" s="88" t="n">
        <v>26400</v>
      </c>
      <c r="D2713" s="88">
        <f>ROUND((C2713*1.07)/100,0)*100</f>
        <v/>
      </c>
      <c r="E2713" s="88">
        <f>ROUND((C2713*1.15)/100,0)*100</f>
        <v/>
      </c>
      <c r="F2713" s="88">
        <f>ROUND((C2713*1.15)/100,0)*100</f>
        <v/>
      </c>
      <c r="G2713" s="22" t="n"/>
      <c r="H2713" s="22" t="n"/>
      <c r="I2713" s="219">
        <f>ROUND((C2713*J2713)/100,0)*100</f>
        <v/>
      </c>
      <c r="J2713" s="118" t="n">
        <v>1.09</v>
      </c>
      <c r="K2713" s="219" t="n"/>
      <c r="L2713" s="219" t="n"/>
      <c r="M2713" s="18" t="n"/>
      <c r="N2713" s="18" t="n"/>
      <c r="O2713" s="18" t="n"/>
      <c r="P2713" s="43" t="n"/>
      <c r="R2713" s="117" t="n"/>
      <c r="T2713" s="117" t="n"/>
    </row>
    <row r="2714">
      <c r="A2714" s="68" t="inlineStr">
        <is>
          <t>248</t>
        </is>
      </c>
      <c r="B2714" s="110" t="inlineStr">
        <is>
          <t xml:space="preserve"> SURFERA ESTAMPADA</t>
        </is>
      </c>
      <c r="C2714" s="88" t="n">
        <v>26400</v>
      </c>
      <c r="D2714" s="88">
        <f>ROUND((C2714*1.07)/100,0)*100</f>
        <v/>
      </c>
      <c r="E2714" s="88">
        <f>ROUND((C2714*1.15)/100,0)*100</f>
        <v/>
      </c>
      <c r="F2714" s="88">
        <f>ROUND((C2714*1.15)/100,0)*100</f>
        <v/>
      </c>
      <c r="G2714" s="22" t="n"/>
      <c r="H2714" s="22" t="n"/>
      <c r="I2714" s="219">
        <f>ROUND((C2714*J2714)/100,0)*100</f>
        <v/>
      </c>
      <c r="J2714" s="118" t="n">
        <v>1.09</v>
      </c>
      <c r="K2714" s="219" t="n"/>
      <c r="L2714" s="219" t="n"/>
      <c r="M2714" s="18" t="n"/>
      <c r="N2714" s="18" t="n"/>
      <c r="O2714" s="18" t="n"/>
      <c r="P2714" s="43" t="n"/>
      <c r="R2714" s="117" t="n"/>
      <c r="T2714" s="117" t="n"/>
    </row>
    <row r="2715">
      <c r="A2715" s="68" t="inlineStr">
        <is>
          <t>249</t>
        </is>
      </c>
      <c r="B2715" s="110" t="inlineStr">
        <is>
          <t>SODIO JEANS BERM DE BAÑO</t>
        </is>
      </c>
      <c r="C2715" s="88" t="n">
        <v>18700</v>
      </c>
      <c r="D2715" s="88">
        <f>ROUND((C2715*1.07)/100,0)*100</f>
        <v/>
      </c>
      <c r="E2715" s="88">
        <f>ROUND((C2715*1.15)/100,0)*100</f>
        <v/>
      </c>
      <c r="F2715" s="88">
        <f>ROUND((C2715*1.15)/100,0)*100</f>
        <v/>
      </c>
      <c r="G2715" s="22" t="n"/>
      <c r="H2715" s="22" t="n"/>
      <c r="I2715" s="219">
        <f>ROUND((C2715*J2715)/100,0)*100</f>
        <v/>
      </c>
      <c r="J2715" s="118" t="n">
        <v>1.09</v>
      </c>
      <c r="K2715" s="219" t="n"/>
      <c r="L2715" s="219" t="n"/>
      <c r="M2715" s="18" t="n"/>
      <c r="N2715" s="18" t="n"/>
      <c r="O2715" s="18" t="n"/>
      <c r="P2715" s="43" t="n"/>
      <c r="R2715" s="117" t="n"/>
      <c r="T2715" s="117" t="n"/>
    </row>
    <row r="2716">
      <c r="A2716" s="68" t="inlineStr">
        <is>
          <t>250</t>
        </is>
      </c>
      <c r="B2716" s="110" t="inlineStr">
        <is>
          <t>AERO SHORT</t>
        </is>
      </c>
      <c r="C2716" s="88" t="n">
        <v>20200</v>
      </c>
      <c r="D2716" s="88">
        <f>ROUND((C2716*1.07)/100,0)*100</f>
        <v/>
      </c>
      <c r="E2716" s="88">
        <f>ROUND((C2716*1.15)/100,0)*100</f>
        <v/>
      </c>
      <c r="F2716" s="88">
        <f>ROUND((C2716*1.15)/100,0)*100</f>
        <v/>
      </c>
      <c r="G2716" s="22" t="n"/>
      <c r="H2716" s="22" t="n"/>
      <c r="I2716" s="219">
        <f>ROUND((C2716*J2716)/100,0)*100</f>
        <v/>
      </c>
      <c r="J2716" s="118" t="n">
        <v>1.09</v>
      </c>
      <c r="K2716" s="219" t="n"/>
      <c r="L2716" s="219" t="n"/>
      <c r="M2716" s="18" t="n"/>
      <c r="N2716" s="18" t="n"/>
      <c r="O2716" s="18" t="n"/>
      <c r="P2716" s="43" t="n"/>
      <c r="R2716" s="117" t="n"/>
      <c r="T2716" s="117" t="n"/>
    </row>
    <row r="2717">
      <c r="A2717" s="68" t="inlineStr">
        <is>
          <t>255</t>
        </is>
      </c>
      <c r="B2717" s="110" t="inlineStr">
        <is>
          <t>SHORT AERO</t>
        </is>
      </c>
      <c r="C2717" s="88" t="n">
        <v>20200</v>
      </c>
      <c r="D2717" s="88">
        <f>ROUND((C2717*1.07)/100,0)*100</f>
        <v/>
      </c>
      <c r="E2717" s="88">
        <f>ROUND((C2717*1.15)/100,0)*100</f>
        <v/>
      </c>
      <c r="F2717" s="88">
        <f>ROUND((C2717*1.15)/100,0)*100</f>
        <v/>
      </c>
      <c r="G2717" s="22" t="n"/>
      <c r="H2717" s="22" t="n"/>
      <c r="I2717" s="219">
        <f>ROUND((C2717*J2717)/100,0)*100</f>
        <v/>
      </c>
      <c r="J2717" s="118" t="n">
        <v>1.09</v>
      </c>
      <c r="K2717" s="219" t="n"/>
      <c r="L2717" s="219" t="n"/>
      <c r="M2717" s="18" t="n"/>
      <c r="N2717" s="18" t="n"/>
      <c r="O2717" s="18" t="n"/>
      <c r="P2717" s="43" t="n"/>
      <c r="R2717" s="117" t="n"/>
      <c r="T2717" s="117" t="n"/>
    </row>
    <row r="2718">
      <c r="A2718" s="68" t="inlineStr">
        <is>
          <t>257</t>
        </is>
      </c>
      <c r="B2718" s="110" t="inlineStr">
        <is>
          <t>SHORT BAÑO C/GUARDA ESTAMPADA</t>
        </is>
      </c>
      <c r="C2718" s="88" t="n">
        <v>20200</v>
      </c>
      <c r="D2718" s="88">
        <f>ROUND((C2718*1.07)/100,0)*100</f>
        <v/>
      </c>
      <c r="E2718" s="88">
        <f>ROUND((C2718*1.15)/100,0)*100</f>
        <v/>
      </c>
      <c r="F2718" s="88">
        <f>ROUND((C2718*1.15)/100,0)*100</f>
        <v/>
      </c>
      <c r="G2718" s="22" t="n"/>
      <c r="H2718" s="22" t="n"/>
      <c r="I2718" s="219">
        <f>ROUND((C2718*J2718)/100,0)*100</f>
        <v/>
      </c>
      <c r="J2718" s="118" t="n">
        <v>1.09</v>
      </c>
      <c r="K2718" s="219" t="n"/>
      <c r="L2718" s="219" t="n"/>
      <c r="M2718" s="18" t="n"/>
      <c r="N2718" s="18" t="n"/>
      <c r="O2718" s="18" t="n"/>
      <c r="P2718" s="43" t="n"/>
      <c r="R2718" s="117" t="n"/>
      <c r="T2718" s="117" t="n"/>
    </row>
    <row r="2719">
      <c r="A2719" s="68" t="inlineStr">
        <is>
          <t>259</t>
        </is>
      </c>
      <c r="B2719" s="110" t="inlineStr">
        <is>
          <t>SPECIAL CELESTE</t>
        </is>
      </c>
      <c r="C2719" s="88" t="n">
        <v>35000</v>
      </c>
      <c r="D2719" s="88">
        <f>ROUND((C2719*1.07)/100,0)*100</f>
        <v/>
      </c>
      <c r="E2719" s="88">
        <f>ROUND((C2719*1.15)/100,0)*100</f>
        <v/>
      </c>
      <c r="F2719" s="88">
        <f>ROUND((C2719*1.15)/100,0)*100</f>
        <v/>
      </c>
      <c r="G2719" s="22" t="n"/>
      <c r="H2719" s="22" t="n"/>
      <c r="I2719" s="219">
        <f>ROUND((C2719*J2719)/100,0)*100</f>
        <v/>
      </c>
      <c r="J2719" s="118" t="n">
        <v>1.09</v>
      </c>
      <c r="K2719" s="219" t="n"/>
      <c r="L2719" s="219" t="n"/>
      <c r="M2719" s="18" t="n"/>
      <c r="N2719" s="18" t="n"/>
      <c r="O2719" s="18" t="n"/>
      <c r="P2719" s="43" t="n"/>
      <c r="R2719" s="117" t="n"/>
      <c r="T2719" s="117" t="n"/>
    </row>
    <row r="2720">
      <c r="A2720" s="68" t="inlineStr">
        <is>
          <t>260</t>
        </is>
      </c>
      <c r="B2720" s="110" t="inlineStr">
        <is>
          <t>TRY JEANS GABARDINA BEIGE</t>
        </is>
      </c>
      <c r="C2720" s="88" t="n">
        <v>33000</v>
      </c>
      <c r="D2720" s="88">
        <f>ROUND((C2720*1.07)/100,0)*100</f>
        <v/>
      </c>
      <c r="E2720" s="88">
        <f>ROUND((C2720*1.15)/100,0)*100</f>
        <v/>
      </c>
      <c r="F2720" s="88">
        <f>ROUND((C2720*1.15)/100,0)*100</f>
        <v/>
      </c>
      <c r="G2720" s="22" t="n"/>
      <c r="H2720" s="22" t="n"/>
      <c r="I2720" s="219">
        <f>ROUND((C2720*J2720)/100,0)*100</f>
        <v/>
      </c>
      <c r="J2720" s="118" t="n">
        <v>1.09</v>
      </c>
      <c r="K2720" s="219" t="n"/>
      <c r="L2720" s="219" t="n"/>
      <c r="M2720" s="18" t="n"/>
      <c r="N2720" s="18" t="n"/>
      <c r="O2720" s="18" t="n"/>
      <c r="P2720" s="43" t="n"/>
      <c r="R2720" s="117" t="n"/>
      <c r="T2720" s="117" t="n"/>
    </row>
    <row r="2721">
      <c r="A2721" s="68" t="inlineStr">
        <is>
          <t>263</t>
        </is>
      </c>
      <c r="B2721" s="110" t="inlineStr">
        <is>
          <t>AERO BAÑO</t>
        </is>
      </c>
      <c r="C2721" s="88" t="n">
        <v>33000</v>
      </c>
      <c r="D2721" s="88">
        <f>ROUND((C2721*1.07)/100,0)*100</f>
        <v/>
      </c>
      <c r="E2721" s="88">
        <f>ROUND((C2721*1.15)/100,0)*100</f>
        <v/>
      </c>
      <c r="F2721" s="88">
        <f>ROUND((C2721*1.15)/100,0)*100</f>
        <v/>
      </c>
      <c r="G2721" s="22" t="n"/>
      <c r="H2721" s="22" t="n"/>
      <c r="I2721" s="219">
        <f>ROUND((C2721*J2721)/100,0)*100</f>
        <v/>
      </c>
      <c r="J2721" s="118" t="n">
        <v>1.09</v>
      </c>
      <c r="K2721" s="219" t="n"/>
      <c r="L2721" s="219" t="n"/>
      <c r="M2721" s="18" t="n"/>
      <c r="N2721" s="18" t="n"/>
      <c r="O2721" s="18" t="n"/>
      <c r="P2721" s="43" t="n"/>
      <c r="R2721" s="117" t="n"/>
      <c r="T2721" s="117" t="n"/>
    </row>
    <row r="2722">
      <c r="A2722" s="68" t="inlineStr">
        <is>
          <t>264</t>
        </is>
      </c>
      <c r="B2722" s="110" t="inlineStr">
        <is>
          <t>IZULINO</t>
        </is>
      </c>
      <c r="C2722" s="88" t="n">
        <v>33000</v>
      </c>
      <c r="D2722" s="88">
        <f>ROUND((C2722*1.07)/100,0)*100</f>
        <v/>
      </c>
      <c r="E2722" s="88">
        <f>ROUND((C2722*1.15)/100,0)*100</f>
        <v/>
      </c>
      <c r="F2722" s="88">
        <f>ROUND((C2722*1.15)/100,0)*100</f>
        <v/>
      </c>
      <c r="G2722" s="22" t="n"/>
      <c r="H2722" s="22" t="n"/>
      <c r="I2722" s="219">
        <f>ROUND((C2722*J2722)/100,0)*100</f>
        <v/>
      </c>
      <c r="J2722" s="118" t="n">
        <v>1.09</v>
      </c>
      <c r="K2722" s="219" t="n"/>
      <c r="L2722" s="219" t="n"/>
      <c r="M2722" s="18" t="n"/>
      <c r="N2722" s="18" t="n"/>
      <c r="O2722" s="18" t="n"/>
      <c r="P2722" s="43" t="n"/>
      <c r="R2722" s="117" t="n"/>
      <c r="T2722" s="117" t="n"/>
    </row>
    <row r="2723">
      <c r="A2723" s="68" t="inlineStr">
        <is>
          <t>265</t>
        </is>
      </c>
      <c r="B2723" s="110" t="inlineStr">
        <is>
          <t>HAILANDER</t>
        </is>
      </c>
      <c r="C2723" s="88" t="n">
        <v>29300</v>
      </c>
      <c r="D2723" s="88">
        <f>ROUND((C2723*1.07)/100,0)*100</f>
        <v/>
      </c>
      <c r="E2723" s="88">
        <f>ROUND((C2723*1.15)/100,0)*100</f>
        <v/>
      </c>
      <c r="F2723" s="88">
        <f>ROUND((C2723*1.15)/100,0)*100</f>
        <v/>
      </c>
      <c r="G2723" s="22" t="n"/>
      <c r="H2723" s="22" t="n"/>
      <c r="I2723" s="219">
        <f>ROUND((C2723*J2723)/100,0)*100</f>
        <v/>
      </c>
      <c r="J2723" s="118" t="n">
        <v>1.09</v>
      </c>
      <c r="K2723" s="219" t="n"/>
      <c r="L2723" s="219" t="n"/>
      <c r="M2723" s="18" t="n"/>
      <c r="N2723" s="18" t="n"/>
      <c r="O2723" s="18" t="n"/>
      <c r="P2723" s="43" t="n"/>
      <c r="R2723" s="117" t="n"/>
      <c r="T2723" s="117" t="n"/>
    </row>
    <row r="2724">
      <c r="A2724" s="68" t="inlineStr">
        <is>
          <t>266</t>
        </is>
      </c>
      <c r="B2724" s="110" t="inlineStr">
        <is>
          <t>C-026 RIB TOP</t>
        </is>
      </c>
      <c r="C2724" s="88" t="n">
        <v>25300</v>
      </c>
      <c r="D2724" s="88">
        <f>ROUND((C2724*1.07)/100,0)*100</f>
        <v/>
      </c>
      <c r="E2724" s="88">
        <f>ROUND((C2724*1.15)/100,0)*100</f>
        <v/>
      </c>
      <c r="F2724" s="88">
        <f>ROUND((C2724*1.15)/100,0)*100</f>
        <v/>
      </c>
      <c r="G2724" s="22" t="n"/>
      <c r="H2724" s="22" t="n"/>
      <c r="I2724" s="219">
        <f>ROUND((C2724*J2724)/100,0)*100</f>
        <v/>
      </c>
      <c r="J2724" s="118" t="n">
        <v>1.09</v>
      </c>
      <c r="K2724" s="219" t="n"/>
      <c r="L2724" s="219" t="n"/>
      <c r="M2724" s="18" t="n"/>
      <c r="N2724" s="18" t="n"/>
      <c r="O2724" s="18" t="n"/>
      <c r="P2724" s="43" t="n"/>
      <c r="R2724" s="117" t="n"/>
      <c r="T2724" s="117" t="n"/>
    </row>
    <row r="2725">
      <c r="A2725" s="68" t="inlineStr">
        <is>
          <t>267</t>
        </is>
      </c>
      <c r="B2725" s="110" t="inlineStr">
        <is>
          <t>LAST POINT</t>
        </is>
      </c>
      <c r="C2725" s="88" t="n">
        <v>31500</v>
      </c>
      <c r="D2725" s="88">
        <f>ROUND((C2725*1.07)/100,0)*100</f>
        <v/>
      </c>
      <c r="E2725" s="88">
        <f>ROUND((C2725*1.15)/100,0)*100</f>
        <v/>
      </c>
      <c r="F2725" s="88">
        <f>ROUND((C2725*1.15)/100,0)*100</f>
        <v/>
      </c>
      <c r="G2725" s="22" t="n"/>
      <c r="H2725" s="22" t="n"/>
      <c r="I2725" s="219">
        <f>ROUND((C2725*J2725)/100,0)*100</f>
        <v/>
      </c>
      <c r="J2725" s="118" t="n">
        <v>1.09</v>
      </c>
      <c r="K2725" s="219" t="n"/>
      <c r="L2725" s="219" t="n"/>
      <c r="M2725" s="18" t="n"/>
      <c r="N2725" s="18" t="n"/>
      <c r="O2725" s="18" t="n"/>
      <c r="P2725" s="43" t="n"/>
      <c r="R2725" s="117" t="n"/>
      <c r="T2725" s="117" t="n"/>
    </row>
    <row r="2726">
      <c r="A2726" s="68" t="inlineStr">
        <is>
          <t>268</t>
        </is>
      </c>
      <c r="B2726" s="110" t="inlineStr">
        <is>
          <t>SKY SNOWS</t>
        </is>
      </c>
      <c r="C2726" s="88" t="n">
        <v>42500</v>
      </c>
      <c r="D2726" s="88">
        <f>ROUND((C2726*1.07)/100,0)*100</f>
        <v/>
      </c>
      <c r="E2726" s="88">
        <f>ROUND((C2726*1.15)/100,0)*100</f>
        <v/>
      </c>
      <c r="F2726" s="88">
        <f>ROUND((C2726*1.15)/100,0)*100</f>
        <v/>
      </c>
      <c r="G2726" s="22" t="n"/>
      <c r="H2726" s="22" t="n"/>
      <c r="I2726" s="219">
        <f>ROUND((C2726*J2726)/100,0)*100</f>
        <v/>
      </c>
      <c r="J2726" s="118" t="n">
        <v>1.09</v>
      </c>
      <c r="K2726" s="219" t="n"/>
      <c r="L2726" s="219" t="n"/>
      <c r="M2726" s="18" t="n"/>
      <c r="N2726" s="18" t="n"/>
      <c r="O2726" s="18" t="n"/>
      <c r="P2726" s="43" t="n"/>
      <c r="R2726" s="117" t="n"/>
      <c r="T2726" s="117" t="n"/>
    </row>
    <row r="2727">
      <c r="A2727" s="68" t="inlineStr">
        <is>
          <t>269</t>
        </is>
      </c>
      <c r="B2727" s="110" t="inlineStr">
        <is>
          <t>TRY JEANS</t>
        </is>
      </c>
      <c r="C2727" s="88" t="n">
        <v>36900</v>
      </c>
      <c r="D2727" s="88">
        <f>ROUND((C2727*1.07)/100,0)*100</f>
        <v/>
      </c>
      <c r="E2727" s="88">
        <f>ROUND((C2727*1.15)/100,0)*100</f>
        <v/>
      </c>
      <c r="F2727" s="88">
        <f>ROUND((C2727*1.15)/100,0)*100</f>
        <v/>
      </c>
      <c r="G2727" s="22" t="n"/>
      <c r="H2727" s="22" t="n"/>
      <c r="I2727" s="219">
        <f>ROUND((C2727*J2727)/100,0)*100</f>
        <v/>
      </c>
      <c r="J2727" s="118" t="n">
        <v>1.09</v>
      </c>
      <c r="K2727" s="219" t="n"/>
      <c r="L2727" s="219" t="n"/>
      <c r="M2727" s="18" t="n"/>
      <c r="N2727" s="18" t="n"/>
      <c r="O2727" s="18" t="n"/>
      <c r="P2727" s="43" t="n"/>
      <c r="R2727" s="117" t="n"/>
      <c r="T2727" s="117" t="n"/>
    </row>
    <row r="2728">
      <c r="A2728" s="68" t="inlineStr">
        <is>
          <t>270/27001</t>
        </is>
      </c>
      <c r="B2728" s="110" t="inlineStr">
        <is>
          <t>MOJO JEANS</t>
        </is>
      </c>
      <c r="C2728" s="88" t="n">
        <v>31100</v>
      </c>
      <c r="D2728" s="88">
        <f>ROUND((C2728*1.07)/100,0)*100</f>
        <v/>
      </c>
      <c r="E2728" s="88">
        <f>ROUND((C2728*1.15)/100,0)*100</f>
        <v/>
      </c>
      <c r="F2728" s="88">
        <f>ROUND((C2728*1.15)/100,0)*100</f>
        <v/>
      </c>
      <c r="G2728" s="22" t="n"/>
      <c r="H2728" s="22" t="n"/>
      <c r="I2728" s="219">
        <f>ROUND((C2728*J2728)/100,0)*100</f>
        <v/>
      </c>
      <c r="J2728" s="118" t="n">
        <v>1.09</v>
      </c>
      <c r="K2728" s="219" t="n"/>
      <c r="L2728" s="219" t="n"/>
      <c r="M2728" s="18" t="n"/>
      <c r="N2728" s="18" t="n"/>
      <c r="O2728" s="18" t="n"/>
      <c r="P2728" s="43" t="n"/>
      <c r="R2728" s="117" t="n"/>
      <c r="T2728" s="117" t="n"/>
    </row>
    <row r="2729">
      <c r="A2729" s="68" t="inlineStr">
        <is>
          <t>271</t>
        </is>
      </c>
      <c r="B2729" s="110" t="inlineStr">
        <is>
          <t>SANDLEY SHORT BAÑO</t>
        </is>
      </c>
      <c r="C2729" s="88" t="n">
        <v>27200</v>
      </c>
      <c r="D2729" s="88">
        <f>ROUND((C2729*1.07)/100,0)*100</f>
        <v/>
      </c>
      <c r="E2729" s="88">
        <f>ROUND((C2729*1.15)/100,0)*100</f>
        <v/>
      </c>
      <c r="F2729" s="88">
        <f>ROUND((C2729*1.15)/100,0)*100</f>
        <v/>
      </c>
      <c r="G2729" s="22" t="n"/>
      <c r="H2729" s="22" t="n"/>
      <c r="I2729" s="219">
        <f>ROUND((C2729*J2729)/100,0)*100</f>
        <v/>
      </c>
      <c r="J2729" s="118" t="n">
        <v>1.09</v>
      </c>
      <c r="K2729" s="219" t="n"/>
      <c r="L2729" s="219" t="n"/>
      <c r="M2729" s="18" t="n"/>
      <c r="N2729" s="18" t="n"/>
      <c r="O2729" s="18" t="n"/>
      <c r="P2729" s="43" t="n"/>
      <c r="R2729" s="117" t="n"/>
      <c r="T2729" s="117" t="n"/>
    </row>
    <row r="2730">
      <c r="A2730" s="68" t="inlineStr">
        <is>
          <t>272</t>
        </is>
      </c>
      <c r="B2730" s="110" t="inlineStr">
        <is>
          <t>JHOKEMVI  JEAN</t>
        </is>
      </c>
      <c r="C2730" s="88" t="n">
        <v>27200</v>
      </c>
      <c r="D2730" s="88">
        <f>ROUND((C2730*1.07)/100,0)*100</f>
        <v/>
      </c>
      <c r="E2730" s="88">
        <f>ROUND((C2730*1.15)/100,0)*100</f>
        <v/>
      </c>
      <c r="F2730" s="88">
        <f>ROUND((C2730*1.15)/100,0)*100</f>
        <v/>
      </c>
      <c r="G2730" s="22" t="n"/>
      <c r="H2730" s="22" t="n"/>
      <c r="I2730" s="219">
        <f>ROUND((C2730*J2730)/100,0)*100</f>
        <v/>
      </c>
      <c r="J2730" s="118" t="n">
        <v>1.09</v>
      </c>
      <c r="K2730" s="219" t="n"/>
      <c r="L2730" s="219" t="n"/>
      <c r="M2730" s="18" t="n"/>
      <c r="N2730" s="18" t="n"/>
      <c r="O2730" s="18" t="n"/>
      <c r="P2730" s="43" t="n"/>
      <c r="R2730" s="117" t="n"/>
      <c r="T2730" s="117" t="n"/>
    </row>
    <row r="2731">
      <c r="A2731" s="68" t="inlineStr">
        <is>
          <t>2721</t>
        </is>
      </c>
      <c r="B2731" s="110" t="inlineStr">
        <is>
          <t>JHOKEMVI  JEAN</t>
        </is>
      </c>
      <c r="C2731" s="88" t="n">
        <v>27200</v>
      </c>
      <c r="D2731" s="88">
        <f>ROUND((C2731*1.07)/100,0)*100</f>
        <v/>
      </c>
      <c r="E2731" s="88">
        <f>ROUND((C2731*1.15)/100,0)*100</f>
        <v/>
      </c>
      <c r="F2731" s="88">
        <f>ROUND((C2731*1.15)/100,0)*100</f>
        <v/>
      </c>
      <c r="G2731" s="22" t="n"/>
      <c r="H2731" s="22" t="n"/>
      <c r="I2731" s="219">
        <f>ROUND((C2731*J2731)/100,0)*100</f>
        <v/>
      </c>
      <c r="J2731" s="118" t="n">
        <v>1.09</v>
      </c>
      <c r="K2731" s="219" t="n"/>
      <c r="L2731" s="219" t="n"/>
      <c r="M2731" s="18" t="n"/>
      <c r="N2731" s="18" t="n"/>
      <c r="O2731" s="18" t="n"/>
      <c r="P2731" s="43" t="n"/>
      <c r="R2731" s="117" t="n"/>
      <c r="T2731" s="117" t="n"/>
    </row>
    <row r="2732">
      <c r="A2732" s="68" t="inlineStr">
        <is>
          <t>27511</t>
        </is>
      </c>
      <c r="B2732" s="110" t="inlineStr">
        <is>
          <t>SKUASH/SONORA BAY SHORT BAÑO</t>
        </is>
      </c>
      <c r="C2732" s="88" t="n">
        <v>20700</v>
      </c>
      <c r="D2732" s="88">
        <f>ROUND((C2732*1.07)/100,0)*100</f>
        <v/>
      </c>
      <c r="E2732" s="88">
        <f>ROUND((C2732*1.15)/100,0)*100</f>
        <v/>
      </c>
      <c r="F2732" s="88">
        <f>ROUND((C2732*1.15)/100,0)*100</f>
        <v/>
      </c>
      <c r="G2732" s="22" t="n"/>
      <c r="H2732" s="22" t="n"/>
      <c r="I2732" s="219">
        <f>ROUND((C2732*J2732)/100,0)*100</f>
        <v/>
      </c>
      <c r="J2732" s="118" t="n">
        <v>1.09</v>
      </c>
      <c r="K2732" s="219" t="n"/>
      <c r="L2732" s="219" t="n"/>
      <c r="M2732" s="18" t="n"/>
      <c r="N2732" s="18" t="n"/>
      <c r="O2732" s="18" t="n"/>
      <c r="P2732" s="43" t="n"/>
      <c r="R2732" s="117" t="n"/>
      <c r="T2732" s="117" t="n"/>
    </row>
    <row r="2733">
      <c r="A2733" s="68" t="inlineStr">
        <is>
          <t>AER300</t>
        </is>
      </c>
      <c r="B2733" s="110" t="inlineStr">
        <is>
          <t>SHORT AERO</t>
        </is>
      </c>
      <c r="C2733" s="88" t="n">
        <v>28400</v>
      </c>
      <c r="D2733" s="88">
        <f>ROUND((C2733*1.07)/100,0)*100</f>
        <v/>
      </c>
      <c r="E2733" s="88">
        <f>ROUND((C2733*1.15)/100,0)*100</f>
        <v/>
      </c>
      <c r="F2733" s="88">
        <f>ROUND((C2733*1.15)/100,0)*100</f>
        <v/>
      </c>
      <c r="G2733" s="22" t="n"/>
      <c r="H2733" s="22" t="n"/>
      <c r="I2733" s="219">
        <f>ROUND((C2733*J2733)/100,0)*100</f>
        <v/>
      </c>
      <c r="J2733" s="118" t="n">
        <v>1.09</v>
      </c>
      <c r="K2733" s="219" t="n"/>
      <c r="L2733" s="219" t="n"/>
      <c r="M2733" s="18" t="n"/>
      <c r="N2733" s="18" t="n"/>
      <c r="O2733" s="18" t="n"/>
      <c r="P2733" s="43" t="n"/>
      <c r="R2733" s="117" t="n"/>
      <c r="T2733" s="117" t="n"/>
    </row>
    <row r="2734">
      <c r="A2734" s="68" t="inlineStr">
        <is>
          <t>AER339</t>
        </is>
      </c>
      <c r="B2734" s="110" t="inlineStr">
        <is>
          <t>AERO SHORT</t>
        </is>
      </c>
      <c r="C2734" s="88" t="n">
        <v>28400</v>
      </c>
      <c r="D2734" s="88">
        <f>ROUND((C2734*1.07)/100,0)*100</f>
        <v/>
      </c>
      <c r="E2734" s="88">
        <f>ROUND((C2734*1.15)/100,0)*100</f>
        <v/>
      </c>
      <c r="F2734" s="88">
        <f>ROUND((C2734*1.15)/100,0)*100</f>
        <v/>
      </c>
      <c r="G2734" s="22" t="n"/>
      <c r="H2734" s="22" t="n"/>
      <c r="I2734" s="219">
        <f>ROUND((C2734*J2734)/100,0)*100</f>
        <v/>
      </c>
      <c r="J2734" s="118" t="n">
        <v>1.09</v>
      </c>
      <c r="K2734" s="219" t="n"/>
      <c r="L2734" s="219" t="n"/>
      <c r="M2734" s="18" t="n"/>
      <c r="N2734" s="18" t="n"/>
      <c r="O2734" s="18" t="n"/>
      <c r="P2734" s="43" t="n"/>
      <c r="R2734" s="117" t="n"/>
      <c r="T2734" s="117" t="n"/>
    </row>
    <row r="2735">
      <c r="A2735" s="68" t="inlineStr">
        <is>
          <t>AER3</t>
        </is>
      </c>
      <c r="B2735" s="110" t="inlineStr">
        <is>
          <t>BERM JEAN PREMIUM</t>
        </is>
      </c>
      <c r="C2735" s="88" t="n">
        <v>44500</v>
      </c>
      <c r="D2735" s="88">
        <f>ROUND((C2735*1.07)/100,0)*100</f>
        <v/>
      </c>
      <c r="E2735" s="88">
        <f>ROUND((C2735*1.15)/100,0)*100</f>
        <v/>
      </c>
      <c r="F2735" s="88">
        <f>ROUND((C2735*1.15)/100,0)*100</f>
        <v/>
      </c>
      <c r="G2735" s="22" t="n"/>
      <c r="H2735" s="22" t="n"/>
      <c r="I2735" s="219">
        <f>ROUND((C2735*J2735)/100,0)*100</f>
        <v/>
      </c>
      <c r="J2735" s="118" t="n">
        <v>1.09</v>
      </c>
      <c r="K2735" s="219" t="n"/>
      <c r="L2735" s="219" t="n"/>
      <c r="M2735" s="18" t="n"/>
      <c r="N2735" s="18" t="n"/>
      <c r="O2735" s="18" t="n"/>
      <c r="P2735" s="43" t="n"/>
      <c r="R2735" s="117" t="n"/>
      <c r="T2735" s="117" t="n"/>
    </row>
    <row r="2736">
      <c r="A2736" s="68" t="inlineStr">
        <is>
          <t>AER321</t>
        </is>
      </c>
      <c r="B2736" s="110" t="inlineStr">
        <is>
          <t>BERM JEAN PREMIUM</t>
        </is>
      </c>
      <c r="C2736" s="88" t="n">
        <v>44500</v>
      </c>
      <c r="D2736" s="88">
        <f>ROUND((C2736*1.07)/100,0)*100</f>
        <v/>
      </c>
      <c r="E2736" s="88">
        <f>ROUND((C2736*1.15)/100,0)*100</f>
        <v/>
      </c>
      <c r="F2736" s="88">
        <f>ROUND((C2736*1.15)/100,0)*100</f>
        <v/>
      </c>
      <c r="G2736" s="22" t="n"/>
      <c r="H2736" s="22" t="n"/>
      <c r="I2736" s="219">
        <f>ROUND((C2736*J2736)/100,0)*100</f>
        <v/>
      </c>
      <c r="J2736" s="118" t="n">
        <v>1.09</v>
      </c>
      <c r="K2736" s="219" t="n"/>
      <c r="L2736" s="219" t="n"/>
      <c r="M2736" s="18" t="n"/>
      <c r="N2736" s="18" t="n"/>
      <c r="O2736" s="18" t="n"/>
      <c r="P2736" s="43" t="n"/>
      <c r="R2736" s="117" t="n"/>
      <c r="T2736" s="117" t="n"/>
    </row>
    <row r="2737">
      <c r="A2737" s="68" t="inlineStr">
        <is>
          <t>AER341</t>
        </is>
      </c>
      <c r="B2737" s="110" t="inlineStr">
        <is>
          <t>SHORT AERO</t>
        </is>
      </c>
      <c r="C2737" s="88" t="n">
        <v>28400</v>
      </c>
      <c r="D2737" s="88">
        <f>ROUND((C2737*1.07)/100,0)*100</f>
        <v/>
      </c>
      <c r="E2737" s="88">
        <f>ROUND((C2737*1.15)/100,0)*100</f>
        <v/>
      </c>
      <c r="F2737" s="88">
        <f>ROUND((C2737*1.15)/100,0)*100</f>
        <v/>
      </c>
      <c r="G2737" s="22" t="n"/>
      <c r="H2737" s="22" t="n"/>
      <c r="I2737" s="219">
        <f>ROUND((C2737*J2737)/100,0)*100</f>
        <v/>
      </c>
      <c r="J2737" s="118" t="n">
        <v>1.09</v>
      </c>
      <c r="K2737" s="219" t="n"/>
      <c r="L2737" s="219" t="n"/>
      <c r="M2737" s="18" t="n"/>
      <c r="N2737" s="18" t="n"/>
      <c r="O2737" s="18" t="n"/>
      <c r="P2737" s="43" t="n"/>
      <c r="R2737" s="117" t="n"/>
      <c r="T2737" s="117" t="n"/>
    </row>
    <row r="2738">
      <c r="A2738" s="68" t="inlineStr">
        <is>
          <t>AER347</t>
        </is>
      </c>
      <c r="B2738" s="110" t="inlineStr">
        <is>
          <t>SHORT AERO</t>
        </is>
      </c>
      <c r="C2738" s="88" t="n">
        <v>28400</v>
      </c>
      <c r="D2738" s="88">
        <f>ROUND((C2738*1.07)/100,0)*100</f>
        <v/>
      </c>
      <c r="E2738" s="88">
        <f>ROUND((C2738*1.15)/100,0)*100</f>
        <v/>
      </c>
      <c r="F2738" s="88">
        <f>ROUND((C2738*1.15)/100,0)*100</f>
        <v/>
      </c>
      <c r="G2738" s="22" t="n"/>
      <c r="H2738" s="22" t="n"/>
      <c r="I2738" s="219">
        <f>ROUND((C2738*J2738)/100,0)*100</f>
        <v/>
      </c>
      <c r="J2738" s="118" t="n">
        <v>1.09</v>
      </c>
      <c r="K2738" s="219" t="n"/>
      <c r="L2738" s="219" t="n"/>
      <c r="M2738" s="18" t="n"/>
      <c r="N2738" s="18" t="n"/>
      <c r="O2738" s="18" t="n"/>
      <c r="P2738" s="43" t="n"/>
      <c r="R2738" s="117" t="n"/>
      <c r="T2738" s="117" t="n"/>
    </row>
    <row r="2739">
      <c r="A2739" s="68" t="inlineStr">
        <is>
          <t>AER345</t>
        </is>
      </c>
      <c r="B2739" s="110" t="inlineStr">
        <is>
          <t>SHORT AERO</t>
        </is>
      </c>
      <c r="C2739" s="88" t="n">
        <v>28400</v>
      </c>
      <c r="D2739" s="88">
        <f>ROUND((C2739*1.07)/100,0)*100</f>
        <v/>
      </c>
      <c r="E2739" s="88">
        <f>ROUND((C2739*1.15)/100,0)*100</f>
        <v/>
      </c>
      <c r="F2739" s="88">
        <f>ROUND((C2739*1.15)/100,0)*100</f>
        <v/>
      </c>
      <c r="G2739" s="22" t="n"/>
      <c r="H2739" s="22" t="n"/>
      <c r="I2739" s="219">
        <f>ROUND((C2739*J2739)/100,0)*100</f>
        <v/>
      </c>
      <c r="J2739" s="118" t="n">
        <v>1.09</v>
      </c>
      <c r="K2739" s="219" t="n"/>
      <c r="L2739" s="219" t="n"/>
      <c r="M2739" s="18" t="n"/>
      <c r="N2739" s="18" t="n"/>
      <c r="O2739" s="18" t="n"/>
      <c r="P2739" s="43" t="n"/>
      <c r="R2739" s="117" t="n"/>
      <c r="T2739" s="117" t="n"/>
    </row>
    <row r="2740">
      <c r="A2740" s="68" t="inlineStr">
        <is>
          <t>371</t>
        </is>
      </c>
      <c r="B2740" s="110" t="n"/>
      <c r="C2740" s="88" t="n">
        <v>17600</v>
      </c>
      <c r="D2740" s="88">
        <f>ROUND((C2740*1.07)/100,0)*100</f>
        <v/>
      </c>
      <c r="E2740" s="88">
        <f>ROUND((C2740*1.15)/100,0)*100</f>
        <v/>
      </c>
      <c r="F2740" s="88">
        <f>ROUND((C2740*1.15)/100,0)*100</f>
        <v/>
      </c>
      <c r="G2740" s="22" t="n"/>
      <c r="H2740" s="22" t="n"/>
      <c r="I2740" s="219">
        <f>ROUND((C2740*J2740)/100,0)*100</f>
        <v/>
      </c>
      <c r="J2740" s="118" t="n">
        <v>1.09</v>
      </c>
      <c r="K2740" s="219" t="n"/>
      <c r="L2740" s="219" t="n"/>
      <c r="M2740" s="18" t="n"/>
      <c r="N2740" s="18" t="n"/>
      <c r="O2740" s="18" t="n"/>
      <c r="P2740" s="43" t="n"/>
      <c r="R2740" s="117" t="n"/>
      <c r="T2740" s="117" t="n"/>
    </row>
    <row r="2741">
      <c r="A2741" s="68" t="inlineStr">
        <is>
          <t>372</t>
        </is>
      </c>
      <c r="B2741" s="110" t="inlineStr">
        <is>
          <t xml:space="preserve">SKUASH </t>
        </is>
      </c>
      <c r="C2741" s="88" t="n">
        <v>13900</v>
      </c>
      <c r="D2741" s="88">
        <f>ROUND((C2741*1.07)/100,0)*100</f>
        <v/>
      </c>
      <c r="E2741" s="88">
        <f>ROUND((C2741*1.15)/100,0)*100</f>
        <v/>
      </c>
      <c r="F2741" s="88">
        <f>ROUND((C2741*1.15)/100,0)*100</f>
        <v/>
      </c>
      <c r="G2741" s="22" t="n"/>
      <c r="H2741" s="22" t="n"/>
      <c r="I2741" s="219">
        <f>ROUND((C2741*J2741)/100,0)*100</f>
        <v/>
      </c>
      <c r="J2741" s="118" t="n">
        <v>1.09</v>
      </c>
      <c r="K2741" s="219" t="n"/>
      <c r="L2741" s="219" t="n"/>
      <c r="M2741" s="18" t="n"/>
      <c r="N2741" s="18" t="n"/>
      <c r="O2741" s="18" t="n"/>
      <c r="P2741" s="43" t="n"/>
      <c r="R2741" s="117" t="n"/>
      <c r="T2741" s="117" t="n"/>
    </row>
    <row r="2742">
      <c r="A2742" s="68" t="inlineStr">
        <is>
          <t>381</t>
        </is>
      </c>
      <c r="B2742" s="110" t="inlineStr">
        <is>
          <t>LAST POINT</t>
        </is>
      </c>
      <c r="C2742" s="88" t="n">
        <v>23200</v>
      </c>
      <c r="D2742" s="88">
        <f>ROUND((C2742*1.07)/100,0)*100</f>
        <v/>
      </c>
      <c r="E2742" s="88">
        <f>ROUND((C2742*1.15)/100,0)*100</f>
        <v/>
      </c>
      <c r="F2742" s="88">
        <f>ROUND((C2742*1.15)/100,0)*100</f>
        <v/>
      </c>
      <c r="G2742" s="22" t="n"/>
      <c r="H2742" s="22" t="n"/>
      <c r="I2742" s="219">
        <f>ROUND((C2742*J2742)/100,0)*100</f>
        <v/>
      </c>
      <c r="J2742" s="118" t="n">
        <v>1.09</v>
      </c>
      <c r="K2742" s="219" t="n"/>
      <c r="L2742" s="219" t="n"/>
      <c r="M2742" s="18" t="n"/>
      <c r="N2742" s="18" t="n"/>
      <c r="O2742" s="18" t="n"/>
      <c r="P2742" s="43" t="n"/>
      <c r="R2742" s="117" t="n"/>
      <c r="T2742" s="117" t="n"/>
    </row>
    <row r="2743">
      <c r="A2743" s="68" t="inlineStr">
        <is>
          <t>390</t>
        </is>
      </c>
      <c r="B2743" s="110" t="inlineStr">
        <is>
          <t>LAST POINT</t>
        </is>
      </c>
      <c r="C2743" s="88" t="n">
        <v>28700</v>
      </c>
      <c r="D2743" s="88">
        <f>ROUND((C2743*1.07)/100,0)*100</f>
        <v/>
      </c>
      <c r="E2743" s="88">
        <f>ROUND((C2743*1.15)/100,0)*100</f>
        <v/>
      </c>
      <c r="F2743" s="88">
        <f>ROUND((C2743*1.15)/100,0)*100</f>
        <v/>
      </c>
      <c r="G2743" s="22" t="n"/>
      <c r="H2743" s="22" t="n"/>
      <c r="I2743" s="219">
        <f>ROUND((C2743*J2743)/100,0)*100</f>
        <v/>
      </c>
      <c r="J2743" s="118" t="n">
        <v>1.09</v>
      </c>
      <c r="K2743" s="219" t="n"/>
      <c r="L2743" s="219" t="n"/>
      <c r="M2743" s="18" t="n"/>
      <c r="N2743" s="18" t="n"/>
      <c r="O2743" s="18" t="n"/>
      <c r="P2743" s="43" t="n"/>
      <c r="R2743" s="117" t="n"/>
      <c r="T2743" s="117" t="n"/>
    </row>
    <row r="2744">
      <c r="A2744" s="68" t="inlineStr">
        <is>
          <t>398</t>
        </is>
      </c>
      <c r="B2744" s="110" t="inlineStr">
        <is>
          <t>LAST POINT</t>
        </is>
      </c>
      <c r="C2744" s="88" t="n">
        <v>28700</v>
      </c>
      <c r="D2744" s="88">
        <f>ROUND((C2744*1.07)/100,0)*100</f>
        <v/>
      </c>
      <c r="E2744" s="88">
        <f>ROUND((C2744*1.15)/100,0)*100</f>
        <v/>
      </c>
      <c r="F2744" s="88">
        <f>ROUND((C2744*1.15)/100,0)*100</f>
        <v/>
      </c>
      <c r="G2744" s="22" t="n"/>
      <c r="H2744" s="22" t="n"/>
      <c r="I2744" s="219">
        <f>ROUND((C2744*J2744)/100,0)*100</f>
        <v/>
      </c>
      <c r="J2744" s="118" t="n">
        <v>1.09</v>
      </c>
      <c r="K2744" s="219" t="n"/>
      <c r="L2744" s="219" t="n"/>
      <c r="M2744" s="18" t="n"/>
      <c r="N2744" s="18" t="n"/>
      <c r="O2744" s="18" t="n"/>
      <c r="P2744" s="43" t="n"/>
      <c r="R2744" s="117" t="n"/>
      <c r="T2744" s="117" t="n"/>
    </row>
    <row r="2745">
      <c r="A2745" s="68" t="inlineStr">
        <is>
          <t>5209</t>
        </is>
      </c>
      <c r="B2745" s="110" t="inlineStr">
        <is>
          <t>SHORT IMPORT MÁGICO</t>
        </is>
      </c>
      <c r="C2745" s="88" t="n">
        <v>28700</v>
      </c>
      <c r="D2745" s="88">
        <f>ROUND((C2745*1.07)/100,0)*100</f>
        <v/>
      </c>
      <c r="E2745" s="88">
        <f>ROUND((C2745*1.15)/100,0)*100</f>
        <v/>
      </c>
      <c r="F2745" s="88">
        <f>ROUND((C2745*1.15)/100,0)*100</f>
        <v/>
      </c>
      <c r="G2745" s="22" t="n"/>
      <c r="H2745" s="22" t="n"/>
      <c r="I2745" s="219">
        <f>ROUND((C2745*J2745)/100,0)*100</f>
        <v/>
      </c>
      <c r="J2745" s="118" t="n">
        <v>1.09</v>
      </c>
      <c r="K2745" s="22" t="n"/>
      <c r="L2745" s="22" t="n"/>
      <c r="M2745" s="18" t="n"/>
      <c r="N2745" s="18" t="n"/>
      <c r="O2745" s="18" t="n"/>
      <c r="P2745" s="43" t="n"/>
      <c r="R2745" s="117" t="n"/>
      <c r="T2745" s="117" t="n"/>
    </row>
    <row r="2746">
      <c r="A2746" s="68" t="inlineStr">
        <is>
          <t>5231</t>
        </is>
      </c>
      <c r="B2746" s="110" t="inlineStr">
        <is>
          <t>SHORT MICROF. ESTAMP.</t>
        </is>
      </c>
      <c r="C2746" s="88" t="n">
        <v>28700</v>
      </c>
      <c r="D2746" s="88">
        <f>ROUND((C2746*1.07)/100,0)*100</f>
        <v/>
      </c>
      <c r="E2746" s="88">
        <f>ROUND((C2746*1.15)/100,0)*100</f>
        <v/>
      </c>
      <c r="F2746" s="88">
        <f>ROUND((C2746*1.15)/100,0)*100</f>
        <v/>
      </c>
      <c r="G2746" s="22" t="n"/>
      <c r="H2746" s="22" t="n"/>
      <c r="I2746" s="219">
        <f>ROUND((C2746*J2746)/100,0)*100</f>
        <v/>
      </c>
      <c r="J2746" s="118" t="n">
        <v>1.09</v>
      </c>
      <c r="K2746" s="22" t="n"/>
      <c r="L2746" s="22" t="n"/>
      <c r="M2746" s="18" t="n"/>
      <c r="N2746" s="18" t="n"/>
      <c r="O2746" s="18" t="n"/>
      <c r="P2746" s="43" t="n"/>
      <c r="R2746" s="117" t="n"/>
      <c r="T2746" s="117" t="n"/>
    </row>
    <row r="2747">
      <c r="A2747" s="68" t="inlineStr">
        <is>
          <t>5234-5241</t>
        </is>
      </c>
      <c r="B2747" s="110" t="inlineStr">
        <is>
          <t>SHORT MICROF. 3xl/6xl</t>
        </is>
      </c>
      <c r="C2747" s="88" t="n">
        <v>28700</v>
      </c>
      <c r="D2747" s="88">
        <f>ROUND((C2747*1.07)/100,0)*100</f>
        <v/>
      </c>
      <c r="E2747" s="88">
        <f>ROUND((C2747*1.15)/100,0)*100</f>
        <v/>
      </c>
      <c r="F2747" s="88">
        <f>ROUND((C2747*1.15)/100,0)*100</f>
        <v/>
      </c>
      <c r="G2747" s="22" t="n"/>
      <c r="H2747" s="22" t="n"/>
      <c r="I2747" s="219">
        <f>ROUND((C2747*J2747)/100,0)*100</f>
        <v/>
      </c>
      <c r="J2747" s="118" t="n">
        <v>1.09</v>
      </c>
      <c r="K2747" s="22" t="n"/>
      <c r="L2747" s="22" t="n"/>
      <c r="M2747" s="18" t="n"/>
      <c r="N2747" s="18" t="n"/>
      <c r="O2747" s="18" t="n"/>
      <c r="P2747" s="43" t="n"/>
      <c r="R2747" s="117" t="n"/>
      <c r="T2747" s="117" t="n"/>
    </row>
    <row r="2748">
      <c r="A2748" s="68" t="inlineStr">
        <is>
          <t>5279</t>
        </is>
      </c>
      <c r="B2748" s="110" t="inlineStr">
        <is>
          <t>SHORT IMPORT ESTAMP</t>
        </is>
      </c>
      <c r="C2748" s="88" t="n">
        <v>28700</v>
      </c>
      <c r="D2748" s="88">
        <f>ROUND((C2748*1.07)/100,0)*100</f>
        <v/>
      </c>
      <c r="E2748" s="88">
        <f>ROUND((C2748*1.15)/100,0)*100</f>
        <v/>
      </c>
      <c r="F2748" s="88">
        <f>ROUND((C2748*1.15)/100,0)*100</f>
        <v/>
      </c>
      <c r="G2748" s="22" t="n"/>
      <c r="H2748" s="22" t="n"/>
      <c r="I2748" s="219">
        <f>ROUND((C2748*J2748)/100,0)*100</f>
        <v/>
      </c>
      <c r="J2748" s="118" t="n">
        <v>1.09</v>
      </c>
      <c r="K2748" s="22" t="n"/>
      <c r="L2748" s="22" t="n"/>
      <c r="M2748" s="18" t="n"/>
      <c r="N2748" s="18" t="n"/>
      <c r="O2748" s="18" t="n"/>
      <c r="P2748" s="43" t="n"/>
      <c r="R2748" s="117" t="n"/>
      <c r="T2748" s="117" t="n"/>
    </row>
    <row r="2749">
      <c r="A2749" s="68" t="inlineStr">
        <is>
          <t>5310</t>
        </is>
      </c>
      <c r="B2749" s="110" t="inlineStr">
        <is>
          <t>SHORT IMPORT ESTAMP</t>
        </is>
      </c>
      <c r="C2749" s="88" t="n">
        <v>28700</v>
      </c>
      <c r="D2749" s="88">
        <f>ROUND((C2749*1.07)/100,0)*100</f>
        <v/>
      </c>
      <c r="E2749" s="88">
        <f>ROUND((C2749*1.15)/100,0)*100</f>
        <v/>
      </c>
      <c r="F2749" s="88">
        <f>ROUND((C2749*1.15)/100,0)*100</f>
        <v/>
      </c>
      <c r="G2749" s="22" t="n"/>
      <c r="H2749" s="22" t="n"/>
      <c r="I2749" s="219">
        <f>ROUND((C2749*J2749)/100,0)*100</f>
        <v/>
      </c>
      <c r="J2749" s="118" t="n">
        <v>1.09</v>
      </c>
      <c r="K2749" s="22" t="n"/>
      <c r="L2749" s="22" t="n"/>
      <c r="M2749" s="18" t="n"/>
      <c r="N2749" s="18" t="n"/>
      <c r="O2749" s="18" t="n"/>
      <c r="P2749" s="43" t="n"/>
      <c r="R2749" s="117" t="n"/>
      <c r="T2749" s="117" t="n"/>
    </row>
    <row r="2750">
      <c r="A2750" s="68" t="inlineStr">
        <is>
          <t>1304</t>
        </is>
      </c>
      <c r="B2750" s="110" t="inlineStr">
        <is>
          <t>PALMETO 826</t>
        </is>
      </c>
      <c r="C2750" s="88" t="n">
        <v>27100</v>
      </c>
      <c r="D2750" s="22" t="n"/>
      <c r="E2750" s="22" t="n"/>
      <c r="F2750" s="22" t="n"/>
      <c r="G2750" s="22" t="n"/>
      <c r="H2750" s="22" t="n"/>
      <c r="I2750" s="219">
        <f>ROUND((C2750*J2750)/100,0)*100</f>
        <v/>
      </c>
      <c r="J2750" s="118" t="n">
        <v>1.09</v>
      </c>
      <c r="K2750" s="219" t="n"/>
      <c r="L2750" s="219" t="n"/>
      <c r="M2750" s="18" t="n"/>
      <c r="N2750" s="18" t="n"/>
      <c r="O2750" s="18" t="n"/>
      <c r="P2750" s="43" t="n"/>
      <c r="R2750" s="117" t="n"/>
      <c r="T2750" s="117" t="n"/>
    </row>
    <row r="2751">
      <c r="A2751" s="68" t="inlineStr">
        <is>
          <t>1302</t>
        </is>
      </c>
      <c r="B2751" s="110" t="inlineStr">
        <is>
          <t>PALMETO 827</t>
        </is>
      </c>
      <c r="C2751" s="88" t="n">
        <v>27100</v>
      </c>
      <c r="D2751" s="22" t="n"/>
      <c r="E2751" s="22" t="n"/>
      <c r="F2751" s="22" t="n"/>
      <c r="G2751" s="22" t="n"/>
      <c r="H2751" s="22" t="n"/>
      <c r="I2751" s="219">
        <f>ROUND((C2751*J2751)/100,0)*100</f>
        <v/>
      </c>
      <c r="J2751" s="118" t="n">
        <v>1.09</v>
      </c>
      <c r="K2751" s="219" t="n"/>
      <c r="L2751" s="219" t="n"/>
      <c r="M2751" s="18" t="n"/>
      <c r="N2751" s="18" t="n"/>
      <c r="O2751" s="18" t="n"/>
      <c r="P2751" s="43" t="n"/>
      <c r="R2751" s="117" t="n"/>
      <c r="T2751" s="117" t="n"/>
    </row>
    <row r="2752">
      <c r="A2752" s="68" t="inlineStr">
        <is>
          <t>AER1796</t>
        </is>
      </c>
      <c r="B2752" s="110" t="inlineStr">
        <is>
          <t>SHORT AERO</t>
        </is>
      </c>
      <c r="C2752" s="88" t="n">
        <v>27100</v>
      </c>
      <c r="D2752" s="22" t="n"/>
      <c r="E2752" s="22" t="n"/>
      <c r="F2752" s="22" t="n"/>
      <c r="G2752" s="22" t="n"/>
      <c r="H2752" s="22" t="n"/>
      <c r="I2752" s="219">
        <f>ROUND((C2752*J2752)/100,0)*100</f>
        <v/>
      </c>
      <c r="J2752" s="118" t="n">
        <v>1.09</v>
      </c>
      <c r="K2752" s="219" t="n"/>
      <c r="L2752" s="219" t="n"/>
      <c r="M2752" s="18" t="n"/>
      <c r="N2752" s="18" t="n"/>
      <c r="O2752" s="18" t="n"/>
      <c r="P2752" s="43" t="n"/>
      <c r="R2752" s="117" t="n"/>
      <c r="T2752" s="117" t="n"/>
    </row>
    <row r="2753">
      <c r="A2753" s="68" t="inlineStr">
        <is>
          <t>3101</t>
        </is>
      </c>
      <c r="B2753" s="110" t="inlineStr">
        <is>
          <t>LA URBANA  BAÑO</t>
        </is>
      </c>
      <c r="C2753" s="88" t="n">
        <v>15000</v>
      </c>
      <c r="D2753" s="22" t="n"/>
      <c r="E2753" s="22" t="n"/>
      <c r="F2753" s="22" t="n"/>
      <c r="G2753" s="22" t="n"/>
      <c r="H2753" s="22" t="n"/>
      <c r="I2753" s="219">
        <f>ROUND((C2753*J2753)/100,0)*100</f>
        <v/>
      </c>
      <c r="J2753" s="118" t="n">
        <v>1.09</v>
      </c>
      <c r="K2753" s="219" t="n"/>
      <c r="L2753" s="219" t="n"/>
      <c r="M2753" s="18" t="n"/>
      <c r="N2753" s="18" t="n"/>
      <c r="O2753" s="18" t="n"/>
      <c r="P2753" s="43" t="n"/>
      <c r="R2753" s="117" t="n"/>
      <c r="T2753" s="117" t="n"/>
    </row>
    <row r="2754">
      <c r="A2754" s="68" t="n"/>
      <c r="B2754" s="110" t="inlineStr">
        <is>
          <t>LA URBANA  BAÑO</t>
        </is>
      </c>
      <c r="C2754" s="88" t="n">
        <v>15000</v>
      </c>
      <c r="D2754" s="22" t="n"/>
      <c r="E2754" s="22" t="n"/>
      <c r="F2754" s="22" t="n"/>
      <c r="G2754" s="22" t="n"/>
      <c r="H2754" s="22" t="n"/>
      <c r="I2754" s="219">
        <f>ROUND((C2754*J2754)/100,0)*100</f>
        <v/>
      </c>
      <c r="J2754" s="118" t="n">
        <v>1.09</v>
      </c>
      <c r="K2754" s="219" t="n"/>
      <c r="L2754" s="219" t="n"/>
      <c r="M2754" s="18" t="n"/>
      <c r="N2754" s="18" t="n"/>
      <c r="O2754" s="18" t="n"/>
      <c r="P2754" s="43" t="n"/>
      <c r="R2754" s="117" t="n"/>
      <c r="T2754" s="117" t="n"/>
    </row>
    <row r="2755">
      <c r="A2755" s="68" t="inlineStr">
        <is>
          <t>AER3501</t>
        </is>
      </c>
      <c r="B2755" s="110" t="inlineStr">
        <is>
          <t>AERO BAÑO</t>
        </is>
      </c>
      <c r="C2755" s="88" t="n">
        <v>18100</v>
      </c>
      <c r="D2755" s="22" t="n"/>
      <c r="E2755" s="22" t="n"/>
      <c r="F2755" s="22" t="n"/>
      <c r="G2755" s="22" t="n"/>
      <c r="H2755" s="22" t="n"/>
      <c r="I2755" s="219">
        <f>ROUND((C2755*J2755)/100,0)*100</f>
        <v/>
      </c>
      <c r="J2755" s="118" t="n">
        <v>1.09</v>
      </c>
      <c r="K2755" s="219" t="n"/>
      <c r="L2755" s="219" t="n"/>
      <c r="M2755" s="18" t="n"/>
      <c r="N2755" s="18" t="n"/>
      <c r="O2755" s="18" t="n"/>
      <c r="P2755" s="43" t="n"/>
      <c r="R2755" s="117" t="n"/>
      <c r="T2755" s="117" t="n"/>
    </row>
    <row r="2756">
      <c r="A2756" s="68" t="inlineStr">
        <is>
          <t>4701</t>
        </is>
      </c>
      <c r="B2756" s="110" t="inlineStr">
        <is>
          <t>TIPICO</t>
        </is>
      </c>
      <c r="C2756" s="88" t="n">
        <v>38900</v>
      </c>
      <c r="D2756" s="22" t="n"/>
      <c r="E2756" s="22" t="n"/>
      <c r="F2756" s="22" t="n"/>
      <c r="G2756" s="22" t="n"/>
      <c r="H2756" s="22" t="n"/>
      <c r="I2756" s="219">
        <f>ROUND((C2756*J2756)/100,0)*100</f>
        <v/>
      </c>
      <c r="J2756" s="118" t="n">
        <v>1.09</v>
      </c>
      <c r="K2756" s="219" t="n"/>
      <c r="L2756" s="219" t="n"/>
      <c r="M2756" s="18" t="n"/>
      <c r="N2756" s="18" t="n"/>
      <c r="O2756" s="18" t="n"/>
      <c r="P2756" s="43" t="n"/>
      <c r="R2756" s="117" t="n"/>
      <c r="T2756" s="117" t="n"/>
    </row>
    <row r="2757">
      <c r="A2757" s="68" t="inlineStr">
        <is>
          <t>9700</t>
        </is>
      </c>
      <c r="B2757" s="110" t="inlineStr">
        <is>
          <t>SHORT</t>
        </is>
      </c>
      <c r="C2757" s="88" t="n">
        <v>37600</v>
      </c>
      <c r="D2757" s="22" t="n"/>
      <c r="E2757" s="22" t="n"/>
      <c r="F2757" s="22" t="n"/>
      <c r="G2757" s="22" t="n"/>
      <c r="H2757" s="22" t="n"/>
      <c r="I2757" s="219">
        <f>ROUND((C2757*J2757)/100,0)*100</f>
        <v/>
      </c>
      <c r="J2757" s="118" t="n">
        <v>1.09</v>
      </c>
      <c r="K2757" s="219" t="n"/>
      <c r="L2757" s="219" t="n"/>
      <c r="M2757" s="18" t="n"/>
      <c r="N2757" s="18" t="n"/>
      <c r="O2757" s="18" t="n"/>
      <c r="P2757" s="43" t="n"/>
      <c r="R2757" s="117" t="n"/>
      <c r="T2757" s="117" t="n"/>
    </row>
    <row r="2758">
      <c r="A2758" s="68" t="inlineStr">
        <is>
          <t>9702</t>
        </is>
      </c>
      <c r="B2758" s="110" t="n">
        <v>1975</v>
      </c>
      <c r="C2758" s="88" t="n">
        <v>37600</v>
      </c>
      <c r="D2758" s="22" t="n"/>
      <c r="E2758" s="22" t="n"/>
      <c r="F2758" s="22" t="n"/>
      <c r="G2758" s="22" t="n"/>
      <c r="H2758" s="22" t="n"/>
      <c r="I2758" s="219">
        <f>ROUND((C2758*J2758)/100,0)*100</f>
        <v/>
      </c>
      <c r="J2758" s="118" t="n">
        <v>1.09</v>
      </c>
      <c r="K2758" s="219" t="n"/>
      <c r="L2758" s="219" t="n"/>
      <c r="M2758" s="18" t="n"/>
      <c r="N2758" s="18" t="n"/>
      <c r="O2758" s="18" t="n"/>
      <c r="P2758" s="43" t="n"/>
      <c r="R2758" s="117" t="n"/>
      <c r="T2758" s="117" t="n"/>
    </row>
    <row r="2759">
      <c r="A2759" s="68" t="inlineStr">
        <is>
          <t>97021</t>
        </is>
      </c>
      <c r="B2759" s="110" t="inlineStr">
        <is>
          <t xml:space="preserve">PRINGLES CHINA CARGO </t>
        </is>
      </c>
      <c r="C2759" s="88" t="n">
        <v>65300</v>
      </c>
      <c r="D2759" s="22" t="n"/>
      <c r="E2759" s="22" t="n"/>
      <c r="F2759" s="22" t="n"/>
      <c r="G2759" s="22" t="n"/>
      <c r="H2759" s="22" t="n"/>
      <c r="I2759" s="219">
        <f>ROUND((C2759*J2759)/100,0)*100</f>
        <v/>
      </c>
      <c r="J2759" s="118" t="n">
        <v>1.09</v>
      </c>
      <c r="K2759" s="219" t="n"/>
      <c r="L2759" s="219" t="n"/>
      <c r="M2759" s="18" t="n"/>
      <c r="N2759" s="18" t="n"/>
      <c r="O2759" s="18" t="n"/>
      <c r="P2759" s="43" t="n"/>
      <c r="R2759" s="117" t="n"/>
      <c r="T2759" s="117" t="n"/>
    </row>
    <row r="2760">
      <c r="A2760" s="68" t="inlineStr">
        <is>
          <t>9704</t>
        </is>
      </c>
      <c r="B2760" s="110" t="n"/>
      <c r="C2760" s="88" t="n">
        <v>37600</v>
      </c>
      <c r="D2760" s="22" t="n"/>
      <c r="E2760" s="22" t="n"/>
      <c r="F2760" s="22" t="n"/>
      <c r="G2760" s="22" t="n"/>
      <c r="H2760" s="22" t="n"/>
      <c r="I2760" s="219">
        <f>ROUND((C2760*J2760)/100,0)*100</f>
        <v/>
      </c>
      <c r="J2760" s="118" t="n">
        <v>1.09</v>
      </c>
      <c r="K2760" s="219" t="n"/>
      <c r="L2760" s="219" t="n"/>
      <c r="M2760" s="18" t="n"/>
      <c r="N2760" s="18" t="n"/>
      <c r="O2760" s="18" t="n"/>
      <c r="P2760" s="43" t="n"/>
      <c r="R2760" s="117" t="n"/>
      <c r="T2760" s="117" t="n"/>
    </row>
    <row r="2761">
      <c r="A2761" s="68" t="inlineStr">
        <is>
          <t>9711</t>
        </is>
      </c>
      <c r="B2761" s="110" t="inlineStr">
        <is>
          <t>SHORT</t>
        </is>
      </c>
      <c r="C2761" s="88" t="n">
        <v>37600</v>
      </c>
      <c r="D2761" s="22" t="n"/>
      <c r="E2761" s="22" t="n"/>
      <c r="F2761" s="22" t="n"/>
      <c r="G2761" s="22" t="n"/>
      <c r="H2761" s="22" t="n"/>
      <c r="I2761" s="219">
        <f>ROUND((C2761*J2761)/100,0)*100</f>
        <v/>
      </c>
      <c r="J2761" s="118" t="n">
        <v>1.09</v>
      </c>
      <c r="K2761" s="219" t="n"/>
      <c r="L2761" s="219" t="n"/>
      <c r="M2761" s="18" t="n"/>
      <c r="N2761" s="18" t="n"/>
      <c r="O2761" s="18" t="n"/>
      <c r="P2761" s="43" t="n"/>
      <c r="R2761" s="117" t="n"/>
      <c r="T2761" s="117" t="n"/>
    </row>
    <row r="2762">
      <c r="A2762" s="68" t="inlineStr">
        <is>
          <t>9728</t>
        </is>
      </c>
      <c r="B2762" s="110" t="inlineStr">
        <is>
          <t>SHORTS</t>
        </is>
      </c>
      <c r="C2762" s="88" t="n">
        <v>37600</v>
      </c>
      <c r="D2762" s="22" t="n"/>
      <c r="E2762" s="22" t="n"/>
      <c r="F2762" s="22" t="n"/>
      <c r="G2762" s="22" t="n"/>
      <c r="H2762" s="22" t="n"/>
      <c r="I2762" s="219">
        <f>ROUND((C2762*J2762)/100,0)*100</f>
        <v/>
      </c>
      <c r="J2762" s="118" t="n">
        <v>1.09</v>
      </c>
      <c r="K2762" s="219" t="n"/>
      <c r="L2762" s="219" t="n"/>
      <c r="M2762" s="18" t="n"/>
      <c r="N2762" s="18" t="n"/>
      <c r="O2762" s="18" t="n"/>
      <c r="P2762" s="43" t="n"/>
      <c r="R2762" s="117" t="n"/>
      <c r="T2762" s="117" t="n"/>
    </row>
    <row r="2763">
      <c r="A2763" s="68" t="inlineStr">
        <is>
          <t>9729</t>
        </is>
      </c>
      <c r="B2763" s="110" t="inlineStr">
        <is>
          <t>SHORTS</t>
        </is>
      </c>
      <c r="C2763" s="88" t="n">
        <v>37600</v>
      </c>
      <c r="D2763" s="22" t="n"/>
      <c r="E2763" s="22" t="n"/>
      <c r="F2763" s="22" t="n"/>
      <c r="G2763" s="22" t="n"/>
      <c r="H2763" s="22" t="n"/>
      <c r="I2763" s="219">
        <f>ROUND((C2763*J2763)/100,0)*100</f>
        <v/>
      </c>
      <c r="J2763" s="118" t="n">
        <v>1.09</v>
      </c>
      <c r="K2763" s="219" t="n"/>
      <c r="L2763" s="219" t="n"/>
      <c r="M2763" s="18" t="n"/>
      <c r="N2763" s="18" t="n"/>
      <c r="O2763" s="18" t="n"/>
      <c r="P2763" s="43" t="n"/>
      <c r="R2763" s="117" t="n"/>
      <c r="T2763" s="117" t="n"/>
    </row>
    <row r="2764">
      <c r="A2764" s="68" t="inlineStr">
        <is>
          <t>9730</t>
        </is>
      </c>
      <c r="B2764" s="110" t="inlineStr">
        <is>
          <t>SHORT BAÑO</t>
        </is>
      </c>
      <c r="C2764" s="88" t="n">
        <v>37600</v>
      </c>
      <c r="D2764" s="22" t="n"/>
      <c r="E2764" s="22" t="n"/>
      <c r="F2764" s="22" t="n"/>
      <c r="G2764" s="22" t="n"/>
      <c r="H2764" s="22" t="n"/>
      <c r="I2764" s="219">
        <f>ROUND((C2764*J2764)/100,0)*100</f>
        <v/>
      </c>
      <c r="J2764" s="118" t="n">
        <v>1.09</v>
      </c>
      <c r="K2764" s="219" t="n"/>
      <c r="L2764" s="219" t="n"/>
      <c r="M2764" s="18" t="n"/>
      <c r="N2764" s="18" t="n"/>
      <c r="O2764" s="18" t="n"/>
      <c r="P2764" s="43" t="n"/>
      <c r="R2764" s="117" t="n"/>
      <c r="T2764" s="117" t="n"/>
    </row>
    <row r="2765">
      <c r="A2765" s="68" t="inlineStr">
        <is>
          <t>9731/9779</t>
        </is>
      </c>
      <c r="B2765" s="110" t="inlineStr">
        <is>
          <t>PRIDE SHORT BAÑO</t>
        </is>
      </c>
      <c r="C2765" s="88" t="n">
        <v>37600</v>
      </c>
      <c r="D2765" s="22" t="n"/>
      <c r="E2765" s="22" t="n"/>
      <c r="F2765" s="22" t="n"/>
      <c r="G2765" s="22" t="n"/>
      <c r="H2765" s="22" t="n"/>
      <c r="I2765" s="219">
        <f>ROUND((C2765*J2765)/100,0)*100</f>
        <v/>
      </c>
      <c r="J2765" s="118" t="n">
        <v>1.09</v>
      </c>
      <c r="K2765" s="219" t="n"/>
      <c r="L2765" s="219" t="n"/>
      <c r="M2765" s="18" t="n"/>
      <c r="N2765" s="18" t="n"/>
      <c r="O2765" s="18" t="n"/>
      <c r="P2765" s="43" t="n"/>
      <c r="R2765" s="117" t="n"/>
      <c r="T2765" s="117" t="n"/>
    </row>
    <row r="2766">
      <c r="A2766" s="68" t="inlineStr">
        <is>
          <t>9749</t>
        </is>
      </c>
      <c r="B2766" s="110" t="inlineStr">
        <is>
          <t>SHORT</t>
        </is>
      </c>
      <c r="C2766" s="88" t="n">
        <v>37600</v>
      </c>
      <c r="D2766" s="22" t="n"/>
      <c r="E2766" s="22" t="n"/>
      <c r="F2766" s="22" t="n"/>
      <c r="G2766" s="22" t="n"/>
      <c r="H2766" s="22" t="n"/>
      <c r="I2766" s="219">
        <f>ROUND((C2766*J2766)/100,0)*100</f>
        <v/>
      </c>
      <c r="J2766" s="118" t="n">
        <v>1.09</v>
      </c>
      <c r="K2766" s="219" t="n"/>
      <c r="L2766" s="219" t="n"/>
      <c r="M2766" s="18" t="n"/>
      <c r="N2766" s="18" t="n"/>
      <c r="O2766" s="18" t="n"/>
      <c r="P2766" s="43" t="n"/>
      <c r="R2766" s="117" t="n"/>
      <c r="T2766" s="117" t="n"/>
    </row>
    <row r="2767">
      <c r="A2767" s="68" t="inlineStr">
        <is>
          <t>97311</t>
        </is>
      </c>
      <c r="B2767" s="110" t="inlineStr">
        <is>
          <t xml:space="preserve">MENSFIELD SHORT </t>
        </is>
      </c>
      <c r="C2767" s="88" t="n">
        <v>61500</v>
      </c>
      <c r="D2767" s="88">
        <f>ROUND((C2767*1.07)/100,0)*100</f>
        <v/>
      </c>
      <c r="E2767" s="22" t="n"/>
      <c r="F2767" s="22" t="n"/>
      <c r="G2767" s="22" t="n"/>
      <c r="H2767" s="22" t="n"/>
      <c r="I2767" s="219">
        <f>ROUND((C2767*J2767)/100,0)*100</f>
        <v/>
      </c>
      <c r="J2767" s="118" t="n">
        <v>1.09</v>
      </c>
      <c r="K2767" s="219" t="n"/>
      <c r="L2767" s="219" t="n"/>
      <c r="M2767" s="18" t="n"/>
      <c r="N2767" s="18" t="n"/>
      <c r="O2767" s="18" t="n"/>
      <c r="P2767" s="43" t="n"/>
      <c r="R2767" s="117" t="n"/>
      <c r="T2767" s="117" t="n"/>
    </row>
    <row r="2768">
      <c r="A2768" s="68" t="inlineStr">
        <is>
          <t>97315</t>
        </is>
      </c>
      <c r="B2768" s="110" t="inlineStr">
        <is>
          <t>BERM. I-RUN HLM</t>
        </is>
      </c>
      <c r="C2768" s="88" t="n">
        <v>57000</v>
      </c>
      <c r="D2768" s="88">
        <f>ROUND((C2768*1.07)/100,0)*100</f>
        <v/>
      </c>
      <c r="E2768" s="22" t="n"/>
      <c r="F2768" s="22" t="n"/>
      <c r="G2768" s="22" t="n"/>
      <c r="H2768" s="22" t="n"/>
      <c r="I2768" s="219">
        <f>ROUND((C2768*J2768)/100,0)*100</f>
        <v/>
      </c>
      <c r="J2768" s="118" t="n">
        <v>1.09</v>
      </c>
      <c r="K2768" s="219" t="n"/>
      <c r="L2768" s="219" t="n"/>
      <c r="M2768" s="18" t="n"/>
      <c r="N2768" s="18" t="n"/>
      <c r="O2768" s="18" t="n"/>
      <c r="P2768" s="43" t="n"/>
      <c r="R2768" s="117" t="n"/>
      <c r="T2768" s="117" t="n"/>
    </row>
    <row r="2769">
      <c r="A2769" s="68" t="inlineStr">
        <is>
          <t>97316</t>
        </is>
      </c>
      <c r="B2769" s="110" t="inlineStr">
        <is>
          <t>BERM. GABARDINA I-RUN HLM</t>
        </is>
      </c>
      <c r="C2769" s="88" t="n">
        <v>64000</v>
      </c>
      <c r="D2769" s="88">
        <f>ROUND((C2769*1.07)/100,0)*100</f>
        <v/>
      </c>
      <c r="E2769" s="22" t="n"/>
      <c r="F2769" s="22" t="n"/>
      <c r="G2769" s="22" t="n"/>
      <c r="H2769" s="22" t="n"/>
      <c r="I2769" s="219">
        <f>ROUND((C2769*J2769)/100,0)*100</f>
        <v/>
      </c>
      <c r="J2769" s="118" t="n">
        <v>1.09</v>
      </c>
      <c r="K2769" s="219" t="n"/>
      <c r="L2769" s="219" t="n"/>
      <c r="M2769" s="18" t="n"/>
      <c r="N2769" s="18" t="n"/>
      <c r="O2769" s="18" t="n"/>
      <c r="P2769" s="43" t="n"/>
      <c r="R2769" s="117" t="n"/>
      <c r="T2769" s="117" t="n"/>
    </row>
    <row r="2770">
      <c r="A2770" s="161" t="inlineStr">
        <is>
          <t>1202XXX</t>
        </is>
      </c>
      <c r="B2770" s="110" t="inlineStr">
        <is>
          <t>TAVERNITI BERMUDA</t>
        </is>
      </c>
      <c r="C2770" s="88" t="n">
        <v>61500</v>
      </c>
      <c r="D2770" s="22" t="n"/>
      <c r="E2770" s="22" t="n"/>
      <c r="F2770" s="22" t="n"/>
      <c r="G2770" s="22" t="n"/>
      <c r="H2770" s="22" t="n"/>
      <c r="I2770" s="219">
        <f>ROUND((C2770*J2770)/100,0)*100</f>
        <v/>
      </c>
      <c r="J2770" s="118" t="n">
        <v>1.09</v>
      </c>
      <c r="K2770" s="219" t="n"/>
      <c r="L2770" s="219" t="n"/>
      <c r="M2770" s="18" t="n"/>
      <c r="N2770" s="18" t="n"/>
      <c r="O2770" s="18" t="n"/>
      <c r="P2770" s="43" t="n"/>
      <c r="R2770" s="117" t="n"/>
      <c r="T2770" s="117" t="n"/>
    </row>
    <row r="2771">
      <c r="A2771" s="68" t="inlineStr">
        <is>
          <t>102XXX</t>
        </is>
      </c>
      <c r="B2771" s="110" t="inlineStr">
        <is>
          <t>TAVERNITI BERMUDA</t>
        </is>
      </c>
      <c r="C2771" s="88" t="n">
        <v>72200</v>
      </c>
      <c r="D2771" s="22" t="n"/>
      <c r="E2771" s="22" t="n"/>
      <c r="F2771" s="22" t="n"/>
      <c r="G2771" s="22" t="n"/>
      <c r="H2771" s="22" t="n"/>
      <c r="I2771" s="219">
        <f>ROUND((C2771*J2771)/100,0)*100</f>
        <v/>
      </c>
      <c r="J2771" s="118" t="n">
        <v>1.09</v>
      </c>
      <c r="K2771" s="219" t="n"/>
      <c r="L2771" s="219" t="n"/>
      <c r="M2771" s="18" t="n"/>
      <c r="N2771" s="18" t="n"/>
      <c r="O2771" s="18" t="n"/>
      <c r="P2771" s="43" t="n"/>
      <c r="R2771" s="117" t="n"/>
      <c r="T2771" s="117" t="n"/>
    </row>
    <row r="2772">
      <c r="A2772" s="68" t="inlineStr">
        <is>
          <t>102604</t>
        </is>
      </c>
      <c r="B2772" s="110" t="inlineStr">
        <is>
          <t>TAVERNITI BERMUDA</t>
        </is>
      </c>
      <c r="C2772" s="88" t="n">
        <v>70500</v>
      </c>
      <c r="D2772" s="22" t="n"/>
      <c r="E2772" s="22" t="n"/>
      <c r="F2772" s="22" t="n"/>
      <c r="G2772" s="22" t="n"/>
      <c r="H2772" s="22" t="n"/>
      <c r="I2772" s="219">
        <f>ROUND((C2772*J2772)/100,0)*100</f>
        <v/>
      </c>
      <c r="J2772" s="118" t="n">
        <v>1.09</v>
      </c>
      <c r="K2772" s="219" t="n"/>
      <c r="L2772" s="219" t="n"/>
      <c r="M2772" s="18" t="n"/>
      <c r="N2772" s="18" t="n"/>
      <c r="O2772" s="18" t="n"/>
      <c r="P2772" s="43" t="n"/>
      <c r="R2772" s="117" t="n"/>
      <c r="T2772" s="117" t="n"/>
    </row>
    <row r="2773">
      <c r="A2773" s="68" t="inlineStr">
        <is>
          <t>216944</t>
        </is>
      </c>
      <c r="B2773" s="110" t="inlineStr">
        <is>
          <t>TAVERNITI BERMUDA</t>
        </is>
      </c>
      <c r="C2773" s="88" t="n">
        <v>70500</v>
      </c>
      <c r="D2773" s="22" t="n"/>
      <c r="E2773" s="22" t="n"/>
      <c r="F2773" s="22" t="n"/>
      <c r="G2773" s="22" t="n"/>
      <c r="H2773" s="22" t="n"/>
      <c r="I2773" s="219">
        <f>ROUND((C2773*J2773)/100,0)*100</f>
        <v/>
      </c>
      <c r="J2773" s="118" t="n">
        <v>1.09</v>
      </c>
      <c r="K2773" s="219" t="n"/>
      <c r="L2773" s="219" t="n"/>
      <c r="M2773" s="18" t="n"/>
      <c r="N2773" s="18" t="n"/>
      <c r="O2773" s="18" t="n"/>
      <c r="P2773" s="43" t="n"/>
      <c r="R2773" s="117" t="n"/>
      <c r="T2773" s="117" t="n"/>
    </row>
    <row r="2774">
      <c r="A2774" s="68" t="inlineStr">
        <is>
          <t>348524</t>
        </is>
      </c>
      <c r="B2774" s="110" t="inlineStr">
        <is>
          <t>TAVERNITI BERMUDA</t>
        </is>
      </c>
      <c r="C2774" s="88" t="n">
        <v>70500</v>
      </c>
      <c r="D2774" s="22" t="n"/>
      <c r="E2774" s="22" t="n"/>
      <c r="F2774" s="22" t="n"/>
      <c r="G2774" s="22" t="n"/>
      <c r="H2774" s="22" t="n"/>
      <c r="I2774" s="219">
        <f>ROUND((C2774*J2774)/100,0)*100</f>
        <v/>
      </c>
      <c r="J2774" s="118" t="n">
        <v>1.09</v>
      </c>
      <c r="K2774" s="219" t="n"/>
      <c r="L2774" s="219" t="n"/>
      <c r="M2774" s="18" t="n"/>
      <c r="N2774" s="18" t="n"/>
      <c r="O2774" s="18" t="n"/>
      <c r="P2774" s="43" t="n"/>
      <c r="R2774" s="117" t="n"/>
      <c r="T2774" s="117" t="n"/>
    </row>
    <row r="2775">
      <c r="A2775" s="68" t="inlineStr">
        <is>
          <t>394204</t>
        </is>
      </c>
      <c r="B2775" s="110" t="inlineStr">
        <is>
          <t>TAVERNITI BERMUDA</t>
        </is>
      </c>
      <c r="C2775" s="88" t="n">
        <v>70500</v>
      </c>
      <c r="D2775" s="22" t="n"/>
      <c r="E2775" s="22" t="n"/>
      <c r="F2775" s="22" t="n"/>
      <c r="G2775" s="22" t="n"/>
      <c r="H2775" s="22" t="n"/>
      <c r="I2775" s="219">
        <f>ROUND((C2775*J2775)/100,0)*100</f>
        <v/>
      </c>
      <c r="J2775" s="118" t="n">
        <v>1.09</v>
      </c>
      <c r="K2775" s="219" t="n"/>
      <c r="L2775" s="219" t="n"/>
      <c r="M2775" s="18" t="n"/>
      <c r="N2775" s="18" t="n"/>
      <c r="O2775" s="18" t="n"/>
      <c r="P2775" s="43" t="n"/>
      <c r="R2775" s="117" t="n"/>
      <c r="T2775" s="117" t="n"/>
    </row>
    <row r="2776">
      <c r="A2776" s="68" t="inlineStr">
        <is>
          <t>394237</t>
        </is>
      </c>
      <c r="B2776" s="110" t="inlineStr">
        <is>
          <t>TAVERNITI BERMUDA</t>
        </is>
      </c>
      <c r="C2776" s="88" t="n">
        <v>70500</v>
      </c>
      <c r="D2776" s="22" t="n"/>
      <c r="E2776" s="22" t="n"/>
      <c r="F2776" s="22" t="n"/>
      <c r="G2776" s="22" t="n"/>
      <c r="H2776" s="22" t="n"/>
      <c r="I2776" s="219">
        <f>ROUND((C2776*J2776)/100,0)*100</f>
        <v/>
      </c>
      <c r="J2776" s="118" t="n">
        <v>1.09</v>
      </c>
      <c r="K2776" s="219" t="n"/>
      <c r="L2776" s="219" t="n"/>
      <c r="M2776" s="18" t="n"/>
      <c r="N2776" s="18" t="n"/>
      <c r="O2776" s="18" t="n"/>
      <c r="P2776" s="43" t="n"/>
      <c r="R2776" s="117" t="n"/>
      <c r="T2776" s="117" t="n"/>
    </row>
    <row r="2777">
      <c r="A2777" s="68" t="inlineStr">
        <is>
          <t>396204</t>
        </is>
      </c>
      <c r="B2777" s="110" t="inlineStr">
        <is>
          <t>TAVERNITI BERMUDA</t>
        </is>
      </c>
      <c r="C2777" s="88" t="n">
        <v>70500</v>
      </c>
      <c r="D2777" s="22" t="n"/>
      <c r="E2777" s="22" t="n"/>
      <c r="F2777" s="22" t="n"/>
      <c r="G2777" s="22" t="n"/>
      <c r="H2777" s="22" t="n"/>
      <c r="I2777" s="219">
        <f>ROUND((C2777*J2777)/100,0)*100</f>
        <v/>
      </c>
      <c r="J2777" s="118" t="n">
        <v>1.09</v>
      </c>
      <c r="K2777" s="219" t="n"/>
      <c r="L2777" s="219" t="n"/>
      <c r="M2777" s="18" t="n"/>
      <c r="N2777" s="18" t="n"/>
      <c r="O2777" s="18" t="n"/>
      <c r="P2777" s="43" t="n"/>
      <c r="R2777" s="117" t="n"/>
      <c r="T2777" s="117" t="n"/>
    </row>
    <row r="2778">
      <c r="A2778" s="68" t="inlineStr">
        <is>
          <t>442712</t>
        </is>
      </c>
      <c r="B2778" s="110" t="inlineStr">
        <is>
          <t>TAVERNITI BERMUDA</t>
        </is>
      </c>
      <c r="C2778" s="88" t="n">
        <v>70500</v>
      </c>
      <c r="D2778" s="22" t="n"/>
      <c r="E2778" s="22" t="n"/>
      <c r="F2778" s="22" t="n"/>
      <c r="G2778" s="22" t="n"/>
      <c r="H2778" s="22" t="n"/>
      <c r="I2778" s="219">
        <f>ROUND((C2778*J2778)/100,0)*100</f>
        <v/>
      </c>
      <c r="J2778" s="118" t="n">
        <v>1.09</v>
      </c>
      <c r="K2778" s="219" t="n"/>
      <c r="L2778" s="219" t="n"/>
      <c r="M2778" s="18" t="n"/>
      <c r="N2778" s="18" t="n"/>
      <c r="O2778" s="18" t="n"/>
      <c r="P2778" s="43" t="n"/>
      <c r="R2778" s="117" t="n"/>
      <c r="T2778" s="117" t="n"/>
    </row>
    <row r="2779">
      <c r="A2779" s="68" t="inlineStr">
        <is>
          <t>456450</t>
        </is>
      </c>
      <c r="B2779" s="110" t="inlineStr">
        <is>
          <t>TAVERNITI BERMUDA</t>
        </is>
      </c>
      <c r="C2779" s="88" t="n">
        <v>70500</v>
      </c>
      <c r="D2779" s="22" t="n"/>
      <c r="E2779" s="22" t="n"/>
      <c r="F2779" s="22" t="n"/>
      <c r="G2779" s="22" t="n"/>
      <c r="H2779" s="22" t="n"/>
      <c r="I2779" s="219">
        <f>ROUND((C2779*J2779)/100,0)*100</f>
        <v/>
      </c>
      <c r="J2779" s="118" t="n">
        <v>1.09</v>
      </c>
      <c r="K2779" s="219" t="n"/>
      <c r="L2779" s="219" t="n"/>
      <c r="M2779" s="18" t="n"/>
      <c r="N2779" s="18" t="n"/>
      <c r="O2779" s="18" t="n"/>
      <c r="P2779" s="43" t="n"/>
      <c r="R2779" s="117" t="n"/>
      <c r="T2779" s="117" t="n"/>
    </row>
    <row r="2780">
      <c r="A2780" s="68" t="inlineStr">
        <is>
          <t>456536</t>
        </is>
      </c>
      <c r="B2780" s="110" t="inlineStr">
        <is>
          <t>TAVERNITI BERMUDA</t>
        </is>
      </c>
      <c r="C2780" s="88" t="n">
        <v>70500</v>
      </c>
      <c r="D2780" s="22" t="n"/>
      <c r="E2780" s="22" t="n"/>
      <c r="F2780" s="22" t="n"/>
      <c r="G2780" s="22" t="n"/>
      <c r="H2780" s="22" t="n"/>
      <c r="I2780" s="219">
        <f>ROUND((C2780*J2780)/100,0)*100</f>
        <v/>
      </c>
      <c r="J2780" s="118" t="n">
        <v>1.09</v>
      </c>
      <c r="K2780" s="219" t="n"/>
      <c r="L2780" s="219" t="n"/>
      <c r="M2780" s="18" t="n"/>
      <c r="N2780" s="18" t="n"/>
      <c r="O2780" s="18" t="n"/>
      <c r="P2780" s="43" t="n"/>
      <c r="R2780" s="117" t="n"/>
      <c r="T2780" s="117" t="n"/>
    </row>
    <row r="2781">
      <c r="A2781" s="68" t="inlineStr">
        <is>
          <t>458204</t>
        </is>
      </c>
      <c r="B2781" s="110" t="inlineStr">
        <is>
          <t>TAVERNITI BERMUDA</t>
        </is>
      </c>
      <c r="C2781" s="88" t="n">
        <v>70500</v>
      </c>
      <c r="D2781" s="22" t="n"/>
      <c r="E2781" s="22" t="n"/>
      <c r="F2781" s="22" t="n"/>
      <c r="G2781" s="22" t="n"/>
      <c r="H2781" s="22" t="n"/>
      <c r="I2781" s="219">
        <f>ROUND((C2781*J2781)/100,0)*100</f>
        <v/>
      </c>
      <c r="J2781" s="118" t="n">
        <v>1.09</v>
      </c>
      <c r="K2781" s="219" t="n"/>
      <c r="L2781" s="219" t="n"/>
      <c r="M2781" s="18" t="n"/>
      <c r="N2781" s="18" t="n"/>
      <c r="O2781" s="18" t="n"/>
      <c r="P2781" s="43" t="n"/>
      <c r="R2781" s="117" t="n"/>
      <c r="T2781" s="117" t="n"/>
    </row>
    <row r="2782">
      <c r="A2782" s="68" t="inlineStr">
        <is>
          <t>458524</t>
        </is>
      </c>
      <c r="B2782" s="110" t="inlineStr">
        <is>
          <t>TAVERNITI BERMUDA</t>
        </is>
      </c>
      <c r="C2782" s="88" t="n">
        <v>70500</v>
      </c>
      <c r="D2782" s="22" t="n"/>
      <c r="E2782" s="22" t="n"/>
      <c r="F2782" s="22" t="n"/>
      <c r="G2782" s="22" t="n"/>
      <c r="H2782" s="22" t="n"/>
      <c r="I2782" s="219">
        <f>ROUND((C2782*J2782)/100,0)*100</f>
        <v/>
      </c>
      <c r="J2782" s="118" t="n">
        <v>1.09</v>
      </c>
      <c r="K2782" s="219" t="n"/>
      <c r="L2782" s="219" t="n"/>
      <c r="M2782" s="18" t="n"/>
      <c r="N2782" s="18" t="n"/>
      <c r="O2782" s="18" t="n"/>
      <c r="P2782" s="43" t="n"/>
      <c r="R2782" s="117" t="n"/>
      <c r="T2782" s="117" t="n"/>
    </row>
    <row r="2783">
      <c r="A2783" s="68" t="inlineStr">
        <is>
          <t>476714</t>
        </is>
      </c>
      <c r="B2783" s="110" t="inlineStr">
        <is>
          <t>TAVERNITI BERMUDA</t>
        </is>
      </c>
      <c r="C2783" s="88" t="n">
        <v>70500</v>
      </c>
      <c r="D2783" s="22" t="n"/>
      <c r="E2783" s="22" t="n"/>
      <c r="F2783" s="22" t="n"/>
      <c r="G2783" s="22" t="n"/>
      <c r="H2783" s="22" t="n"/>
      <c r="I2783" s="219">
        <f>ROUND((C2783*J2783)/100,0)*100</f>
        <v/>
      </c>
      <c r="J2783" s="118" t="n">
        <v>1.09</v>
      </c>
      <c r="K2783" s="219" t="n"/>
      <c r="L2783" s="219" t="n"/>
      <c r="M2783" s="18" t="n"/>
      <c r="N2783" s="18" t="n"/>
      <c r="O2783" s="18" t="n"/>
      <c r="P2783" s="43" t="n"/>
      <c r="R2783" s="117" t="n"/>
      <c r="T2783" s="117" t="n"/>
    </row>
    <row r="2784">
      <c r="A2784" s="68" t="inlineStr">
        <is>
          <t>476921</t>
        </is>
      </c>
      <c r="B2784" s="110" t="inlineStr">
        <is>
          <t>TAVERNITI BERMUDA</t>
        </is>
      </c>
      <c r="C2784" s="88" t="n">
        <v>70500</v>
      </c>
      <c r="D2784" s="22" t="n"/>
      <c r="E2784" s="22" t="n"/>
      <c r="F2784" s="22" t="n"/>
      <c r="G2784" s="22" t="n"/>
      <c r="H2784" s="22" t="n"/>
      <c r="I2784" s="219">
        <f>ROUND((C2784*J2784)/100,0)*100</f>
        <v/>
      </c>
      <c r="J2784" s="118" t="n">
        <v>1.09</v>
      </c>
      <c r="K2784" s="219" t="n"/>
      <c r="L2784" s="219" t="n"/>
      <c r="M2784" s="18" t="n"/>
      <c r="N2784" s="18" t="n"/>
      <c r="O2784" s="18" t="n"/>
      <c r="P2784" s="43" t="n"/>
      <c r="R2784" s="117" t="n"/>
      <c r="T2784" s="117" t="n"/>
    </row>
    <row r="2785">
      <c r="A2785" s="68" t="inlineStr">
        <is>
          <t>484204</t>
        </is>
      </c>
      <c r="B2785" s="110" t="inlineStr">
        <is>
          <t>TAVERNITI BERMUDA</t>
        </is>
      </c>
      <c r="C2785" s="88" t="n">
        <v>70500</v>
      </c>
      <c r="D2785" s="22" t="n"/>
      <c r="E2785" s="22" t="n"/>
      <c r="F2785" s="22" t="n"/>
      <c r="G2785" s="22" t="n"/>
      <c r="H2785" s="22" t="n"/>
      <c r="I2785" s="219">
        <f>ROUND((C2785*J2785)/100,0)*100</f>
        <v/>
      </c>
      <c r="J2785" s="118" t="n">
        <v>1.09</v>
      </c>
      <c r="K2785" s="219" t="n"/>
      <c r="L2785" s="219" t="n"/>
      <c r="M2785" s="18" t="n"/>
      <c r="N2785" s="18" t="n"/>
      <c r="O2785" s="18" t="n"/>
      <c r="P2785" s="43" t="n"/>
      <c r="R2785" s="117" t="n"/>
      <c r="T2785" s="117" t="n"/>
    </row>
    <row r="2786">
      <c r="A2786" s="68" t="inlineStr">
        <is>
          <t>484450</t>
        </is>
      </c>
      <c r="B2786" s="110" t="inlineStr">
        <is>
          <t>TAVERNITI BERMUDA</t>
        </is>
      </c>
      <c r="C2786" s="88" t="n">
        <v>70500</v>
      </c>
      <c r="D2786" s="22" t="n"/>
      <c r="E2786" s="22" t="n"/>
      <c r="F2786" s="22" t="n"/>
      <c r="G2786" s="22" t="n"/>
      <c r="H2786" s="22" t="n"/>
      <c r="I2786" s="219">
        <f>ROUND((C2786*J2786)/100,0)*100</f>
        <v/>
      </c>
      <c r="J2786" s="118" t="n">
        <v>1.09</v>
      </c>
      <c r="K2786" s="219" t="n"/>
      <c r="L2786" s="219" t="n"/>
      <c r="M2786" s="18" t="n"/>
      <c r="N2786" s="18" t="n"/>
      <c r="O2786" s="18" t="n"/>
      <c r="P2786" s="43" t="n"/>
      <c r="R2786" s="117" t="n"/>
      <c r="T2786" s="117" t="n"/>
    </row>
    <row r="2787">
      <c r="A2787" s="68" t="inlineStr">
        <is>
          <t>484524</t>
        </is>
      </c>
      <c r="B2787" s="110" t="inlineStr">
        <is>
          <t>TAVERNITI BERMUDA</t>
        </is>
      </c>
      <c r="C2787" s="88" t="n">
        <v>70500</v>
      </c>
      <c r="D2787" s="22" t="n"/>
      <c r="E2787" s="22" t="n"/>
      <c r="F2787" s="22" t="n"/>
      <c r="G2787" s="22" t="n"/>
      <c r="H2787" s="22" t="n"/>
      <c r="I2787" s="219">
        <f>ROUND((C2787*J2787)/100,0)*100</f>
        <v/>
      </c>
      <c r="J2787" s="118" t="n">
        <v>1.09</v>
      </c>
      <c r="K2787" s="219" t="n"/>
      <c r="L2787" s="219" t="n"/>
      <c r="M2787" s="18" t="n"/>
      <c r="N2787" s="18" t="n"/>
      <c r="O2787" s="18" t="n"/>
      <c r="P2787" s="43" t="n"/>
      <c r="R2787" s="117" t="n"/>
      <c r="T2787" s="117" t="n"/>
    </row>
    <row r="2788">
      <c r="A2788" s="68" t="inlineStr">
        <is>
          <t>484525</t>
        </is>
      </c>
      <c r="B2788" s="110" t="inlineStr">
        <is>
          <t>TAVERNITI BERMUDA</t>
        </is>
      </c>
      <c r="C2788" s="88" t="n">
        <v>70500</v>
      </c>
      <c r="D2788" s="22" t="n"/>
      <c r="E2788" s="22" t="n"/>
      <c r="F2788" s="22" t="n"/>
      <c r="G2788" s="22" t="n"/>
      <c r="H2788" s="22" t="n"/>
      <c r="I2788" s="219">
        <f>ROUND((C2788*J2788)/100,0)*100</f>
        <v/>
      </c>
      <c r="J2788" s="118" t="n">
        <v>1.09</v>
      </c>
      <c r="K2788" s="219" t="n"/>
      <c r="L2788" s="219" t="n"/>
      <c r="M2788" s="18" t="n"/>
      <c r="N2788" s="18" t="n"/>
      <c r="O2788" s="18" t="n"/>
      <c r="P2788" s="43" t="n"/>
      <c r="R2788" s="117" t="n"/>
      <c r="T2788" s="117" t="n"/>
    </row>
    <row r="2789">
      <c r="A2789" s="68" t="inlineStr">
        <is>
          <t>484568</t>
        </is>
      </c>
      <c r="B2789" s="110" t="inlineStr">
        <is>
          <t>TAVERNITI BERMUDA</t>
        </is>
      </c>
      <c r="C2789" s="88" t="n">
        <v>70500</v>
      </c>
      <c r="D2789" s="22" t="n"/>
      <c r="E2789" s="22" t="n"/>
      <c r="F2789" s="22" t="n"/>
      <c r="G2789" s="22" t="n"/>
      <c r="H2789" s="22" t="n"/>
      <c r="I2789" s="219">
        <f>ROUND((C2789*J2789)/100,0)*100</f>
        <v/>
      </c>
      <c r="J2789" s="118" t="n">
        <v>1.09</v>
      </c>
      <c r="K2789" s="219" t="n"/>
      <c r="L2789" s="219" t="n"/>
      <c r="M2789" s="18" t="n"/>
      <c r="N2789" s="18" t="n"/>
      <c r="O2789" s="18" t="n"/>
      <c r="P2789" s="43" t="n"/>
      <c r="R2789" s="117" t="n"/>
      <c r="T2789" s="117" t="n"/>
    </row>
    <row r="2790">
      <c r="A2790" s="68" t="inlineStr">
        <is>
          <t>484912</t>
        </is>
      </c>
      <c r="B2790" s="110" t="inlineStr">
        <is>
          <t>TAVERNITI BERMUDA</t>
        </is>
      </c>
      <c r="C2790" s="88" t="n">
        <v>70500</v>
      </c>
      <c r="D2790" s="22" t="n"/>
      <c r="E2790" s="22" t="n"/>
      <c r="F2790" s="22" t="n"/>
      <c r="G2790" s="22" t="n"/>
      <c r="H2790" s="22" t="n"/>
      <c r="I2790" s="219">
        <f>ROUND((C2790*J2790)/100,0)*100</f>
        <v/>
      </c>
      <c r="J2790" s="118" t="n">
        <v>1.09</v>
      </c>
      <c r="K2790" s="219" t="n"/>
      <c r="L2790" s="219" t="n"/>
      <c r="M2790" s="18" t="n"/>
      <c r="N2790" s="18" t="n"/>
      <c r="O2790" s="18" t="n"/>
      <c r="P2790" s="43" t="n"/>
      <c r="R2790" s="117" t="n"/>
      <c r="T2790" s="117" t="n"/>
    </row>
    <row r="2791">
      <c r="A2791" s="68" t="inlineStr">
        <is>
          <t>554918</t>
        </is>
      </c>
      <c r="B2791" s="110" t="inlineStr">
        <is>
          <t>TAVERNITI BERMUDA</t>
        </is>
      </c>
      <c r="C2791" s="88" t="n">
        <v>70500</v>
      </c>
      <c r="D2791" s="22" t="n"/>
      <c r="E2791" s="22" t="n"/>
      <c r="F2791" s="22" t="n"/>
      <c r="G2791" s="22" t="n"/>
      <c r="H2791" s="22" t="n"/>
      <c r="I2791" s="219">
        <f>ROUND((C2791*J2791)/100,0)*100</f>
        <v/>
      </c>
      <c r="J2791" s="118" t="n">
        <v>1.09</v>
      </c>
      <c r="K2791" s="219" t="n"/>
      <c r="L2791" s="219" t="n"/>
      <c r="M2791" s="18" t="n"/>
      <c r="N2791" s="18" t="n"/>
      <c r="O2791" s="18" t="n"/>
      <c r="P2791" s="43" t="n"/>
      <c r="R2791" s="117" t="n"/>
      <c r="T2791" s="117" t="n"/>
    </row>
    <row r="2792">
      <c r="A2792" s="68" t="inlineStr">
        <is>
          <t>556603</t>
        </is>
      </c>
      <c r="B2792" s="110" t="inlineStr">
        <is>
          <t>TAVERNITI BERMUDA</t>
        </is>
      </c>
      <c r="C2792" s="88" t="n">
        <v>70500</v>
      </c>
      <c r="D2792" s="22" t="n"/>
      <c r="E2792" s="22" t="n"/>
      <c r="F2792" s="22" t="n"/>
      <c r="G2792" s="22" t="n"/>
      <c r="H2792" s="22" t="n"/>
      <c r="I2792" s="219">
        <f>ROUND((C2792*J2792)/100,0)*100</f>
        <v/>
      </c>
      <c r="J2792" s="118" t="n">
        <v>1.09</v>
      </c>
      <c r="K2792" s="219" t="n"/>
      <c r="L2792" s="219" t="n"/>
      <c r="M2792" s="18" t="n"/>
      <c r="N2792" s="18" t="n"/>
      <c r="O2792" s="18" t="n"/>
      <c r="P2792" s="43" t="n"/>
      <c r="R2792" s="117" t="n"/>
      <c r="T2792" s="117" t="n"/>
    </row>
    <row r="2793">
      <c r="A2793" s="68" t="inlineStr">
        <is>
          <t>556604</t>
        </is>
      </c>
      <c r="B2793" s="110" t="inlineStr">
        <is>
          <t>TAVERNITI BERMUDA</t>
        </is>
      </c>
      <c r="C2793" s="88" t="n">
        <v>70500</v>
      </c>
      <c r="D2793" s="22" t="n"/>
      <c r="E2793" s="22" t="n"/>
      <c r="F2793" s="22" t="n"/>
      <c r="G2793" s="22" t="n"/>
      <c r="H2793" s="22" t="n"/>
      <c r="I2793" s="219">
        <f>ROUND((C2793*J2793)/100,0)*100</f>
        <v/>
      </c>
      <c r="J2793" s="118" t="n">
        <v>1.09</v>
      </c>
      <c r="K2793" s="219" t="n"/>
      <c r="L2793" s="219" t="n"/>
      <c r="M2793" s="18" t="n"/>
      <c r="N2793" s="18" t="n"/>
      <c r="O2793" s="18" t="n"/>
      <c r="P2793" s="43" t="n"/>
      <c r="R2793" s="117" t="n"/>
      <c r="T2793" s="117" t="n"/>
    </row>
    <row r="2794">
      <c r="A2794" s="68" t="inlineStr">
        <is>
          <t>556605</t>
        </is>
      </c>
      <c r="B2794" s="110" t="inlineStr">
        <is>
          <t>TAVERNITI BERMUDA</t>
        </is>
      </c>
      <c r="C2794" s="88" t="n">
        <v>70500</v>
      </c>
      <c r="D2794" s="22" t="n"/>
      <c r="E2794" s="22" t="n"/>
      <c r="F2794" s="22" t="n"/>
      <c r="G2794" s="22" t="n"/>
      <c r="H2794" s="22" t="n"/>
      <c r="I2794" s="219">
        <f>ROUND((C2794*J2794)/100,0)*100</f>
        <v/>
      </c>
      <c r="J2794" s="118" t="n">
        <v>1.09</v>
      </c>
      <c r="K2794" s="219" t="n"/>
      <c r="L2794" s="219" t="n"/>
      <c r="M2794" s="18" t="n"/>
      <c r="N2794" s="18" t="n"/>
      <c r="O2794" s="18" t="n"/>
      <c r="P2794" s="43" t="n"/>
      <c r="R2794" s="117" t="n"/>
      <c r="T2794" s="117" t="n"/>
    </row>
    <row r="2795">
      <c r="A2795" s="68" t="inlineStr">
        <is>
          <t>664204</t>
        </is>
      </c>
      <c r="B2795" s="110" t="inlineStr">
        <is>
          <t>TAVERNITI BERMUDA</t>
        </is>
      </c>
      <c r="C2795" s="88" t="n">
        <v>70500</v>
      </c>
      <c r="D2795" s="22" t="n"/>
      <c r="E2795" s="22" t="n"/>
      <c r="F2795" s="22" t="n"/>
      <c r="G2795" s="22" t="n"/>
      <c r="H2795" s="22" t="n"/>
      <c r="I2795" s="219">
        <f>ROUND((C2795*J2795)/100,0)*100</f>
        <v/>
      </c>
      <c r="J2795" s="118" t="n">
        <v>1.09</v>
      </c>
      <c r="K2795" s="219" t="n"/>
      <c r="L2795" s="219" t="n"/>
      <c r="M2795" s="18" t="n"/>
      <c r="N2795" s="18" t="n"/>
      <c r="O2795" s="18" t="n"/>
      <c r="P2795" s="43" t="n"/>
      <c r="R2795" s="117" t="n"/>
      <c r="T2795" s="117" t="n"/>
    </row>
    <row r="2796">
      <c r="A2796" s="68" t="inlineStr">
        <is>
          <t>664920</t>
        </is>
      </c>
      <c r="B2796" s="110" t="inlineStr">
        <is>
          <t>TAVERNITI BERMUDA</t>
        </is>
      </c>
      <c r="C2796" s="88" t="n">
        <v>70500</v>
      </c>
      <c r="D2796" s="22" t="n"/>
      <c r="E2796" s="22" t="n"/>
      <c r="F2796" s="22" t="n"/>
      <c r="G2796" s="22" t="n"/>
      <c r="H2796" s="22" t="n"/>
      <c r="I2796" s="219">
        <f>ROUND((C2796*J2796)/100,0)*100</f>
        <v/>
      </c>
      <c r="J2796" s="118" t="n">
        <v>1.09</v>
      </c>
      <c r="K2796" s="219" t="n"/>
      <c r="L2796" s="219" t="n"/>
      <c r="M2796" s="18" t="n"/>
      <c r="N2796" s="18" t="n"/>
      <c r="O2796" s="18" t="n"/>
      <c r="P2796" s="43" t="n"/>
      <c r="R2796" s="117" t="n"/>
      <c r="T2796" s="117" t="n"/>
    </row>
    <row r="2797">
      <c r="A2797" s="68" t="inlineStr">
        <is>
          <t>1068629</t>
        </is>
      </c>
      <c r="B2797" s="110" t="inlineStr">
        <is>
          <t>TAVERNITI BERMUDA</t>
        </is>
      </c>
      <c r="C2797" s="88" t="n">
        <v>70500</v>
      </c>
      <c r="D2797" s="22" t="n"/>
      <c r="E2797" s="22" t="n"/>
      <c r="F2797" s="22" t="n"/>
      <c r="G2797" s="22" t="n"/>
      <c r="H2797" s="22" t="n"/>
      <c r="I2797" s="219">
        <f>ROUND((C2797*J2797)/100,0)*100</f>
        <v/>
      </c>
      <c r="J2797" s="118" t="n">
        <v>1.09</v>
      </c>
      <c r="K2797" s="219" t="n"/>
      <c r="L2797" s="219" t="n"/>
      <c r="M2797" s="18" t="n"/>
      <c r="N2797" s="18" t="n"/>
      <c r="O2797" s="18" t="n"/>
      <c r="P2797" s="43" t="n"/>
      <c r="R2797" s="117" t="n"/>
      <c r="T2797" s="117" t="n"/>
    </row>
    <row r="2798">
      <c r="A2798" s="68" t="inlineStr">
        <is>
          <t>1158451</t>
        </is>
      </c>
      <c r="B2798" s="110" t="inlineStr">
        <is>
          <t>TAVERNITI BERMUDA</t>
        </is>
      </c>
      <c r="C2798" s="88" t="n">
        <v>74000</v>
      </c>
      <c r="D2798" s="22" t="n"/>
      <c r="E2798" s="22" t="n"/>
      <c r="F2798" s="22" t="n"/>
      <c r="G2798" s="22" t="n"/>
      <c r="H2798" s="22" t="n"/>
      <c r="I2798" s="219">
        <f>ROUND((C2798*J2798)/100,0)*100</f>
        <v/>
      </c>
      <c r="J2798" s="118" t="n">
        <v>1.09</v>
      </c>
      <c r="K2798" s="219" t="n"/>
      <c r="L2798" s="219" t="n"/>
      <c r="M2798" s="18" t="n"/>
      <c r="N2798" s="18" t="n"/>
      <c r="O2798" s="18" t="n"/>
      <c r="P2798" s="43" t="n"/>
      <c r="R2798" s="117" t="n"/>
      <c r="T2798" s="117" t="n"/>
    </row>
    <row r="2799">
      <c r="A2799" s="68" t="inlineStr">
        <is>
          <t>1158525</t>
        </is>
      </c>
      <c r="B2799" s="110" t="inlineStr">
        <is>
          <t>TAVERNITI BERMUDA</t>
        </is>
      </c>
      <c r="C2799" s="88" t="n">
        <v>70500</v>
      </c>
      <c r="D2799" s="22" t="n"/>
      <c r="E2799" s="22" t="n"/>
      <c r="F2799" s="22" t="n"/>
      <c r="G2799" s="22" t="n"/>
      <c r="H2799" s="22" t="n"/>
      <c r="I2799" s="219">
        <f>ROUND((C2799*J2799)/100,0)*100</f>
        <v/>
      </c>
      <c r="J2799" s="118" t="n">
        <v>1.09</v>
      </c>
      <c r="K2799" s="219" t="n"/>
      <c r="L2799" s="219" t="n"/>
      <c r="M2799" s="18" t="n"/>
      <c r="N2799" s="18" t="n"/>
      <c r="O2799" s="18" t="n"/>
      <c r="P2799" s="43" t="n"/>
      <c r="R2799" s="117" t="n"/>
      <c r="T2799" s="117" t="n"/>
    </row>
    <row r="2800">
      <c r="A2800" s="68" t="inlineStr">
        <is>
          <t>11589XX</t>
        </is>
      </c>
      <c r="B2800" s="110" t="inlineStr">
        <is>
          <t>TAVERNITI BERMUDA</t>
        </is>
      </c>
      <c r="C2800" s="88" t="n">
        <v>70500</v>
      </c>
      <c r="D2800" s="22" t="n"/>
      <c r="E2800" s="22" t="n"/>
      <c r="F2800" s="22" t="n"/>
      <c r="G2800" s="22" t="n"/>
      <c r="H2800" s="22" t="n"/>
      <c r="I2800" s="219">
        <f>ROUND((C2800*J2800)/100,0)*100</f>
        <v/>
      </c>
      <c r="J2800" s="118" t="n">
        <v>1.09</v>
      </c>
      <c r="K2800" s="219" t="n"/>
      <c r="L2800" s="219" t="n"/>
      <c r="M2800" s="18" t="n"/>
      <c r="N2800" s="18" t="n"/>
      <c r="O2800" s="18" t="n"/>
      <c r="P2800" s="43" t="n"/>
      <c r="R2800" s="117" t="n"/>
      <c r="T2800" s="117" t="n"/>
    </row>
    <row r="2801">
      <c r="A2801" s="68" t="inlineStr">
        <is>
          <t>16867XX</t>
        </is>
      </c>
      <c r="B2801" s="110" t="inlineStr">
        <is>
          <t>TAVERNITI BERMUDA</t>
        </is>
      </c>
      <c r="C2801" s="88" t="n">
        <v>70500</v>
      </c>
      <c r="D2801" s="22" t="n"/>
      <c r="E2801" s="22" t="n"/>
      <c r="F2801" s="22" t="n"/>
      <c r="G2801" s="22" t="n"/>
      <c r="H2801" s="22" t="n"/>
      <c r="I2801" s="219">
        <f>ROUND((C2801*J2801)/100,0)*100</f>
        <v/>
      </c>
      <c r="J2801" s="118" t="n">
        <v>1.09</v>
      </c>
      <c r="K2801" s="219" t="n"/>
      <c r="L2801" s="219" t="n"/>
      <c r="M2801" s="18" t="n"/>
      <c r="N2801" s="18" t="n"/>
      <c r="O2801" s="18" t="n"/>
      <c r="P2801" s="43" t="n"/>
      <c r="R2801" s="117" t="n"/>
      <c r="T2801" s="117" t="n"/>
    </row>
    <row r="2802">
      <c r="A2802" s="68" t="inlineStr">
        <is>
          <t>100604</t>
        </is>
      </c>
      <c r="B2802" s="110" t="inlineStr">
        <is>
          <t>TAVERNITI BERMUDA</t>
        </is>
      </c>
      <c r="C2802" s="88" t="n">
        <v>70500</v>
      </c>
      <c r="D2802" s="22" t="n"/>
      <c r="E2802" s="22" t="n"/>
      <c r="F2802" s="22" t="n"/>
      <c r="G2802" s="22" t="n"/>
      <c r="H2802" s="22" t="n"/>
      <c r="I2802" s="219">
        <f>ROUND((C2802*J2802)/100,0)*100</f>
        <v/>
      </c>
      <c r="J2802" s="118" t="n">
        <v>1.09</v>
      </c>
      <c r="K2802" s="219" t="n"/>
      <c r="L2802" s="219" t="n"/>
      <c r="M2802" s="18" t="n"/>
      <c r="N2802" s="18" t="n"/>
      <c r="O2802" s="18" t="n"/>
      <c r="P2802" s="43" t="n"/>
      <c r="R2802" s="117" t="n"/>
      <c r="T2802" s="117" t="n"/>
    </row>
    <row r="2803">
      <c r="A2803" s="68" t="inlineStr">
        <is>
          <t>100829</t>
        </is>
      </c>
      <c r="B2803" s="110" t="inlineStr">
        <is>
          <t>TAVERNITI BERMUDA</t>
        </is>
      </c>
      <c r="C2803" s="88" t="n">
        <v>70500</v>
      </c>
      <c r="D2803" s="22" t="n"/>
      <c r="E2803" s="22" t="n"/>
      <c r="F2803" s="22" t="n"/>
      <c r="G2803" s="22" t="n"/>
      <c r="H2803" s="22" t="n"/>
      <c r="I2803" s="219">
        <f>ROUND((C2803*J2803)/100,0)*100</f>
        <v/>
      </c>
      <c r="J2803" s="118" t="n">
        <v>1.09</v>
      </c>
      <c r="K2803" s="219" t="n"/>
      <c r="L2803" s="219" t="n"/>
      <c r="M2803" s="18" t="n"/>
      <c r="N2803" s="18" t="n"/>
      <c r="O2803" s="18" t="n"/>
      <c r="P2803" s="43" t="n"/>
      <c r="R2803" s="117" t="n"/>
      <c r="T2803" s="117" t="n"/>
    </row>
    <row r="2804">
      <c r="A2804" s="68" t="inlineStr">
        <is>
          <t>10136917</t>
        </is>
      </c>
      <c r="B2804" s="110" t="inlineStr">
        <is>
          <t>TAVERNITI BERMUDA</t>
        </is>
      </c>
      <c r="C2804" s="88" t="n">
        <v>70500</v>
      </c>
      <c r="D2804" s="22" t="n"/>
      <c r="E2804" s="22" t="n"/>
      <c r="F2804" s="22" t="n"/>
      <c r="G2804" s="22" t="n"/>
      <c r="H2804" s="22" t="n"/>
      <c r="I2804" s="219">
        <f>ROUND((C2804*J2804)/100,0)*100</f>
        <v/>
      </c>
      <c r="J2804" s="118" t="n">
        <v>1.09</v>
      </c>
      <c r="K2804" s="219" t="n"/>
      <c r="L2804" s="219" t="n"/>
      <c r="M2804" s="18" t="n"/>
      <c r="N2804" s="18" t="n"/>
      <c r="O2804" s="18" t="n"/>
      <c r="P2804" s="43" t="n"/>
      <c r="R2804" s="117" t="n"/>
      <c r="T2804" s="117" t="n"/>
    </row>
    <row r="2805">
      <c r="A2805" s="68" t="inlineStr">
        <is>
          <t>10140XXX</t>
        </is>
      </c>
      <c r="B2805" s="110" t="inlineStr">
        <is>
          <t>TAVERNITI BERMUDA</t>
        </is>
      </c>
      <c r="C2805" s="88" t="n">
        <v>70500</v>
      </c>
      <c r="D2805" s="162" t="n"/>
      <c r="E2805" s="22" t="n"/>
      <c r="F2805" s="22" t="n"/>
      <c r="G2805" s="22" t="n"/>
      <c r="H2805" s="22" t="n"/>
      <c r="I2805" s="219">
        <f>ROUND((C2805*J2805)/100,0)*100</f>
        <v/>
      </c>
      <c r="J2805" s="118" t="n">
        <v>1.09</v>
      </c>
      <c r="K2805" s="219" t="n"/>
      <c r="L2805" s="219" t="n"/>
      <c r="M2805" s="18" t="n"/>
      <c r="N2805" s="18" t="n"/>
      <c r="O2805" s="18" t="n"/>
      <c r="P2805" s="43" t="n"/>
      <c r="R2805" s="117" t="n"/>
      <c r="T2805" s="117" t="n"/>
    </row>
    <row r="2806">
      <c r="A2806" s="68" t="inlineStr">
        <is>
          <t>10218XXX</t>
        </is>
      </c>
      <c r="B2806" s="110" t="inlineStr">
        <is>
          <t>TAVERNITI BERMUDA</t>
        </is>
      </c>
      <c r="C2806" s="88" t="n">
        <v>74900</v>
      </c>
      <c r="D2806" s="22" t="n"/>
      <c r="E2806" s="22" t="n"/>
      <c r="F2806" s="22" t="n"/>
      <c r="G2806" s="22" t="n"/>
      <c r="H2806" s="22" t="n"/>
      <c r="I2806" s="219">
        <f>ROUND((C2806*J2806)/100,0)*100</f>
        <v/>
      </c>
      <c r="J2806" s="118" t="n">
        <v>1.09</v>
      </c>
      <c r="K2806" s="219" t="n"/>
      <c r="L2806" s="219" t="n"/>
      <c r="M2806" s="18" t="n"/>
      <c r="N2806" s="18" t="n"/>
      <c r="O2806" s="18" t="n"/>
      <c r="P2806" s="43" t="n"/>
      <c r="R2806" s="117" t="n"/>
      <c r="T2806" s="117" t="n"/>
    </row>
    <row r="2807">
      <c r="A2807" s="68" t="inlineStr">
        <is>
          <t>10258XXX</t>
        </is>
      </c>
      <c r="B2807" s="110" t="inlineStr">
        <is>
          <t>TAVERNITI BERMUDA</t>
        </is>
      </c>
      <c r="C2807" s="88" t="n">
        <v>70500</v>
      </c>
      <c r="D2807" s="22" t="n"/>
      <c r="E2807" s="22" t="n"/>
      <c r="F2807" s="22" t="n"/>
      <c r="G2807" s="22" t="n"/>
      <c r="H2807" s="22" t="n"/>
      <c r="I2807" s="219">
        <f>ROUND((C2807*J2807)/100,0)*100</f>
        <v/>
      </c>
      <c r="J2807" s="118" t="n">
        <v>1.09</v>
      </c>
      <c r="K2807" s="219" t="n"/>
      <c r="L2807" s="219" t="n"/>
      <c r="M2807" s="18" t="n"/>
      <c r="N2807" s="18" t="n"/>
      <c r="O2807" s="18" t="n"/>
      <c r="P2807" s="43" t="n"/>
      <c r="R2807" s="117" t="n"/>
      <c r="T2807" s="117" t="n"/>
    </row>
    <row r="2808">
      <c r="A2808" s="68" t="inlineStr">
        <is>
          <t>10300204</t>
        </is>
      </c>
      <c r="B2808" s="110" t="inlineStr">
        <is>
          <t>TAVERNITI BERMUDA</t>
        </is>
      </c>
      <c r="C2808" s="88" t="n">
        <v>70500</v>
      </c>
      <c r="D2808" s="22" t="n"/>
      <c r="E2808" s="22" t="n"/>
      <c r="F2808" s="22" t="n"/>
      <c r="G2808" s="22" t="n"/>
      <c r="H2808" s="22" t="n"/>
      <c r="I2808" s="219">
        <f>ROUND((C2808*J2808)/100,0)*100</f>
        <v/>
      </c>
      <c r="J2808" s="118" t="n">
        <v>1.09</v>
      </c>
      <c r="K2808" s="219" t="n"/>
      <c r="L2808" s="219" t="n"/>
      <c r="M2808" s="18" t="n"/>
      <c r="N2808" s="18" t="n"/>
      <c r="O2808" s="18" t="n"/>
      <c r="P2808" s="43" t="n"/>
      <c r="R2808" s="117" t="n"/>
      <c r="T2808" s="117" t="n"/>
    </row>
    <row r="2809">
      <c r="A2809" s="68" t="inlineStr">
        <is>
          <t>10300917</t>
        </is>
      </c>
      <c r="B2809" s="110" t="inlineStr">
        <is>
          <t>TAVERNITI BERMUDA</t>
        </is>
      </c>
      <c r="C2809" s="88" t="n">
        <v>70500</v>
      </c>
      <c r="D2809" s="22" t="n"/>
      <c r="E2809" s="22" t="n"/>
      <c r="F2809" s="22" t="n"/>
      <c r="G2809" s="22" t="n"/>
      <c r="H2809" s="22" t="n"/>
      <c r="I2809" s="219">
        <f>ROUND((C2809*J2809)/100,0)*100</f>
        <v/>
      </c>
      <c r="J2809" s="118" t="n">
        <v>1.09</v>
      </c>
      <c r="K2809" s="219" t="n"/>
      <c r="L2809" s="219" t="n"/>
      <c r="M2809" s="18" t="n"/>
      <c r="N2809" s="18" t="n"/>
      <c r="O2809" s="18" t="n"/>
      <c r="P2809" s="43" t="n"/>
      <c r="R2809" s="117" t="n"/>
      <c r="T2809" s="117" t="n"/>
    </row>
    <row r="2810">
      <c r="A2810" s="68" t="inlineStr">
        <is>
          <t>10308525</t>
        </is>
      </c>
      <c r="B2810" s="110" t="inlineStr">
        <is>
          <t>TAVERNITI BERMUDA</t>
        </is>
      </c>
      <c r="C2810" s="88" t="n">
        <v>70500</v>
      </c>
      <c r="D2810" s="22" t="n"/>
      <c r="E2810" s="22" t="n"/>
      <c r="F2810" s="22" t="n"/>
      <c r="G2810" s="22" t="n"/>
      <c r="H2810" s="22" t="n"/>
      <c r="I2810" s="219">
        <f>ROUND((C2810*J2810)/100,0)*100</f>
        <v/>
      </c>
      <c r="J2810" s="118" t="n">
        <v>1.09</v>
      </c>
      <c r="K2810" s="219" t="n"/>
      <c r="L2810" s="219" t="n"/>
      <c r="M2810" s="18" t="n"/>
      <c r="N2810" s="18" t="n"/>
      <c r="O2810" s="18" t="n"/>
      <c r="P2810" s="43" t="n"/>
      <c r="R2810" s="117" t="n"/>
      <c r="T2810" s="117" t="n"/>
    </row>
    <row r="2811">
      <c r="A2811" s="68" t="inlineStr">
        <is>
          <t>10308710</t>
        </is>
      </c>
      <c r="B2811" s="110" t="inlineStr">
        <is>
          <t>TAVERNITI BERMUDA</t>
        </is>
      </c>
      <c r="C2811" s="88" t="n">
        <v>70500</v>
      </c>
      <c r="D2811" s="22" t="n"/>
      <c r="E2811" s="22" t="n"/>
      <c r="F2811" s="22" t="n"/>
      <c r="G2811" s="22" t="n"/>
      <c r="H2811" s="22" t="n"/>
      <c r="I2811" s="219">
        <f>ROUND((C2811*J2811)/100,0)*100</f>
        <v/>
      </c>
      <c r="J2811" s="118" t="n">
        <v>1.09</v>
      </c>
      <c r="K2811" s="219" t="n"/>
      <c r="L2811" s="219" t="n"/>
      <c r="M2811" s="18" t="n"/>
      <c r="N2811" s="18" t="n"/>
      <c r="O2811" s="18" t="n"/>
      <c r="P2811" s="43" t="n"/>
      <c r="R2811" s="117" t="n"/>
      <c r="T2811" s="117" t="n"/>
    </row>
    <row r="2812">
      <c r="A2812" s="68" t="inlineStr">
        <is>
          <t>10310525</t>
        </is>
      </c>
      <c r="B2812" s="110" t="inlineStr">
        <is>
          <t>TAVERNITI BERMUDA</t>
        </is>
      </c>
      <c r="C2812" s="88" t="n">
        <v>70500</v>
      </c>
      <c r="D2812" s="22" t="n"/>
      <c r="E2812" s="22" t="n"/>
      <c r="F2812" s="22" t="n"/>
      <c r="G2812" s="22" t="n"/>
      <c r="H2812" s="22" t="n"/>
      <c r="I2812" s="219">
        <f>ROUND((C2812*J2812)/100,0)*100</f>
        <v/>
      </c>
      <c r="J2812" s="118" t="n">
        <v>1.09</v>
      </c>
      <c r="K2812" s="219" t="n"/>
      <c r="L2812" s="219" t="n"/>
      <c r="M2812" s="18" t="n"/>
      <c r="N2812" s="18" t="n"/>
      <c r="O2812" s="18" t="n"/>
      <c r="P2812" s="43" t="n"/>
      <c r="R2812" s="117" t="n"/>
      <c r="T2812" s="117" t="n"/>
    </row>
    <row r="2813">
      <c r="A2813" s="68" t="inlineStr">
        <is>
          <t>10310710</t>
        </is>
      </c>
      <c r="B2813" s="110" t="inlineStr">
        <is>
          <t>TAVERNITI BERMUDA</t>
        </is>
      </c>
      <c r="C2813" s="88" t="n">
        <v>70500</v>
      </c>
      <c r="D2813" s="22" t="n"/>
      <c r="E2813" s="22" t="n"/>
      <c r="F2813" s="22" t="n"/>
      <c r="G2813" s="22" t="n"/>
      <c r="H2813" s="22" t="n"/>
      <c r="I2813" s="219">
        <f>ROUND((C2813*J2813)/100,0)*100</f>
        <v/>
      </c>
      <c r="J2813" s="118" t="n">
        <v>1.09</v>
      </c>
      <c r="K2813" s="219" t="n"/>
      <c r="L2813" s="219" t="n"/>
      <c r="M2813" s="18" t="n"/>
      <c r="N2813" s="18" t="n"/>
      <c r="O2813" s="18" t="n"/>
      <c r="P2813" s="43" t="n"/>
      <c r="R2813" s="117" t="n"/>
      <c r="T2813" s="117" t="n"/>
    </row>
    <row r="2814">
      <c r="A2814" s="68" t="inlineStr">
        <is>
          <t>10314xxx</t>
        </is>
      </c>
      <c r="B2814" s="110" t="inlineStr">
        <is>
          <t>TAVERNITI BERMUDA</t>
        </is>
      </c>
      <c r="C2814" s="88" t="n">
        <v>70500</v>
      </c>
      <c r="D2814" s="22" t="n"/>
      <c r="E2814" s="22" t="n"/>
      <c r="F2814" s="22" t="n"/>
      <c r="G2814" s="22" t="n"/>
      <c r="H2814" s="22" t="n"/>
      <c r="I2814" s="219">
        <f>ROUND((C2814*J2814)/100,0)*100</f>
        <v/>
      </c>
      <c r="J2814" s="118" t="n">
        <v>1.09</v>
      </c>
      <c r="K2814" s="219" t="n"/>
      <c r="L2814" s="219" t="n"/>
      <c r="M2814" s="18" t="n"/>
      <c r="N2814" s="18" t="n"/>
      <c r="O2814" s="18" t="n"/>
      <c r="P2814" s="43" t="n"/>
      <c r="R2814" s="117" t="n"/>
      <c r="T2814" s="117" t="n"/>
    </row>
    <row r="2815">
      <c r="A2815" s="68" t="inlineStr">
        <is>
          <t>10320XXX</t>
        </is>
      </c>
      <c r="B2815" s="110" t="inlineStr">
        <is>
          <t>TAVERNITI BERMUDA</t>
        </is>
      </c>
      <c r="C2815" s="88" t="n">
        <v>70500</v>
      </c>
      <c r="D2815" s="22" t="n"/>
      <c r="E2815" s="22" t="n"/>
      <c r="F2815" s="22" t="n"/>
      <c r="G2815" s="22" t="n"/>
      <c r="H2815" s="22" t="n"/>
      <c r="I2815" s="219">
        <f>ROUND((C2815*J2815)/100,0)*100</f>
        <v/>
      </c>
      <c r="J2815" s="118" t="n">
        <v>1.09</v>
      </c>
      <c r="K2815" s="219" t="n"/>
      <c r="L2815" s="219" t="n"/>
      <c r="M2815" s="18" t="n"/>
      <c r="N2815" s="18" t="n"/>
      <c r="O2815" s="18" t="n"/>
      <c r="P2815" s="43" t="n"/>
      <c r="R2815" s="117" t="n"/>
      <c r="T2815" s="117" t="n"/>
    </row>
    <row r="2816">
      <c r="A2816" s="68" t="inlineStr">
        <is>
          <t>10326602</t>
        </is>
      </c>
      <c r="B2816" s="110" t="inlineStr">
        <is>
          <t>TAVERNITI BERMUDA</t>
        </is>
      </c>
      <c r="C2816" s="88" t="n">
        <v>70500</v>
      </c>
      <c r="D2816" s="22" t="n"/>
      <c r="E2816" s="22" t="n"/>
      <c r="F2816" s="22" t="n"/>
      <c r="G2816" s="22" t="n"/>
      <c r="H2816" s="22" t="n"/>
      <c r="I2816" s="219">
        <f>ROUND((C2816*J2816)/100,0)*100</f>
        <v/>
      </c>
      <c r="J2816" s="118" t="n">
        <v>1.09</v>
      </c>
      <c r="K2816" s="219" t="n"/>
      <c r="L2816" s="219" t="n"/>
      <c r="M2816" s="18" t="n"/>
      <c r="N2816" s="18" t="n"/>
      <c r="O2816" s="18" t="n"/>
      <c r="P2816" s="43" t="n"/>
      <c r="R2816" s="117" t="n"/>
      <c r="T2816" s="117" t="n"/>
    </row>
    <row r="2817">
      <c r="A2817" s="68" t="inlineStr">
        <is>
          <t>10326603</t>
        </is>
      </c>
      <c r="B2817" s="110" t="inlineStr">
        <is>
          <t>TAVERNITI BERMUDA</t>
        </is>
      </c>
      <c r="C2817" s="88" t="n">
        <v>70500</v>
      </c>
      <c r="D2817" s="22" t="n"/>
      <c r="E2817" s="22" t="n"/>
      <c r="F2817" s="22" t="n"/>
      <c r="G2817" s="22" t="n"/>
      <c r="H2817" s="22" t="n"/>
      <c r="I2817" s="219">
        <f>ROUND((C2817*J2817)/100,0)*100</f>
        <v/>
      </c>
      <c r="J2817" s="118" t="n">
        <v>1.09</v>
      </c>
      <c r="K2817" s="219" t="n"/>
      <c r="L2817" s="219" t="n"/>
      <c r="M2817" s="18" t="n"/>
      <c r="N2817" s="18" t="n"/>
      <c r="O2817" s="18" t="n"/>
      <c r="P2817" s="43" t="n"/>
      <c r="R2817" s="117" t="n"/>
      <c r="T2817" s="117" t="n"/>
    </row>
    <row r="2818">
      <c r="A2818" s="68" t="inlineStr">
        <is>
          <t>10328605</t>
        </is>
      </c>
      <c r="B2818" s="110" t="inlineStr">
        <is>
          <t>TAVERNITI BERMUDA</t>
        </is>
      </c>
      <c r="C2818" s="88" t="n">
        <v>70500</v>
      </c>
      <c r="D2818" s="22" t="n"/>
      <c r="E2818" s="22" t="n"/>
      <c r="F2818" s="22" t="n"/>
      <c r="G2818" s="22" t="n"/>
      <c r="H2818" s="22" t="n"/>
      <c r="I2818" s="219">
        <f>ROUND((C2818*J2818)/100,0)*100</f>
        <v/>
      </c>
      <c r="J2818" s="118" t="n">
        <v>1.09</v>
      </c>
      <c r="K2818" s="219" t="n"/>
      <c r="L2818" s="219" t="n"/>
      <c r="M2818" s="18" t="n"/>
      <c r="N2818" s="18" t="n"/>
      <c r="O2818" s="18" t="n"/>
      <c r="P2818" s="43" t="n"/>
      <c r="R2818" s="117" t="n"/>
      <c r="T2818" s="117" t="n"/>
    </row>
    <row r="2819">
      <c r="A2819" s="68" t="inlineStr">
        <is>
          <t>10330680</t>
        </is>
      </c>
      <c r="B2819" s="110" t="inlineStr">
        <is>
          <t>TAVERNITI BERMUDA</t>
        </is>
      </c>
      <c r="C2819" s="88" t="n">
        <v>70500</v>
      </c>
      <c r="D2819" s="22" t="n"/>
      <c r="E2819" s="22" t="n"/>
      <c r="F2819" s="22" t="n"/>
      <c r="G2819" s="22" t="n"/>
      <c r="H2819" s="22" t="n"/>
      <c r="I2819" s="219">
        <f>ROUND((C2819*J2819)/100,0)*100</f>
        <v/>
      </c>
      <c r="J2819" s="118" t="n">
        <v>1.09</v>
      </c>
      <c r="K2819" s="219" t="n"/>
      <c r="L2819" s="219" t="n"/>
      <c r="M2819" s="18" t="n"/>
      <c r="N2819" s="18" t="n"/>
      <c r="O2819" s="18" t="n"/>
      <c r="P2819" s="43" t="n"/>
      <c r="R2819" s="117" t="n"/>
      <c r="T2819" s="117" t="n"/>
    </row>
    <row r="2820">
      <c r="A2820" s="68" t="inlineStr">
        <is>
          <t>10334605</t>
        </is>
      </c>
      <c r="B2820" s="110" t="inlineStr">
        <is>
          <t>TAVERNITI BERMUDA</t>
        </is>
      </c>
      <c r="C2820" s="88" t="n">
        <v>70500</v>
      </c>
      <c r="D2820" s="22" t="n"/>
      <c r="E2820" s="22" t="n"/>
      <c r="F2820" s="22" t="n"/>
      <c r="G2820" s="22" t="n"/>
      <c r="H2820" s="22" t="n"/>
      <c r="I2820" s="219">
        <f>ROUND((C2820*J2820)/100,0)*100</f>
        <v/>
      </c>
      <c r="J2820" s="118" t="n">
        <v>1.09</v>
      </c>
      <c r="K2820" s="219" t="n"/>
      <c r="L2820" s="219" t="n"/>
      <c r="M2820" s="18" t="n"/>
      <c r="N2820" s="18" t="n"/>
      <c r="O2820" s="18" t="n"/>
      <c r="P2820" s="43" t="n"/>
      <c r="R2820" s="117" t="n"/>
      <c r="T2820" s="117" t="n"/>
    </row>
    <row r="2821">
      <c r="A2821" s="68" t="inlineStr">
        <is>
          <t>10336604</t>
        </is>
      </c>
      <c r="B2821" s="110" t="inlineStr">
        <is>
          <t>TAVERNITI BERMUDA</t>
        </is>
      </c>
      <c r="C2821" s="88" t="n">
        <v>70500</v>
      </c>
      <c r="D2821" s="22" t="n"/>
      <c r="E2821" s="22" t="n"/>
      <c r="F2821" s="22" t="n"/>
      <c r="G2821" s="22" t="n"/>
      <c r="H2821" s="22" t="n"/>
      <c r="I2821" s="219">
        <f>ROUND((C2821*J2821)/100,0)*100</f>
        <v/>
      </c>
      <c r="J2821" s="118" t="n">
        <v>1.09</v>
      </c>
      <c r="K2821" s="219" t="n"/>
      <c r="L2821" s="219" t="n"/>
      <c r="M2821" s="18" t="n"/>
      <c r="N2821" s="18" t="n"/>
      <c r="O2821" s="18" t="n"/>
      <c r="P2821" s="43" t="n"/>
      <c r="R2821" s="117" t="n"/>
      <c r="T2821" s="117" t="n"/>
    </row>
    <row r="2822">
      <c r="A2822" s="68" t="inlineStr">
        <is>
          <t>10346711</t>
        </is>
      </c>
      <c r="B2822" s="110" t="inlineStr">
        <is>
          <t>TAVERNITI BERMUDA</t>
        </is>
      </c>
      <c r="C2822" s="88" t="n">
        <v>70500</v>
      </c>
      <c r="D2822" s="22" t="n"/>
      <c r="E2822" s="22" t="n"/>
      <c r="F2822" s="22" t="n"/>
      <c r="G2822" s="22" t="n"/>
      <c r="H2822" s="22" t="n"/>
      <c r="I2822" s="219">
        <f>ROUND((C2822*J2822)/100,0)*100</f>
        <v/>
      </c>
      <c r="J2822" s="118" t="n">
        <v>1.09</v>
      </c>
      <c r="K2822" s="219" t="n"/>
      <c r="L2822" s="219" t="n"/>
      <c r="M2822" s="18" t="n"/>
      <c r="N2822" s="18" t="n"/>
      <c r="O2822" s="18" t="n"/>
      <c r="P2822" s="43" t="n"/>
      <c r="R2822" s="117" t="n"/>
      <c r="T2822" s="117" t="n"/>
    </row>
    <row r="2823">
      <c r="A2823" s="68" t="inlineStr">
        <is>
          <t>10378712</t>
        </is>
      </c>
      <c r="B2823" s="110" t="inlineStr">
        <is>
          <t>TAVERNITI BERMUDA</t>
        </is>
      </c>
      <c r="C2823" s="88" t="n">
        <v>70500</v>
      </c>
      <c r="D2823" s="22" t="n"/>
      <c r="E2823" s="22" t="n"/>
      <c r="F2823" s="22" t="n"/>
      <c r="G2823" s="22" t="n"/>
      <c r="H2823" s="22" t="n"/>
      <c r="I2823" s="219">
        <f>ROUND((C2823*J2823)/100,0)*100</f>
        <v/>
      </c>
      <c r="J2823" s="118" t="n">
        <v>1.09</v>
      </c>
      <c r="K2823" s="219" t="n"/>
      <c r="L2823" s="219" t="n"/>
      <c r="M2823" s="18" t="n"/>
      <c r="N2823" s="18" t="n"/>
      <c r="O2823" s="18" t="n"/>
      <c r="P2823" s="43" t="n"/>
      <c r="R2823" s="117" t="n"/>
      <c r="T2823" s="117" t="n"/>
    </row>
    <row r="2824">
      <c r="A2824" s="68" t="inlineStr">
        <is>
          <t>10390XXX</t>
        </is>
      </c>
      <c r="B2824" s="110" t="inlineStr">
        <is>
          <t>TAVERNITI BERMUDA</t>
        </is>
      </c>
      <c r="C2824" s="88" t="n">
        <v>70500</v>
      </c>
      <c r="D2824" s="22" t="n"/>
      <c r="E2824" s="22" t="n"/>
      <c r="F2824" s="22" t="n"/>
      <c r="G2824" s="22" t="n"/>
      <c r="H2824" s="22" t="n"/>
      <c r="I2824" s="219">
        <f>ROUND((C2824*J2824)/100,0)*100</f>
        <v/>
      </c>
      <c r="J2824" s="118" t="n">
        <v>1.09</v>
      </c>
      <c r="K2824" s="219" t="n"/>
      <c r="L2824" s="219" t="n"/>
      <c r="M2824" s="18" t="n"/>
      <c r="N2824" s="18" t="n"/>
      <c r="O2824" s="18" t="n"/>
      <c r="P2824" s="43" t="n"/>
      <c r="R2824" s="117" t="n"/>
      <c r="T2824" s="117" t="n"/>
    </row>
    <row r="2825">
      <c r="A2825" s="68" t="inlineStr">
        <is>
          <t>10394XXX</t>
        </is>
      </c>
      <c r="B2825" s="110" t="inlineStr">
        <is>
          <t>TAVERNITI BERMUDA</t>
        </is>
      </c>
      <c r="C2825" s="88" t="n">
        <v>70500</v>
      </c>
      <c r="D2825" s="22" t="n"/>
      <c r="E2825" s="22" t="n"/>
      <c r="F2825" s="22" t="n"/>
      <c r="G2825" s="22" t="n"/>
      <c r="H2825" s="22" t="n"/>
      <c r="I2825" s="219">
        <f>ROUND((C2825*J2825)/100,0)*100</f>
        <v/>
      </c>
      <c r="J2825" s="118" t="n">
        <v>1.09</v>
      </c>
      <c r="K2825" s="219" t="n"/>
      <c r="L2825" s="219" t="n"/>
      <c r="M2825" s="18" t="n"/>
      <c r="N2825" s="18" t="n"/>
      <c r="O2825" s="18" t="n"/>
      <c r="P2825" s="43" t="n"/>
      <c r="R2825" s="117" t="n"/>
      <c r="T2825" s="117" t="n"/>
    </row>
    <row r="2826">
      <c r="A2826" s="68" t="inlineStr">
        <is>
          <t>10412205</t>
        </is>
      </c>
      <c r="B2826" s="110" t="inlineStr">
        <is>
          <t>TAVERNITI BERMUDA</t>
        </is>
      </c>
      <c r="C2826" s="88" t="n">
        <v>70500</v>
      </c>
      <c r="D2826" s="22" t="n"/>
      <c r="E2826" s="22" t="n"/>
      <c r="F2826" s="22" t="n"/>
      <c r="G2826" s="22" t="n"/>
      <c r="H2826" s="22" t="n"/>
      <c r="I2826" s="219">
        <f>ROUND((C2826*J2826)/100,0)*100</f>
        <v/>
      </c>
      <c r="J2826" s="118" t="n">
        <v>1.09</v>
      </c>
      <c r="K2826" s="219" t="n"/>
      <c r="L2826" s="219" t="n"/>
      <c r="M2826" s="18" t="n"/>
      <c r="N2826" s="18" t="n"/>
      <c r="O2826" s="18" t="n"/>
      <c r="P2826" s="43" t="n"/>
      <c r="R2826" s="117" t="n"/>
      <c r="T2826" s="117" t="n"/>
    </row>
    <row r="2827">
      <c r="A2827" s="68" t="inlineStr">
        <is>
          <t>10438XXX</t>
        </is>
      </c>
      <c r="B2827" s="110" t="inlineStr">
        <is>
          <t>TAVERNITI BERMUDA</t>
        </is>
      </c>
      <c r="C2827" s="88" t="n">
        <v>70500</v>
      </c>
      <c r="D2827" s="22" t="n"/>
      <c r="E2827" s="22" t="n"/>
      <c r="F2827" s="22" t="n"/>
      <c r="G2827" s="22" t="n"/>
      <c r="H2827" s="22" t="n"/>
      <c r="I2827" s="219">
        <f>ROUND((C2827*J2827)/100,0)*100</f>
        <v/>
      </c>
      <c r="J2827" s="118" t="n">
        <v>1.09</v>
      </c>
      <c r="K2827" s="219" t="n"/>
      <c r="L2827" s="219" t="n"/>
      <c r="M2827" s="18" t="n"/>
      <c r="N2827" s="18" t="n"/>
      <c r="O2827" s="18" t="n"/>
      <c r="P2827" s="43" t="n"/>
      <c r="R2827" s="117" t="n"/>
      <c r="T2827" s="117" t="n"/>
    </row>
    <row r="2828">
      <c r="A2828" s="68" t="inlineStr">
        <is>
          <t>10440XXX</t>
        </is>
      </c>
      <c r="B2828" s="110" t="inlineStr">
        <is>
          <t>TAVERNITI BERMUDA</t>
        </is>
      </c>
      <c r="C2828" s="88" t="n">
        <v>70500</v>
      </c>
      <c r="D2828" s="22" t="n"/>
      <c r="E2828" s="22" t="n"/>
      <c r="F2828" s="22" t="n"/>
      <c r="G2828" s="22" t="n"/>
      <c r="H2828" s="22" t="n"/>
      <c r="I2828" s="219">
        <f>ROUND((C2828*J2828)/100,0)*100</f>
        <v/>
      </c>
      <c r="J2828" s="118" t="n">
        <v>1.09</v>
      </c>
      <c r="K2828" s="219" t="n"/>
      <c r="L2828" s="219" t="n"/>
      <c r="M2828" s="18" t="n"/>
      <c r="N2828" s="18" t="n"/>
      <c r="O2828" s="18" t="n"/>
      <c r="P2828" s="43" t="n"/>
      <c r="R2828" s="117" t="n"/>
      <c r="T2828" s="117" t="n"/>
    </row>
    <row r="2829">
      <c r="A2829" s="68" t="inlineStr">
        <is>
          <t>10450XXX</t>
        </is>
      </c>
      <c r="B2829" s="110" t="inlineStr">
        <is>
          <t>TAVERNITI BERMUDA</t>
        </is>
      </c>
      <c r="C2829" s="88" t="n">
        <v>70500</v>
      </c>
      <c r="D2829" s="22" t="n"/>
      <c r="E2829" s="22" t="n"/>
      <c r="F2829" s="22" t="n"/>
      <c r="G2829" s="22" t="n"/>
      <c r="H2829" s="22" t="n"/>
      <c r="I2829" s="219">
        <f>ROUND((C2829*J2829)/100,0)*100</f>
        <v/>
      </c>
      <c r="J2829" s="118" t="n">
        <v>1.09</v>
      </c>
      <c r="K2829" s="219" t="n"/>
      <c r="L2829" s="219" t="n"/>
      <c r="M2829" s="18" t="n"/>
      <c r="N2829" s="18" t="n"/>
      <c r="O2829" s="18" t="n"/>
      <c r="P2829" s="43" t="n"/>
      <c r="R2829" s="117" t="n"/>
      <c r="T2829" s="117" t="n"/>
    </row>
    <row r="2830">
      <c r="A2830" s="68" t="inlineStr">
        <is>
          <t>10458XXX</t>
        </is>
      </c>
      <c r="B2830" s="110" t="inlineStr">
        <is>
          <t>TAVERNITI BERMUDA</t>
        </is>
      </c>
      <c r="C2830" s="88" t="n">
        <v>70500</v>
      </c>
      <c r="D2830" s="22" t="n"/>
      <c r="E2830" s="22" t="n"/>
      <c r="F2830" s="22" t="n"/>
      <c r="G2830" s="22" t="n"/>
      <c r="H2830" s="22" t="n"/>
      <c r="I2830" s="219">
        <f>ROUND((C2830*J2830)/100,0)*100</f>
        <v/>
      </c>
      <c r="J2830" s="118" t="n">
        <v>1.09</v>
      </c>
      <c r="K2830" s="219" t="n"/>
      <c r="L2830" s="219" t="n"/>
      <c r="M2830" s="18" t="n"/>
      <c r="N2830" s="18" t="n"/>
      <c r="O2830" s="18" t="n"/>
      <c r="P2830" s="43" t="n"/>
      <c r="R2830" s="117" t="n"/>
      <c r="T2830" s="117" t="n"/>
    </row>
    <row r="2831">
      <c r="A2831" s="68" t="inlineStr">
        <is>
          <t>10538XXX</t>
        </is>
      </c>
      <c r="B2831" s="110" t="inlineStr">
        <is>
          <t>TAVERNITI BERMUDA</t>
        </is>
      </c>
      <c r="C2831" s="88" t="n">
        <v>70500</v>
      </c>
      <c r="D2831" s="22" t="n"/>
      <c r="E2831" s="22" t="n"/>
      <c r="F2831" s="22" t="n"/>
      <c r="G2831" s="22" t="n"/>
      <c r="H2831" s="22" t="n"/>
      <c r="I2831" s="219">
        <f>ROUND((C2831*J2831)/100,0)*100</f>
        <v/>
      </c>
      <c r="J2831" s="118" t="n">
        <v>1.09</v>
      </c>
      <c r="K2831" s="219" t="n"/>
      <c r="L2831" s="219" t="n"/>
      <c r="M2831" s="18" t="n"/>
      <c r="N2831" s="18" t="n"/>
      <c r="O2831" s="18" t="n"/>
      <c r="P2831" s="43" t="n"/>
      <c r="R2831" s="117" t="n"/>
      <c r="T2831" s="117" t="n"/>
    </row>
    <row r="2832">
      <c r="A2832" s="68" t="inlineStr">
        <is>
          <t>10568XXX</t>
        </is>
      </c>
      <c r="B2832" s="110" t="inlineStr">
        <is>
          <t>TAVERNITI BERMUDA</t>
        </is>
      </c>
      <c r="C2832" s="88" t="n">
        <v>70500</v>
      </c>
      <c r="D2832" s="163" t="n"/>
      <c r="E2832" s="22" t="n"/>
      <c r="F2832" s="22" t="n"/>
      <c r="G2832" s="22" t="n"/>
      <c r="H2832" s="22" t="n"/>
      <c r="I2832" s="219">
        <f>ROUND((C2832*J2832)/100,0)*100</f>
        <v/>
      </c>
      <c r="J2832" s="118" t="n">
        <v>1.09</v>
      </c>
      <c r="K2832" s="219" t="n"/>
      <c r="L2832" s="219" t="n"/>
      <c r="M2832" s="18" t="n"/>
      <c r="N2832" s="18" t="n"/>
      <c r="O2832" s="18" t="n"/>
      <c r="P2832" s="43" t="n"/>
      <c r="R2832" s="117" t="n"/>
      <c r="T2832" s="117" t="n"/>
    </row>
    <row r="2833">
      <c r="A2833" s="68" t="inlineStr">
        <is>
          <t>10572XXX</t>
        </is>
      </c>
      <c r="B2833" s="110" t="inlineStr">
        <is>
          <t>TAVERNITI BERMUDA</t>
        </is>
      </c>
      <c r="C2833" s="88" t="n">
        <v>70500</v>
      </c>
      <c r="D2833" s="22" t="n"/>
      <c r="E2833" s="22" t="n"/>
      <c r="F2833" s="22" t="n"/>
      <c r="G2833" s="22" t="n"/>
      <c r="H2833" s="22" t="n"/>
      <c r="I2833" s="219">
        <f>ROUND((C2833*J2833)/100,0)*100</f>
        <v/>
      </c>
      <c r="J2833" s="118" t="n">
        <v>1.09</v>
      </c>
      <c r="K2833" s="219" t="n"/>
      <c r="L2833" s="219" t="n"/>
      <c r="M2833" s="18" t="n"/>
      <c r="N2833" s="18" t="n"/>
      <c r="O2833" s="18" t="n"/>
      <c r="P2833" s="43" t="n"/>
      <c r="R2833" s="117" t="n"/>
      <c r="T2833" s="117" t="n"/>
    </row>
    <row r="2834">
      <c r="A2834" s="164" t="inlineStr">
        <is>
          <t>10574XXX</t>
        </is>
      </c>
      <c r="B2834" s="110" t="inlineStr">
        <is>
          <t>TAVERNITI BERMUDA</t>
        </is>
      </c>
      <c r="C2834" s="88" t="n">
        <v>70500</v>
      </c>
      <c r="D2834" s="165" t="n"/>
      <c r="E2834" s="165" t="n"/>
      <c r="F2834" s="165" t="n"/>
      <c r="G2834" s="165" t="n"/>
      <c r="H2834" s="165" t="n"/>
      <c r="I2834" s="219">
        <f>ROUND((C2834*J2834)/100,0)*100</f>
        <v/>
      </c>
      <c r="J2834" s="118" t="n">
        <v>1.09</v>
      </c>
      <c r="K2834" s="166" t="n"/>
      <c r="L2834" s="166" t="n"/>
      <c r="M2834" s="18" t="n"/>
      <c r="N2834" s="18" t="n"/>
      <c r="O2834" s="18" t="n"/>
      <c r="P2834" s="43" t="n"/>
      <c r="Q2834" s="167" t="n"/>
      <c r="R2834" s="168" t="n"/>
      <c r="S2834" s="167" t="n"/>
      <c r="T2834" s="168" t="n"/>
      <c r="U2834" s="167" t="n"/>
      <c r="V2834" s="167" t="n"/>
      <c r="W2834" s="167" t="n"/>
      <c r="X2834" s="167" t="n"/>
      <c r="Y2834" s="167" t="n"/>
      <c r="Z2834" s="167" t="n"/>
      <c r="AA2834" s="167" t="n"/>
      <c r="AB2834" s="167" t="n"/>
      <c r="AC2834" s="167" t="n"/>
      <c r="AD2834" s="167" t="n"/>
      <c r="AE2834" s="167" t="n"/>
      <c r="AF2834" s="167" t="n"/>
      <c r="AG2834" s="167" t="n"/>
      <c r="AH2834" s="167" t="n"/>
      <c r="AI2834" s="167" t="n"/>
      <c r="AJ2834" s="167" t="n"/>
      <c r="AK2834" s="167" t="n"/>
      <c r="AL2834" s="167" t="n"/>
      <c r="AM2834" s="167" t="n"/>
      <c r="AN2834" s="167" t="n"/>
    </row>
    <row r="2835">
      <c r="A2835" s="68" t="inlineStr">
        <is>
          <t>10580XXX</t>
        </is>
      </c>
      <c r="B2835" s="110" t="inlineStr">
        <is>
          <t>TAVERNITI BERMUDA</t>
        </is>
      </c>
      <c r="C2835" s="88" t="n">
        <v>70500</v>
      </c>
      <c r="D2835" s="22" t="n"/>
      <c r="E2835" s="22" t="n"/>
      <c r="F2835" s="22" t="n"/>
      <c r="G2835" s="22" t="n"/>
      <c r="H2835" s="22" t="n"/>
      <c r="I2835" s="219">
        <f>ROUND((C2835*J2835)/100,0)*100</f>
        <v/>
      </c>
      <c r="J2835" s="118" t="n">
        <v>1.09</v>
      </c>
      <c r="K2835" s="219" t="n"/>
      <c r="L2835" s="219" t="n"/>
      <c r="M2835" s="18" t="n"/>
      <c r="N2835" s="18" t="n"/>
      <c r="O2835" s="18" t="n"/>
      <c r="P2835" s="43" t="n"/>
      <c r="R2835" s="117" t="n"/>
      <c r="T2835" s="117" t="n"/>
    </row>
    <row r="2836">
      <c r="A2836" s="68" t="inlineStr">
        <is>
          <t>10582XXX</t>
        </is>
      </c>
      <c r="B2836" s="110" t="inlineStr">
        <is>
          <t>TAVERNITI BERMUDA</t>
        </is>
      </c>
      <c r="C2836" s="88" t="n">
        <v>70500</v>
      </c>
      <c r="D2836" s="22" t="n"/>
      <c r="E2836" s="22" t="n"/>
      <c r="F2836" s="22" t="n"/>
      <c r="G2836" s="22" t="n"/>
      <c r="H2836" s="22" t="n"/>
      <c r="I2836" s="219">
        <f>ROUND((C2836*J2836)/100,0)*100</f>
        <v/>
      </c>
      <c r="J2836" s="118" t="n">
        <v>1.09</v>
      </c>
      <c r="K2836" s="219" t="n"/>
      <c r="L2836" s="219" t="n"/>
      <c r="M2836" s="18" t="n"/>
      <c r="N2836" s="18" t="n"/>
      <c r="O2836" s="18" t="n"/>
      <c r="P2836" s="43" t="n"/>
      <c r="R2836" s="117" t="n"/>
      <c r="T2836" s="117" t="n"/>
    </row>
    <row r="2837">
      <c r="A2837" s="68" t="inlineStr">
        <is>
          <t>10584XXX</t>
        </is>
      </c>
      <c r="B2837" s="110" t="inlineStr">
        <is>
          <t>TAVERNITI BERMUDA</t>
        </is>
      </c>
      <c r="C2837" s="88" t="n">
        <v>70500</v>
      </c>
      <c r="D2837" s="22" t="n"/>
      <c r="E2837" s="22" t="n"/>
      <c r="F2837" s="22" t="n"/>
      <c r="G2837" s="22" t="n"/>
      <c r="H2837" s="22" t="n"/>
      <c r="I2837" s="219">
        <f>ROUND((C2837*J2837)/100,0)*100</f>
        <v/>
      </c>
      <c r="J2837" s="118" t="n">
        <v>1.09</v>
      </c>
      <c r="K2837" s="219" t="n"/>
      <c r="L2837" s="219" t="n"/>
      <c r="M2837" s="18" t="n"/>
      <c r="N2837" s="18" t="n"/>
      <c r="O2837" s="18" t="n"/>
      <c r="P2837" s="43" t="n"/>
      <c r="R2837" s="117" t="n"/>
      <c r="T2837" s="117" t="n"/>
    </row>
    <row r="2838">
      <c r="A2838" s="68" t="inlineStr">
        <is>
          <t>10586XXX</t>
        </is>
      </c>
      <c r="B2838" s="110" t="inlineStr">
        <is>
          <t>TAVERNITI BERMUDA</t>
        </is>
      </c>
      <c r="C2838" s="88" t="n">
        <v>70500</v>
      </c>
      <c r="D2838" s="22" t="n"/>
      <c r="E2838" s="22" t="n"/>
      <c r="F2838" s="22" t="n"/>
      <c r="G2838" s="22" t="n"/>
      <c r="H2838" s="22" t="n"/>
      <c r="I2838" s="219">
        <f>ROUND((C2838*J2838)/100,0)*100</f>
        <v/>
      </c>
      <c r="J2838" s="118" t="n">
        <v>1.09</v>
      </c>
      <c r="K2838" s="219" t="n"/>
      <c r="L2838" s="219" t="n"/>
      <c r="M2838" s="18" t="n"/>
      <c r="N2838" s="18" t="n"/>
      <c r="O2838" s="18" t="n"/>
      <c r="P2838" s="43" t="n"/>
      <c r="R2838" s="117" t="n"/>
      <c r="T2838" s="117" t="n"/>
    </row>
    <row r="2839">
      <c r="A2839" s="68" t="inlineStr">
        <is>
          <t>10588XXX</t>
        </is>
      </c>
      <c r="B2839" s="110" t="inlineStr">
        <is>
          <t>TAVERNITI BERMUDA</t>
        </is>
      </c>
      <c r="C2839" s="88" t="n">
        <v>70500</v>
      </c>
      <c r="D2839" s="22" t="n"/>
      <c r="E2839" s="22" t="n"/>
      <c r="F2839" s="22" t="n"/>
      <c r="G2839" s="22" t="n"/>
      <c r="H2839" s="22" t="n"/>
      <c r="I2839" s="219">
        <f>ROUND((C2839*J2839)/100,0)*100</f>
        <v/>
      </c>
      <c r="J2839" s="118" t="n">
        <v>1.09</v>
      </c>
      <c r="K2839" s="219" t="n"/>
      <c r="L2839" s="219" t="n"/>
      <c r="M2839" s="18" t="n"/>
      <c r="N2839" s="18" t="n"/>
      <c r="O2839" s="18" t="n"/>
      <c r="P2839" s="43" t="n"/>
      <c r="R2839" s="117" t="n"/>
      <c r="T2839" s="117" t="n"/>
    </row>
    <row r="2840">
      <c r="A2840" s="68" t="inlineStr">
        <is>
          <t>10590XXX</t>
        </is>
      </c>
      <c r="B2840" s="110" t="inlineStr">
        <is>
          <t>TAVERNITI BERMUDA</t>
        </is>
      </c>
      <c r="C2840" s="88" t="n">
        <v>70500</v>
      </c>
      <c r="D2840" s="22" t="n"/>
      <c r="E2840" s="22" t="n"/>
      <c r="F2840" s="22" t="n"/>
      <c r="G2840" s="22" t="n"/>
      <c r="H2840" s="22" t="n"/>
      <c r="I2840" s="219">
        <f>ROUND((C2840*J2840)/100,0)*100</f>
        <v/>
      </c>
      <c r="J2840" s="118" t="n">
        <v>1.09</v>
      </c>
      <c r="K2840" s="219" t="n"/>
      <c r="L2840" s="219" t="n"/>
      <c r="M2840" s="18" t="n"/>
      <c r="N2840" s="18" t="n"/>
      <c r="O2840" s="18" t="n"/>
      <c r="P2840" s="43" t="n"/>
      <c r="R2840" s="117" t="n"/>
      <c r="T2840" s="117" t="n"/>
    </row>
    <row r="2841">
      <c r="A2841" s="68" t="inlineStr">
        <is>
          <t>10592XXX</t>
        </is>
      </c>
      <c r="B2841" s="110" t="inlineStr">
        <is>
          <t>TAVERNITI BERMUDA</t>
        </is>
      </c>
      <c r="C2841" s="88" t="n">
        <v>70500</v>
      </c>
      <c r="D2841" s="22" t="n"/>
      <c r="E2841" s="22" t="n"/>
      <c r="F2841" s="22" t="n"/>
      <c r="G2841" s="22" t="n"/>
      <c r="H2841" s="22" t="n"/>
      <c r="I2841" s="219">
        <f>ROUND((C2841*J2841)/100,0)*100</f>
        <v/>
      </c>
      <c r="J2841" s="118" t="n">
        <v>1.09</v>
      </c>
      <c r="K2841" s="219" t="n"/>
      <c r="L2841" s="219" t="n"/>
      <c r="M2841" s="18" t="n"/>
      <c r="N2841" s="18" t="n"/>
      <c r="O2841" s="18" t="n"/>
      <c r="P2841" s="43" t="n"/>
      <c r="R2841" s="117" t="n"/>
      <c r="T2841" s="117" t="n"/>
    </row>
    <row r="2842">
      <c r="A2842" s="68" t="inlineStr">
        <is>
          <t>10596XXX</t>
        </is>
      </c>
      <c r="B2842" s="110" t="inlineStr">
        <is>
          <t>TAVERNITI BERMUDA</t>
        </is>
      </c>
      <c r="C2842" s="88" t="n">
        <v>70500</v>
      </c>
      <c r="D2842" s="22" t="n"/>
      <c r="E2842" s="22" t="n"/>
      <c r="F2842" s="22" t="n"/>
      <c r="G2842" s="22" t="n"/>
      <c r="H2842" s="22" t="n"/>
      <c r="I2842" s="219">
        <f>ROUND((C2842*J2842)/100,0)*100</f>
        <v/>
      </c>
      <c r="J2842" s="118" t="n">
        <v>1.09</v>
      </c>
      <c r="K2842" s="219" t="n"/>
      <c r="L2842" s="219" t="n"/>
      <c r="M2842" s="18" t="n"/>
      <c r="N2842" s="18" t="n"/>
      <c r="O2842" s="18" t="n"/>
      <c r="P2842" s="43" t="n"/>
      <c r="R2842" s="117" t="n"/>
      <c r="T2842" s="117" t="n"/>
    </row>
    <row r="2843">
      <c r="A2843" s="68" t="inlineStr">
        <is>
          <t>10604XXX</t>
        </is>
      </c>
      <c r="B2843" s="110" t="inlineStr">
        <is>
          <t>TAVERNITI BERMUDA</t>
        </is>
      </c>
      <c r="C2843" s="88" t="n">
        <v>70500</v>
      </c>
      <c r="D2843" s="22" t="n"/>
      <c r="E2843" s="22" t="n"/>
      <c r="F2843" s="22" t="n"/>
      <c r="G2843" s="22" t="n"/>
      <c r="H2843" s="22" t="n"/>
      <c r="I2843" s="219">
        <f>ROUND((C2843*J2843)/100,0)*100</f>
        <v/>
      </c>
      <c r="J2843" s="118" t="n">
        <v>1.09</v>
      </c>
      <c r="K2843" s="219" t="n"/>
      <c r="L2843" s="219" t="n"/>
      <c r="M2843" s="18" t="n"/>
      <c r="N2843" s="18" t="n"/>
      <c r="O2843" s="18" t="n"/>
      <c r="P2843" s="43" t="n"/>
      <c r="R2843" s="117" t="n"/>
      <c r="T2843" s="117" t="n"/>
    </row>
    <row r="2844">
      <c r="A2844" s="68" t="inlineStr">
        <is>
          <t>10610XXX</t>
        </is>
      </c>
      <c r="B2844" s="110" t="inlineStr">
        <is>
          <t>TAVERNITI BERMUDA</t>
        </is>
      </c>
      <c r="C2844" s="88" t="n">
        <v>70500</v>
      </c>
      <c r="D2844" s="22" t="n"/>
      <c r="E2844" s="22" t="n"/>
      <c r="F2844" s="22" t="n"/>
      <c r="G2844" s="22" t="n"/>
      <c r="H2844" s="22" t="n"/>
      <c r="I2844" s="219">
        <f>ROUND((C2844*J2844)/100,0)*100</f>
        <v/>
      </c>
      <c r="J2844" s="118" t="n">
        <v>1.09</v>
      </c>
      <c r="K2844" s="219" t="n"/>
      <c r="L2844" s="219" t="n"/>
      <c r="M2844" s="18" t="n"/>
      <c r="N2844" s="18" t="n"/>
      <c r="O2844" s="18" t="n"/>
      <c r="P2844" s="43" t="n"/>
      <c r="R2844" s="117" t="n"/>
      <c r="T2844" s="117" t="n"/>
    </row>
    <row r="2845">
      <c r="A2845" s="68" t="inlineStr">
        <is>
          <t>10614XXX</t>
        </is>
      </c>
      <c r="B2845" s="110" t="inlineStr">
        <is>
          <t>TAVERNITI BERMUDA</t>
        </is>
      </c>
      <c r="C2845" s="88" t="n">
        <v>70500</v>
      </c>
      <c r="D2845" s="22" t="n"/>
      <c r="E2845" s="22" t="n"/>
      <c r="F2845" s="22" t="n"/>
      <c r="G2845" s="22" t="n"/>
      <c r="H2845" s="22" t="n"/>
      <c r="I2845" s="219">
        <f>ROUND((C2845*J2845)/100,0)*100</f>
        <v/>
      </c>
      <c r="J2845" s="118" t="n">
        <v>1.09</v>
      </c>
      <c r="K2845" s="219" t="n"/>
      <c r="L2845" s="219" t="n"/>
      <c r="M2845" s="18" t="n"/>
      <c r="N2845" s="18" t="n"/>
      <c r="O2845" s="18" t="n"/>
      <c r="P2845" s="43" t="n"/>
      <c r="R2845" s="117" t="n"/>
      <c r="T2845" s="117" t="n"/>
    </row>
    <row r="2846">
      <c r="A2846" s="68" t="inlineStr">
        <is>
          <t>10620XXX</t>
        </is>
      </c>
      <c r="B2846" s="110" t="inlineStr">
        <is>
          <t>TAVERNITI BERMUDA</t>
        </is>
      </c>
      <c r="C2846" s="88" t="n">
        <v>70500</v>
      </c>
      <c r="D2846" s="22" t="n"/>
      <c r="E2846" s="22" t="n"/>
      <c r="F2846" s="22" t="n"/>
      <c r="G2846" s="22" t="n"/>
      <c r="H2846" s="22" t="n"/>
      <c r="I2846" s="219">
        <f>ROUND((C2846*J2846)/100,0)*100</f>
        <v/>
      </c>
      <c r="J2846" s="118" t="n">
        <v>1.09</v>
      </c>
      <c r="K2846" s="219" t="n"/>
      <c r="L2846" s="219" t="n"/>
      <c r="M2846" s="18" t="n"/>
      <c r="N2846" s="18" t="n"/>
      <c r="O2846" s="18" t="n"/>
      <c r="P2846" s="43" t="n"/>
      <c r="R2846" s="117" t="n"/>
      <c r="T2846" s="117" t="n"/>
    </row>
    <row r="2847">
      <c r="A2847" s="68" t="inlineStr">
        <is>
          <t>10672XXX</t>
        </is>
      </c>
      <c r="B2847" s="110" t="inlineStr">
        <is>
          <t>TAVERNITI BERMUDA</t>
        </is>
      </c>
      <c r="C2847" s="88" t="n">
        <v>70500</v>
      </c>
      <c r="D2847" s="163" t="n"/>
      <c r="E2847" s="22" t="n"/>
      <c r="F2847" s="22" t="n"/>
      <c r="G2847" s="22" t="n"/>
      <c r="H2847" s="22" t="n"/>
      <c r="I2847" s="219">
        <f>ROUND((C2847*J2847)/100,0)*100</f>
        <v/>
      </c>
      <c r="J2847" s="118" t="n">
        <v>1.09</v>
      </c>
      <c r="K2847" s="219" t="n"/>
      <c r="L2847" s="219" t="n"/>
      <c r="M2847" s="18" t="n"/>
      <c r="N2847" s="18" t="n"/>
      <c r="O2847" s="18" t="n"/>
      <c r="P2847" s="43" t="n"/>
      <c r="R2847" s="117" t="n"/>
      <c r="T2847" s="117" t="n"/>
    </row>
    <row r="2848">
      <c r="A2848" s="68" t="inlineStr">
        <is>
          <t>10686XXX</t>
        </is>
      </c>
      <c r="B2848" s="110" t="inlineStr">
        <is>
          <t>TAVERNITI BERMUDA</t>
        </is>
      </c>
      <c r="C2848" s="88" t="n">
        <v>70500</v>
      </c>
      <c r="D2848" s="22" t="n"/>
      <c r="E2848" s="22" t="n"/>
      <c r="F2848" s="22" t="n"/>
      <c r="G2848" s="22" t="n"/>
      <c r="H2848" s="22" t="n"/>
      <c r="I2848" s="219">
        <f>ROUND((C2848*J2848)/100,0)*100</f>
        <v/>
      </c>
      <c r="J2848" s="118" t="n">
        <v>1.09</v>
      </c>
      <c r="K2848" s="219" t="n"/>
      <c r="L2848" s="219" t="n"/>
      <c r="M2848" s="18" t="n"/>
      <c r="N2848" s="18" t="n"/>
      <c r="O2848" s="18" t="n"/>
      <c r="P2848" s="43" t="n"/>
      <c r="R2848" s="117" t="n"/>
      <c r="T2848" s="117" t="n"/>
    </row>
    <row r="2849">
      <c r="A2849" s="88" t="inlineStr">
        <is>
          <t>10696XXX</t>
        </is>
      </c>
      <c r="B2849" s="110" t="inlineStr">
        <is>
          <t>TAVERNITI BERMUDA</t>
        </is>
      </c>
      <c r="C2849" s="88" t="n">
        <v>70500</v>
      </c>
      <c r="D2849" s="22" t="n"/>
      <c r="E2849" s="22" t="n"/>
      <c r="F2849" s="22" t="n"/>
      <c r="G2849" s="22" t="n"/>
      <c r="H2849" s="22" t="n"/>
      <c r="I2849" s="219">
        <f>ROUND((C2849*J2849)/100,0)*100</f>
        <v/>
      </c>
      <c r="J2849" s="118" t="n">
        <v>1.09</v>
      </c>
      <c r="K2849" s="219" t="n"/>
      <c r="L2849" s="219" t="n"/>
      <c r="M2849" s="18" t="n"/>
      <c r="N2849" s="18" t="n"/>
      <c r="O2849" s="18" t="n"/>
      <c r="P2849" s="43" t="n"/>
      <c r="R2849" s="117" t="n"/>
      <c r="T2849" s="117" t="n"/>
    </row>
    <row r="2850">
      <c r="A2850" s="68" t="inlineStr">
        <is>
          <t>10706XXX</t>
        </is>
      </c>
      <c r="B2850" s="110" t="inlineStr">
        <is>
          <t>TAVERNITI BERMUDA</t>
        </is>
      </c>
      <c r="C2850" s="88" t="n">
        <v>70500</v>
      </c>
      <c r="D2850" s="22" t="n"/>
      <c r="E2850" s="22" t="n"/>
      <c r="F2850" s="22" t="n"/>
      <c r="G2850" s="22" t="n"/>
      <c r="H2850" s="22" t="n"/>
      <c r="I2850" s="219">
        <f>ROUND((C2850*J2850)/100,0)*100</f>
        <v/>
      </c>
      <c r="J2850" s="118" t="n">
        <v>1.09</v>
      </c>
      <c r="K2850" s="219" t="n"/>
      <c r="L2850" s="219" t="n"/>
      <c r="M2850" s="18" t="n"/>
      <c r="N2850" s="18" t="n"/>
      <c r="O2850" s="18" t="n"/>
      <c r="P2850" s="43" t="n"/>
      <c r="R2850" s="117" t="n"/>
      <c r="T2850" s="117" t="n"/>
    </row>
    <row r="2851">
      <c r="A2851" s="68" t="inlineStr">
        <is>
          <t>10708XXX</t>
        </is>
      </c>
      <c r="B2851" s="110" t="inlineStr">
        <is>
          <t>TAVERNITI BERMUDA</t>
        </is>
      </c>
      <c r="C2851" s="88" t="n">
        <v>70500</v>
      </c>
      <c r="D2851" s="22" t="n"/>
      <c r="E2851" s="22" t="n"/>
      <c r="F2851" s="22" t="n"/>
      <c r="G2851" s="22" t="n"/>
      <c r="H2851" s="22" t="n"/>
      <c r="I2851" s="219">
        <f>ROUND((C2851*J2851)/100,0)*100</f>
        <v/>
      </c>
      <c r="J2851" s="118" t="n">
        <v>1.09</v>
      </c>
      <c r="K2851" s="219" t="n"/>
      <c r="L2851" s="219" t="n"/>
      <c r="M2851" s="18" t="n"/>
      <c r="N2851" s="18" t="n"/>
      <c r="O2851" s="18" t="n"/>
      <c r="P2851" s="43" t="n"/>
      <c r="R2851" s="117" t="n"/>
      <c r="T2851" s="117" t="n"/>
    </row>
    <row r="2852">
      <c r="A2852" s="68" t="inlineStr">
        <is>
          <t>10734XXX</t>
        </is>
      </c>
      <c r="B2852" s="110" t="inlineStr">
        <is>
          <t>TAVERNITI BERMUDA</t>
        </is>
      </c>
      <c r="C2852" s="88" t="n">
        <v>70500</v>
      </c>
      <c r="D2852" s="22" t="n"/>
      <c r="E2852" s="22" t="n"/>
      <c r="F2852" s="22" t="n"/>
      <c r="G2852" s="22" t="n"/>
      <c r="H2852" s="22" t="n"/>
      <c r="I2852" s="219">
        <f>ROUND((C2852*J2852)/100,0)*100</f>
        <v/>
      </c>
      <c r="J2852" s="118" t="n">
        <v>1.09</v>
      </c>
      <c r="K2852" s="219" t="n"/>
      <c r="L2852" s="219" t="n"/>
      <c r="M2852" s="18" t="n"/>
      <c r="N2852" s="18" t="n"/>
      <c r="O2852" s="18" t="n"/>
      <c r="P2852" s="43" t="n"/>
      <c r="R2852" s="117" t="n"/>
      <c r="T2852" s="117" t="n"/>
    </row>
    <row r="2853">
      <c r="A2853" s="68" t="inlineStr">
        <is>
          <t>10738XXX</t>
        </is>
      </c>
      <c r="B2853" s="110" t="inlineStr">
        <is>
          <t>TAVERNITI BERMUDA</t>
        </is>
      </c>
      <c r="C2853" s="88" t="n">
        <v>70500</v>
      </c>
      <c r="D2853" s="22" t="n"/>
      <c r="E2853" s="22" t="n"/>
      <c r="F2853" s="22" t="n"/>
      <c r="G2853" s="22" t="n"/>
      <c r="H2853" s="22" t="n"/>
      <c r="I2853" s="219">
        <f>ROUND((C2853*J2853)/100,0)*100</f>
        <v/>
      </c>
      <c r="J2853" s="118" t="n">
        <v>1.09</v>
      </c>
      <c r="K2853" s="219" t="n"/>
      <c r="L2853" s="219" t="n"/>
      <c r="M2853" s="18" t="n"/>
      <c r="N2853" s="18" t="n"/>
      <c r="O2853" s="18" t="n"/>
      <c r="P2853" s="43" t="n"/>
      <c r="R2853" s="117" t="n"/>
      <c r="T2853" s="117" t="n"/>
    </row>
    <row r="2854">
      <c r="A2854" s="68" t="inlineStr">
        <is>
          <t>10742XXX</t>
        </is>
      </c>
      <c r="B2854" s="110" t="inlineStr">
        <is>
          <t>TAVERNITI BERMUDA</t>
        </is>
      </c>
      <c r="C2854" s="88" t="n">
        <v>70500</v>
      </c>
      <c r="D2854" s="22" t="n"/>
      <c r="E2854" s="22" t="n"/>
      <c r="F2854" s="22" t="n"/>
      <c r="G2854" s="22" t="n"/>
      <c r="H2854" s="22" t="n"/>
      <c r="I2854" s="219">
        <f>ROUND((C2854*J2854)/100,0)*100</f>
        <v/>
      </c>
      <c r="J2854" s="118" t="n">
        <v>1.09</v>
      </c>
      <c r="K2854" s="219" t="n"/>
      <c r="L2854" s="219" t="n"/>
      <c r="M2854" s="18" t="n"/>
      <c r="N2854" s="18" t="n"/>
      <c r="O2854" s="18" t="n"/>
      <c r="P2854" s="43" t="n"/>
      <c r="R2854" s="117" t="n"/>
      <c r="T2854" s="117" t="n"/>
    </row>
    <row r="2855">
      <c r="A2855" s="68" t="inlineStr">
        <is>
          <t>10772XXX</t>
        </is>
      </c>
      <c r="B2855" s="110" t="inlineStr">
        <is>
          <t>TAVERNITI BERMUDA</t>
        </is>
      </c>
      <c r="C2855" s="88" t="n">
        <v>70500</v>
      </c>
      <c r="D2855" s="22" t="n"/>
      <c r="E2855" s="22" t="n"/>
      <c r="F2855" s="22" t="n"/>
      <c r="G2855" s="22" t="n"/>
      <c r="H2855" s="22" t="n"/>
      <c r="I2855" s="219">
        <f>ROUND((C2855*J2855)/100,0)*100</f>
        <v/>
      </c>
      <c r="J2855" s="118" t="n">
        <v>1.09</v>
      </c>
      <c r="K2855" s="219" t="n"/>
      <c r="L2855" s="219" t="n"/>
      <c r="M2855" s="18" t="n"/>
      <c r="N2855" s="18" t="n"/>
      <c r="O2855" s="18" t="n"/>
      <c r="P2855" s="43" t="n"/>
      <c r="R2855" s="117" t="n"/>
      <c r="T2855" s="117" t="n"/>
    </row>
    <row r="2856">
      <c r="A2856" s="68" t="inlineStr">
        <is>
          <t>10814XXX</t>
        </is>
      </c>
      <c r="B2856" s="110" t="inlineStr">
        <is>
          <t>TAVERNITI BERMUDA</t>
        </is>
      </c>
      <c r="C2856" s="88" t="n">
        <v>70500</v>
      </c>
      <c r="D2856" s="22" t="n"/>
      <c r="E2856" s="22" t="n"/>
      <c r="F2856" s="22" t="n"/>
      <c r="G2856" s="22" t="n"/>
      <c r="H2856" s="22" t="n"/>
      <c r="I2856" s="219">
        <f>ROUND((C2856*J2856)/100,0)*100</f>
        <v/>
      </c>
      <c r="J2856" s="118" t="n">
        <v>1.09</v>
      </c>
      <c r="K2856" s="219" t="n"/>
      <c r="L2856" s="219" t="n"/>
      <c r="M2856" s="18" t="n"/>
      <c r="N2856" s="18" t="n"/>
      <c r="O2856" s="18" t="n"/>
      <c r="P2856" s="43" t="n"/>
      <c r="R2856" s="117" t="n"/>
      <c r="T2856" s="117" t="n"/>
    </row>
    <row r="2857">
      <c r="A2857" s="68" t="inlineStr">
        <is>
          <t>10890XXX</t>
        </is>
      </c>
      <c r="B2857" s="110" t="inlineStr">
        <is>
          <t>TAVERNITI BERMUDA</t>
        </is>
      </c>
      <c r="C2857" s="88" t="n">
        <v>70500</v>
      </c>
      <c r="D2857" s="22" t="n"/>
      <c r="E2857" s="22" t="n"/>
      <c r="F2857" s="22" t="n"/>
      <c r="G2857" s="22" t="n"/>
      <c r="H2857" s="22" t="n"/>
      <c r="I2857" s="219">
        <f>ROUND((C2857*J2857)/100,0)*100</f>
        <v/>
      </c>
      <c r="J2857" s="118" t="n">
        <v>1.09</v>
      </c>
      <c r="K2857" s="219" t="n"/>
      <c r="L2857" s="219" t="n"/>
      <c r="M2857" s="18" t="n"/>
      <c r="N2857" s="18" t="n"/>
      <c r="O2857" s="18" t="n"/>
      <c r="P2857" s="43" t="n"/>
      <c r="R2857" s="117" t="n"/>
      <c r="T2857" s="117" t="n"/>
    </row>
    <row r="2858">
      <c r="A2858" s="68" t="inlineStr">
        <is>
          <t>10916XXX</t>
        </is>
      </c>
      <c r="B2858" s="110" t="inlineStr">
        <is>
          <t>TAVERNITI BERMUDA</t>
        </is>
      </c>
      <c r="C2858" s="88" t="n">
        <v>70500</v>
      </c>
      <c r="D2858" s="22" t="n"/>
      <c r="E2858" s="22" t="n"/>
      <c r="F2858" s="22" t="n"/>
      <c r="G2858" s="22" t="n"/>
      <c r="H2858" s="22" t="n"/>
      <c r="I2858" s="219">
        <f>ROUND((C2858*J2858)/100,0)*100</f>
        <v/>
      </c>
      <c r="J2858" s="118" t="n">
        <v>1.09</v>
      </c>
      <c r="K2858" s="219" t="n"/>
      <c r="L2858" s="219" t="n"/>
      <c r="M2858" s="18" t="n"/>
      <c r="N2858" s="18" t="n"/>
      <c r="O2858" s="18" t="n"/>
      <c r="P2858" s="43" t="n"/>
      <c r="R2858" s="117" t="n"/>
      <c r="T2858" s="117" t="n"/>
    </row>
    <row r="2859">
      <c r="A2859" s="68" t="inlineStr">
        <is>
          <t>11082XXX</t>
        </is>
      </c>
      <c r="B2859" s="110" t="inlineStr">
        <is>
          <t>TAVERNITI BERMUDA</t>
        </is>
      </c>
      <c r="C2859" s="88" t="n">
        <v>70500</v>
      </c>
      <c r="D2859" s="22" t="n"/>
      <c r="E2859" s="22" t="n"/>
      <c r="F2859" s="22" t="n"/>
      <c r="G2859" s="22" t="n"/>
      <c r="H2859" s="22" t="n"/>
      <c r="I2859" s="219">
        <f>ROUND((C2859*J2859)/100,0)*100</f>
        <v/>
      </c>
      <c r="J2859" s="118" t="n">
        <v>1.09</v>
      </c>
      <c r="K2859" s="219" t="n"/>
      <c r="L2859" s="219" t="n"/>
      <c r="M2859" s="18" t="n"/>
      <c r="N2859" s="18" t="n"/>
      <c r="O2859" s="18" t="n"/>
      <c r="P2859" s="43" t="n"/>
      <c r="R2859" s="117" t="n"/>
      <c r="T2859" s="117" t="n"/>
    </row>
    <row r="2860">
      <c r="A2860" s="233" t="inlineStr">
        <is>
          <t>11100XXX</t>
        </is>
      </c>
      <c r="B2860" s="110" t="inlineStr">
        <is>
          <t>TAVERNITI BERMUDA</t>
        </is>
      </c>
      <c r="C2860" s="88" t="n">
        <v>70500</v>
      </c>
      <c r="D2860" s="170" t="n"/>
      <c r="E2860" s="170" t="n"/>
      <c r="F2860" s="170" t="n"/>
      <c r="G2860" s="170" t="n"/>
      <c r="H2860" s="170" t="n"/>
      <c r="I2860" s="219">
        <f>ROUND((C2860*J2860)/100,0)*100</f>
        <v/>
      </c>
      <c r="J2860" s="118" t="n">
        <v>1.09</v>
      </c>
      <c r="K2860" s="170" t="n"/>
      <c r="L2860" s="170" t="n"/>
      <c r="M2860" s="18" t="n"/>
      <c r="N2860" s="18" t="n"/>
      <c r="O2860" s="18" t="n"/>
      <c r="P2860" s="43" t="n"/>
      <c r="Q2860" s="30" t="n"/>
      <c r="R2860" s="170" t="n"/>
      <c r="S2860" s="30" t="n"/>
      <c r="T2860" s="170" t="n"/>
      <c r="U2860" s="30" t="n"/>
      <c r="V2860" s="30" t="n"/>
      <c r="W2860" s="30" t="n"/>
      <c r="X2860" s="30" t="n"/>
      <c r="Y2860" s="30" t="n"/>
      <c r="Z2860" s="30" t="n"/>
      <c r="AA2860" s="30" t="n"/>
      <c r="AB2860" s="30" t="n"/>
      <c r="AC2860" s="30" t="n"/>
      <c r="AD2860" s="30" t="n"/>
      <c r="AE2860" s="30" t="n"/>
      <c r="AF2860" s="30" t="n"/>
      <c r="AG2860" s="30" t="n"/>
      <c r="AH2860" s="30" t="n"/>
      <c r="AI2860" s="30" t="n"/>
      <c r="AJ2860" s="30" t="n"/>
      <c r="AK2860" s="30" t="n"/>
      <c r="AL2860" s="30" t="n"/>
      <c r="AM2860" s="30" t="n"/>
      <c r="AN2860" s="30" t="n"/>
    </row>
    <row r="2861">
      <c r="A2861" s="68" t="inlineStr">
        <is>
          <t>11114XXX</t>
        </is>
      </c>
      <c r="B2861" s="110" t="inlineStr">
        <is>
          <t>TAVERNITI BERMUDA</t>
        </is>
      </c>
      <c r="C2861" s="88" t="n">
        <v>70500</v>
      </c>
      <c r="D2861" s="22" t="n"/>
      <c r="E2861" s="22" t="n"/>
      <c r="F2861" s="22" t="n"/>
      <c r="G2861" s="22" t="n"/>
      <c r="H2861" s="22" t="n"/>
      <c r="I2861" s="219">
        <f>ROUND((C2861*J2861)/100,0)*100</f>
        <v/>
      </c>
      <c r="J2861" s="118" t="n">
        <v>1.09</v>
      </c>
      <c r="K2861" s="219" t="n"/>
      <c r="L2861" s="219" t="n"/>
      <c r="M2861" s="18" t="n"/>
      <c r="N2861" s="18" t="n"/>
      <c r="O2861" s="18" t="n"/>
      <c r="P2861" s="43" t="n"/>
      <c r="R2861" s="117" t="n"/>
      <c r="T2861" s="117" t="n"/>
    </row>
    <row r="2862">
      <c r="A2862" s="68" t="inlineStr">
        <is>
          <t>11116XXX</t>
        </is>
      </c>
      <c r="B2862" s="110" t="inlineStr">
        <is>
          <t>TAVERNITI BERMUDA</t>
        </is>
      </c>
      <c r="C2862" s="88" t="n">
        <v>70500</v>
      </c>
      <c r="D2862" s="22" t="n"/>
      <c r="E2862" s="22" t="n"/>
      <c r="F2862" s="22" t="n"/>
      <c r="G2862" s="22" t="n"/>
      <c r="H2862" s="22" t="n"/>
      <c r="I2862" s="219">
        <f>ROUND((C2862*J2862)/100,0)*100</f>
        <v/>
      </c>
      <c r="J2862" s="118" t="n">
        <v>1.09</v>
      </c>
      <c r="K2862" s="219" t="n"/>
      <c r="L2862" s="219" t="n"/>
      <c r="M2862" s="18" t="n"/>
      <c r="N2862" s="18" t="n"/>
      <c r="O2862" s="18" t="n"/>
      <c r="P2862" s="43" t="n"/>
      <c r="R2862" s="117" t="n"/>
      <c r="T2862" s="117" t="n"/>
    </row>
    <row r="2863">
      <c r="A2863" s="68" t="inlineStr">
        <is>
          <t>11120XXX</t>
        </is>
      </c>
      <c r="B2863" s="110" t="inlineStr">
        <is>
          <t>TAVERNITI BERMUDA</t>
        </is>
      </c>
      <c r="C2863" s="88" t="n">
        <v>70500</v>
      </c>
      <c r="D2863" s="22" t="n"/>
      <c r="E2863" s="22" t="n"/>
      <c r="F2863" s="22" t="n"/>
      <c r="G2863" s="22" t="n"/>
      <c r="H2863" s="22" t="n"/>
      <c r="I2863" s="219">
        <f>ROUND((C2863*J2863)/100,0)*100</f>
        <v/>
      </c>
      <c r="J2863" s="118" t="n">
        <v>1.09</v>
      </c>
      <c r="K2863" s="219" t="n"/>
      <c r="L2863" s="219" t="n"/>
      <c r="M2863" s="18" t="n"/>
      <c r="N2863" s="18" t="n"/>
      <c r="O2863" s="18" t="n"/>
      <c r="P2863" s="43" t="n"/>
      <c r="R2863" s="117" t="n"/>
      <c r="T2863" s="117" t="n"/>
    </row>
    <row r="2864">
      <c r="A2864" s="68" t="inlineStr">
        <is>
          <t>11122XXX</t>
        </is>
      </c>
      <c r="B2864" s="110" t="inlineStr">
        <is>
          <t>TAVERNITI BERMUDA</t>
        </is>
      </c>
      <c r="C2864" s="88" t="n">
        <v>79900</v>
      </c>
      <c r="D2864" s="22" t="n"/>
      <c r="E2864" s="22" t="n"/>
      <c r="F2864" s="22" t="n"/>
      <c r="G2864" s="22" t="n"/>
      <c r="H2864" s="22" t="n"/>
      <c r="I2864" s="219">
        <f>ROUND((C2864*J2864)/100,0)*100</f>
        <v/>
      </c>
      <c r="J2864" s="118" t="n">
        <v>1.09</v>
      </c>
      <c r="K2864" s="219" t="n"/>
      <c r="L2864" s="219" t="n"/>
      <c r="M2864" s="18" t="n"/>
      <c r="N2864" s="18" t="n"/>
      <c r="O2864" s="18" t="n"/>
      <c r="P2864" s="43" t="n"/>
      <c r="R2864" s="117" t="n"/>
      <c r="T2864" s="117" t="n"/>
    </row>
    <row r="2865">
      <c r="A2865" s="68" t="inlineStr">
        <is>
          <t>11124XXX</t>
        </is>
      </c>
      <c r="B2865" s="110" t="inlineStr">
        <is>
          <t>TAVERNITI BERMUDA</t>
        </is>
      </c>
      <c r="C2865" s="88" t="n">
        <v>70500</v>
      </c>
      <c r="D2865" s="22" t="n"/>
      <c r="E2865" s="22" t="n"/>
      <c r="F2865" s="22" t="n"/>
      <c r="G2865" s="22" t="n"/>
      <c r="H2865" s="22" t="n"/>
      <c r="I2865" s="219">
        <f>ROUND((C2865*J2865)/100,0)*100</f>
        <v/>
      </c>
      <c r="J2865" s="118" t="n">
        <v>1.09</v>
      </c>
      <c r="K2865" s="219" t="n"/>
      <c r="L2865" s="219" t="n"/>
      <c r="M2865" s="18" t="n"/>
      <c r="N2865" s="18" t="n"/>
      <c r="O2865" s="18" t="n"/>
      <c r="P2865" s="43" t="n"/>
      <c r="R2865" s="117" t="n"/>
      <c r="T2865" s="117" t="n"/>
    </row>
    <row r="2866">
      <c r="A2866" s="233" t="inlineStr">
        <is>
          <t>11126XXX</t>
        </is>
      </c>
      <c r="B2866" s="110" t="inlineStr">
        <is>
          <t>TAVERNITI BERMUDA</t>
        </is>
      </c>
      <c r="C2866" s="88" t="n">
        <v>70500</v>
      </c>
      <c r="D2866" s="170" t="n"/>
      <c r="E2866" s="170" t="n"/>
      <c r="F2866" s="170" t="n"/>
      <c r="G2866" s="170" t="n"/>
      <c r="H2866" s="170" t="n"/>
      <c r="I2866" s="219">
        <f>ROUND((C2866*J2866)/100,0)*100</f>
        <v/>
      </c>
      <c r="J2866" s="118" t="n">
        <v>1.09</v>
      </c>
      <c r="K2866" s="170" t="n"/>
      <c r="L2866" s="170" t="n"/>
      <c r="M2866" s="18" t="n"/>
      <c r="N2866" s="18" t="n"/>
      <c r="O2866" s="18" t="n"/>
      <c r="P2866" s="43" t="n"/>
      <c r="Q2866" s="30" t="n"/>
      <c r="R2866" s="170" t="n"/>
      <c r="S2866" s="30" t="n"/>
      <c r="T2866" s="170" t="n"/>
      <c r="U2866" s="30" t="n"/>
      <c r="V2866" s="30" t="n"/>
      <c r="W2866" s="30" t="n"/>
      <c r="X2866" s="30" t="n"/>
      <c r="Y2866" s="30" t="n"/>
      <c r="Z2866" s="30" t="n"/>
      <c r="AA2866" s="30" t="n"/>
      <c r="AB2866" s="30" t="n"/>
      <c r="AC2866" s="30" t="n"/>
      <c r="AD2866" s="30" t="n"/>
      <c r="AE2866" s="30" t="n"/>
      <c r="AF2866" s="30" t="n"/>
      <c r="AG2866" s="30" t="n"/>
      <c r="AH2866" s="30" t="n"/>
      <c r="AI2866" s="30" t="n"/>
      <c r="AJ2866" s="30" t="n"/>
      <c r="AK2866" s="30" t="n"/>
      <c r="AL2866" s="30" t="n"/>
      <c r="AM2866" s="30" t="n"/>
      <c r="AN2866" s="30" t="n"/>
    </row>
    <row r="2867">
      <c r="A2867" s="68" t="inlineStr">
        <is>
          <t>11130XXX</t>
        </is>
      </c>
      <c r="B2867" s="110" t="inlineStr">
        <is>
          <t>TAVERNITI BERMUDA</t>
        </is>
      </c>
      <c r="C2867" s="88" t="n">
        <v>70500</v>
      </c>
      <c r="D2867" s="22" t="n"/>
      <c r="E2867" s="22" t="n"/>
      <c r="F2867" s="22" t="n"/>
      <c r="G2867" s="22" t="n"/>
      <c r="H2867" s="22" t="n"/>
      <c r="I2867" s="219">
        <f>ROUND((C2867*J2867)/100,0)*100</f>
        <v/>
      </c>
      <c r="J2867" s="118" t="n">
        <v>1.09</v>
      </c>
      <c r="K2867" s="219" t="n"/>
      <c r="L2867" s="219" t="n"/>
      <c r="M2867" s="18" t="n"/>
      <c r="N2867" s="18" t="n"/>
      <c r="O2867" s="18" t="n"/>
      <c r="P2867" s="43" t="n"/>
      <c r="R2867" s="117" t="n"/>
      <c r="T2867" s="117" t="n"/>
    </row>
    <row r="2868">
      <c r="A2868" s="68" t="inlineStr">
        <is>
          <t>11132XXX</t>
        </is>
      </c>
      <c r="B2868" s="110" t="inlineStr">
        <is>
          <t>TAVERNITI BERMUDA</t>
        </is>
      </c>
      <c r="C2868" s="88" t="n">
        <v>70500</v>
      </c>
      <c r="D2868" s="22" t="n"/>
      <c r="E2868" s="22" t="n"/>
      <c r="F2868" s="22" t="n"/>
      <c r="G2868" s="22" t="n"/>
      <c r="H2868" s="22" t="n"/>
      <c r="I2868" s="219">
        <f>ROUND((C2868*J2868)/100,0)*100</f>
        <v/>
      </c>
      <c r="J2868" s="118" t="n">
        <v>1.09</v>
      </c>
      <c r="K2868" s="219" t="n"/>
      <c r="L2868" s="219" t="n"/>
      <c r="M2868" s="18" t="n"/>
      <c r="N2868" s="18" t="n"/>
      <c r="O2868" s="18" t="n"/>
      <c r="P2868" s="43" t="n"/>
      <c r="R2868" s="117" t="n"/>
      <c r="T2868" s="117" t="n"/>
    </row>
    <row r="2869">
      <c r="A2869" s="68" t="inlineStr">
        <is>
          <t>11134XXX</t>
        </is>
      </c>
      <c r="B2869" s="110" t="inlineStr">
        <is>
          <t>TAVERNITI BERMUDA</t>
        </is>
      </c>
      <c r="C2869" s="88" t="n">
        <v>70500</v>
      </c>
      <c r="D2869" s="22" t="n"/>
      <c r="E2869" s="22" t="n"/>
      <c r="F2869" s="22" t="n"/>
      <c r="G2869" s="22" t="n"/>
      <c r="H2869" s="22" t="n"/>
      <c r="I2869" s="219">
        <f>ROUND((C2869*J2869)/100,0)*100</f>
        <v/>
      </c>
      <c r="J2869" s="118" t="n">
        <v>1.09</v>
      </c>
      <c r="K2869" s="219" t="n"/>
      <c r="L2869" s="219" t="n"/>
      <c r="M2869" s="18" t="n"/>
      <c r="N2869" s="18" t="n"/>
      <c r="O2869" s="18" t="n"/>
      <c r="P2869" s="43" t="n"/>
      <c r="R2869" s="117" t="n"/>
      <c r="T2869" s="117" t="n"/>
    </row>
    <row r="2870">
      <c r="A2870" s="68" t="inlineStr">
        <is>
          <t>11136XXX</t>
        </is>
      </c>
      <c r="B2870" s="110" t="inlineStr">
        <is>
          <t>TAVERNITI BERMUDA</t>
        </is>
      </c>
      <c r="C2870" s="88" t="n">
        <v>74500</v>
      </c>
      <c r="D2870" s="22" t="n"/>
      <c r="E2870" s="22" t="n"/>
      <c r="F2870" s="22" t="n"/>
      <c r="G2870" s="22" t="n"/>
      <c r="H2870" s="22" t="n"/>
      <c r="I2870" s="219">
        <f>ROUND((C2870*J2870)/100,0)*100</f>
        <v/>
      </c>
      <c r="J2870" s="118" t="n">
        <v>1.09</v>
      </c>
      <c r="K2870" s="219" t="n"/>
      <c r="L2870" s="219" t="n"/>
      <c r="M2870" s="18" t="n"/>
      <c r="N2870" s="18" t="n"/>
      <c r="O2870" s="18" t="n"/>
      <c r="P2870" s="43" t="n"/>
      <c r="R2870" s="117" t="n"/>
      <c r="T2870" s="117" t="n"/>
    </row>
    <row r="2871">
      <c r="A2871" s="68" t="inlineStr">
        <is>
          <t>11142XXX</t>
        </is>
      </c>
      <c r="B2871" s="110" t="inlineStr">
        <is>
          <t>TAVERNITI BERMUDA</t>
        </is>
      </c>
      <c r="C2871" s="88" t="n">
        <v>70500</v>
      </c>
      <c r="D2871" s="22" t="n"/>
      <c r="E2871" s="22" t="n"/>
      <c r="F2871" s="22" t="n"/>
      <c r="G2871" s="22" t="n"/>
      <c r="H2871" s="22" t="n"/>
      <c r="I2871" s="219">
        <f>ROUND((C2871*J2871)/100,0)*100</f>
        <v/>
      </c>
      <c r="J2871" s="118" t="n">
        <v>1.09</v>
      </c>
      <c r="K2871" s="219" t="n"/>
      <c r="L2871" s="219" t="n"/>
      <c r="M2871" s="18" t="n"/>
      <c r="N2871" s="18" t="n"/>
      <c r="O2871" s="18" t="n"/>
      <c r="P2871" s="43" t="n"/>
      <c r="R2871" s="117" t="n"/>
      <c r="T2871" s="117" t="n"/>
    </row>
    <row r="2872">
      <c r="A2872" s="68" t="inlineStr">
        <is>
          <t>11150XXX</t>
        </is>
      </c>
      <c r="B2872" s="110" t="inlineStr">
        <is>
          <t>TAVERNITI BERMUDA</t>
        </is>
      </c>
      <c r="C2872" s="88" t="n">
        <v>70500</v>
      </c>
      <c r="D2872" s="22" t="n"/>
      <c r="E2872" s="22" t="n"/>
      <c r="F2872" s="22" t="n"/>
      <c r="G2872" s="22" t="n"/>
      <c r="H2872" s="22" t="n"/>
      <c r="I2872" s="219">
        <f>ROUND((C2872*J2872)/100,0)*100</f>
        <v/>
      </c>
      <c r="J2872" s="118" t="n">
        <v>1.09</v>
      </c>
      <c r="K2872" s="219" t="n"/>
      <c r="L2872" s="219" t="n"/>
      <c r="M2872" s="18" t="n"/>
      <c r="N2872" s="18" t="n"/>
      <c r="O2872" s="18" t="n"/>
      <c r="P2872" s="43" t="n"/>
      <c r="R2872" s="117" t="n"/>
      <c r="T2872" s="117" t="n"/>
    </row>
    <row r="2873">
      <c r="A2873" s="68" t="inlineStr">
        <is>
          <t>11154XXX</t>
        </is>
      </c>
      <c r="B2873" s="110" t="inlineStr">
        <is>
          <t>TAVERNITI BERMUDA</t>
        </is>
      </c>
      <c r="C2873" s="88" t="n">
        <v>70500</v>
      </c>
      <c r="D2873" s="22" t="n"/>
      <c r="E2873" s="22" t="n"/>
      <c r="F2873" s="22" t="n"/>
      <c r="G2873" s="22" t="n"/>
      <c r="H2873" s="22" t="n"/>
      <c r="I2873" s="219">
        <f>ROUND((C2873*J2873)/100,0)*100</f>
        <v/>
      </c>
      <c r="J2873" s="118" t="n">
        <v>1.09</v>
      </c>
      <c r="K2873" s="219" t="n"/>
      <c r="L2873" s="219" t="n"/>
      <c r="M2873" s="18" t="n"/>
      <c r="N2873" s="18" t="n"/>
      <c r="O2873" s="18" t="n"/>
      <c r="P2873" s="43" t="n"/>
      <c r="R2873" s="117" t="n"/>
      <c r="T2873" s="117" t="n"/>
    </row>
    <row r="2874">
      <c r="A2874" s="68" t="inlineStr">
        <is>
          <t>11208XXX</t>
        </is>
      </c>
      <c r="B2874" s="110" t="inlineStr">
        <is>
          <t>TAVERNITI BERMUDA</t>
        </is>
      </c>
      <c r="C2874" s="88" t="n">
        <v>70500</v>
      </c>
      <c r="D2874" s="22" t="n"/>
      <c r="E2874" s="22" t="n"/>
      <c r="F2874" s="22" t="n"/>
      <c r="G2874" s="22" t="n"/>
      <c r="H2874" s="22" t="n"/>
      <c r="I2874" s="219">
        <f>ROUND((C2874*J2874)/100,0)*100</f>
        <v/>
      </c>
      <c r="J2874" s="118" t="n">
        <v>1.09</v>
      </c>
      <c r="K2874" s="219" t="n"/>
      <c r="L2874" s="219" t="n"/>
      <c r="M2874" s="18" t="n"/>
      <c r="N2874" s="18" t="n"/>
      <c r="O2874" s="18" t="n"/>
      <c r="P2874" s="43" t="n"/>
      <c r="R2874" s="117" t="n"/>
      <c r="T2874" s="117" t="n"/>
    </row>
    <row r="2875">
      <c r="A2875" s="68" t="inlineStr">
        <is>
          <t>11210XXX</t>
        </is>
      </c>
      <c r="B2875" s="110" t="inlineStr">
        <is>
          <t>TAVERNITI BERMUDA</t>
        </is>
      </c>
      <c r="C2875" s="88" t="n">
        <v>70500</v>
      </c>
      <c r="D2875" s="22" t="n"/>
      <c r="E2875" s="22" t="n"/>
      <c r="F2875" s="22" t="n"/>
      <c r="G2875" s="22" t="n"/>
      <c r="H2875" s="22" t="n"/>
      <c r="I2875" s="219">
        <f>ROUND((C2875*J2875)/100,0)*100</f>
        <v/>
      </c>
      <c r="J2875" s="118" t="n">
        <v>1.09</v>
      </c>
      <c r="K2875" s="219" t="n"/>
      <c r="L2875" s="219" t="n"/>
      <c r="M2875" s="18" t="n"/>
      <c r="N2875" s="18" t="n"/>
      <c r="O2875" s="18" t="n"/>
      <c r="P2875" s="43" t="n"/>
      <c r="R2875" s="117" t="n"/>
      <c r="T2875" s="117" t="n"/>
    </row>
    <row r="2876">
      <c r="A2876" s="233" t="inlineStr">
        <is>
          <t>11322XXX</t>
        </is>
      </c>
      <c r="B2876" s="110" t="inlineStr">
        <is>
          <t>TAVERNITI BERMUDA</t>
        </is>
      </c>
      <c r="C2876" s="88" t="n">
        <v>70500</v>
      </c>
      <c r="D2876" s="170" t="n"/>
      <c r="E2876" s="170" t="n"/>
      <c r="F2876" s="170" t="n"/>
      <c r="G2876" s="170" t="n"/>
      <c r="H2876" s="170" t="n"/>
      <c r="I2876" s="219">
        <f>ROUND((C2876*J2876)/100,0)*100</f>
        <v/>
      </c>
      <c r="J2876" s="118" t="n">
        <v>1.09</v>
      </c>
      <c r="K2876" s="170" t="n"/>
      <c r="L2876" s="170" t="n"/>
      <c r="M2876" s="18" t="n"/>
      <c r="N2876" s="18" t="n"/>
      <c r="O2876" s="18" t="n"/>
      <c r="P2876" s="43" t="n"/>
      <c r="Q2876" s="30" t="n"/>
      <c r="R2876" s="170" t="n"/>
      <c r="S2876" s="30" t="n"/>
      <c r="T2876" s="170" t="n"/>
      <c r="U2876" s="30" t="n"/>
      <c r="V2876" s="30" t="n"/>
      <c r="W2876" s="30" t="n"/>
      <c r="X2876" s="30" t="n"/>
      <c r="Y2876" s="30" t="n"/>
      <c r="Z2876" s="30" t="n"/>
      <c r="AA2876" s="30" t="n"/>
      <c r="AB2876" s="30" t="n"/>
      <c r="AC2876" s="30" t="n"/>
      <c r="AD2876" s="30" t="n"/>
      <c r="AE2876" s="30" t="n"/>
      <c r="AF2876" s="30" t="n"/>
      <c r="AG2876" s="30" t="n"/>
      <c r="AH2876" s="30" t="n"/>
      <c r="AI2876" s="30" t="n"/>
      <c r="AJ2876" s="30" t="n"/>
      <c r="AK2876" s="30" t="n"/>
      <c r="AL2876" s="30" t="n"/>
      <c r="AM2876" s="30" t="n"/>
      <c r="AN2876" s="30" t="n"/>
    </row>
    <row r="2877">
      <c r="A2877" s="233" t="inlineStr">
        <is>
          <t>11334XXX</t>
        </is>
      </c>
      <c r="B2877" s="110" t="inlineStr">
        <is>
          <t>TAVERNITI BERMUDA</t>
        </is>
      </c>
      <c r="C2877" s="88" t="n">
        <v>70500</v>
      </c>
      <c r="D2877" s="170" t="n"/>
      <c r="E2877" s="170" t="n"/>
      <c r="F2877" s="170" t="n"/>
      <c r="G2877" s="170" t="n"/>
      <c r="H2877" s="170" t="n"/>
      <c r="I2877" s="219">
        <f>ROUND((C2877*J2877)/100,0)*100</f>
        <v/>
      </c>
      <c r="J2877" s="118" t="n">
        <v>1.09</v>
      </c>
      <c r="K2877" s="170" t="n"/>
      <c r="L2877" s="170" t="n"/>
      <c r="M2877" s="18" t="n"/>
      <c r="N2877" s="18" t="n"/>
      <c r="O2877" s="18" t="n"/>
      <c r="P2877" s="43" t="n"/>
      <c r="Q2877" s="30" t="n"/>
      <c r="R2877" s="170" t="n"/>
      <c r="S2877" s="30" t="n"/>
      <c r="T2877" s="170" t="n"/>
      <c r="U2877" s="30" t="n"/>
      <c r="V2877" s="30" t="n"/>
      <c r="W2877" s="30" t="n"/>
      <c r="X2877" s="30" t="n"/>
      <c r="Y2877" s="30" t="n"/>
      <c r="Z2877" s="30" t="n"/>
      <c r="AA2877" s="30" t="n"/>
      <c r="AB2877" s="30" t="n"/>
      <c r="AC2877" s="30" t="n"/>
      <c r="AD2877" s="30" t="n"/>
      <c r="AE2877" s="30" t="n"/>
      <c r="AF2877" s="30" t="n"/>
      <c r="AG2877" s="30" t="n"/>
      <c r="AH2877" s="30" t="n"/>
      <c r="AI2877" s="30" t="n"/>
      <c r="AJ2877" s="30" t="n"/>
      <c r="AK2877" s="30" t="n"/>
      <c r="AL2877" s="30" t="n"/>
      <c r="AM2877" s="30" t="n"/>
      <c r="AN2877" s="30" t="n"/>
    </row>
    <row r="2878">
      <c r="A2878" s="233" t="inlineStr">
        <is>
          <t>11342XXX</t>
        </is>
      </c>
      <c r="B2878" s="110" t="inlineStr">
        <is>
          <t>TAVERNITI BERMUDA</t>
        </is>
      </c>
      <c r="C2878" s="88" t="n">
        <v>70500</v>
      </c>
      <c r="D2878" s="170" t="n"/>
      <c r="E2878" s="170" t="n"/>
      <c r="F2878" s="170" t="n"/>
      <c r="G2878" s="170" t="n"/>
      <c r="H2878" s="170" t="n"/>
      <c r="I2878" s="219">
        <f>ROUND((C2878*J2878)/100,0)*100</f>
        <v/>
      </c>
      <c r="J2878" s="118" t="n">
        <v>1.09</v>
      </c>
      <c r="K2878" s="170" t="n"/>
      <c r="L2878" s="170" t="n"/>
      <c r="M2878" s="18" t="n"/>
      <c r="N2878" s="18" t="n"/>
      <c r="O2878" s="18" t="n"/>
      <c r="P2878" s="43" t="n"/>
      <c r="Q2878" s="30" t="n"/>
      <c r="R2878" s="170" t="n"/>
      <c r="S2878" s="30" t="n"/>
      <c r="T2878" s="170" t="n"/>
      <c r="U2878" s="30" t="n"/>
      <c r="V2878" s="30" t="n"/>
      <c r="W2878" s="30" t="n"/>
      <c r="X2878" s="30" t="n"/>
      <c r="Y2878" s="30" t="n"/>
      <c r="Z2878" s="30" t="n"/>
      <c r="AA2878" s="30" t="n"/>
      <c r="AB2878" s="30" t="n"/>
      <c r="AC2878" s="30" t="n"/>
      <c r="AD2878" s="30" t="n"/>
      <c r="AE2878" s="30" t="n"/>
      <c r="AF2878" s="30" t="n"/>
      <c r="AG2878" s="30" t="n"/>
      <c r="AH2878" s="30" t="n"/>
      <c r="AI2878" s="30" t="n"/>
      <c r="AJ2878" s="30" t="n"/>
      <c r="AK2878" s="30" t="n"/>
      <c r="AL2878" s="30" t="n"/>
      <c r="AM2878" s="30" t="n"/>
      <c r="AN2878" s="30" t="n"/>
    </row>
    <row r="2879">
      <c r="A2879" s="233" t="inlineStr">
        <is>
          <t>11346XXX</t>
        </is>
      </c>
      <c r="B2879" s="110" t="inlineStr">
        <is>
          <t>TAVERNITI BERMUDA</t>
        </is>
      </c>
      <c r="C2879" s="88" t="n">
        <v>79000</v>
      </c>
      <c r="D2879" s="170" t="n"/>
      <c r="E2879" s="170" t="n"/>
      <c r="F2879" s="170" t="n"/>
      <c r="G2879" s="170" t="n"/>
      <c r="H2879" s="170" t="n"/>
      <c r="I2879" s="219">
        <f>ROUND((C2879*J2879)/100,0)*100</f>
        <v/>
      </c>
      <c r="J2879" s="118" t="n">
        <v>1.09</v>
      </c>
      <c r="K2879" s="170" t="n"/>
      <c r="L2879" s="170" t="n"/>
      <c r="M2879" s="18" t="n"/>
      <c r="N2879" s="18" t="n"/>
      <c r="O2879" s="18" t="n"/>
      <c r="P2879" s="43" t="n"/>
      <c r="Q2879" s="30" t="n"/>
      <c r="R2879" s="170" t="n"/>
      <c r="S2879" s="30" t="n"/>
      <c r="T2879" s="170" t="n"/>
      <c r="U2879" s="30" t="n"/>
      <c r="V2879" s="30" t="n"/>
      <c r="W2879" s="30" t="n"/>
      <c r="X2879" s="30" t="n"/>
      <c r="Y2879" s="30" t="n"/>
      <c r="Z2879" s="30" t="n"/>
      <c r="AA2879" s="30" t="n"/>
      <c r="AB2879" s="30" t="n"/>
      <c r="AC2879" s="30" t="n"/>
      <c r="AD2879" s="30" t="n"/>
      <c r="AE2879" s="30" t="n"/>
      <c r="AF2879" s="30" t="n"/>
      <c r="AG2879" s="30" t="n"/>
      <c r="AH2879" s="30" t="n"/>
      <c r="AI2879" s="30" t="n"/>
      <c r="AJ2879" s="30" t="n"/>
      <c r="AK2879" s="30" t="n"/>
      <c r="AL2879" s="30" t="n"/>
      <c r="AM2879" s="30" t="n"/>
      <c r="AN2879" s="30" t="n"/>
    </row>
    <row r="2880">
      <c r="A2880" s="233" t="inlineStr">
        <is>
          <t>11350XXX</t>
        </is>
      </c>
      <c r="B2880" s="110" t="inlineStr">
        <is>
          <t>TAVERNITI BERMUDA</t>
        </is>
      </c>
      <c r="C2880" s="88" t="n">
        <v>70500</v>
      </c>
      <c r="D2880" s="170" t="n"/>
      <c r="E2880" s="170" t="n"/>
      <c r="F2880" s="170" t="n"/>
      <c r="G2880" s="170" t="n"/>
      <c r="H2880" s="170" t="n"/>
      <c r="I2880" s="219">
        <f>ROUND((C2880*J2880)/100,0)*100</f>
        <v/>
      </c>
      <c r="J2880" s="118" t="n">
        <v>1.09</v>
      </c>
      <c r="K2880" s="170" t="n"/>
      <c r="L2880" s="170" t="n"/>
      <c r="M2880" s="18" t="n"/>
      <c r="N2880" s="18" t="n"/>
      <c r="O2880" s="18" t="n"/>
      <c r="P2880" s="43" t="n"/>
      <c r="Q2880" s="30" t="n"/>
      <c r="R2880" s="170" t="n"/>
      <c r="S2880" s="30" t="n"/>
      <c r="T2880" s="170" t="n"/>
      <c r="U2880" s="30" t="n"/>
      <c r="V2880" s="30" t="n"/>
      <c r="W2880" s="30" t="n"/>
      <c r="X2880" s="30" t="n"/>
      <c r="Y2880" s="30" t="n"/>
      <c r="Z2880" s="30" t="n"/>
      <c r="AA2880" s="30" t="n"/>
      <c r="AB2880" s="30" t="n"/>
      <c r="AC2880" s="30" t="n"/>
      <c r="AD2880" s="30" t="n"/>
      <c r="AE2880" s="30" t="n"/>
      <c r="AF2880" s="30" t="n"/>
      <c r="AG2880" s="30" t="n"/>
      <c r="AH2880" s="30" t="n"/>
      <c r="AI2880" s="30" t="n"/>
      <c r="AJ2880" s="30" t="n"/>
      <c r="AK2880" s="30" t="n"/>
      <c r="AL2880" s="30" t="n"/>
      <c r="AM2880" s="30" t="n"/>
      <c r="AN2880" s="30" t="n"/>
    </row>
    <row r="2881">
      <c r="A2881" s="233" t="inlineStr">
        <is>
          <t>11352XXX</t>
        </is>
      </c>
      <c r="B2881" s="110" t="inlineStr">
        <is>
          <t>TAVERNITI BERMUDA</t>
        </is>
      </c>
      <c r="C2881" s="88" t="n">
        <v>70500</v>
      </c>
      <c r="D2881" s="170" t="n"/>
      <c r="E2881" s="170" t="n"/>
      <c r="F2881" s="170" t="n"/>
      <c r="G2881" s="170" t="n"/>
      <c r="H2881" s="170" t="n"/>
      <c r="I2881" s="219">
        <f>ROUND((C2881*J2881)/100,0)*100</f>
        <v/>
      </c>
      <c r="J2881" s="118" t="n">
        <v>1.09</v>
      </c>
      <c r="K2881" s="170" t="n"/>
      <c r="L2881" s="170" t="n"/>
      <c r="M2881" s="18" t="n"/>
      <c r="N2881" s="18" t="n"/>
      <c r="O2881" s="18" t="n"/>
      <c r="P2881" s="43" t="n"/>
      <c r="Q2881" s="30" t="n"/>
      <c r="R2881" s="170" t="n"/>
      <c r="S2881" s="30" t="n"/>
      <c r="T2881" s="170" t="n"/>
      <c r="U2881" s="30" t="n"/>
      <c r="V2881" s="30" t="n"/>
      <c r="W2881" s="30" t="n"/>
      <c r="X2881" s="30" t="n"/>
      <c r="Y2881" s="30" t="n"/>
      <c r="Z2881" s="30" t="n"/>
      <c r="AA2881" s="30" t="n"/>
      <c r="AB2881" s="30" t="n"/>
      <c r="AC2881" s="30" t="n"/>
      <c r="AD2881" s="30" t="n"/>
      <c r="AE2881" s="30" t="n"/>
      <c r="AF2881" s="30" t="n"/>
      <c r="AG2881" s="30" t="n"/>
      <c r="AH2881" s="30" t="n"/>
      <c r="AI2881" s="30" t="n"/>
      <c r="AJ2881" s="30" t="n"/>
      <c r="AK2881" s="30" t="n"/>
      <c r="AL2881" s="30" t="n"/>
      <c r="AM2881" s="30" t="n"/>
      <c r="AN2881" s="30" t="n"/>
    </row>
    <row r="2882">
      <c r="A2882" s="68" t="inlineStr">
        <is>
          <t>11360XXX</t>
        </is>
      </c>
      <c r="B2882" s="110" t="inlineStr">
        <is>
          <t>TAVERNITI BERMUDA</t>
        </is>
      </c>
      <c r="C2882" s="88" t="n">
        <v>70500</v>
      </c>
      <c r="D2882" s="22" t="n"/>
      <c r="E2882" s="22" t="n"/>
      <c r="F2882" s="22" t="n"/>
      <c r="G2882" s="22" t="n"/>
      <c r="H2882" s="22" t="n"/>
      <c r="I2882" s="219">
        <f>ROUND((C2882*J2882)/100,0)*100</f>
        <v/>
      </c>
      <c r="J2882" s="118" t="n">
        <v>1.09</v>
      </c>
      <c r="K2882" s="219" t="n"/>
      <c r="L2882" s="219" t="n"/>
      <c r="M2882" s="18" t="n"/>
      <c r="N2882" s="18" t="n"/>
      <c r="O2882" s="18" t="n"/>
      <c r="P2882" s="43" t="n"/>
      <c r="R2882" s="117" t="n"/>
      <c r="T2882" s="117" t="n"/>
    </row>
    <row r="2883">
      <c r="A2883" s="68" t="inlineStr">
        <is>
          <t>11368XXX</t>
        </is>
      </c>
      <c r="B2883" s="110" t="inlineStr">
        <is>
          <t>TAVERNITI BERMUDA</t>
        </is>
      </c>
      <c r="C2883" s="88" t="n">
        <v>70500</v>
      </c>
      <c r="D2883" s="22" t="n"/>
      <c r="E2883" s="22" t="n"/>
      <c r="F2883" s="22" t="n"/>
      <c r="G2883" s="22" t="n"/>
      <c r="H2883" s="22" t="n"/>
      <c r="I2883" s="219">
        <f>ROUND((C2883*J2883)/100,0)*100</f>
        <v/>
      </c>
      <c r="J2883" s="118" t="n">
        <v>1.09</v>
      </c>
      <c r="K2883" s="219" t="n"/>
      <c r="L2883" s="219" t="n"/>
      <c r="M2883" s="18" t="n"/>
      <c r="N2883" s="18" t="n"/>
      <c r="O2883" s="18" t="n"/>
      <c r="P2883" s="43" t="n"/>
      <c r="R2883" s="117" t="n"/>
      <c r="T2883" s="117" t="n"/>
    </row>
    <row r="2884">
      <c r="A2884" s="68" t="inlineStr">
        <is>
          <t>11370XXX</t>
        </is>
      </c>
      <c r="B2884" s="110" t="inlineStr">
        <is>
          <t>TAVERNITI BERMUDA</t>
        </is>
      </c>
      <c r="C2884" s="88" t="n">
        <v>70500</v>
      </c>
      <c r="D2884" s="22" t="n"/>
      <c r="E2884" s="22" t="n"/>
      <c r="F2884" s="22" t="n"/>
      <c r="G2884" s="22" t="n"/>
      <c r="H2884" s="22" t="n"/>
      <c r="I2884" s="219">
        <f>ROUND((C2884*J2884)/100,0)*100</f>
        <v/>
      </c>
      <c r="J2884" s="118" t="n">
        <v>1.09</v>
      </c>
      <c r="K2884" s="219" t="n"/>
      <c r="L2884" s="219" t="n"/>
      <c r="M2884" s="18" t="n"/>
      <c r="N2884" s="18" t="n"/>
      <c r="O2884" s="18" t="n"/>
      <c r="P2884" s="43" t="n"/>
      <c r="R2884" s="117" t="n"/>
      <c r="T2884" s="117" t="n"/>
    </row>
    <row r="2885">
      <c r="A2885" s="68" t="inlineStr">
        <is>
          <t>11372552</t>
        </is>
      </c>
      <c r="B2885" s="110" t="inlineStr">
        <is>
          <t>TAVERNITI BERMUDA</t>
        </is>
      </c>
      <c r="C2885" s="88" t="n">
        <v>70500</v>
      </c>
      <c r="D2885" s="22" t="n"/>
      <c r="E2885" s="22" t="n"/>
      <c r="F2885" s="22" t="n"/>
      <c r="G2885" s="22" t="n"/>
      <c r="H2885" s="22" t="n"/>
      <c r="I2885" s="219">
        <f>ROUND((C2885*J2885)/100,0)*100</f>
        <v/>
      </c>
      <c r="J2885" s="118" t="n">
        <v>1.09</v>
      </c>
      <c r="K2885" s="219" t="n"/>
      <c r="L2885" s="219" t="n"/>
      <c r="M2885" s="18" t="n"/>
      <c r="N2885" s="18" t="n"/>
      <c r="O2885" s="18" t="n"/>
      <c r="P2885" s="43" t="n"/>
      <c r="R2885" s="117" t="n"/>
      <c r="T2885" s="117" t="n"/>
    </row>
    <row r="2886" ht="15.75" customHeight="1" s="253">
      <c r="A2886" s="68" t="inlineStr">
        <is>
          <t>11386510</t>
        </is>
      </c>
      <c r="B2886" s="110" t="inlineStr">
        <is>
          <t>TAVERNITI BERMUDA</t>
        </is>
      </c>
      <c r="C2886" s="88" t="n">
        <v>70500</v>
      </c>
      <c r="D2886" s="22" t="n"/>
      <c r="E2886" s="22" t="n"/>
      <c r="F2886" s="22" t="n"/>
      <c r="G2886" s="22" t="n"/>
      <c r="H2886" s="22" t="n"/>
      <c r="I2886" s="219">
        <f>ROUND((C2886*J2886)/100,0)*100</f>
        <v/>
      </c>
      <c r="J2886" s="118" t="n">
        <v>1.09</v>
      </c>
      <c r="K2886" s="219" t="n"/>
      <c r="L2886" s="219" t="n"/>
      <c r="M2886" s="18" t="n"/>
      <c r="N2886" s="18" t="n"/>
      <c r="O2886" s="18" t="n"/>
      <c r="P2886" s="43" t="n"/>
      <c r="R2886" s="117" t="n"/>
      <c r="T2886" s="117" t="n"/>
    </row>
    <row r="2887" ht="15.75" customHeight="1" s="253">
      <c r="A2887" s="68" t="inlineStr">
        <is>
          <t>11388XXX</t>
        </is>
      </c>
      <c r="B2887" s="110" t="inlineStr">
        <is>
          <t>TAVERNITI BERMUDA</t>
        </is>
      </c>
      <c r="C2887" s="88" t="n">
        <v>70500</v>
      </c>
      <c r="D2887" s="22" t="n"/>
      <c r="E2887" s="22" t="n"/>
      <c r="F2887" s="22" t="n"/>
      <c r="G2887" s="22" t="n"/>
      <c r="H2887" s="22" t="n"/>
      <c r="I2887" s="219">
        <f>ROUND((C2887*J2887)/100,0)*100</f>
        <v/>
      </c>
      <c r="J2887" s="118" t="n">
        <v>1.09</v>
      </c>
      <c r="K2887" s="219" t="n"/>
      <c r="L2887" s="219" t="n"/>
      <c r="M2887" s="18" t="n"/>
      <c r="N2887" s="18" t="n"/>
      <c r="O2887" s="18" t="n"/>
      <c r="P2887" s="43" t="n"/>
      <c r="R2887" s="117" t="n"/>
      <c r="T2887" s="117" t="n"/>
    </row>
    <row r="2888" ht="15.75" customHeight="1" s="253">
      <c r="A2888" s="68" t="inlineStr">
        <is>
          <t>11394236</t>
        </is>
      </c>
      <c r="B2888" s="110" t="inlineStr">
        <is>
          <t>TAVERNITI BERMUDA</t>
        </is>
      </c>
      <c r="C2888" s="88" t="n">
        <v>70500</v>
      </c>
      <c r="D2888" s="22" t="n"/>
      <c r="E2888" s="22" t="n"/>
      <c r="F2888" s="22" t="n"/>
      <c r="G2888" s="22" t="n"/>
      <c r="H2888" s="22" t="n"/>
      <c r="I2888" s="219">
        <f>ROUND((C2888*J2888)/100,0)*100</f>
        <v/>
      </c>
      <c r="J2888" s="118" t="n">
        <v>1.09</v>
      </c>
      <c r="K2888" s="219" t="n"/>
      <c r="L2888" s="219" t="n"/>
      <c r="M2888" s="18" t="n"/>
      <c r="N2888" s="18" t="n"/>
      <c r="O2888" s="18" t="n"/>
      <c r="P2888" s="43" t="n"/>
      <c r="R2888" s="117" t="n"/>
      <c r="T2888" s="117" t="n"/>
    </row>
    <row r="2889" ht="15.75" customHeight="1" s="253">
      <c r="A2889" s="68" t="inlineStr">
        <is>
          <t>11394710</t>
        </is>
      </c>
      <c r="B2889" s="110" t="inlineStr">
        <is>
          <t>TAVERNITI BERMUDA</t>
        </is>
      </c>
      <c r="C2889" s="88" t="n">
        <v>70500</v>
      </c>
      <c r="D2889" s="22" t="n"/>
      <c r="E2889" s="22" t="n"/>
      <c r="F2889" s="22" t="n"/>
      <c r="G2889" s="22" t="n"/>
      <c r="H2889" s="22" t="n"/>
      <c r="I2889" s="219">
        <f>ROUND((C2889*J2889)/100,0)*100</f>
        <v/>
      </c>
      <c r="J2889" s="118" t="n">
        <v>1.09</v>
      </c>
      <c r="K2889" s="219" t="n"/>
      <c r="L2889" s="219" t="n"/>
      <c r="M2889" s="18" t="n"/>
      <c r="N2889" s="18" t="n"/>
      <c r="O2889" s="18" t="n"/>
      <c r="P2889" s="43" t="n"/>
      <c r="R2889" s="117" t="n"/>
      <c r="T2889" s="117" t="n"/>
    </row>
    <row r="2890" ht="15.75" customHeight="1" s="253">
      <c r="A2890" s="68" t="inlineStr">
        <is>
          <t>11396XXX</t>
        </is>
      </c>
      <c r="B2890" s="110" t="inlineStr">
        <is>
          <t>TAVERNITI BERMUDA</t>
        </is>
      </c>
      <c r="C2890" s="88" t="n">
        <v>70500</v>
      </c>
      <c r="D2890" s="22" t="n"/>
      <c r="E2890" s="22" t="n"/>
      <c r="F2890" s="22" t="n"/>
      <c r="G2890" s="22" t="n"/>
      <c r="H2890" s="22" t="n"/>
      <c r="I2890" s="219">
        <f>ROUND((C2890*J2890)/100,0)*100</f>
        <v/>
      </c>
      <c r="J2890" s="118" t="n">
        <v>1.09</v>
      </c>
      <c r="K2890" s="219" t="n"/>
      <c r="L2890" s="219" t="n"/>
      <c r="M2890" s="18" t="n"/>
      <c r="N2890" s="18" t="n"/>
      <c r="O2890" s="18" t="n"/>
      <c r="P2890" s="43" t="n"/>
      <c r="R2890" s="117" t="n"/>
      <c r="T2890" s="117" t="n"/>
    </row>
    <row r="2891" ht="15.75" customHeight="1" s="253">
      <c r="A2891" s="68" t="inlineStr">
        <is>
          <t>11398XXX</t>
        </is>
      </c>
      <c r="B2891" s="110" t="inlineStr">
        <is>
          <t>TAVERNITI BERMUDA</t>
        </is>
      </c>
      <c r="C2891" s="88" t="n">
        <v>70500</v>
      </c>
      <c r="D2891" s="22" t="n"/>
      <c r="E2891" s="22" t="n"/>
      <c r="F2891" s="22" t="n"/>
      <c r="G2891" s="22" t="n"/>
      <c r="H2891" s="22" t="n"/>
      <c r="I2891" s="219">
        <f>ROUND((C2891*J2891)/100,0)*100</f>
        <v/>
      </c>
      <c r="J2891" s="118" t="n">
        <v>1.09</v>
      </c>
      <c r="K2891" s="219" t="n"/>
      <c r="L2891" s="219" t="n"/>
      <c r="M2891" s="18" t="n"/>
      <c r="N2891" s="18" t="n"/>
      <c r="O2891" s="18" t="n"/>
      <c r="P2891" s="43" t="n"/>
      <c r="R2891" s="117" t="n"/>
      <c r="T2891" s="117" t="n"/>
    </row>
    <row r="2892" ht="15.75" customHeight="1" s="253">
      <c r="A2892" s="68" t="inlineStr">
        <is>
          <t>11408XXX</t>
        </is>
      </c>
      <c r="B2892" s="110" t="inlineStr">
        <is>
          <t>TAVERNITI BERMUDA</t>
        </is>
      </c>
      <c r="C2892" s="88" t="n">
        <v>70500</v>
      </c>
      <c r="D2892" s="22" t="n"/>
      <c r="E2892" s="22" t="n"/>
      <c r="F2892" s="22" t="n"/>
      <c r="G2892" s="22" t="n"/>
      <c r="H2892" s="22" t="n"/>
      <c r="I2892" s="219">
        <f>ROUND((C2892*J2892)/100,0)*100</f>
        <v/>
      </c>
      <c r="J2892" s="118" t="n">
        <v>1.09</v>
      </c>
      <c r="K2892" s="219" t="n"/>
      <c r="L2892" s="219" t="n"/>
      <c r="M2892" s="18" t="n"/>
      <c r="N2892" s="18" t="n"/>
      <c r="O2892" s="18" t="n"/>
      <c r="P2892" s="43" t="n"/>
      <c r="R2892" s="117" t="n"/>
      <c r="T2892" s="117" t="n"/>
    </row>
    <row r="2893" ht="15.75" customHeight="1" s="253">
      <c r="A2893" s="68" t="inlineStr">
        <is>
          <t>11412XXX</t>
        </is>
      </c>
      <c r="B2893" s="110" t="inlineStr">
        <is>
          <t>TAVERNITI BERMUDA</t>
        </is>
      </c>
      <c r="C2893" s="88" t="n">
        <v>70500</v>
      </c>
      <c r="D2893" s="22" t="n"/>
      <c r="E2893" s="22" t="n"/>
      <c r="F2893" s="22" t="n"/>
      <c r="G2893" s="22" t="n"/>
      <c r="H2893" s="22" t="n"/>
      <c r="I2893" s="219">
        <f>ROUND((C2893*J2893)/100,0)*100</f>
        <v/>
      </c>
      <c r="J2893" s="118" t="n">
        <v>1.09</v>
      </c>
      <c r="K2893" s="219" t="n"/>
      <c r="L2893" s="219" t="n"/>
      <c r="M2893" s="18" t="n"/>
      <c r="N2893" s="18" t="n"/>
      <c r="O2893" s="18" t="n"/>
      <c r="P2893" s="43" t="n"/>
      <c r="R2893" s="117" t="n"/>
      <c r="T2893" s="117" t="n"/>
    </row>
    <row r="2894" ht="15.75" customHeight="1" s="253">
      <c r="A2894" s="68" t="inlineStr">
        <is>
          <t>11414XXX</t>
        </is>
      </c>
      <c r="B2894" s="110" t="inlineStr">
        <is>
          <t>TAVERNITI BERMUDA</t>
        </is>
      </c>
      <c r="C2894" s="88" t="n">
        <v>70500</v>
      </c>
      <c r="D2894" s="22" t="n"/>
      <c r="E2894" s="22" t="n"/>
      <c r="F2894" s="22" t="n"/>
      <c r="G2894" s="22" t="n"/>
      <c r="H2894" s="22" t="n"/>
      <c r="I2894" s="219">
        <f>ROUND((C2894*J2894)/100,0)*100</f>
        <v/>
      </c>
      <c r="J2894" s="118" t="n">
        <v>1.09</v>
      </c>
      <c r="K2894" s="219" t="n"/>
      <c r="L2894" s="219" t="n"/>
      <c r="M2894" s="18" t="n"/>
      <c r="N2894" s="18" t="n"/>
      <c r="O2894" s="18" t="n"/>
      <c r="P2894" s="43" t="n"/>
      <c r="R2894" s="117" t="n"/>
      <c r="T2894" s="117" t="n"/>
    </row>
    <row r="2895" ht="15.75" customHeight="1" s="253">
      <c r="A2895" s="68" t="inlineStr">
        <is>
          <t>11416XXX</t>
        </is>
      </c>
      <c r="B2895" s="110" t="inlineStr">
        <is>
          <t>TAVERNITI BERMUDA</t>
        </is>
      </c>
      <c r="C2895" s="88" t="n">
        <v>70500</v>
      </c>
      <c r="D2895" s="22" t="n"/>
      <c r="E2895" s="22" t="n"/>
      <c r="F2895" s="22" t="n"/>
      <c r="G2895" s="22" t="n"/>
      <c r="H2895" s="22" t="n"/>
      <c r="I2895" s="219">
        <f>ROUND((C2895*J2895)/100,0)*100</f>
        <v/>
      </c>
      <c r="J2895" s="118" t="n">
        <v>1.09</v>
      </c>
      <c r="K2895" s="219" t="n"/>
      <c r="L2895" s="219" t="n"/>
      <c r="M2895" s="18" t="n"/>
      <c r="N2895" s="18" t="n"/>
      <c r="O2895" s="18" t="n"/>
      <c r="P2895" s="43" t="n"/>
      <c r="R2895" s="117" t="n"/>
      <c r="T2895" s="117" t="n"/>
    </row>
    <row r="2896" ht="15.75" customHeight="1" s="253">
      <c r="A2896" s="68" t="inlineStr">
        <is>
          <t>11418XXX</t>
        </is>
      </c>
      <c r="B2896" s="110" t="inlineStr">
        <is>
          <t>TAVERNITI BERMUDA</t>
        </is>
      </c>
      <c r="C2896" s="88" t="n">
        <v>74000</v>
      </c>
      <c r="D2896" s="22" t="n"/>
      <c r="E2896" s="22" t="n"/>
      <c r="F2896" s="22" t="n"/>
      <c r="G2896" s="22" t="n"/>
      <c r="H2896" s="22" t="n"/>
      <c r="I2896" s="219">
        <f>ROUND((C2896*J2896)/100,0)*100</f>
        <v/>
      </c>
      <c r="J2896" s="118" t="n">
        <v>1.09</v>
      </c>
      <c r="K2896" s="219" t="n"/>
      <c r="L2896" s="219" t="n"/>
      <c r="M2896" s="18" t="n"/>
      <c r="N2896" s="18" t="n"/>
      <c r="O2896" s="18" t="n"/>
      <c r="P2896" s="43" t="n"/>
      <c r="R2896" s="117" t="n"/>
      <c r="T2896" s="117" t="n"/>
    </row>
    <row r="2897" ht="15.75" customHeight="1" s="253">
      <c r="A2897" s="68" t="inlineStr">
        <is>
          <t>11420XXX</t>
        </is>
      </c>
      <c r="B2897" s="110" t="inlineStr">
        <is>
          <t>TAVERNITI BERMUDA</t>
        </is>
      </c>
      <c r="C2897" s="88" t="n">
        <v>74000</v>
      </c>
      <c r="D2897" s="22" t="n"/>
      <c r="E2897" s="22" t="n"/>
      <c r="F2897" s="22" t="n"/>
      <c r="G2897" s="22" t="n"/>
      <c r="H2897" s="22" t="n"/>
      <c r="I2897" s="219">
        <f>ROUND((C2897*J2897)/100,0)*100</f>
        <v/>
      </c>
      <c r="J2897" s="118" t="n">
        <v>1.09</v>
      </c>
      <c r="K2897" s="219" t="n"/>
      <c r="L2897" s="219" t="n"/>
      <c r="M2897" s="18" t="n"/>
      <c r="N2897" s="18" t="n"/>
      <c r="O2897" s="18" t="n"/>
      <c r="P2897" s="43" t="n"/>
      <c r="R2897" s="117" t="n"/>
      <c r="T2897" s="117" t="n"/>
    </row>
    <row r="2898" ht="15.75" customHeight="1" s="253">
      <c r="A2898" s="68" t="inlineStr">
        <is>
          <t>11422XXX</t>
        </is>
      </c>
      <c r="B2898" s="110" t="inlineStr">
        <is>
          <t>TAVERNITI BERMUDA</t>
        </is>
      </c>
      <c r="C2898" s="88" t="n">
        <v>70500</v>
      </c>
      <c r="D2898" s="22" t="n"/>
      <c r="E2898" s="22" t="n"/>
      <c r="F2898" s="22" t="n"/>
      <c r="G2898" s="22" t="n"/>
      <c r="H2898" s="22" t="n"/>
      <c r="I2898" s="219">
        <f>ROUND((C2898*J2898)/100,0)*100</f>
        <v/>
      </c>
      <c r="J2898" s="118" t="n">
        <v>1.09</v>
      </c>
      <c r="K2898" s="219" t="n"/>
      <c r="L2898" s="219" t="n"/>
      <c r="M2898" s="18" t="n"/>
      <c r="N2898" s="18" t="n"/>
      <c r="O2898" s="18" t="n"/>
      <c r="P2898" s="43" t="n"/>
      <c r="R2898" s="117" t="n"/>
      <c r="T2898" s="117" t="n"/>
    </row>
    <row r="2899" ht="15.75" customHeight="1" s="253">
      <c r="A2899" s="68" t="inlineStr">
        <is>
          <t>11424XXX</t>
        </is>
      </c>
      <c r="B2899" s="110" t="inlineStr">
        <is>
          <t>TAVERNITI BERMUDA</t>
        </is>
      </c>
      <c r="C2899" s="88" t="n">
        <v>70500</v>
      </c>
      <c r="D2899" s="22" t="n"/>
      <c r="E2899" s="22" t="n"/>
      <c r="F2899" s="22" t="n"/>
      <c r="G2899" s="22" t="n"/>
      <c r="H2899" s="22" t="n"/>
      <c r="I2899" s="219">
        <f>ROUND((C2899*J2899)/100,0)*100</f>
        <v/>
      </c>
      <c r="J2899" s="118" t="n">
        <v>1.09</v>
      </c>
      <c r="K2899" s="219" t="n"/>
      <c r="L2899" s="219" t="n"/>
      <c r="M2899" s="18" t="n"/>
      <c r="N2899" s="18" t="n"/>
      <c r="O2899" s="18" t="n"/>
      <c r="P2899" s="43" t="n"/>
      <c r="R2899" s="117" t="n"/>
      <c r="T2899" s="117" t="n"/>
    </row>
    <row r="2900" ht="15.75" customHeight="1" s="253">
      <c r="A2900" s="68" t="inlineStr">
        <is>
          <t>11430XXX</t>
        </is>
      </c>
      <c r="B2900" s="110" t="inlineStr">
        <is>
          <t>TAVERNITI BERMUDA</t>
        </is>
      </c>
      <c r="C2900" s="88" t="n">
        <v>70500</v>
      </c>
      <c r="D2900" s="22" t="n"/>
      <c r="E2900" s="22" t="n"/>
      <c r="F2900" s="22" t="n"/>
      <c r="G2900" s="22" t="n"/>
      <c r="H2900" s="22" t="n"/>
      <c r="I2900" s="219">
        <f>ROUND((C2900*J2900)/100,0)*100</f>
        <v/>
      </c>
      <c r="J2900" s="118" t="n">
        <v>1.09</v>
      </c>
      <c r="K2900" s="219" t="n"/>
      <c r="L2900" s="219" t="n"/>
      <c r="M2900" s="18" t="n"/>
      <c r="N2900" s="18" t="n"/>
      <c r="O2900" s="18" t="n"/>
      <c r="P2900" s="43" t="n"/>
      <c r="R2900" s="117" t="n"/>
      <c r="T2900" s="117" t="n"/>
    </row>
    <row r="2901" ht="15.75" customHeight="1" s="253">
      <c r="A2901" s="233" t="inlineStr">
        <is>
          <t>11442XXX</t>
        </is>
      </c>
      <c r="B2901" s="110" t="inlineStr">
        <is>
          <t>TAVERNITI BERMUDA</t>
        </is>
      </c>
      <c r="C2901" s="88" t="n">
        <v>72000</v>
      </c>
      <c r="D2901" s="170" t="n"/>
      <c r="E2901" s="170" t="n"/>
      <c r="F2901" s="170" t="n"/>
      <c r="G2901" s="170" t="n"/>
      <c r="H2901" s="170" t="n"/>
      <c r="I2901" s="219">
        <f>ROUND((C2901*J2901)/100,0)*100</f>
        <v/>
      </c>
      <c r="J2901" s="118" t="n">
        <v>1.09</v>
      </c>
      <c r="K2901" s="170" t="n"/>
      <c r="L2901" s="170" t="n"/>
      <c r="M2901" s="18" t="n"/>
      <c r="N2901" s="18" t="n"/>
      <c r="O2901" s="18" t="n"/>
      <c r="P2901" s="43" t="n"/>
      <c r="Q2901" s="30" t="n"/>
      <c r="R2901" s="170" t="n"/>
      <c r="S2901" s="30" t="n"/>
      <c r="T2901" s="170" t="n"/>
      <c r="U2901" s="30" t="n"/>
      <c r="V2901" s="30" t="n"/>
      <c r="W2901" s="30" t="n"/>
      <c r="X2901" s="30" t="n"/>
      <c r="Y2901" s="30" t="n"/>
      <c r="Z2901" s="30" t="n"/>
      <c r="AA2901" s="30" t="n"/>
      <c r="AB2901" s="30" t="n"/>
      <c r="AC2901" s="30" t="n"/>
      <c r="AD2901" s="30" t="n"/>
      <c r="AE2901" s="30" t="n"/>
      <c r="AF2901" s="30" t="n"/>
      <c r="AG2901" s="30" t="n"/>
      <c r="AH2901" s="30" t="n"/>
      <c r="AI2901" s="30" t="n"/>
      <c r="AJ2901" s="30" t="n"/>
      <c r="AK2901" s="30" t="n"/>
      <c r="AL2901" s="30" t="n"/>
      <c r="AM2901" s="30" t="n"/>
      <c r="AN2901" s="30" t="n"/>
    </row>
    <row r="2902" ht="15.75" customHeight="1" s="253">
      <c r="A2902" s="68" t="inlineStr">
        <is>
          <t>11444XXX</t>
        </is>
      </c>
      <c r="B2902" s="110" t="inlineStr">
        <is>
          <t>TAVERNITI BERMUDA</t>
        </is>
      </c>
      <c r="C2902" s="88" t="n">
        <v>72000</v>
      </c>
      <c r="D2902" s="22" t="n"/>
      <c r="E2902" s="22" t="n"/>
      <c r="F2902" s="22" t="n"/>
      <c r="G2902" s="22" t="n"/>
      <c r="H2902" s="22" t="n"/>
      <c r="I2902" s="219">
        <f>ROUND((C2902*J2902)/100,0)*100</f>
        <v/>
      </c>
      <c r="J2902" s="118" t="n">
        <v>1.09</v>
      </c>
      <c r="K2902" s="219" t="n"/>
      <c r="L2902" s="219" t="n"/>
      <c r="M2902" s="18" t="n"/>
      <c r="N2902" s="18" t="n"/>
      <c r="O2902" s="18" t="n"/>
      <c r="P2902" s="43" t="n"/>
      <c r="R2902" s="117" t="n"/>
      <c r="T2902" s="117" t="n"/>
    </row>
    <row r="2903" ht="15.75" customHeight="1" s="253">
      <c r="A2903" s="68" t="inlineStr">
        <is>
          <t>11446XXX</t>
        </is>
      </c>
      <c r="B2903" s="110" t="inlineStr">
        <is>
          <t>TAVERNITI BERMUDA</t>
        </is>
      </c>
      <c r="C2903" s="88" t="n">
        <v>72000</v>
      </c>
      <c r="D2903" s="22" t="n"/>
      <c r="E2903" s="22" t="n"/>
      <c r="F2903" s="22" t="n"/>
      <c r="G2903" s="22" t="n"/>
      <c r="H2903" s="22" t="n"/>
      <c r="I2903" s="219">
        <f>ROUND((C2903*J2903)/100,0)*100</f>
        <v/>
      </c>
      <c r="J2903" s="118" t="n">
        <v>1.09</v>
      </c>
      <c r="K2903" s="219" t="n"/>
      <c r="L2903" s="219" t="n"/>
      <c r="M2903" s="18" t="n"/>
      <c r="N2903" s="18" t="n"/>
      <c r="O2903" s="18" t="n"/>
      <c r="P2903" s="43" t="n"/>
      <c r="R2903" s="117" t="n"/>
      <c r="T2903" s="117" t="n"/>
    </row>
    <row r="2904" ht="15.75" customHeight="1" s="253">
      <c r="A2904" s="233" t="inlineStr">
        <is>
          <t>11448XXX</t>
        </is>
      </c>
      <c r="B2904" s="110" t="inlineStr">
        <is>
          <t>TAVERNITI BERMUDA</t>
        </is>
      </c>
      <c r="C2904" s="88" t="n">
        <v>72000</v>
      </c>
      <c r="D2904" s="170" t="n"/>
      <c r="E2904" s="170" t="n"/>
      <c r="F2904" s="170" t="n"/>
      <c r="G2904" s="170" t="n"/>
      <c r="H2904" s="170" t="n"/>
      <c r="I2904" s="219">
        <f>ROUND((C2904*J2904)/100,0)*100</f>
        <v/>
      </c>
      <c r="J2904" s="118" t="n">
        <v>1.09</v>
      </c>
      <c r="K2904" s="170" t="n"/>
      <c r="L2904" s="170" t="n"/>
      <c r="M2904" s="18" t="n"/>
      <c r="N2904" s="18" t="n"/>
      <c r="O2904" s="18" t="n"/>
      <c r="P2904" s="43" t="n"/>
      <c r="Q2904" s="30" t="n"/>
      <c r="R2904" s="170" t="n"/>
      <c r="S2904" s="30" t="n"/>
      <c r="T2904" s="170" t="n"/>
      <c r="U2904" s="30" t="n"/>
      <c r="V2904" s="30" t="n"/>
      <c r="W2904" s="30" t="n"/>
      <c r="X2904" s="30" t="n"/>
      <c r="Y2904" s="30" t="n"/>
      <c r="Z2904" s="30" t="n"/>
      <c r="AA2904" s="30" t="n"/>
      <c r="AB2904" s="30" t="n"/>
      <c r="AC2904" s="30" t="n"/>
      <c r="AD2904" s="30" t="n"/>
      <c r="AE2904" s="30" t="n"/>
      <c r="AF2904" s="30" t="n"/>
      <c r="AG2904" s="30" t="n"/>
      <c r="AH2904" s="30" t="n"/>
      <c r="AI2904" s="30" t="n"/>
      <c r="AJ2904" s="30" t="n"/>
      <c r="AK2904" s="30" t="n"/>
      <c r="AL2904" s="30" t="n"/>
      <c r="AM2904" s="30" t="n"/>
      <c r="AN2904" s="30" t="n"/>
    </row>
    <row r="2905" ht="15.75" customHeight="1" s="253">
      <c r="A2905" s="233" t="inlineStr">
        <is>
          <t>11450XXX</t>
        </is>
      </c>
      <c r="B2905" s="110" t="inlineStr">
        <is>
          <t>TAVERNITI BERMUDA</t>
        </is>
      </c>
      <c r="C2905" s="88" t="n">
        <v>72000</v>
      </c>
      <c r="D2905" s="170" t="n"/>
      <c r="E2905" s="170" t="n"/>
      <c r="F2905" s="170" t="n"/>
      <c r="G2905" s="170" t="n"/>
      <c r="H2905" s="170" t="n"/>
      <c r="I2905" s="219">
        <f>ROUND((C2905*J2905)/100,0)*100</f>
        <v/>
      </c>
      <c r="J2905" s="118" t="n">
        <v>1.09</v>
      </c>
      <c r="K2905" s="170" t="n"/>
      <c r="L2905" s="170" t="n"/>
      <c r="M2905" s="18" t="n"/>
      <c r="N2905" s="18" t="n"/>
      <c r="O2905" s="18" t="n"/>
      <c r="P2905" s="43" t="n"/>
      <c r="Q2905" s="30" t="n"/>
      <c r="R2905" s="170" t="n"/>
      <c r="S2905" s="30" t="n"/>
      <c r="T2905" s="170" t="n"/>
      <c r="U2905" s="30" t="n"/>
      <c r="V2905" s="30" t="n"/>
      <c r="W2905" s="30" t="n"/>
      <c r="X2905" s="30" t="n"/>
      <c r="Y2905" s="30" t="n"/>
      <c r="Z2905" s="30" t="n"/>
      <c r="AA2905" s="30" t="n"/>
      <c r="AB2905" s="30" t="n"/>
      <c r="AC2905" s="30" t="n"/>
      <c r="AD2905" s="30" t="n"/>
      <c r="AE2905" s="30" t="n"/>
      <c r="AF2905" s="30" t="n"/>
      <c r="AG2905" s="30" t="n"/>
      <c r="AH2905" s="30" t="n"/>
      <c r="AI2905" s="30" t="n"/>
      <c r="AJ2905" s="30" t="n"/>
      <c r="AK2905" s="30" t="n"/>
      <c r="AL2905" s="30" t="n"/>
      <c r="AM2905" s="30" t="n"/>
      <c r="AN2905" s="30" t="n"/>
    </row>
    <row r="2906" ht="15.75" customHeight="1" s="253">
      <c r="A2906" s="233" t="inlineStr">
        <is>
          <t>11472XXX</t>
        </is>
      </c>
      <c r="B2906" s="110" t="inlineStr">
        <is>
          <t>TAVERNITI BERMUDA</t>
        </is>
      </c>
      <c r="C2906" s="88" t="n">
        <v>72000</v>
      </c>
      <c r="D2906" s="170" t="n"/>
      <c r="E2906" s="170" t="n"/>
      <c r="F2906" s="170" t="n"/>
      <c r="G2906" s="170" t="n"/>
      <c r="H2906" s="170" t="n"/>
      <c r="I2906" s="219">
        <f>ROUND((C2906*J2906)/100,0)*100</f>
        <v/>
      </c>
      <c r="J2906" s="118" t="n">
        <v>1.09</v>
      </c>
      <c r="K2906" s="170" t="n"/>
      <c r="L2906" s="170" t="n"/>
      <c r="M2906" s="18" t="n"/>
      <c r="N2906" s="18" t="n"/>
      <c r="O2906" s="18" t="n"/>
      <c r="P2906" s="43" t="n"/>
      <c r="Q2906" s="30" t="n"/>
      <c r="R2906" s="170" t="n"/>
      <c r="S2906" s="30" t="n"/>
      <c r="T2906" s="170" t="n"/>
      <c r="U2906" s="30" t="n"/>
      <c r="V2906" s="30" t="n"/>
      <c r="W2906" s="30" t="n"/>
      <c r="X2906" s="30" t="n"/>
      <c r="Y2906" s="30" t="n"/>
      <c r="Z2906" s="30" t="n"/>
      <c r="AA2906" s="30" t="n"/>
      <c r="AB2906" s="30" t="n"/>
      <c r="AC2906" s="30" t="n"/>
      <c r="AD2906" s="30" t="n"/>
      <c r="AE2906" s="30" t="n"/>
      <c r="AF2906" s="30" t="n"/>
      <c r="AG2906" s="30" t="n"/>
      <c r="AH2906" s="30" t="n"/>
      <c r="AI2906" s="30" t="n"/>
      <c r="AJ2906" s="30" t="n"/>
      <c r="AK2906" s="30" t="n"/>
      <c r="AL2906" s="30" t="n"/>
      <c r="AM2906" s="30" t="n"/>
      <c r="AN2906" s="30" t="n"/>
    </row>
    <row r="2907" ht="15.75" customHeight="1" s="253">
      <c r="A2907" s="233" t="inlineStr">
        <is>
          <t>11474XXX</t>
        </is>
      </c>
      <c r="B2907" s="110" t="inlineStr">
        <is>
          <t>TAVERNITI BERMUDA</t>
        </is>
      </c>
      <c r="C2907" s="88" t="n">
        <v>72000</v>
      </c>
      <c r="D2907" s="170" t="n"/>
      <c r="E2907" s="170" t="n"/>
      <c r="F2907" s="170" t="n"/>
      <c r="G2907" s="170" t="n"/>
      <c r="H2907" s="170" t="n"/>
      <c r="I2907" s="219">
        <f>ROUND((C2907*J2907)/100,0)*100</f>
        <v/>
      </c>
      <c r="J2907" s="118" t="n">
        <v>1.09</v>
      </c>
      <c r="K2907" s="170" t="n"/>
      <c r="L2907" s="170" t="n"/>
      <c r="M2907" s="18" t="n"/>
      <c r="N2907" s="18" t="n"/>
      <c r="O2907" s="18" t="n"/>
      <c r="P2907" s="43" t="n"/>
      <c r="Q2907" s="30" t="n"/>
      <c r="R2907" s="170" t="n"/>
      <c r="S2907" s="30" t="n"/>
      <c r="T2907" s="170" t="n"/>
      <c r="U2907" s="30" t="n"/>
      <c r="V2907" s="30" t="n"/>
      <c r="W2907" s="30" t="n"/>
      <c r="X2907" s="30" t="n"/>
      <c r="Y2907" s="30" t="n"/>
      <c r="Z2907" s="30" t="n"/>
      <c r="AA2907" s="30" t="n"/>
      <c r="AB2907" s="30" t="n"/>
      <c r="AC2907" s="30" t="n"/>
      <c r="AD2907" s="30" t="n"/>
      <c r="AE2907" s="30" t="n"/>
      <c r="AF2907" s="30" t="n"/>
      <c r="AG2907" s="30" t="n"/>
      <c r="AH2907" s="30" t="n"/>
      <c r="AI2907" s="30" t="n"/>
      <c r="AJ2907" s="30" t="n"/>
      <c r="AK2907" s="30" t="n"/>
      <c r="AL2907" s="30" t="n"/>
      <c r="AM2907" s="30" t="n"/>
      <c r="AN2907" s="30" t="n"/>
    </row>
    <row r="2908" ht="15.75" customHeight="1" s="253">
      <c r="A2908" s="233" t="inlineStr">
        <is>
          <t>11532XXX</t>
        </is>
      </c>
      <c r="B2908" s="110" t="inlineStr">
        <is>
          <t>TAVERNITI BERMUDA</t>
        </is>
      </c>
      <c r="C2908" s="88" t="n">
        <v>72000</v>
      </c>
      <c r="D2908" s="170" t="n"/>
      <c r="E2908" s="170" t="n"/>
      <c r="F2908" s="170" t="n"/>
      <c r="G2908" s="170" t="n"/>
      <c r="H2908" s="170" t="n"/>
      <c r="I2908" s="219">
        <f>ROUND((C2908*J2908)/100,0)*100</f>
        <v/>
      </c>
      <c r="J2908" s="118" t="n">
        <v>1.09</v>
      </c>
      <c r="K2908" s="170" t="n"/>
      <c r="L2908" s="170" t="n"/>
      <c r="M2908" s="18" t="n"/>
      <c r="N2908" s="18" t="n"/>
      <c r="O2908" s="18" t="n"/>
      <c r="P2908" s="43" t="n"/>
      <c r="Q2908" s="30" t="n"/>
      <c r="R2908" s="170" t="n"/>
      <c r="S2908" s="30" t="n"/>
      <c r="T2908" s="170" t="n"/>
      <c r="U2908" s="30" t="n"/>
      <c r="V2908" s="30" t="n"/>
      <c r="W2908" s="30" t="n"/>
      <c r="X2908" s="30" t="n"/>
      <c r="Y2908" s="30" t="n"/>
      <c r="Z2908" s="30" t="n"/>
      <c r="AA2908" s="30" t="n"/>
      <c r="AB2908" s="30" t="n"/>
      <c r="AC2908" s="30" t="n"/>
      <c r="AD2908" s="30" t="n"/>
      <c r="AE2908" s="30" t="n"/>
      <c r="AF2908" s="30" t="n"/>
      <c r="AG2908" s="30" t="n"/>
      <c r="AH2908" s="30" t="n"/>
      <c r="AI2908" s="30" t="n"/>
      <c r="AJ2908" s="30" t="n"/>
      <c r="AK2908" s="30" t="n"/>
      <c r="AL2908" s="30" t="n"/>
      <c r="AM2908" s="30" t="n"/>
      <c r="AN2908" s="30" t="n"/>
    </row>
    <row r="2909" ht="15.75" customHeight="1" s="253">
      <c r="A2909" s="233" t="inlineStr">
        <is>
          <t>11542XXX</t>
        </is>
      </c>
      <c r="B2909" s="110" t="inlineStr">
        <is>
          <t>TAVERNITI BERMUDA</t>
        </is>
      </c>
      <c r="C2909" s="88" t="n">
        <v>72000</v>
      </c>
      <c r="D2909" s="170" t="n"/>
      <c r="E2909" s="170" t="n"/>
      <c r="F2909" s="170" t="n"/>
      <c r="G2909" s="170" t="n"/>
      <c r="H2909" s="170" t="n"/>
      <c r="I2909" s="219">
        <f>ROUND((C2909*J2909)/100,0)*100</f>
        <v/>
      </c>
      <c r="J2909" s="118" t="n">
        <v>1.09</v>
      </c>
      <c r="K2909" s="170" t="n"/>
      <c r="L2909" s="170" t="n"/>
      <c r="M2909" s="18" t="n"/>
      <c r="N2909" s="18" t="n"/>
      <c r="O2909" s="18" t="n"/>
      <c r="P2909" s="43" t="n"/>
      <c r="Q2909" s="30" t="n"/>
      <c r="R2909" s="170" t="n"/>
      <c r="S2909" s="30" t="n"/>
      <c r="T2909" s="170" t="n"/>
      <c r="U2909" s="30" t="n"/>
      <c r="V2909" s="30" t="n"/>
      <c r="W2909" s="30" t="n"/>
      <c r="X2909" s="30" t="n"/>
      <c r="Y2909" s="30" t="n"/>
      <c r="Z2909" s="30" t="n"/>
      <c r="AA2909" s="30" t="n"/>
      <c r="AB2909" s="30" t="n"/>
      <c r="AC2909" s="30" t="n"/>
      <c r="AD2909" s="30" t="n"/>
      <c r="AE2909" s="30" t="n"/>
      <c r="AF2909" s="30" t="n"/>
      <c r="AG2909" s="30" t="n"/>
      <c r="AH2909" s="30" t="n"/>
      <c r="AI2909" s="30" t="n"/>
      <c r="AJ2909" s="30" t="n"/>
      <c r="AK2909" s="30" t="n"/>
      <c r="AL2909" s="30" t="n"/>
      <c r="AM2909" s="30" t="n"/>
      <c r="AN2909" s="30" t="n"/>
    </row>
    <row r="2910" ht="15.75" customHeight="1" s="253">
      <c r="A2910" s="233" t="inlineStr">
        <is>
          <t>11634XXX</t>
        </is>
      </c>
      <c r="B2910" s="110" t="inlineStr">
        <is>
          <t>TAVERNITI BERMUDA</t>
        </is>
      </c>
      <c r="C2910" s="88" t="n">
        <v>72000</v>
      </c>
      <c r="D2910" s="170" t="n"/>
      <c r="E2910" s="170" t="n"/>
      <c r="F2910" s="170" t="n"/>
      <c r="G2910" s="170" t="n"/>
      <c r="H2910" s="170" t="n"/>
      <c r="I2910" s="219">
        <f>ROUND((C2910*J2910)/100,0)*100</f>
        <v/>
      </c>
      <c r="J2910" s="118" t="n">
        <v>1.09</v>
      </c>
      <c r="K2910" s="170" t="n"/>
      <c r="L2910" s="170" t="n"/>
      <c r="M2910" s="18" t="n"/>
      <c r="N2910" s="18" t="n"/>
      <c r="O2910" s="18" t="n"/>
      <c r="P2910" s="43" t="n"/>
      <c r="Q2910" s="30" t="n"/>
      <c r="R2910" s="170" t="n"/>
      <c r="S2910" s="30" t="n"/>
      <c r="T2910" s="170" t="n"/>
      <c r="U2910" s="30" t="n"/>
      <c r="V2910" s="30" t="n"/>
      <c r="W2910" s="30" t="n"/>
      <c r="X2910" s="30" t="n"/>
      <c r="Y2910" s="30" t="n"/>
      <c r="Z2910" s="30" t="n"/>
      <c r="AA2910" s="30" t="n"/>
      <c r="AB2910" s="30" t="n"/>
      <c r="AC2910" s="30" t="n"/>
      <c r="AD2910" s="30" t="n"/>
      <c r="AE2910" s="30" t="n"/>
      <c r="AF2910" s="30" t="n"/>
      <c r="AG2910" s="30" t="n"/>
      <c r="AH2910" s="30" t="n"/>
      <c r="AI2910" s="30" t="n"/>
      <c r="AJ2910" s="30" t="n"/>
      <c r="AK2910" s="30" t="n"/>
      <c r="AL2910" s="30" t="n"/>
      <c r="AM2910" s="30" t="n"/>
      <c r="AN2910" s="30" t="n"/>
    </row>
    <row r="2911" ht="15.75" customHeight="1" s="253">
      <c r="A2911" s="233" t="inlineStr">
        <is>
          <t>11644XXX</t>
        </is>
      </c>
      <c r="B2911" s="110" t="inlineStr">
        <is>
          <t>TAVERNITI BERMUDA</t>
        </is>
      </c>
      <c r="C2911" s="88" t="n">
        <v>72000</v>
      </c>
      <c r="D2911" s="170" t="n"/>
      <c r="E2911" s="170" t="n"/>
      <c r="F2911" s="170" t="n"/>
      <c r="G2911" s="170" t="n"/>
      <c r="H2911" s="170" t="n"/>
      <c r="I2911" s="219">
        <f>ROUND((C2911*J2911)/100,0)*100</f>
        <v/>
      </c>
      <c r="J2911" s="118" t="n">
        <v>1.09</v>
      </c>
      <c r="K2911" s="170" t="n"/>
      <c r="L2911" s="170" t="n"/>
      <c r="M2911" s="18" t="n"/>
      <c r="N2911" s="18" t="n"/>
      <c r="O2911" s="18" t="n"/>
      <c r="P2911" s="43" t="n"/>
      <c r="Q2911" s="30" t="n"/>
      <c r="R2911" s="170" t="n"/>
      <c r="S2911" s="30" t="n"/>
      <c r="T2911" s="170" t="n"/>
      <c r="U2911" s="30" t="n"/>
      <c r="V2911" s="30" t="n"/>
      <c r="W2911" s="30" t="n"/>
      <c r="X2911" s="30" t="n"/>
      <c r="Y2911" s="30" t="n"/>
      <c r="Z2911" s="30" t="n"/>
      <c r="AA2911" s="30" t="n"/>
      <c r="AB2911" s="30" t="n"/>
      <c r="AC2911" s="30" t="n"/>
      <c r="AD2911" s="30" t="n"/>
      <c r="AE2911" s="30" t="n"/>
      <c r="AF2911" s="30" t="n"/>
      <c r="AG2911" s="30" t="n"/>
      <c r="AH2911" s="30" t="n"/>
      <c r="AI2911" s="30" t="n"/>
      <c r="AJ2911" s="30" t="n"/>
      <c r="AK2911" s="30" t="n"/>
      <c r="AL2911" s="30" t="n"/>
      <c r="AM2911" s="30" t="n"/>
      <c r="AN2911" s="30" t="n"/>
    </row>
    <row r="2912" ht="15.75" customHeight="1" s="253">
      <c r="A2912" s="233" t="inlineStr">
        <is>
          <t>11646XXX</t>
        </is>
      </c>
      <c r="B2912" s="110" t="inlineStr">
        <is>
          <t>TAVERNITI BERMUDA</t>
        </is>
      </c>
      <c r="C2912" s="88" t="n">
        <v>72000</v>
      </c>
      <c r="D2912" s="170" t="n"/>
      <c r="E2912" s="170" t="n"/>
      <c r="F2912" s="170" t="n"/>
      <c r="G2912" s="170" t="n"/>
      <c r="H2912" s="170" t="n"/>
      <c r="I2912" s="219">
        <f>ROUND((C2912*J2912)/100,0)*100</f>
        <v/>
      </c>
      <c r="J2912" s="118" t="n">
        <v>1.09</v>
      </c>
      <c r="K2912" s="170" t="n"/>
      <c r="L2912" s="170" t="n"/>
      <c r="M2912" s="18" t="n"/>
      <c r="N2912" s="18" t="n"/>
      <c r="O2912" s="18" t="n"/>
      <c r="P2912" s="43" t="n"/>
      <c r="Q2912" s="30" t="n"/>
      <c r="R2912" s="170" t="n"/>
      <c r="S2912" s="30" t="n"/>
      <c r="T2912" s="170" t="n"/>
      <c r="U2912" s="30" t="n"/>
      <c r="V2912" s="30" t="n"/>
      <c r="W2912" s="30" t="n"/>
      <c r="X2912" s="30" t="n"/>
      <c r="Y2912" s="30" t="n"/>
      <c r="Z2912" s="30" t="n"/>
      <c r="AA2912" s="30" t="n"/>
      <c r="AB2912" s="30" t="n"/>
      <c r="AC2912" s="30" t="n"/>
      <c r="AD2912" s="30" t="n"/>
      <c r="AE2912" s="30" t="n"/>
      <c r="AF2912" s="30" t="n"/>
      <c r="AG2912" s="30" t="n"/>
      <c r="AH2912" s="30" t="n"/>
      <c r="AI2912" s="30" t="n"/>
      <c r="AJ2912" s="30" t="n"/>
      <c r="AK2912" s="30" t="n"/>
      <c r="AL2912" s="30" t="n"/>
      <c r="AM2912" s="30" t="n"/>
      <c r="AN2912" s="30" t="n"/>
    </row>
    <row r="2913" ht="15.75" customHeight="1" s="253">
      <c r="A2913" s="233" t="inlineStr">
        <is>
          <t>11650XXX</t>
        </is>
      </c>
      <c r="B2913" s="110" t="inlineStr">
        <is>
          <t>TAVERNITI BERMUDA</t>
        </is>
      </c>
      <c r="C2913" s="88" t="n">
        <v>73500</v>
      </c>
      <c r="D2913" s="170" t="n"/>
      <c r="E2913" s="170" t="n"/>
      <c r="F2913" s="170" t="n"/>
      <c r="G2913" s="170" t="n"/>
      <c r="H2913" s="170" t="n"/>
      <c r="I2913" s="219">
        <f>ROUND((C2913*J2913)/100,0)*100</f>
        <v/>
      </c>
      <c r="J2913" s="118" t="n">
        <v>1.09</v>
      </c>
      <c r="K2913" s="170" t="n"/>
      <c r="L2913" s="170" t="n"/>
      <c r="M2913" s="18" t="n"/>
      <c r="N2913" s="18" t="n"/>
      <c r="O2913" s="18" t="n"/>
      <c r="P2913" s="43" t="n"/>
      <c r="Q2913" s="30" t="n"/>
      <c r="R2913" s="170" t="n"/>
      <c r="S2913" s="30" t="n"/>
      <c r="T2913" s="170" t="n"/>
      <c r="U2913" s="30" t="n"/>
      <c r="V2913" s="30" t="n"/>
      <c r="W2913" s="30" t="n"/>
      <c r="X2913" s="30" t="n"/>
      <c r="Y2913" s="30" t="n"/>
      <c r="Z2913" s="30" t="n"/>
      <c r="AA2913" s="30" t="n"/>
      <c r="AB2913" s="30" t="n"/>
      <c r="AC2913" s="30" t="n"/>
      <c r="AD2913" s="30" t="n"/>
      <c r="AE2913" s="30" t="n"/>
      <c r="AF2913" s="30" t="n"/>
      <c r="AG2913" s="30" t="n"/>
      <c r="AH2913" s="30" t="n"/>
      <c r="AI2913" s="30" t="n"/>
      <c r="AJ2913" s="30" t="n"/>
      <c r="AK2913" s="30" t="n"/>
      <c r="AL2913" s="30" t="n"/>
      <c r="AM2913" s="30" t="n"/>
      <c r="AN2913" s="30" t="n"/>
    </row>
    <row r="2914" ht="15.75" customHeight="1" s="253">
      <c r="A2914" s="233" t="inlineStr">
        <is>
          <t>11656XXX</t>
        </is>
      </c>
      <c r="B2914" s="110" t="inlineStr">
        <is>
          <t>TAVERNITI BERMUDA</t>
        </is>
      </c>
      <c r="C2914" s="88" t="n">
        <v>72000</v>
      </c>
      <c r="D2914" s="170" t="n"/>
      <c r="E2914" s="170" t="n"/>
      <c r="F2914" s="170" t="n"/>
      <c r="G2914" s="170" t="n"/>
      <c r="H2914" s="170" t="n"/>
      <c r="I2914" s="219">
        <f>ROUND((C2914*J2914)/100,0)*100</f>
        <v/>
      </c>
      <c r="J2914" s="118" t="n">
        <v>1.09</v>
      </c>
      <c r="K2914" s="170" t="n"/>
      <c r="L2914" s="170" t="n"/>
      <c r="M2914" s="18" t="n"/>
      <c r="N2914" s="18" t="n"/>
      <c r="O2914" s="18" t="n"/>
      <c r="P2914" s="43" t="n"/>
      <c r="Q2914" s="30" t="n"/>
      <c r="R2914" s="170" t="n"/>
      <c r="S2914" s="30" t="n"/>
      <c r="T2914" s="170" t="n"/>
      <c r="U2914" s="30" t="n"/>
      <c r="V2914" s="30" t="n"/>
      <c r="W2914" s="30" t="n"/>
      <c r="X2914" s="30" t="n"/>
      <c r="Y2914" s="30" t="n"/>
      <c r="Z2914" s="30" t="n"/>
      <c r="AA2914" s="30" t="n"/>
      <c r="AB2914" s="30" t="n"/>
      <c r="AC2914" s="30" t="n"/>
      <c r="AD2914" s="30" t="n"/>
      <c r="AE2914" s="30" t="n"/>
      <c r="AF2914" s="30" t="n"/>
      <c r="AG2914" s="30" t="n"/>
      <c r="AH2914" s="30" t="n"/>
      <c r="AI2914" s="30" t="n"/>
      <c r="AJ2914" s="30" t="n"/>
      <c r="AK2914" s="30" t="n"/>
      <c r="AL2914" s="30" t="n"/>
      <c r="AM2914" s="30" t="n"/>
      <c r="AN2914" s="30" t="n"/>
    </row>
    <row r="2915" ht="15.75" customHeight="1" s="253">
      <c r="A2915" s="233" t="inlineStr">
        <is>
          <t>11658XXX</t>
        </is>
      </c>
      <c r="B2915" s="110" t="inlineStr">
        <is>
          <t>TAVERNITI BERMUDA</t>
        </is>
      </c>
      <c r="C2915" s="88" t="n">
        <v>72000</v>
      </c>
      <c r="D2915" s="170" t="n"/>
      <c r="E2915" s="170" t="n"/>
      <c r="F2915" s="170" t="n"/>
      <c r="G2915" s="170" t="n"/>
      <c r="H2915" s="170" t="n"/>
      <c r="I2915" s="219">
        <f>ROUND((C2915*J2915)/100,0)*100</f>
        <v/>
      </c>
      <c r="J2915" s="118" t="n">
        <v>1.09</v>
      </c>
      <c r="K2915" s="170" t="n"/>
      <c r="L2915" s="170" t="n"/>
      <c r="M2915" s="18" t="n"/>
      <c r="N2915" s="18" t="n"/>
      <c r="O2915" s="18" t="n"/>
      <c r="P2915" s="43" t="n"/>
      <c r="Q2915" s="30" t="n"/>
      <c r="R2915" s="170" t="n"/>
      <c r="S2915" s="30" t="n"/>
      <c r="T2915" s="170" t="n"/>
      <c r="U2915" s="30" t="n"/>
      <c r="V2915" s="30" t="n"/>
      <c r="W2915" s="30" t="n"/>
      <c r="X2915" s="30" t="n"/>
      <c r="Y2915" s="30" t="n"/>
      <c r="Z2915" s="30" t="n"/>
      <c r="AA2915" s="30" t="n"/>
      <c r="AB2915" s="30" t="n"/>
      <c r="AC2915" s="30" t="n"/>
      <c r="AD2915" s="30" t="n"/>
      <c r="AE2915" s="30" t="n"/>
      <c r="AF2915" s="30" t="n"/>
      <c r="AG2915" s="30" t="n"/>
      <c r="AH2915" s="30" t="n"/>
      <c r="AI2915" s="30" t="n"/>
      <c r="AJ2915" s="30" t="n"/>
      <c r="AK2915" s="30" t="n"/>
      <c r="AL2915" s="30" t="n"/>
      <c r="AM2915" s="30" t="n"/>
      <c r="AN2915" s="30" t="n"/>
    </row>
    <row r="2916" ht="15.75" customHeight="1" s="253">
      <c r="A2916" s="233" t="inlineStr">
        <is>
          <t>11662XXX</t>
        </is>
      </c>
      <c r="B2916" s="110" t="inlineStr">
        <is>
          <t>TAVERNITI BERMUDA</t>
        </is>
      </c>
      <c r="C2916" s="88" t="n">
        <v>72000</v>
      </c>
      <c r="D2916" s="170" t="n"/>
      <c r="E2916" s="170" t="n"/>
      <c r="F2916" s="170" t="n"/>
      <c r="G2916" s="170" t="n"/>
      <c r="H2916" s="170" t="n"/>
      <c r="I2916" s="219">
        <f>ROUND((C2916*J2916)/100,0)*100</f>
        <v/>
      </c>
      <c r="J2916" s="118" t="n">
        <v>1.09</v>
      </c>
      <c r="K2916" s="170" t="n"/>
      <c r="L2916" s="170" t="n"/>
      <c r="M2916" s="18" t="n"/>
      <c r="N2916" s="18" t="n"/>
      <c r="O2916" s="18" t="n"/>
      <c r="P2916" s="43" t="n"/>
      <c r="Q2916" s="30" t="n"/>
      <c r="R2916" s="170" t="n"/>
      <c r="S2916" s="30" t="n"/>
      <c r="T2916" s="170" t="n"/>
      <c r="U2916" s="30" t="n"/>
      <c r="V2916" s="30" t="n"/>
      <c r="W2916" s="30" t="n"/>
      <c r="X2916" s="30" t="n"/>
      <c r="Y2916" s="30" t="n"/>
      <c r="Z2916" s="30" t="n"/>
      <c r="AA2916" s="30" t="n"/>
      <c r="AB2916" s="30" t="n"/>
      <c r="AC2916" s="30" t="n"/>
      <c r="AD2916" s="30" t="n"/>
      <c r="AE2916" s="30" t="n"/>
      <c r="AF2916" s="30" t="n"/>
      <c r="AG2916" s="30" t="n"/>
      <c r="AH2916" s="30" t="n"/>
      <c r="AI2916" s="30" t="n"/>
      <c r="AJ2916" s="30" t="n"/>
      <c r="AK2916" s="30" t="n"/>
      <c r="AL2916" s="30" t="n"/>
      <c r="AM2916" s="30" t="n"/>
      <c r="AN2916" s="30" t="n"/>
    </row>
    <row r="2917" ht="15.75" customHeight="1" s="253">
      <c r="A2917" s="233" t="inlineStr">
        <is>
          <t>11664XXX</t>
        </is>
      </c>
      <c r="B2917" s="110" t="inlineStr">
        <is>
          <t>TAVERNITI BERMUDA</t>
        </is>
      </c>
      <c r="C2917" s="88" t="n">
        <v>66600</v>
      </c>
      <c r="D2917" s="170" t="n"/>
      <c r="E2917" s="170" t="n"/>
      <c r="F2917" s="170" t="n"/>
      <c r="G2917" s="170" t="n"/>
      <c r="H2917" s="170" t="n"/>
      <c r="I2917" s="219">
        <f>ROUND((C2917*J2917)/100,0)*100</f>
        <v/>
      </c>
      <c r="J2917" s="118" t="n">
        <v>1.09</v>
      </c>
      <c r="K2917" s="170" t="n"/>
      <c r="L2917" s="170" t="n"/>
      <c r="M2917" s="18" t="n"/>
      <c r="N2917" s="18" t="n"/>
      <c r="O2917" s="18" t="n"/>
      <c r="P2917" s="43" t="n"/>
      <c r="Q2917" s="30" t="n"/>
      <c r="R2917" s="170" t="n"/>
      <c r="S2917" s="30" t="n"/>
      <c r="T2917" s="170" t="n"/>
      <c r="U2917" s="30" t="n"/>
      <c r="V2917" s="30" t="n"/>
      <c r="W2917" s="30" t="n"/>
      <c r="X2917" s="30" t="n"/>
      <c r="Y2917" s="30" t="n"/>
      <c r="Z2917" s="30" t="n"/>
      <c r="AA2917" s="30" t="n"/>
      <c r="AB2917" s="30" t="n"/>
      <c r="AC2917" s="30" t="n"/>
      <c r="AD2917" s="30" t="n"/>
      <c r="AE2917" s="30" t="n"/>
      <c r="AF2917" s="30" t="n"/>
      <c r="AG2917" s="30" t="n"/>
      <c r="AH2917" s="30" t="n"/>
      <c r="AI2917" s="30" t="n"/>
      <c r="AJ2917" s="30" t="n"/>
      <c r="AK2917" s="30" t="n"/>
      <c r="AL2917" s="30" t="n"/>
      <c r="AM2917" s="30" t="n"/>
      <c r="AN2917" s="30" t="n"/>
    </row>
    <row r="2918" ht="15.75" customHeight="1" s="253">
      <c r="A2918" s="233" t="inlineStr">
        <is>
          <t>11676XXX</t>
        </is>
      </c>
      <c r="B2918" s="110" t="inlineStr">
        <is>
          <t>TAVERNITI BERMUDA</t>
        </is>
      </c>
      <c r="C2918" s="88" t="n">
        <v>64500</v>
      </c>
      <c r="D2918" s="170" t="n"/>
      <c r="E2918" s="170" t="n"/>
      <c r="F2918" s="170" t="n"/>
      <c r="G2918" s="170" t="n"/>
      <c r="H2918" s="170" t="n"/>
      <c r="I2918" s="219">
        <f>ROUND((C2918*J2918)/100,0)*100</f>
        <v/>
      </c>
      <c r="J2918" s="118" t="n">
        <v>1.09</v>
      </c>
      <c r="K2918" s="170" t="n"/>
      <c r="L2918" s="170" t="n"/>
      <c r="M2918" s="18" t="n"/>
      <c r="N2918" s="18" t="n"/>
      <c r="O2918" s="18" t="n"/>
      <c r="P2918" s="43" t="n"/>
      <c r="Q2918" s="30" t="n"/>
      <c r="R2918" s="170" t="n"/>
      <c r="S2918" s="30" t="n"/>
      <c r="T2918" s="170" t="n"/>
      <c r="U2918" s="30" t="n"/>
      <c r="V2918" s="30" t="n"/>
      <c r="W2918" s="30" t="n"/>
      <c r="X2918" s="30" t="n"/>
      <c r="Y2918" s="30" t="n"/>
      <c r="Z2918" s="30" t="n"/>
      <c r="AA2918" s="30" t="n"/>
      <c r="AB2918" s="30" t="n"/>
      <c r="AC2918" s="30" t="n"/>
      <c r="AD2918" s="30" t="n"/>
      <c r="AE2918" s="30" t="n"/>
      <c r="AF2918" s="30" t="n"/>
      <c r="AG2918" s="30" t="n"/>
      <c r="AH2918" s="30" t="n"/>
      <c r="AI2918" s="30" t="n"/>
      <c r="AJ2918" s="30" t="n"/>
      <c r="AK2918" s="30" t="n"/>
      <c r="AL2918" s="30" t="n"/>
      <c r="AM2918" s="30" t="n"/>
      <c r="AN2918" s="30" t="n"/>
    </row>
    <row r="2919" ht="15.75" customHeight="1" s="253">
      <c r="A2919" s="233" t="inlineStr">
        <is>
          <t>11698XXX</t>
        </is>
      </c>
      <c r="B2919" s="110" t="inlineStr">
        <is>
          <t>TAVERNITI BERMUDA</t>
        </is>
      </c>
      <c r="C2919" s="88" t="n">
        <v>64500</v>
      </c>
      <c r="D2919" s="170" t="n"/>
      <c r="E2919" s="170" t="n"/>
      <c r="F2919" s="170" t="n"/>
      <c r="G2919" s="170" t="n"/>
      <c r="H2919" s="170" t="n"/>
      <c r="I2919" s="219">
        <f>ROUND((C2919*J2919)/100,0)*100</f>
        <v/>
      </c>
      <c r="J2919" s="118" t="n">
        <v>1.09</v>
      </c>
      <c r="K2919" s="170" t="n"/>
      <c r="L2919" s="170" t="n"/>
      <c r="M2919" s="18" t="n"/>
      <c r="N2919" s="18" t="n"/>
      <c r="O2919" s="18" t="n"/>
      <c r="P2919" s="43" t="n"/>
      <c r="Q2919" s="30" t="n"/>
      <c r="R2919" s="170" t="n"/>
      <c r="S2919" s="30" t="n"/>
      <c r="T2919" s="170" t="n"/>
      <c r="U2919" s="30" t="n"/>
      <c r="V2919" s="30" t="n"/>
      <c r="W2919" s="30" t="n"/>
      <c r="X2919" s="30" t="n"/>
      <c r="Y2919" s="30" t="n"/>
      <c r="Z2919" s="30" t="n"/>
      <c r="AA2919" s="30" t="n"/>
      <c r="AB2919" s="30" t="n"/>
      <c r="AC2919" s="30" t="n"/>
      <c r="AD2919" s="30" t="n"/>
      <c r="AE2919" s="30" t="n"/>
      <c r="AF2919" s="30" t="n"/>
      <c r="AG2919" s="30" t="n"/>
      <c r="AH2919" s="30" t="n"/>
      <c r="AI2919" s="30" t="n"/>
      <c r="AJ2919" s="30" t="n"/>
      <c r="AK2919" s="30" t="n"/>
      <c r="AL2919" s="30" t="n"/>
      <c r="AM2919" s="30" t="n"/>
      <c r="AN2919" s="30" t="n"/>
    </row>
    <row r="2920" ht="15.75" customHeight="1" s="253">
      <c r="A2920" s="233" t="inlineStr">
        <is>
          <t>11702XXX</t>
        </is>
      </c>
      <c r="B2920" s="110" t="inlineStr">
        <is>
          <t>TAVERNITI BERMUDA</t>
        </is>
      </c>
      <c r="C2920" s="88" t="n">
        <v>64700</v>
      </c>
      <c r="D2920" s="170" t="n"/>
      <c r="E2920" s="170" t="n"/>
      <c r="F2920" s="170" t="n"/>
      <c r="G2920" s="170" t="n"/>
      <c r="H2920" s="170" t="n"/>
      <c r="I2920" s="219">
        <f>ROUND((C2920*J2920)/100,0)*100</f>
        <v/>
      </c>
      <c r="J2920" s="118" t="n">
        <v>1.09</v>
      </c>
      <c r="K2920" s="170" t="n"/>
      <c r="L2920" s="170" t="n"/>
      <c r="M2920" s="18" t="n"/>
      <c r="N2920" s="18" t="n"/>
      <c r="O2920" s="18" t="n"/>
      <c r="P2920" s="43" t="n"/>
      <c r="Q2920" s="30" t="n"/>
      <c r="R2920" s="170" t="n"/>
      <c r="S2920" s="30" t="n"/>
      <c r="T2920" s="170" t="n"/>
      <c r="U2920" s="30" t="n"/>
      <c r="V2920" s="30" t="n"/>
      <c r="W2920" s="30" t="n"/>
      <c r="X2920" s="30" t="n"/>
      <c r="Y2920" s="30" t="n"/>
      <c r="Z2920" s="30" t="n"/>
      <c r="AA2920" s="30" t="n"/>
      <c r="AB2920" s="30" t="n"/>
      <c r="AC2920" s="30" t="n"/>
      <c r="AD2920" s="30" t="n"/>
      <c r="AE2920" s="30" t="n"/>
      <c r="AF2920" s="30" t="n"/>
      <c r="AG2920" s="30" t="n"/>
      <c r="AH2920" s="30" t="n"/>
      <c r="AI2920" s="30" t="n"/>
      <c r="AJ2920" s="30" t="n"/>
      <c r="AK2920" s="30" t="n"/>
      <c r="AL2920" s="30" t="n"/>
      <c r="AM2920" s="30" t="n"/>
      <c r="AN2920" s="30" t="n"/>
    </row>
    <row r="2921" ht="15.75" customHeight="1" s="253">
      <c r="A2921" s="233" t="inlineStr">
        <is>
          <t>11722XXX</t>
        </is>
      </c>
      <c r="B2921" s="110" t="inlineStr">
        <is>
          <t>TAVERNITI BERMUDA</t>
        </is>
      </c>
      <c r="C2921" s="88" t="n">
        <v>79500</v>
      </c>
      <c r="D2921" s="170" t="n"/>
      <c r="E2921" s="170" t="n"/>
      <c r="F2921" s="170" t="n"/>
      <c r="G2921" s="170" t="n"/>
      <c r="H2921" s="170" t="n"/>
      <c r="I2921" s="219">
        <f>ROUND((C2921*J2921)/100,0)*100</f>
        <v/>
      </c>
      <c r="J2921" s="118" t="n">
        <v>1.09</v>
      </c>
      <c r="K2921" s="170" t="n"/>
      <c r="L2921" s="170" t="n"/>
      <c r="M2921" s="18" t="n"/>
      <c r="N2921" s="18" t="n"/>
      <c r="O2921" s="18" t="n"/>
      <c r="P2921" s="43" t="n"/>
      <c r="Q2921" s="30" t="n"/>
      <c r="R2921" s="170" t="n"/>
      <c r="S2921" s="30" t="n"/>
      <c r="T2921" s="170" t="n"/>
      <c r="U2921" s="30" t="n"/>
      <c r="V2921" s="30" t="n"/>
      <c r="W2921" s="30" t="n"/>
      <c r="X2921" s="30" t="n"/>
      <c r="Y2921" s="30" t="n"/>
      <c r="Z2921" s="30" t="n"/>
      <c r="AA2921" s="30" t="n"/>
      <c r="AB2921" s="30" t="n"/>
      <c r="AC2921" s="30" t="n"/>
      <c r="AD2921" s="30" t="n"/>
      <c r="AE2921" s="30" t="n"/>
      <c r="AF2921" s="30" t="n"/>
      <c r="AG2921" s="30" t="n"/>
      <c r="AH2921" s="30" t="n"/>
      <c r="AI2921" s="30" t="n"/>
      <c r="AJ2921" s="30" t="n"/>
      <c r="AK2921" s="30" t="n"/>
      <c r="AL2921" s="30" t="n"/>
      <c r="AM2921" s="30" t="n"/>
      <c r="AN2921" s="30" t="n"/>
    </row>
    <row r="2922" ht="15.75" customHeight="1" s="253">
      <c r="A2922" s="233" t="inlineStr">
        <is>
          <t>11726XXX</t>
        </is>
      </c>
      <c r="B2922" s="110" t="inlineStr">
        <is>
          <t>TAVERNITI BERMUDA</t>
        </is>
      </c>
      <c r="C2922" s="88" t="n">
        <v>70500</v>
      </c>
      <c r="D2922" s="170" t="n"/>
      <c r="E2922" s="170" t="n"/>
      <c r="F2922" s="170" t="n"/>
      <c r="G2922" s="170" t="n"/>
      <c r="H2922" s="170" t="n"/>
      <c r="I2922" s="219">
        <f>ROUND((C2922*J2922)/100,0)*100</f>
        <v/>
      </c>
      <c r="J2922" s="118" t="n">
        <v>1.09</v>
      </c>
      <c r="K2922" s="170" t="n"/>
      <c r="L2922" s="170" t="n"/>
      <c r="M2922" s="18" t="n"/>
      <c r="N2922" s="18" t="n"/>
      <c r="O2922" s="18" t="n"/>
      <c r="P2922" s="43" t="n"/>
      <c r="Q2922" s="30" t="n"/>
      <c r="R2922" s="170" t="n"/>
      <c r="S2922" s="30" t="n"/>
      <c r="T2922" s="170" t="n"/>
      <c r="U2922" s="30" t="n"/>
      <c r="V2922" s="30" t="n"/>
      <c r="W2922" s="30" t="n"/>
      <c r="X2922" s="30" t="n"/>
      <c r="Y2922" s="30" t="n"/>
      <c r="Z2922" s="30" t="n"/>
      <c r="AA2922" s="30" t="n"/>
      <c r="AB2922" s="30" t="n"/>
      <c r="AC2922" s="30" t="n"/>
      <c r="AD2922" s="30" t="n"/>
      <c r="AE2922" s="30" t="n"/>
      <c r="AF2922" s="30" t="n"/>
      <c r="AG2922" s="30" t="n"/>
      <c r="AH2922" s="30" t="n"/>
      <c r="AI2922" s="30" t="n"/>
      <c r="AJ2922" s="30" t="n"/>
      <c r="AK2922" s="30" t="n"/>
      <c r="AL2922" s="30" t="n"/>
      <c r="AM2922" s="30" t="n"/>
      <c r="AN2922" s="30" t="n"/>
    </row>
    <row r="2923" ht="15.75" customHeight="1" s="253">
      <c r="A2923" s="233" t="inlineStr">
        <is>
          <t>11728XXX</t>
        </is>
      </c>
      <c r="B2923" s="110" t="inlineStr">
        <is>
          <t>TAVERNITI BERMUDA</t>
        </is>
      </c>
      <c r="C2923" s="88" t="n">
        <v>70500</v>
      </c>
      <c r="D2923" s="170" t="n"/>
      <c r="E2923" s="170" t="n"/>
      <c r="F2923" s="170" t="n"/>
      <c r="G2923" s="170" t="n"/>
      <c r="H2923" s="170" t="n"/>
      <c r="I2923" s="219">
        <f>ROUND((C2923*J2923)/100,0)*100</f>
        <v/>
      </c>
      <c r="J2923" s="118" t="n">
        <v>1.09</v>
      </c>
      <c r="K2923" s="170" t="n"/>
      <c r="L2923" s="170" t="n"/>
      <c r="M2923" s="18" t="n"/>
      <c r="N2923" s="18" t="n"/>
      <c r="O2923" s="18" t="n"/>
      <c r="P2923" s="43" t="n"/>
      <c r="Q2923" s="30" t="n"/>
      <c r="R2923" s="170" t="n"/>
      <c r="S2923" s="30" t="n"/>
      <c r="T2923" s="170" t="n"/>
      <c r="U2923" s="30" t="n"/>
      <c r="V2923" s="30" t="n"/>
      <c r="W2923" s="30" t="n"/>
      <c r="X2923" s="30" t="n"/>
      <c r="Y2923" s="30" t="n"/>
      <c r="Z2923" s="30" t="n"/>
      <c r="AA2923" s="30" t="n"/>
      <c r="AB2923" s="30" t="n"/>
      <c r="AC2923" s="30" t="n"/>
      <c r="AD2923" s="30" t="n"/>
      <c r="AE2923" s="30" t="n"/>
      <c r="AF2923" s="30" t="n"/>
      <c r="AG2923" s="30" t="n"/>
      <c r="AH2923" s="30" t="n"/>
      <c r="AI2923" s="30" t="n"/>
      <c r="AJ2923" s="30" t="n"/>
      <c r="AK2923" s="30" t="n"/>
      <c r="AL2923" s="30" t="n"/>
      <c r="AM2923" s="30" t="n"/>
      <c r="AN2923" s="30" t="n"/>
    </row>
    <row r="2924" ht="15.75" customHeight="1" s="253">
      <c r="A2924" s="233" t="inlineStr">
        <is>
          <t>11760XXX</t>
        </is>
      </c>
      <c r="B2924" s="110" t="inlineStr">
        <is>
          <t>TAVERNITI BERMUDA</t>
        </is>
      </c>
      <c r="C2924" s="88" t="n">
        <v>70500</v>
      </c>
      <c r="D2924" s="170" t="n"/>
      <c r="E2924" s="170" t="n"/>
      <c r="F2924" s="170" t="n"/>
      <c r="G2924" s="170" t="n"/>
      <c r="H2924" s="170" t="n"/>
      <c r="I2924" s="219">
        <f>ROUND((C2924*J2924)/100,0)*100</f>
        <v/>
      </c>
      <c r="J2924" s="118" t="n">
        <v>1.09</v>
      </c>
      <c r="K2924" s="170" t="n"/>
      <c r="L2924" s="170" t="n"/>
      <c r="M2924" s="18" t="n"/>
      <c r="N2924" s="18" t="n"/>
      <c r="O2924" s="18" t="n"/>
      <c r="P2924" s="43" t="n"/>
      <c r="Q2924" s="30" t="n"/>
      <c r="R2924" s="170" t="n"/>
      <c r="S2924" s="30" t="n"/>
      <c r="T2924" s="170" t="n"/>
      <c r="U2924" s="30" t="n"/>
      <c r="V2924" s="30" t="n"/>
      <c r="W2924" s="30" t="n"/>
      <c r="X2924" s="30" t="n"/>
      <c r="Y2924" s="30" t="n"/>
      <c r="Z2924" s="30" t="n"/>
      <c r="AA2924" s="30" t="n"/>
      <c r="AB2924" s="30" t="n"/>
      <c r="AC2924" s="30" t="n"/>
      <c r="AD2924" s="30" t="n"/>
      <c r="AE2924" s="30" t="n"/>
      <c r="AF2924" s="30" t="n"/>
      <c r="AG2924" s="30" t="n"/>
      <c r="AH2924" s="30" t="n"/>
      <c r="AI2924" s="30" t="n"/>
      <c r="AJ2924" s="30" t="n"/>
      <c r="AK2924" s="30" t="n"/>
      <c r="AL2924" s="30" t="n"/>
      <c r="AM2924" s="30" t="n"/>
      <c r="AN2924" s="30" t="n"/>
    </row>
    <row r="2925" ht="15.75" customHeight="1" s="253">
      <c r="A2925" s="233" t="inlineStr">
        <is>
          <t>11762XXX</t>
        </is>
      </c>
      <c r="B2925" s="110" t="inlineStr">
        <is>
          <t>TAVERNITI BERMUDA</t>
        </is>
      </c>
      <c r="C2925" s="88" t="n">
        <v>70500</v>
      </c>
      <c r="D2925" s="170" t="n"/>
      <c r="E2925" s="170" t="n"/>
      <c r="F2925" s="170" t="n"/>
      <c r="G2925" s="170" t="n"/>
      <c r="H2925" s="170" t="n"/>
      <c r="I2925" s="219">
        <f>ROUND((C2925*J2925)/100,0)*100</f>
        <v/>
      </c>
      <c r="J2925" s="118" t="n">
        <v>1.09</v>
      </c>
      <c r="K2925" s="170" t="n"/>
      <c r="L2925" s="170" t="n"/>
      <c r="M2925" s="18" t="n"/>
      <c r="N2925" s="18" t="n"/>
      <c r="O2925" s="18" t="n"/>
      <c r="P2925" s="43" t="n"/>
      <c r="Q2925" s="30" t="n"/>
      <c r="R2925" s="170" t="n"/>
      <c r="S2925" s="30" t="n"/>
      <c r="T2925" s="170" t="n"/>
      <c r="U2925" s="30" t="n"/>
      <c r="V2925" s="30" t="n"/>
      <c r="W2925" s="30" t="n"/>
      <c r="X2925" s="30" t="n"/>
      <c r="Y2925" s="30" t="n"/>
      <c r="Z2925" s="30" t="n"/>
      <c r="AA2925" s="30" t="n"/>
      <c r="AB2925" s="30" t="n"/>
      <c r="AC2925" s="30" t="n"/>
      <c r="AD2925" s="30" t="n"/>
      <c r="AE2925" s="30" t="n"/>
      <c r="AF2925" s="30" t="n"/>
      <c r="AG2925" s="30" t="n"/>
      <c r="AH2925" s="30" t="n"/>
      <c r="AI2925" s="30" t="n"/>
      <c r="AJ2925" s="30" t="n"/>
      <c r="AK2925" s="30" t="n"/>
      <c r="AL2925" s="30" t="n"/>
      <c r="AM2925" s="30" t="n"/>
      <c r="AN2925" s="30" t="n"/>
    </row>
    <row r="2926" ht="15.75" customHeight="1" s="253">
      <c r="A2926" s="233" t="inlineStr">
        <is>
          <t>11818XXX</t>
        </is>
      </c>
      <c r="B2926" s="110" t="inlineStr">
        <is>
          <t>TAVERNITI BERMUDA</t>
        </is>
      </c>
      <c r="C2926" s="88" t="n">
        <v>70700</v>
      </c>
      <c r="D2926" s="170" t="n"/>
      <c r="E2926" s="170" t="n"/>
      <c r="F2926" s="170" t="n"/>
      <c r="G2926" s="170" t="n"/>
      <c r="H2926" s="170" t="n"/>
      <c r="I2926" s="88">
        <f>ROUND((C2926*J2926)/100,0)*100</f>
        <v/>
      </c>
      <c r="J2926" s="118" t="n">
        <v>1.09</v>
      </c>
      <c r="K2926" s="170" t="n"/>
      <c r="L2926" s="170" t="n"/>
      <c r="M2926" s="30" t="n"/>
      <c r="N2926" s="30" t="n"/>
      <c r="O2926" s="30" t="n"/>
      <c r="P2926" s="170" t="n"/>
      <c r="Q2926" s="30" t="n"/>
      <c r="R2926" s="170" t="n"/>
      <c r="S2926" s="30" t="n"/>
      <c r="T2926" s="170" t="n"/>
      <c r="U2926" s="30" t="n"/>
      <c r="V2926" s="30" t="n"/>
      <c r="W2926" s="30" t="n"/>
      <c r="X2926" s="30" t="n"/>
      <c r="Y2926" s="30" t="n"/>
      <c r="Z2926" s="30" t="n"/>
      <c r="AA2926" s="30" t="n"/>
      <c r="AB2926" s="30" t="n"/>
      <c r="AC2926" s="30" t="n"/>
      <c r="AD2926" s="30" t="n"/>
      <c r="AE2926" s="30" t="n"/>
      <c r="AF2926" s="30" t="n"/>
      <c r="AG2926" s="30" t="n"/>
      <c r="AH2926" s="30" t="n"/>
      <c r="AI2926" s="30" t="n"/>
      <c r="AJ2926" s="30" t="n"/>
      <c r="AK2926" s="30" t="n"/>
      <c r="AL2926" s="30" t="n"/>
      <c r="AM2926" s="30" t="n"/>
      <c r="AN2926" s="30" t="n"/>
      <c r="AO2926" s="30" t="n"/>
    </row>
    <row r="2927" ht="15.75" customHeight="1" s="253">
      <c r="A2927" s="233" t="inlineStr">
        <is>
          <t>11820XXX</t>
        </is>
      </c>
      <c r="B2927" s="110" t="inlineStr">
        <is>
          <t>TAVERNITI BERMUDA</t>
        </is>
      </c>
      <c r="C2927" s="88" t="n">
        <v>97000</v>
      </c>
      <c r="D2927" s="170" t="n"/>
      <c r="E2927" s="170" t="n"/>
      <c r="F2927" s="170" t="n"/>
      <c r="G2927" s="170" t="n"/>
      <c r="H2927" s="170" t="n"/>
      <c r="I2927" s="88">
        <f>ROUND((C2927*J2927)/100,0)*100</f>
        <v/>
      </c>
      <c r="J2927" s="118" t="n">
        <v>1.09</v>
      </c>
      <c r="K2927" s="170" t="n"/>
      <c r="L2927" s="170" t="n"/>
      <c r="M2927" s="30" t="n"/>
      <c r="N2927" s="30" t="n"/>
      <c r="O2927" s="30" t="n"/>
      <c r="P2927" s="170" t="n"/>
      <c r="Q2927" s="30" t="n"/>
      <c r="R2927" s="170" t="n"/>
      <c r="S2927" s="30" t="n"/>
      <c r="T2927" s="170" t="n"/>
      <c r="U2927" s="30" t="n"/>
      <c r="V2927" s="30" t="n"/>
      <c r="W2927" s="30" t="n"/>
      <c r="X2927" s="30" t="n"/>
      <c r="Y2927" s="30" t="n"/>
      <c r="Z2927" s="30" t="n"/>
      <c r="AA2927" s="30" t="n"/>
      <c r="AB2927" s="30" t="n"/>
      <c r="AC2927" s="30" t="n"/>
      <c r="AD2927" s="30" t="n"/>
      <c r="AE2927" s="30" t="n"/>
      <c r="AF2927" s="30" t="n"/>
      <c r="AG2927" s="30" t="n"/>
      <c r="AH2927" s="30" t="n"/>
      <c r="AI2927" s="30" t="n"/>
      <c r="AJ2927" s="30" t="n"/>
      <c r="AK2927" s="30" t="n"/>
      <c r="AL2927" s="30" t="n"/>
      <c r="AM2927" s="30" t="n"/>
      <c r="AN2927" s="30" t="n"/>
      <c r="AO2927" s="30" t="n"/>
    </row>
    <row r="2928" ht="15.75" customHeight="1" s="253">
      <c r="A2928" s="233" t="inlineStr">
        <is>
          <t>11838XXX</t>
        </is>
      </c>
      <c r="B2928" s="110" t="inlineStr">
        <is>
          <t>TAVERNITI BERMUDA</t>
        </is>
      </c>
      <c r="C2928" s="88" t="n">
        <v>97000</v>
      </c>
      <c r="D2928" s="170" t="n"/>
      <c r="E2928" s="170" t="n"/>
      <c r="F2928" s="170" t="n"/>
      <c r="G2928" s="170" t="n"/>
      <c r="H2928" s="170" t="n"/>
      <c r="I2928" s="88">
        <f>ROUND((C2928*J2928)/100,0)*100</f>
        <v/>
      </c>
      <c r="J2928" s="118" t="n">
        <v>1.09</v>
      </c>
      <c r="K2928" s="170" t="n"/>
      <c r="L2928" s="170" t="n"/>
      <c r="M2928" s="30" t="n"/>
      <c r="N2928" s="30" t="n"/>
      <c r="O2928" s="30" t="n"/>
      <c r="P2928" s="170" t="n"/>
      <c r="Q2928" s="30" t="n"/>
      <c r="R2928" s="170" t="n"/>
      <c r="S2928" s="30" t="n"/>
      <c r="T2928" s="170" t="n"/>
      <c r="U2928" s="30" t="n"/>
      <c r="V2928" s="30" t="n"/>
      <c r="W2928" s="30" t="n"/>
      <c r="X2928" s="30" t="n"/>
      <c r="Y2928" s="30" t="n"/>
      <c r="Z2928" s="30" t="n"/>
      <c r="AA2928" s="30" t="n"/>
      <c r="AB2928" s="30" t="n"/>
      <c r="AC2928" s="30" t="n"/>
      <c r="AD2928" s="30" t="n"/>
      <c r="AE2928" s="30" t="n"/>
      <c r="AF2928" s="30" t="n"/>
      <c r="AG2928" s="30" t="n"/>
      <c r="AH2928" s="30" t="n"/>
      <c r="AI2928" s="30" t="n"/>
      <c r="AJ2928" s="30" t="n"/>
      <c r="AK2928" s="30" t="n"/>
      <c r="AL2928" s="30" t="n"/>
      <c r="AM2928" s="30" t="n"/>
      <c r="AN2928" s="30" t="n"/>
      <c r="AO2928" s="30" t="n"/>
    </row>
    <row r="2929" ht="15.75" customHeight="1" s="253">
      <c r="A2929" s="233" t="inlineStr">
        <is>
          <t>11840XXX</t>
        </is>
      </c>
      <c r="B2929" s="110" t="inlineStr">
        <is>
          <t>TAVERNITI BERMUDA</t>
        </is>
      </c>
      <c r="C2929" s="88" t="n">
        <v>97000</v>
      </c>
      <c r="D2929" s="170" t="n"/>
      <c r="E2929" s="170" t="n"/>
      <c r="F2929" s="170" t="n"/>
      <c r="G2929" s="170" t="n"/>
      <c r="H2929" s="170" t="n"/>
      <c r="I2929" s="219">
        <f>ROUND((C2929*J2929)/100,0)*100</f>
        <v/>
      </c>
      <c r="J2929" s="118" t="n">
        <v>1.09</v>
      </c>
      <c r="K2929" s="170" t="n"/>
      <c r="L2929" s="170" t="n"/>
      <c r="M2929" s="18" t="n"/>
      <c r="N2929" s="18" t="n"/>
      <c r="O2929" s="18" t="n"/>
      <c r="P2929" s="43" t="n"/>
      <c r="Q2929" s="30" t="n"/>
      <c r="R2929" s="170" t="n"/>
      <c r="S2929" s="30" t="n"/>
      <c r="T2929" s="170" t="n"/>
      <c r="U2929" s="30" t="n"/>
      <c r="V2929" s="30" t="n"/>
      <c r="W2929" s="30" t="n"/>
      <c r="X2929" s="30" t="n"/>
      <c r="Y2929" s="30" t="n"/>
      <c r="Z2929" s="30" t="n"/>
      <c r="AA2929" s="30" t="n"/>
      <c r="AB2929" s="30" t="n"/>
      <c r="AC2929" s="30" t="n"/>
      <c r="AD2929" s="30" t="n"/>
      <c r="AE2929" s="30" t="n"/>
      <c r="AF2929" s="30" t="n"/>
      <c r="AG2929" s="30" t="n"/>
      <c r="AH2929" s="30" t="n"/>
      <c r="AI2929" s="30" t="n"/>
      <c r="AJ2929" s="30" t="n"/>
      <c r="AK2929" s="30" t="n"/>
      <c r="AL2929" s="30" t="n"/>
      <c r="AM2929" s="30" t="n"/>
      <c r="AN2929" s="30" t="n"/>
    </row>
    <row r="2930" ht="15.75" customHeight="1" s="253">
      <c r="A2930" s="233" t="inlineStr">
        <is>
          <t>11842XXX</t>
        </is>
      </c>
      <c r="B2930" s="110" t="inlineStr">
        <is>
          <t>TAVERNITI BERMUDA</t>
        </is>
      </c>
      <c r="C2930" s="88" t="n">
        <v>97000</v>
      </c>
      <c r="D2930" s="170" t="n"/>
      <c r="E2930" s="170" t="n"/>
      <c r="F2930" s="170" t="n"/>
      <c r="G2930" s="170" t="n"/>
      <c r="H2930" s="170" t="n"/>
      <c r="I2930" s="88">
        <f>ROUND((C2930*J2930)/100,0)*100</f>
        <v/>
      </c>
      <c r="J2930" s="118" t="n">
        <v>1.09</v>
      </c>
      <c r="K2930" s="170" t="n"/>
      <c r="L2930" s="170" t="n"/>
      <c r="M2930" s="30" t="n"/>
      <c r="N2930" s="30" t="n"/>
      <c r="O2930" s="30" t="n"/>
      <c r="P2930" s="170" t="n"/>
      <c r="Q2930" s="30" t="n"/>
      <c r="R2930" s="170" t="n"/>
      <c r="S2930" s="30" t="n"/>
      <c r="T2930" s="170" t="n"/>
      <c r="U2930" s="30" t="n"/>
      <c r="V2930" s="30" t="n"/>
      <c r="W2930" s="30" t="n"/>
      <c r="X2930" s="30" t="n"/>
      <c r="Y2930" s="30" t="n"/>
      <c r="Z2930" s="30" t="n"/>
      <c r="AA2930" s="30" t="n"/>
      <c r="AB2930" s="30" t="n"/>
      <c r="AC2930" s="30" t="n"/>
      <c r="AD2930" s="30" t="n"/>
      <c r="AE2930" s="30" t="n"/>
      <c r="AF2930" s="30" t="n"/>
      <c r="AG2930" s="30" t="n"/>
      <c r="AH2930" s="30" t="n"/>
      <c r="AI2930" s="30" t="n"/>
      <c r="AJ2930" s="30" t="n"/>
      <c r="AK2930" s="30" t="n"/>
      <c r="AL2930" s="30" t="n"/>
      <c r="AM2930" s="30" t="n"/>
      <c r="AN2930" s="30" t="n"/>
      <c r="AO2930" s="30" t="n"/>
    </row>
    <row r="2931" ht="15.75" customHeight="1" s="253">
      <c r="A2931" s="233" t="inlineStr">
        <is>
          <t>11844XXX</t>
        </is>
      </c>
      <c r="B2931" s="110" t="inlineStr">
        <is>
          <t>TAVERNITI BERMUDA</t>
        </is>
      </c>
      <c r="C2931" s="88" t="n">
        <v>97000</v>
      </c>
      <c r="D2931" s="169" t="n"/>
      <c r="E2931" s="170" t="n"/>
      <c r="F2931" s="170" t="n"/>
      <c r="G2931" s="170" t="n"/>
      <c r="H2931" s="170" t="n"/>
      <c r="I2931" s="219">
        <f>ROUND((C2931*J2931)/100,0)*100</f>
        <v/>
      </c>
      <c r="J2931" s="118" t="n">
        <v>1.09</v>
      </c>
      <c r="K2931" s="170" t="n"/>
      <c r="L2931" s="170" t="n"/>
      <c r="M2931" s="18" t="n"/>
      <c r="N2931" s="18" t="n"/>
      <c r="O2931" s="18" t="n"/>
      <c r="P2931" s="43" t="n"/>
      <c r="Q2931" s="30" t="n"/>
      <c r="R2931" s="170" t="n"/>
      <c r="S2931" s="30" t="n"/>
      <c r="T2931" s="170" t="n"/>
      <c r="U2931" s="30" t="n"/>
      <c r="V2931" s="30" t="n"/>
      <c r="W2931" s="30" t="n"/>
      <c r="X2931" s="30" t="n"/>
      <c r="Y2931" s="30" t="n"/>
      <c r="Z2931" s="30" t="n"/>
      <c r="AA2931" s="30" t="n"/>
      <c r="AB2931" s="30" t="n"/>
      <c r="AC2931" s="30" t="n"/>
      <c r="AD2931" s="30" t="n"/>
      <c r="AE2931" s="30" t="n"/>
      <c r="AF2931" s="30" t="n"/>
      <c r="AG2931" s="30" t="n"/>
      <c r="AH2931" s="30" t="n"/>
      <c r="AI2931" s="30" t="n"/>
      <c r="AJ2931" s="30" t="n"/>
      <c r="AK2931" s="30" t="n"/>
      <c r="AL2931" s="30" t="n"/>
      <c r="AM2931" s="30" t="n"/>
      <c r="AN2931" s="30" t="n"/>
    </row>
    <row r="2932" ht="15.75" customHeight="1" s="253">
      <c r="A2932" s="233" t="inlineStr">
        <is>
          <t>11904XXX</t>
        </is>
      </c>
      <c r="B2932" s="110" t="inlineStr">
        <is>
          <t>TAVERNITI BERMUDA</t>
        </is>
      </c>
      <c r="C2932" s="88" t="n">
        <v>70500</v>
      </c>
      <c r="D2932" s="170" t="n"/>
      <c r="E2932" s="170" t="n"/>
      <c r="F2932" s="170" t="n"/>
      <c r="G2932" s="170" t="n"/>
      <c r="H2932" s="170" t="n"/>
      <c r="I2932" s="219">
        <f>ROUND((C2932*J2932)/100,0)*100</f>
        <v/>
      </c>
      <c r="J2932" s="118" t="n">
        <v>1.09</v>
      </c>
      <c r="K2932" s="170" t="n"/>
      <c r="L2932" s="170" t="n"/>
      <c r="M2932" s="18" t="n"/>
      <c r="N2932" s="18" t="n"/>
      <c r="O2932" s="18" t="n"/>
      <c r="P2932" s="43" t="n"/>
      <c r="Q2932" s="30" t="n"/>
      <c r="R2932" s="170" t="n"/>
      <c r="S2932" s="30" t="n"/>
      <c r="T2932" s="170" t="n"/>
      <c r="U2932" s="30" t="n"/>
      <c r="V2932" s="30" t="n"/>
      <c r="W2932" s="30" t="n"/>
      <c r="X2932" s="30" t="n"/>
      <c r="Y2932" s="30" t="n"/>
      <c r="Z2932" s="30" t="n"/>
      <c r="AA2932" s="30" t="n"/>
      <c r="AB2932" s="30" t="n"/>
      <c r="AC2932" s="30" t="n"/>
      <c r="AD2932" s="30" t="n"/>
      <c r="AE2932" s="30" t="n"/>
      <c r="AF2932" s="30" t="n"/>
      <c r="AG2932" s="30" t="n"/>
      <c r="AH2932" s="30" t="n"/>
      <c r="AI2932" s="30" t="n"/>
      <c r="AJ2932" s="30" t="n"/>
      <c r="AK2932" s="30" t="n"/>
      <c r="AL2932" s="30" t="n"/>
      <c r="AM2932" s="30" t="n"/>
      <c r="AN2932" s="30" t="n"/>
    </row>
    <row r="2933" ht="15.75" customHeight="1" s="253">
      <c r="A2933" s="233" t="inlineStr">
        <is>
          <t>11940XXX</t>
        </is>
      </c>
      <c r="B2933" s="110" t="inlineStr">
        <is>
          <t>TAVERNITI BERMUDA</t>
        </is>
      </c>
      <c r="C2933" s="88" t="n">
        <v>70500</v>
      </c>
      <c r="D2933" s="170" t="n"/>
      <c r="E2933" s="170" t="n"/>
      <c r="F2933" s="170" t="n"/>
      <c r="G2933" s="170" t="n"/>
      <c r="H2933" s="170" t="n"/>
      <c r="I2933" s="219">
        <f>ROUND((C2933*J2933)/100,0)*100</f>
        <v/>
      </c>
      <c r="J2933" s="118" t="n">
        <v>1.09</v>
      </c>
      <c r="K2933" s="170" t="n"/>
      <c r="L2933" s="170" t="n"/>
      <c r="M2933" s="18" t="n"/>
      <c r="N2933" s="18" t="n"/>
      <c r="O2933" s="18" t="n"/>
      <c r="P2933" s="43" t="n"/>
      <c r="Q2933" s="30" t="n"/>
      <c r="R2933" s="170" t="n"/>
      <c r="S2933" s="30" t="n"/>
      <c r="T2933" s="170" t="n"/>
      <c r="U2933" s="30" t="n"/>
      <c r="V2933" s="30" t="n"/>
      <c r="W2933" s="30" t="n"/>
      <c r="X2933" s="30" t="n"/>
      <c r="Y2933" s="30" t="n"/>
      <c r="Z2933" s="30" t="n"/>
      <c r="AA2933" s="30" t="n"/>
      <c r="AB2933" s="30" t="n"/>
      <c r="AC2933" s="30" t="n"/>
      <c r="AD2933" s="30" t="n"/>
      <c r="AE2933" s="30" t="n"/>
      <c r="AF2933" s="30" t="n"/>
      <c r="AG2933" s="30" t="n"/>
      <c r="AH2933" s="30" t="n"/>
      <c r="AI2933" s="30" t="n"/>
      <c r="AJ2933" s="30" t="n"/>
      <c r="AK2933" s="30" t="n"/>
      <c r="AL2933" s="30" t="n"/>
      <c r="AM2933" s="30" t="n"/>
      <c r="AN2933" s="30" t="n"/>
    </row>
    <row r="2934" ht="15.75" customHeight="1" s="253">
      <c r="A2934" s="233" t="inlineStr">
        <is>
          <t>11942XXX</t>
        </is>
      </c>
      <c r="B2934" s="110" t="inlineStr">
        <is>
          <t>TAVERNITI BERMUDA</t>
        </is>
      </c>
      <c r="C2934" s="88" t="n">
        <v>70500</v>
      </c>
      <c r="D2934" s="170" t="n"/>
      <c r="E2934" s="170" t="n"/>
      <c r="F2934" s="170" t="n"/>
      <c r="G2934" s="170" t="n"/>
      <c r="H2934" s="170" t="n"/>
      <c r="I2934" s="219">
        <f>ROUND((C2934*J2934)/100,0)*100</f>
        <v/>
      </c>
      <c r="J2934" s="118" t="n">
        <v>1.09</v>
      </c>
      <c r="K2934" s="170" t="n"/>
      <c r="L2934" s="170" t="n"/>
      <c r="M2934" s="18" t="n"/>
      <c r="N2934" s="18" t="n"/>
      <c r="O2934" s="18" t="n"/>
      <c r="P2934" s="43" t="n"/>
      <c r="Q2934" s="30" t="n"/>
      <c r="R2934" s="170" t="n"/>
      <c r="S2934" s="30" t="n"/>
      <c r="T2934" s="170" t="n"/>
      <c r="U2934" s="30" t="n"/>
      <c r="V2934" s="30" t="n"/>
      <c r="W2934" s="30" t="n"/>
      <c r="X2934" s="30" t="n"/>
      <c r="Y2934" s="30" t="n"/>
      <c r="Z2934" s="30" t="n"/>
      <c r="AA2934" s="30" t="n"/>
      <c r="AB2934" s="30" t="n"/>
      <c r="AC2934" s="30" t="n"/>
      <c r="AD2934" s="30" t="n"/>
      <c r="AE2934" s="30" t="n"/>
      <c r="AF2934" s="30" t="n"/>
      <c r="AG2934" s="30" t="n"/>
      <c r="AH2934" s="30" t="n"/>
      <c r="AI2934" s="30" t="n"/>
      <c r="AJ2934" s="30" t="n"/>
      <c r="AK2934" s="30" t="n"/>
      <c r="AL2934" s="30" t="n"/>
      <c r="AM2934" s="30" t="n"/>
      <c r="AN2934" s="30" t="n"/>
    </row>
    <row r="2935" ht="15.75" customHeight="1" s="253">
      <c r="A2935" s="233" t="inlineStr">
        <is>
          <t>11950XXX</t>
        </is>
      </c>
      <c r="B2935" s="110" t="inlineStr">
        <is>
          <t>TAVERNITI BERMUDA</t>
        </is>
      </c>
      <c r="C2935" s="88" t="n">
        <v>69600</v>
      </c>
      <c r="D2935" s="170" t="n"/>
      <c r="E2935" s="170" t="n"/>
      <c r="F2935" s="170" t="n"/>
      <c r="G2935" s="170" t="n"/>
      <c r="H2935" s="170" t="n"/>
      <c r="I2935" s="88">
        <f>ROUND((C2935*J2935)/100,0)*100</f>
        <v/>
      </c>
      <c r="J2935" s="118" t="n">
        <v>1.09</v>
      </c>
      <c r="K2935" s="170" t="n"/>
      <c r="L2935" s="170" t="n"/>
      <c r="M2935" s="30" t="n"/>
      <c r="N2935" s="30" t="n"/>
      <c r="O2935" s="30" t="n"/>
      <c r="P2935" s="170" t="n"/>
      <c r="Q2935" s="30" t="n"/>
      <c r="R2935" s="170" t="n"/>
      <c r="S2935" s="30" t="n"/>
      <c r="T2935" s="170" t="n"/>
      <c r="U2935" s="30" t="n"/>
      <c r="V2935" s="30" t="n"/>
      <c r="W2935" s="30" t="n"/>
      <c r="X2935" s="30" t="n"/>
      <c r="Y2935" s="30" t="n"/>
      <c r="Z2935" s="30" t="n"/>
      <c r="AA2935" s="30" t="n"/>
      <c r="AB2935" s="30" t="n"/>
      <c r="AC2935" s="30" t="n"/>
      <c r="AD2935" s="30" t="n"/>
      <c r="AE2935" s="30" t="n"/>
      <c r="AF2935" s="30" t="n"/>
      <c r="AG2935" s="30" t="n"/>
      <c r="AH2935" s="30" t="n"/>
      <c r="AI2935" s="30" t="n"/>
      <c r="AJ2935" s="30" t="n"/>
      <c r="AK2935" s="30" t="n"/>
      <c r="AL2935" s="30" t="n"/>
      <c r="AM2935" s="30" t="n"/>
      <c r="AN2935" s="30" t="n"/>
      <c r="AO2935" s="30" t="n"/>
    </row>
    <row r="2936" ht="15.75" customHeight="1" s="253">
      <c r="A2936" s="233" t="inlineStr">
        <is>
          <t>11952XXX</t>
        </is>
      </c>
      <c r="B2936" s="110" t="inlineStr">
        <is>
          <t>TAVERNITI BERMUDA</t>
        </is>
      </c>
      <c r="C2936" s="88" t="n">
        <v>74000</v>
      </c>
      <c r="D2936" s="170" t="n"/>
      <c r="E2936" s="170" t="n"/>
      <c r="F2936" s="170" t="n"/>
      <c r="G2936" s="170" t="n"/>
      <c r="H2936" s="170" t="n"/>
      <c r="I2936" s="88">
        <f>ROUND((C2936*J2936)/100,0)*100</f>
        <v/>
      </c>
      <c r="J2936" s="118" t="n">
        <v>1.09</v>
      </c>
      <c r="K2936" s="170" t="n"/>
      <c r="L2936" s="170" t="n"/>
      <c r="M2936" s="30" t="n"/>
      <c r="N2936" s="30" t="n"/>
      <c r="O2936" s="30" t="n"/>
      <c r="P2936" s="170" t="n"/>
      <c r="Q2936" s="30" t="n"/>
      <c r="R2936" s="170" t="n"/>
      <c r="S2936" s="30" t="n"/>
      <c r="T2936" s="170" t="n"/>
      <c r="U2936" s="30" t="n"/>
      <c r="V2936" s="30" t="n"/>
      <c r="W2936" s="30" t="n"/>
      <c r="X2936" s="30" t="n"/>
      <c r="Y2936" s="30" t="n"/>
      <c r="Z2936" s="30" t="n"/>
      <c r="AA2936" s="30" t="n"/>
      <c r="AB2936" s="30" t="n"/>
      <c r="AC2936" s="30" t="n"/>
      <c r="AD2936" s="30" t="n"/>
      <c r="AE2936" s="30" t="n"/>
      <c r="AF2936" s="30" t="n"/>
      <c r="AG2936" s="30" t="n"/>
      <c r="AH2936" s="30" t="n"/>
      <c r="AI2936" s="30" t="n"/>
      <c r="AJ2936" s="30" t="n"/>
      <c r="AK2936" s="30" t="n"/>
      <c r="AL2936" s="30" t="n"/>
      <c r="AM2936" s="30" t="n"/>
      <c r="AN2936" s="30" t="n"/>
      <c r="AO2936" s="30" t="n"/>
    </row>
    <row r="2937" ht="15.75" customHeight="1" s="253">
      <c r="A2937" s="233" t="inlineStr">
        <is>
          <t>11954XXX</t>
        </is>
      </c>
      <c r="B2937" s="110" t="inlineStr">
        <is>
          <t>TAVERNITI BERMUDA</t>
        </is>
      </c>
      <c r="C2937" s="88" t="n">
        <v>69600</v>
      </c>
      <c r="D2937" s="170" t="n"/>
      <c r="E2937" s="170" t="n"/>
      <c r="F2937" s="170" t="n"/>
      <c r="G2937" s="170" t="n"/>
      <c r="H2937" s="170" t="n"/>
      <c r="I2937" s="88">
        <f>ROUND((C2937*J2937)/100,0)*100</f>
        <v/>
      </c>
      <c r="J2937" s="118" t="n">
        <v>1.09</v>
      </c>
      <c r="K2937" s="170" t="n"/>
      <c r="L2937" s="170" t="n"/>
      <c r="M2937" s="30" t="n"/>
      <c r="N2937" s="30" t="n"/>
      <c r="O2937" s="30" t="n"/>
      <c r="P2937" s="170" t="n"/>
      <c r="Q2937" s="30" t="n"/>
      <c r="R2937" s="170" t="n"/>
      <c r="S2937" s="30" t="n"/>
      <c r="T2937" s="170" t="n"/>
      <c r="U2937" s="30" t="n"/>
      <c r="V2937" s="30" t="n"/>
      <c r="W2937" s="30" t="n"/>
      <c r="X2937" s="30" t="n"/>
      <c r="Y2937" s="30" t="n"/>
      <c r="Z2937" s="30" t="n"/>
      <c r="AA2937" s="30" t="n"/>
      <c r="AB2937" s="30" t="n"/>
      <c r="AC2937" s="30" t="n"/>
      <c r="AD2937" s="30" t="n"/>
      <c r="AE2937" s="30" t="n"/>
      <c r="AF2937" s="30" t="n"/>
      <c r="AG2937" s="30" t="n"/>
      <c r="AH2937" s="30" t="n"/>
      <c r="AI2937" s="30" t="n"/>
      <c r="AJ2937" s="30" t="n"/>
      <c r="AK2937" s="30" t="n"/>
      <c r="AL2937" s="30" t="n"/>
      <c r="AM2937" s="30" t="n"/>
      <c r="AN2937" s="30" t="n"/>
      <c r="AO2937" s="30" t="n"/>
    </row>
    <row r="2938" ht="15.75" customHeight="1" s="253">
      <c r="A2938" s="233" t="inlineStr">
        <is>
          <t>11958XXX</t>
        </is>
      </c>
      <c r="B2938" s="110" t="inlineStr">
        <is>
          <t>TAVERNITI BERMUDA</t>
        </is>
      </c>
      <c r="C2938" s="88" t="n">
        <v>70500</v>
      </c>
      <c r="D2938" s="170" t="n"/>
      <c r="E2938" s="170" t="n"/>
      <c r="F2938" s="170" t="n"/>
      <c r="G2938" s="170" t="n"/>
      <c r="H2938" s="170" t="n"/>
      <c r="I2938" s="219">
        <f>ROUND((C2938*J2938)/100,0)*100</f>
        <v/>
      </c>
      <c r="J2938" s="118" t="n">
        <v>1.09</v>
      </c>
      <c r="K2938" s="170" t="n"/>
      <c r="L2938" s="170" t="n"/>
      <c r="M2938" s="18" t="n"/>
      <c r="N2938" s="18" t="n"/>
      <c r="O2938" s="18" t="n"/>
      <c r="P2938" s="43" t="n"/>
      <c r="Q2938" s="30" t="n"/>
      <c r="R2938" s="170" t="n"/>
      <c r="S2938" s="30" t="n"/>
      <c r="T2938" s="170" t="n"/>
      <c r="U2938" s="30" t="n"/>
      <c r="V2938" s="30" t="n"/>
      <c r="W2938" s="30" t="n"/>
      <c r="X2938" s="30" t="n"/>
      <c r="Y2938" s="30" t="n"/>
      <c r="Z2938" s="30" t="n"/>
      <c r="AA2938" s="30" t="n"/>
      <c r="AB2938" s="30" t="n"/>
      <c r="AC2938" s="30" t="n"/>
      <c r="AD2938" s="30" t="n"/>
      <c r="AE2938" s="30" t="n"/>
      <c r="AF2938" s="30" t="n"/>
      <c r="AG2938" s="30" t="n"/>
      <c r="AH2938" s="30" t="n"/>
      <c r="AI2938" s="30" t="n"/>
      <c r="AJ2938" s="30" t="n"/>
      <c r="AK2938" s="30" t="n"/>
      <c r="AL2938" s="30" t="n"/>
      <c r="AM2938" s="30" t="n"/>
      <c r="AN2938" s="30" t="n"/>
    </row>
    <row r="2939" ht="15.75" customHeight="1" s="253">
      <c r="A2939" s="233" t="inlineStr">
        <is>
          <t>11950XXX</t>
        </is>
      </c>
      <c r="B2939" s="110" t="inlineStr">
        <is>
          <t>TAVERNITI BERMUDA</t>
        </is>
      </c>
      <c r="C2939" s="88" t="n">
        <v>70500</v>
      </c>
      <c r="D2939" s="170" t="n"/>
      <c r="E2939" s="170" t="n"/>
      <c r="F2939" s="170" t="n"/>
      <c r="G2939" s="170" t="n"/>
      <c r="H2939" s="170" t="n"/>
      <c r="I2939" s="219">
        <f>ROUND((C2939*J2939)/100,0)*100</f>
        <v/>
      </c>
      <c r="J2939" s="118" t="n">
        <v>1.09</v>
      </c>
      <c r="K2939" s="170" t="n"/>
      <c r="L2939" s="170" t="n"/>
      <c r="M2939" s="18" t="n"/>
      <c r="N2939" s="18" t="n"/>
      <c r="O2939" s="18" t="n"/>
      <c r="P2939" s="43" t="n"/>
      <c r="Q2939" s="30" t="n"/>
      <c r="R2939" s="170" t="n"/>
      <c r="S2939" s="30" t="n"/>
      <c r="T2939" s="170" t="n"/>
      <c r="U2939" s="30" t="n"/>
      <c r="V2939" s="30" t="n"/>
      <c r="W2939" s="30" t="n"/>
      <c r="X2939" s="30" t="n"/>
      <c r="Y2939" s="30" t="n"/>
      <c r="Z2939" s="30" t="n"/>
      <c r="AA2939" s="30" t="n"/>
      <c r="AB2939" s="30" t="n"/>
      <c r="AC2939" s="30" t="n"/>
      <c r="AD2939" s="30" t="n"/>
      <c r="AE2939" s="30" t="n"/>
      <c r="AF2939" s="30" t="n"/>
      <c r="AG2939" s="30" t="n"/>
      <c r="AH2939" s="30" t="n"/>
      <c r="AI2939" s="30" t="n"/>
      <c r="AJ2939" s="30" t="n"/>
      <c r="AK2939" s="30" t="n"/>
      <c r="AL2939" s="30" t="n"/>
      <c r="AM2939" s="30" t="n"/>
      <c r="AN2939" s="30" t="n"/>
    </row>
    <row r="2940" ht="15.75" customHeight="1" s="253">
      <c r="A2940" s="68" t="inlineStr">
        <is>
          <t>12029XXX</t>
        </is>
      </c>
      <c r="B2940" s="110" t="inlineStr">
        <is>
          <t>TAVERNITI BERMUDA</t>
        </is>
      </c>
      <c r="C2940" s="88" t="n">
        <v>70500</v>
      </c>
      <c r="D2940" s="22" t="n"/>
      <c r="E2940" s="22" t="n"/>
      <c r="F2940" s="22" t="n"/>
      <c r="G2940" s="22" t="n"/>
      <c r="H2940" s="22" t="n"/>
      <c r="I2940" s="219">
        <f>ROUND((C2940*J2940)/100,0)*100</f>
        <v/>
      </c>
      <c r="J2940" s="118" t="n">
        <v>1.09</v>
      </c>
      <c r="K2940" s="219" t="n"/>
      <c r="L2940" s="219" t="n"/>
      <c r="M2940" s="18" t="n"/>
      <c r="N2940" s="18" t="n"/>
      <c r="O2940" s="18" t="n"/>
      <c r="P2940" s="43" t="n"/>
      <c r="R2940" s="117" t="n"/>
      <c r="T2940" s="117" t="n"/>
    </row>
    <row r="2941" ht="15.75" customHeight="1" s="253">
      <c r="A2941" s="233" t="inlineStr">
        <is>
          <t>13218XXX</t>
        </is>
      </c>
      <c r="B2941" s="110" t="inlineStr">
        <is>
          <t>TAVERNITI BERMUDA</t>
        </is>
      </c>
      <c r="C2941" s="88" t="n">
        <v>70500</v>
      </c>
      <c r="D2941" s="170" t="n"/>
      <c r="E2941" s="170" t="n"/>
      <c r="F2941" s="170" t="n"/>
      <c r="G2941" s="170" t="n"/>
      <c r="H2941" s="170" t="n"/>
      <c r="I2941" s="88">
        <f>ROUND((C2941*J2941)/100,0)*100</f>
        <v/>
      </c>
      <c r="J2941" s="118" t="n">
        <v>1.09</v>
      </c>
      <c r="K2941" s="170" t="n"/>
      <c r="L2941" s="170" t="n"/>
      <c r="M2941" s="30" t="n"/>
      <c r="N2941" s="30" t="n"/>
      <c r="O2941" s="30" t="n"/>
      <c r="P2941" s="170" t="n"/>
      <c r="Q2941" s="30" t="n"/>
      <c r="R2941" s="170" t="n"/>
      <c r="S2941" s="30" t="n"/>
      <c r="T2941" s="170" t="n"/>
      <c r="U2941" s="30" t="n"/>
      <c r="V2941" s="30" t="n"/>
      <c r="W2941" s="30" t="n"/>
      <c r="X2941" s="30" t="n"/>
      <c r="Y2941" s="30" t="n"/>
      <c r="Z2941" s="30" t="n"/>
      <c r="AA2941" s="30" t="n"/>
      <c r="AB2941" s="30" t="n"/>
      <c r="AC2941" s="30" t="n"/>
      <c r="AD2941" s="30" t="n"/>
      <c r="AE2941" s="30" t="n"/>
      <c r="AF2941" s="30" t="n"/>
      <c r="AG2941" s="30" t="n"/>
      <c r="AH2941" s="30" t="n"/>
      <c r="AI2941" s="30" t="n"/>
      <c r="AJ2941" s="30" t="n"/>
      <c r="AK2941" s="30" t="n"/>
      <c r="AL2941" s="30" t="n"/>
      <c r="AM2941" s="30" t="n"/>
      <c r="AN2941" s="30" t="n"/>
      <c r="AO2941" s="30" t="n"/>
    </row>
    <row r="2942" ht="15.75" customHeight="1" s="253">
      <c r="A2942" s="233" t="inlineStr">
        <is>
          <t>13222XXX</t>
        </is>
      </c>
      <c r="B2942" s="110" t="inlineStr">
        <is>
          <t>TAVERNITI BERMUDA</t>
        </is>
      </c>
      <c r="C2942" s="88" t="n">
        <v>84500</v>
      </c>
      <c r="D2942" s="170" t="n">
        <v>88900</v>
      </c>
      <c r="E2942" s="170" t="n"/>
      <c r="F2942" s="170" t="n"/>
      <c r="G2942" s="170" t="n"/>
      <c r="H2942" s="170" t="n"/>
      <c r="I2942" s="88">
        <f>ROUND((C2942*J2942)/100,0)*100</f>
        <v/>
      </c>
      <c r="J2942" s="118" t="n">
        <v>1.09</v>
      </c>
      <c r="K2942" s="170" t="n"/>
      <c r="L2942" s="170" t="n"/>
      <c r="M2942" s="30" t="n"/>
      <c r="N2942" s="30" t="n"/>
      <c r="O2942" s="30" t="n"/>
      <c r="P2942" s="170" t="n"/>
      <c r="Q2942" s="30" t="n"/>
      <c r="R2942" s="170" t="n"/>
      <c r="S2942" s="30" t="n"/>
      <c r="T2942" s="170" t="n"/>
      <c r="U2942" s="30" t="n"/>
      <c r="V2942" s="30" t="n"/>
      <c r="W2942" s="30" t="n"/>
      <c r="X2942" s="30" t="n"/>
      <c r="Y2942" s="30" t="n"/>
      <c r="Z2942" s="30" t="n"/>
      <c r="AA2942" s="30" t="n"/>
      <c r="AB2942" s="30" t="n"/>
      <c r="AC2942" s="30" t="n"/>
      <c r="AD2942" s="30" t="n"/>
      <c r="AE2942" s="30" t="n"/>
      <c r="AF2942" s="30" t="n"/>
      <c r="AG2942" s="30" t="n"/>
      <c r="AH2942" s="30" t="n"/>
      <c r="AI2942" s="30" t="n"/>
      <c r="AJ2942" s="30" t="n"/>
      <c r="AK2942" s="30" t="n"/>
      <c r="AL2942" s="30" t="n"/>
      <c r="AM2942" s="30" t="n"/>
      <c r="AN2942" s="30" t="n"/>
      <c r="AO2942" s="30" t="n"/>
    </row>
    <row r="2943" ht="15.75" customHeight="1" s="253">
      <c r="A2943" s="233" t="inlineStr">
        <is>
          <t>13230XXX</t>
        </is>
      </c>
      <c r="B2943" s="110" t="inlineStr">
        <is>
          <t>TAVERNITI BERMUDA</t>
        </is>
      </c>
      <c r="C2943" s="88" t="n">
        <v>70500</v>
      </c>
      <c r="D2943" s="170" t="n"/>
      <c r="E2943" s="170" t="n"/>
      <c r="F2943" s="170" t="n"/>
      <c r="G2943" s="170" t="n"/>
      <c r="H2943" s="170" t="n"/>
      <c r="I2943" s="88">
        <f>ROUND((C2943*J2943)/100,0)*100</f>
        <v/>
      </c>
      <c r="J2943" s="118" t="n">
        <v>1.09</v>
      </c>
      <c r="K2943" s="170" t="n"/>
      <c r="L2943" s="170" t="n"/>
      <c r="M2943" s="30" t="n"/>
      <c r="N2943" s="30" t="n"/>
      <c r="O2943" s="30" t="n"/>
      <c r="P2943" s="170" t="n"/>
      <c r="Q2943" s="30" t="n"/>
      <c r="R2943" s="170" t="n"/>
      <c r="S2943" s="30" t="n"/>
      <c r="T2943" s="170" t="n"/>
      <c r="U2943" s="30" t="n"/>
      <c r="V2943" s="30" t="n"/>
      <c r="W2943" s="30" t="n"/>
      <c r="X2943" s="30" t="n"/>
      <c r="Y2943" s="30" t="n"/>
      <c r="Z2943" s="30" t="n"/>
      <c r="AA2943" s="30" t="n"/>
      <c r="AB2943" s="30" t="n"/>
      <c r="AC2943" s="30" t="n"/>
      <c r="AD2943" s="30" t="n"/>
      <c r="AE2943" s="30" t="n"/>
      <c r="AF2943" s="30" t="n"/>
      <c r="AG2943" s="30" t="n"/>
      <c r="AH2943" s="30" t="n"/>
      <c r="AI2943" s="30" t="n"/>
      <c r="AJ2943" s="30" t="n"/>
      <c r="AK2943" s="30" t="n"/>
      <c r="AL2943" s="30" t="n"/>
      <c r="AM2943" s="30" t="n"/>
      <c r="AN2943" s="30" t="n"/>
      <c r="AO2943" s="30" t="n"/>
    </row>
    <row r="2944" ht="15.75" customHeight="1" s="253">
      <c r="A2944" s="233" t="inlineStr">
        <is>
          <t>13240XXX</t>
        </is>
      </c>
      <c r="B2944" s="110" t="inlineStr">
        <is>
          <t>TAVERNITI BERMUDA</t>
        </is>
      </c>
      <c r="C2944" s="88" t="n">
        <v>76100</v>
      </c>
      <c r="D2944" s="170" t="n"/>
      <c r="E2944" s="170" t="n"/>
      <c r="F2944" s="170" t="n"/>
      <c r="G2944" s="170" t="n"/>
      <c r="H2944" s="170" t="n"/>
      <c r="I2944" s="88">
        <f>ROUND((C2944*J2944)/100,0)*100</f>
        <v/>
      </c>
      <c r="J2944" s="118" t="n">
        <v>1.09</v>
      </c>
      <c r="K2944" s="170" t="n"/>
      <c r="L2944" s="170" t="n"/>
      <c r="M2944" s="30" t="n"/>
      <c r="N2944" s="30" t="n"/>
      <c r="O2944" s="30" t="n"/>
      <c r="P2944" s="170" t="n"/>
      <c r="Q2944" s="30" t="n"/>
      <c r="R2944" s="170" t="n"/>
      <c r="S2944" s="30" t="n"/>
      <c r="T2944" s="170" t="n"/>
      <c r="U2944" s="30" t="n"/>
      <c r="V2944" s="30" t="n"/>
      <c r="W2944" s="30" t="n"/>
      <c r="X2944" s="30" t="n"/>
      <c r="Y2944" s="30" t="n"/>
      <c r="Z2944" s="30" t="n"/>
      <c r="AA2944" s="30" t="n"/>
      <c r="AB2944" s="30" t="n"/>
      <c r="AC2944" s="30" t="n"/>
      <c r="AD2944" s="30" t="n"/>
      <c r="AE2944" s="30" t="n"/>
      <c r="AF2944" s="30" t="n"/>
      <c r="AG2944" s="30" t="n"/>
      <c r="AH2944" s="30" t="n"/>
      <c r="AI2944" s="30" t="n"/>
      <c r="AJ2944" s="30" t="n"/>
      <c r="AK2944" s="30" t="n"/>
      <c r="AL2944" s="30" t="n"/>
      <c r="AM2944" s="30" t="n"/>
      <c r="AN2944" s="30" t="n"/>
      <c r="AO2944" s="30" t="n"/>
    </row>
    <row r="2945" ht="15.75" customHeight="1" s="253">
      <c r="A2945" s="233" t="inlineStr">
        <is>
          <t>13244XXX</t>
        </is>
      </c>
      <c r="B2945" s="110" t="inlineStr">
        <is>
          <t>TAVERNITI BERMUDA</t>
        </is>
      </c>
      <c r="C2945" s="88" t="n">
        <v>70500</v>
      </c>
      <c r="D2945" s="170" t="n"/>
      <c r="E2945" s="170" t="n"/>
      <c r="F2945" s="170" t="n"/>
      <c r="G2945" s="170" t="n"/>
      <c r="H2945" s="170" t="n"/>
      <c r="I2945" s="88">
        <f>ROUND((C2945*J2945)/100,0)*100</f>
        <v/>
      </c>
      <c r="J2945" s="118" t="n">
        <v>1.09</v>
      </c>
      <c r="K2945" s="170" t="n"/>
      <c r="L2945" s="170" t="n"/>
      <c r="M2945" s="30" t="n"/>
      <c r="N2945" s="30" t="n"/>
      <c r="O2945" s="30" t="n"/>
      <c r="P2945" s="170" t="n"/>
      <c r="Q2945" s="30" t="n"/>
      <c r="R2945" s="170" t="n"/>
      <c r="S2945" s="30" t="n"/>
      <c r="T2945" s="170" t="n"/>
      <c r="U2945" s="30" t="n"/>
      <c r="V2945" s="30" t="n"/>
      <c r="W2945" s="30" t="n"/>
      <c r="X2945" s="30" t="n"/>
      <c r="Y2945" s="30" t="n"/>
      <c r="Z2945" s="30" t="n"/>
      <c r="AA2945" s="30" t="n"/>
      <c r="AB2945" s="30" t="n"/>
      <c r="AC2945" s="30" t="n"/>
      <c r="AD2945" s="30" t="n"/>
      <c r="AE2945" s="30" t="n"/>
      <c r="AF2945" s="30" t="n"/>
      <c r="AG2945" s="30" t="n"/>
      <c r="AH2945" s="30" t="n"/>
      <c r="AI2945" s="30" t="n"/>
      <c r="AJ2945" s="30" t="n"/>
      <c r="AK2945" s="30" t="n"/>
      <c r="AL2945" s="30" t="n"/>
      <c r="AM2945" s="30" t="n"/>
      <c r="AN2945" s="30" t="n"/>
      <c r="AO2945" s="30" t="n"/>
    </row>
    <row r="2946" ht="15.75" customHeight="1" s="253">
      <c r="A2946" s="233" t="inlineStr">
        <is>
          <t>13246XXX</t>
        </is>
      </c>
      <c r="B2946" s="110" t="inlineStr">
        <is>
          <t>TAVERNITI BERMUDA</t>
        </is>
      </c>
      <c r="C2946" s="88" t="n">
        <v>70500</v>
      </c>
      <c r="D2946" s="170" t="n"/>
      <c r="E2946" s="170" t="n"/>
      <c r="F2946" s="170" t="n"/>
      <c r="G2946" s="170" t="n"/>
      <c r="H2946" s="170" t="n"/>
      <c r="I2946" s="88">
        <f>ROUND((C2946*J2946)/100,0)*100</f>
        <v/>
      </c>
      <c r="J2946" s="118" t="n">
        <v>1.09</v>
      </c>
      <c r="K2946" s="170" t="n"/>
      <c r="L2946" s="170" t="n"/>
      <c r="M2946" s="30" t="n"/>
      <c r="N2946" s="30" t="n"/>
      <c r="O2946" s="30" t="n"/>
      <c r="P2946" s="170" t="n"/>
      <c r="Q2946" s="30" t="n"/>
      <c r="R2946" s="170" t="n"/>
      <c r="S2946" s="30" t="n"/>
      <c r="T2946" s="170" t="n"/>
      <c r="U2946" s="30" t="n"/>
      <c r="V2946" s="30" t="n"/>
      <c r="W2946" s="30" t="n"/>
      <c r="X2946" s="30" t="n"/>
      <c r="Y2946" s="30" t="n"/>
      <c r="Z2946" s="30" t="n"/>
      <c r="AA2946" s="30" t="n"/>
      <c r="AB2946" s="30" t="n"/>
      <c r="AC2946" s="30" t="n"/>
      <c r="AD2946" s="30" t="n"/>
      <c r="AE2946" s="30" t="n"/>
      <c r="AF2946" s="30" t="n"/>
      <c r="AG2946" s="30" t="n"/>
      <c r="AH2946" s="30" t="n"/>
      <c r="AI2946" s="30" t="n"/>
      <c r="AJ2946" s="30" t="n"/>
      <c r="AK2946" s="30" t="n"/>
      <c r="AL2946" s="30" t="n"/>
      <c r="AM2946" s="30" t="n"/>
      <c r="AN2946" s="30" t="n"/>
      <c r="AO2946" s="30" t="n"/>
    </row>
    <row r="2947" ht="15.75" customHeight="1" s="253">
      <c r="A2947" s="233" t="inlineStr">
        <is>
          <t>13262XXX</t>
        </is>
      </c>
      <c r="B2947" s="110" t="inlineStr">
        <is>
          <t>TAVERNITI BERMUDA</t>
        </is>
      </c>
      <c r="C2947" s="88" t="n">
        <v>70300</v>
      </c>
      <c r="D2947" s="170" t="n"/>
      <c r="E2947" s="170" t="n"/>
      <c r="F2947" s="170" t="n"/>
      <c r="G2947" s="170" t="n"/>
      <c r="H2947" s="170" t="n"/>
      <c r="I2947" s="88">
        <f>ROUND((C2947*J2947)/100,0)*100</f>
        <v/>
      </c>
      <c r="J2947" s="118" t="n">
        <v>1.09</v>
      </c>
      <c r="K2947" s="170" t="n"/>
      <c r="L2947" s="170" t="n"/>
      <c r="M2947" s="30" t="n"/>
      <c r="N2947" s="30" t="n"/>
      <c r="O2947" s="30" t="n"/>
      <c r="P2947" s="170" t="n"/>
      <c r="Q2947" s="30" t="n"/>
      <c r="R2947" s="170" t="n"/>
      <c r="S2947" s="30" t="n"/>
      <c r="T2947" s="170" t="n"/>
      <c r="U2947" s="30" t="n"/>
      <c r="V2947" s="30" t="n"/>
      <c r="W2947" s="30" t="n"/>
      <c r="X2947" s="30" t="n"/>
      <c r="Y2947" s="30" t="n"/>
      <c r="Z2947" s="30" t="n"/>
      <c r="AA2947" s="30" t="n"/>
      <c r="AB2947" s="30" t="n"/>
      <c r="AC2947" s="30" t="n"/>
      <c r="AD2947" s="30" t="n"/>
      <c r="AE2947" s="30" t="n"/>
      <c r="AF2947" s="30" t="n"/>
      <c r="AG2947" s="30" t="n"/>
      <c r="AH2947" s="30" t="n"/>
      <c r="AI2947" s="30" t="n"/>
      <c r="AJ2947" s="30" t="n"/>
      <c r="AK2947" s="30" t="n"/>
      <c r="AL2947" s="30" t="n"/>
      <c r="AM2947" s="30" t="n"/>
      <c r="AN2947" s="30" t="n"/>
      <c r="AO2947" s="30" t="n"/>
    </row>
    <row r="2948" ht="15.75" customHeight="1" s="253">
      <c r="A2948" s="233" t="inlineStr">
        <is>
          <t>13272XXX</t>
        </is>
      </c>
      <c r="B2948" s="110" t="inlineStr">
        <is>
          <t>TAVERNITI BERMUDA</t>
        </is>
      </c>
      <c r="C2948" s="88" t="n">
        <v>84500</v>
      </c>
      <c r="D2948" s="170" t="n"/>
      <c r="E2948" s="170" t="n"/>
      <c r="F2948" s="170" t="n"/>
      <c r="G2948" s="170" t="n"/>
      <c r="H2948" s="170" t="n"/>
      <c r="I2948" s="88">
        <f>ROUND((C2948*J2948)/100,0)*100</f>
        <v/>
      </c>
      <c r="J2948" s="118" t="n">
        <v>1.09</v>
      </c>
      <c r="K2948" s="170" t="n"/>
      <c r="L2948" s="170" t="n"/>
      <c r="M2948" s="30" t="n"/>
      <c r="N2948" s="30" t="n"/>
      <c r="O2948" s="30" t="n"/>
      <c r="P2948" s="170" t="n"/>
      <c r="Q2948" s="30" t="n"/>
      <c r="R2948" s="170" t="n"/>
      <c r="S2948" s="30" t="n"/>
      <c r="T2948" s="170" t="n"/>
      <c r="U2948" s="30" t="n"/>
      <c r="V2948" s="30" t="n"/>
      <c r="W2948" s="30" t="n"/>
      <c r="X2948" s="30" t="n"/>
      <c r="Y2948" s="30" t="n"/>
      <c r="Z2948" s="30" t="n"/>
      <c r="AA2948" s="30" t="n"/>
      <c r="AB2948" s="30" t="n"/>
      <c r="AC2948" s="30" t="n"/>
      <c r="AD2948" s="30" t="n"/>
      <c r="AE2948" s="30" t="n"/>
      <c r="AF2948" s="30" t="n"/>
      <c r="AG2948" s="30" t="n"/>
      <c r="AH2948" s="30" t="n"/>
      <c r="AI2948" s="30" t="n"/>
      <c r="AJ2948" s="30" t="n"/>
      <c r="AK2948" s="30" t="n"/>
      <c r="AL2948" s="30" t="n"/>
      <c r="AM2948" s="30" t="n"/>
      <c r="AN2948" s="30" t="n"/>
      <c r="AO2948" s="30" t="n"/>
    </row>
    <row r="2949" ht="15.75" customHeight="1" s="253">
      <c r="A2949" s="233" t="inlineStr">
        <is>
          <t>13354XXX</t>
        </is>
      </c>
      <c r="B2949" s="110" t="inlineStr">
        <is>
          <t>TAVERNITI BERMUDA</t>
        </is>
      </c>
      <c r="C2949" s="88" t="n">
        <v>84500</v>
      </c>
      <c r="D2949" s="170" t="n"/>
      <c r="E2949" s="170" t="n"/>
      <c r="F2949" s="170" t="n"/>
      <c r="G2949" s="170" t="n"/>
      <c r="H2949" s="170" t="n"/>
      <c r="I2949" s="88">
        <f>ROUND((C2949*J2949)/100,0)*100</f>
        <v/>
      </c>
      <c r="J2949" s="118" t="n">
        <v>1.09</v>
      </c>
      <c r="K2949" s="170" t="n"/>
      <c r="L2949" s="170" t="n"/>
      <c r="M2949" s="30" t="n"/>
      <c r="N2949" s="30" t="n"/>
      <c r="O2949" s="30" t="n"/>
      <c r="P2949" s="170" t="n"/>
      <c r="Q2949" s="30" t="n"/>
      <c r="R2949" s="170" t="n"/>
      <c r="S2949" s="30" t="n"/>
      <c r="T2949" s="170" t="n"/>
      <c r="U2949" s="30" t="n"/>
      <c r="V2949" s="30" t="n"/>
      <c r="W2949" s="30" t="n"/>
      <c r="X2949" s="30" t="n"/>
      <c r="Y2949" s="30" t="n"/>
      <c r="Z2949" s="30" t="n"/>
      <c r="AA2949" s="30" t="n"/>
      <c r="AB2949" s="30" t="n"/>
      <c r="AC2949" s="30" t="n"/>
      <c r="AD2949" s="30" t="n"/>
      <c r="AE2949" s="30" t="n"/>
      <c r="AF2949" s="30" t="n"/>
      <c r="AG2949" s="30" t="n"/>
      <c r="AH2949" s="30" t="n"/>
      <c r="AI2949" s="30" t="n"/>
      <c r="AJ2949" s="30" t="n"/>
      <c r="AK2949" s="30" t="n"/>
      <c r="AL2949" s="30" t="n"/>
      <c r="AM2949" s="30" t="n"/>
      <c r="AN2949" s="30" t="n"/>
      <c r="AO2949" s="30" t="n"/>
    </row>
    <row r="2950" ht="15.75" customHeight="1" s="253">
      <c r="A2950" s="233" t="inlineStr">
        <is>
          <t>13360XXX</t>
        </is>
      </c>
      <c r="B2950" s="110" t="inlineStr">
        <is>
          <t>TAVERNITI BERMUDA</t>
        </is>
      </c>
      <c r="C2950" s="88" t="n">
        <v>88800</v>
      </c>
      <c r="D2950" s="170" t="n"/>
      <c r="E2950" s="170" t="n"/>
      <c r="F2950" s="170" t="n"/>
      <c r="G2950" s="170" t="n"/>
      <c r="H2950" s="170" t="n"/>
      <c r="I2950" s="88">
        <f>ROUND((C2950*J2950)/100,0)*100</f>
        <v/>
      </c>
      <c r="J2950" s="118" t="n">
        <v>1.09</v>
      </c>
      <c r="K2950" s="170" t="n"/>
      <c r="L2950" s="170" t="n"/>
      <c r="M2950" s="30" t="n"/>
      <c r="N2950" s="30" t="n"/>
      <c r="O2950" s="30" t="n"/>
      <c r="P2950" s="170" t="n"/>
      <c r="Q2950" s="30" t="n"/>
      <c r="R2950" s="170" t="n"/>
      <c r="S2950" s="30" t="n"/>
      <c r="T2950" s="170" t="n"/>
      <c r="U2950" s="30" t="n"/>
      <c r="V2950" s="30" t="n"/>
      <c r="W2950" s="30" t="n"/>
      <c r="X2950" s="30" t="n"/>
      <c r="Y2950" s="30" t="n"/>
      <c r="Z2950" s="30" t="n"/>
      <c r="AA2950" s="30" t="n"/>
      <c r="AB2950" s="30" t="n"/>
      <c r="AC2950" s="30" t="n"/>
      <c r="AD2950" s="30" t="n"/>
      <c r="AE2950" s="30" t="n"/>
      <c r="AF2950" s="30" t="n"/>
      <c r="AG2950" s="30" t="n"/>
      <c r="AH2950" s="30" t="n"/>
      <c r="AI2950" s="30" t="n"/>
      <c r="AJ2950" s="30" t="n"/>
      <c r="AK2950" s="30" t="n"/>
      <c r="AL2950" s="30" t="n"/>
      <c r="AM2950" s="30" t="n"/>
      <c r="AN2950" s="30" t="n"/>
      <c r="AO2950" s="30" t="n"/>
    </row>
    <row r="2951" ht="15.75" customHeight="1" s="253">
      <c r="A2951" s="233" t="inlineStr">
        <is>
          <t>13362XXX</t>
        </is>
      </c>
      <c r="B2951" s="110" t="inlineStr">
        <is>
          <t>TAVERNITI BERMUDA</t>
        </is>
      </c>
      <c r="C2951" s="88" t="n">
        <v>88800</v>
      </c>
      <c r="D2951" s="170" t="n"/>
      <c r="E2951" s="170" t="n"/>
      <c r="F2951" s="170" t="n"/>
      <c r="G2951" s="170" t="n"/>
      <c r="H2951" s="170" t="n"/>
      <c r="I2951" s="88">
        <f>ROUND((C2951*J2951)/100,0)*100</f>
        <v/>
      </c>
      <c r="J2951" s="118" t="n">
        <v>1.09</v>
      </c>
      <c r="K2951" s="170" t="n"/>
      <c r="L2951" s="170" t="n"/>
      <c r="M2951" s="30" t="n"/>
      <c r="N2951" s="30" t="n"/>
      <c r="O2951" s="30" t="n"/>
      <c r="P2951" s="170" t="n"/>
      <c r="Q2951" s="30" t="n"/>
      <c r="R2951" s="170" t="n"/>
      <c r="S2951" s="30" t="n"/>
      <c r="T2951" s="170" t="n"/>
      <c r="U2951" s="30" t="n"/>
      <c r="V2951" s="30" t="n"/>
      <c r="W2951" s="30" t="n"/>
      <c r="X2951" s="30" t="n"/>
      <c r="Y2951" s="30" t="n"/>
      <c r="Z2951" s="30" t="n"/>
      <c r="AA2951" s="30" t="n"/>
      <c r="AB2951" s="30" t="n"/>
      <c r="AC2951" s="30" t="n"/>
      <c r="AD2951" s="30" t="n"/>
      <c r="AE2951" s="30" t="n"/>
      <c r="AF2951" s="30" t="n"/>
      <c r="AG2951" s="30" t="n"/>
      <c r="AH2951" s="30" t="n"/>
      <c r="AI2951" s="30" t="n"/>
      <c r="AJ2951" s="30" t="n"/>
      <c r="AK2951" s="30" t="n"/>
      <c r="AL2951" s="30" t="n"/>
      <c r="AM2951" s="30" t="n"/>
      <c r="AN2951" s="30" t="n"/>
      <c r="AO2951" s="30" t="n"/>
    </row>
    <row r="2952" ht="15.75" customHeight="1" s="253">
      <c r="A2952" s="233" t="inlineStr">
        <is>
          <t>13368XXX</t>
        </is>
      </c>
      <c r="B2952" s="110" t="inlineStr">
        <is>
          <t>TAVERNITI BERMUDA</t>
        </is>
      </c>
      <c r="C2952" s="88" t="n">
        <v>70300</v>
      </c>
      <c r="D2952" s="170" t="n"/>
      <c r="E2952" s="170" t="n"/>
      <c r="F2952" s="170" t="n"/>
      <c r="G2952" s="170" t="n"/>
      <c r="H2952" s="170" t="n"/>
      <c r="I2952" s="88">
        <f>ROUND((C2952*J2952)/100,0)*100</f>
        <v/>
      </c>
      <c r="J2952" s="118" t="n">
        <v>1.09</v>
      </c>
      <c r="K2952" s="170" t="n"/>
      <c r="L2952" s="170" t="n"/>
      <c r="M2952" s="30" t="n"/>
      <c r="N2952" s="30" t="n"/>
      <c r="O2952" s="30" t="n"/>
      <c r="P2952" s="170" t="n"/>
      <c r="Q2952" s="30" t="n"/>
      <c r="R2952" s="170" t="n"/>
      <c r="S2952" s="30" t="n"/>
      <c r="T2952" s="170" t="n"/>
      <c r="U2952" s="30" t="n"/>
      <c r="V2952" s="30" t="n"/>
      <c r="W2952" s="30" t="n"/>
      <c r="X2952" s="30" t="n"/>
      <c r="Y2952" s="30" t="n"/>
      <c r="Z2952" s="30" t="n"/>
      <c r="AA2952" s="30" t="n"/>
      <c r="AB2952" s="30" t="n"/>
      <c r="AC2952" s="30" t="n"/>
      <c r="AD2952" s="30" t="n"/>
      <c r="AE2952" s="30" t="n"/>
      <c r="AF2952" s="30" t="n"/>
      <c r="AG2952" s="30" t="n"/>
      <c r="AH2952" s="30" t="n"/>
      <c r="AI2952" s="30" t="n"/>
      <c r="AJ2952" s="30" t="n"/>
      <c r="AK2952" s="30" t="n"/>
      <c r="AL2952" s="30" t="n"/>
      <c r="AM2952" s="30" t="n"/>
      <c r="AN2952" s="30" t="n"/>
      <c r="AO2952" s="30" t="n"/>
    </row>
    <row r="2953" ht="15.75" customHeight="1" s="253">
      <c r="A2953" s="233" t="inlineStr">
        <is>
          <t>13376XXX</t>
        </is>
      </c>
      <c r="B2953" s="110" t="inlineStr">
        <is>
          <t>TAVERNITI BERMUDA</t>
        </is>
      </c>
      <c r="C2953" s="88" t="n">
        <v>85600</v>
      </c>
      <c r="D2953" s="170" t="n"/>
      <c r="E2953" s="170" t="n"/>
      <c r="F2953" s="170" t="n"/>
      <c r="G2953" s="170" t="n"/>
      <c r="H2953" s="170" t="n"/>
      <c r="I2953" s="88">
        <f>ROUND((C2953*J2953)/100,0)*100</f>
        <v/>
      </c>
      <c r="J2953" s="118" t="n">
        <v>1.09</v>
      </c>
      <c r="K2953" s="170" t="n"/>
      <c r="L2953" s="170" t="n"/>
      <c r="M2953" s="30" t="n"/>
      <c r="N2953" s="30" t="n"/>
      <c r="O2953" s="30" t="n"/>
      <c r="P2953" s="170" t="n"/>
      <c r="Q2953" s="30" t="n"/>
      <c r="R2953" s="170" t="n"/>
      <c r="S2953" s="30" t="n"/>
      <c r="T2953" s="170" t="n"/>
      <c r="U2953" s="30" t="n"/>
      <c r="V2953" s="30" t="n"/>
      <c r="W2953" s="30" t="n"/>
      <c r="X2953" s="30" t="n"/>
      <c r="Y2953" s="30" t="n"/>
      <c r="Z2953" s="30" t="n"/>
      <c r="AA2953" s="30" t="n"/>
      <c r="AB2953" s="30" t="n"/>
      <c r="AC2953" s="30" t="n"/>
      <c r="AD2953" s="30" t="n"/>
      <c r="AE2953" s="30" t="n"/>
      <c r="AF2953" s="30" t="n"/>
      <c r="AG2953" s="30" t="n"/>
      <c r="AH2953" s="30" t="n"/>
      <c r="AI2953" s="30" t="n"/>
      <c r="AJ2953" s="30" t="n"/>
      <c r="AK2953" s="30" t="n"/>
      <c r="AL2953" s="30" t="n"/>
      <c r="AM2953" s="30" t="n"/>
      <c r="AN2953" s="30" t="n"/>
      <c r="AO2953" s="30" t="n"/>
    </row>
    <row r="2954" ht="15.75" customHeight="1" s="253">
      <c r="A2954" s="233" t="inlineStr">
        <is>
          <t>13388XXX</t>
        </is>
      </c>
      <c r="B2954" s="110" t="inlineStr">
        <is>
          <t>TAVERNITI BERMUDA</t>
        </is>
      </c>
      <c r="C2954" s="88" t="n">
        <v>70700</v>
      </c>
      <c r="D2954" s="170" t="n"/>
      <c r="E2954" s="170" t="n"/>
      <c r="F2954" s="170" t="n"/>
      <c r="G2954" s="170" t="n"/>
      <c r="H2954" s="170" t="n"/>
      <c r="I2954" s="88">
        <f>ROUND((C2954*J2954)/100,0)*100</f>
        <v/>
      </c>
      <c r="J2954" s="118" t="n">
        <v>1.09</v>
      </c>
      <c r="K2954" s="170" t="n"/>
      <c r="L2954" s="170" t="n"/>
      <c r="M2954" s="30" t="n"/>
      <c r="N2954" s="30" t="n"/>
      <c r="O2954" s="30" t="n"/>
      <c r="P2954" s="170" t="n"/>
      <c r="Q2954" s="30" t="n"/>
      <c r="R2954" s="170" t="n"/>
      <c r="S2954" s="30" t="n"/>
      <c r="T2954" s="170" t="n"/>
      <c r="U2954" s="30" t="n"/>
      <c r="V2954" s="30" t="n"/>
      <c r="W2954" s="30" t="n"/>
      <c r="X2954" s="30" t="n"/>
      <c r="Y2954" s="30" t="n"/>
      <c r="Z2954" s="30" t="n"/>
      <c r="AA2954" s="30" t="n"/>
      <c r="AB2954" s="30" t="n"/>
      <c r="AC2954" s="30" t="n"/>
      <c r="AD2954" s="30" t="n"/>
      <c r="AE2954" s="30" t="n"/>
      <c r="AF2954" s="30" t="n"/>
      <c r="AG2954" s="30" t="n"/>
      <c r="AH2954" s="30" t="n"/>
      <c r="AI2954" s="30" t="n"/>
      <c r="AJ2954" s="30" t="n"/>
      <c r="AK2954" s="30" t="n"/>
      <c r="AL2954" s="30" t="n"/>
      <c r="AM2954" s="30" t="n"/>
      <c r="AN2954" s="30" t="n"/>
      <c r="AO2954" s="30" t="n"/>
    </row>
    <row r="2955" ht="15.75" customHeight="1" s="253">
      <c r="A2955" s="233" t="inlineStr">
        <is>
          <t>13404XXX</t>
        </is>
      </c>
      <c r="B2955" s="110" t="inlineStr">
        <is>
          <t>TAVERNITI BERMUDA</t>
        </is>
      </c>
      <c r="C2955" s="88" t="n">
        <v>74900</v>
      </c>
      <c r="D2955" s="170" t="n"/>
      <c r="E2955" s="170" t="n"/>
      <c r="F2955" s="170" t="n"/>
      <c r="G2955" s="170" t="n"/>
      <c r="H2955" s="170" t="n"/>
      <c r="I2955" s="88">
        <f>ROUND((C2955*J2955)/100,0)*100</f>
        <v/>
      </c>
      <c r="J2955" s="118" t="n">
        <v>1.09</v>
      </c>
      <c r="K2955" s="170" t="n"/>
      <c r="L2955" s="170" t="n"/>
      <c r="M2955" s="30" t="n"/>
      <c r="N2955" s="30" t="n"/>
      <c r="O2955" s="30" t="n"/>
      <c r="P2955" s="170" t="n"/>
      <c r="Q2955" s="30" t="n"/>
      <c r="R2955" s="170" t="n"/>
      <c r="S2955" s="30" t="n"/>
      <c r="T2955" s="170" t="n"/>
      <c r="U2955" s="30" t="n"/>
      <c r="V2955" s="30" t="n"/>
      <c r="W2955" s="30" t="n"/>
      <c r="X2955" s="30" t="n"/>
      <c r="Y2955" s="30" t="n"/>
      <c r="Z2955" s="30" t="n"/>
      <c r="AA2955" s="30" t="n"/>
      <c r="AB2955" s="30" t="n"/>
      <c r="AC2955" s="30" t="n"/>
      <c r="AD2955" s="30" t="n"/>
      <c r="AE2955" s="30" t="n"/>
      <c r="AF2955" s="30" t="n"/>
      <c r="AG2955" s="30" t="n"/>
      <c r="AH2955" s="30" t="n"/>
      <c r="AI2955" s="30" t="n"/>
      <c r="AJ2955" s="30" t="n"/>
      <c r="AK2955" s="30" t="n"/>
      <c r="AL2955" s="30" t="n"/>
      <c r="AM2955" s="30" t="n"/>
      <c r="AN2955" s="30" t="n"/>
      <c r="AO2955" s="30" t="n"/>
    </row>
    <row r="2956" ht="15.75" customHeight="1" s="253">
      <c r="A2956" s="233" t="inlineStr">
        <is>
          <t>13628XXX</t>
        </is>
      </c>
      <c r="B2956" s="110" t="inlineStr">
        <is>
          <t>TAVERNITI BERMUDA</t>
        </is>
      </c>
      <c r="C2956" s="88" t="n">
        <v>89000</v>
      </c>
      <c r="D2956" s="170" t="n"/>
      <c r="E2956" s="170" t="n"/>
      <c r="F2956" s="170" t="n"/>
      <c r="G2956" s="170" t="n"/>
      <c r="H2956" s="170" t="n"/>
      <c r="I2956" s="88">
        <f>ROUND((C2956*J2956)/100,0)*100</f>
        <v/>
      </c>
      <c r="J2956" s="118" t="n">
        <v>1.09</v>
      </c>
      <c r="K2956" s="170" t="n"/>
      <c r="L2956" s="170" t="n"/>
      <c r="M2956" s="30" t="n"/>
      <c r="N2956" s="30" t="n"/>
      <c r="O2956" s="30" t="n"/>
      <c r="P2956" s="170" t="n"/>
      <c r="Q2956" s="30" t="n"/>
      <c r="R2956" s="170" t="n"/>
      <c r="S2956" s="30" t="n"/>
      <c r="T2956" s="170" t="n"/>
      <c r="U2956" s="30" t="n"/>
      <c r="V2956" s="30" t="n"/>
      <c r="W2956" s="30" t="n"/>
      <c r="X2956" s="30" t="n"/>
      <c r="Y2956" s="30" t="n"/>
      <c r="Z2956" s="30" t="n"/>
      <c r="AA2956" s="30" t="n"/>
      <c r="AB2956" s="30" t="n"/>
      <c r="AC2956" s="30" t="n"/>
      <c r="AD2956" s="30" t="n"/>
      <c r="AE2956" s="30" t="n"/>
      <c r="AF2956" s="30" t="n"/>
      <c r="AG2956" s="30" t="n"/>
      <c r="AH2956" s="30" t="n"/>
      <c r="AI2956" s="30" t="n"/>
      <c r="AJ2956" s="30" t="n"/>
      <c r="AK2956" s="30" t="n"/>
      <c r="AL2956" s="30" t="n"/>
      <c r="AM2956" s="30" t="n"/>
      <c r="AN2956" s="30" t="n"/>
      <c r="AO2956" s="30" t="n"/>
    </row>
    <row r="2957" ht="15.75" customHeight="1" s="253">
      <c r="A2957" s="233" t="inlineStr">
        <is>
          <t>13632XXX</t>
        </is>
      </c>
      <c r="B2957" s="110" t="inlineStr">
        <is>
          <t>TAVERNITI BERMUDA</t>
        </is>
      </c>
      <c r="C2957" s="88" t="n">
        <v>89900</v>
      </c>
      <c r="D2957" s="170" t="n"/>
      <c r="E2957" s="170" t="n"/>
      <c r="F2957" s="170" t="n"/>
      <c r="G2957" s="170" t="n"/>
      <c r="H2957" s="170" t="n"/>
      <c r="I2957" s="88">
        <f>ROUND((C2957*J2957)/100,0)*100</f>
        <v/>
      </c>
      <c r="J2957" s="118" t="n">
        <v>1.09</v>
      </c>
      <c r="K2957" s="170" t="n"/>
      <c r="L2957" s="170" t="n"/>
      <c r="M2957" s="30" t="n"/>
      <c r="N2957" s="30" t="n"/>
      <c r="O2957" s="30" t="n"/>
      <c r="P2957" s="170" t="n"/>
      <c r="Q2957" s="30" t="n"/>
      <c r="R2957" s="170" t="n"/>
      <c r="S2957" s="30" t="n"/>
      <c r="T2957" s="170" t="n"/>
      <c r="U2957" s="30" t="n"/>
      <c r="V2957" s="30" t="n"/>
      <c r="W2957" s="30" t="n"/>
      <c r="X2957" s="30" t="n"/>
      <c r="Y2957" s="30" t="n"/>
      <c r="Z2957" s="30" t="n"/>
      <c r="AA2957" s="30" t="n"/>
      <c r="AB2957" s="30" t="n"/>
      <c r="AC2957" s="30" t="n"/>
      <c r="AD2957" s="30" t="n"/>
      <c r="AE2957" s="30" t="n"/>
      <c r="AF2957" s="30" t="n"/>
      <c r="AG2957" s="30" t="n"/>
      <c r="AH2957" s="30" t="n"/>
      <c r="AI2957" s="30" t="n"/>
      <c r="AJ2957" s="30" t="n"/>
      <c r="AK2957" s="30" t="n"/>
      <c r="AL2957" s="30" t="n"/>
      <c r="AM2957" s="30" t="n"/>
      <c r="AN2957" s="30" t="n"/>
      <c r="AO2957" s="30" t="n"/>
    </row>
    <row r="2958" ht="15.75" customHeight="1" s="253">
      <c r="A2958" s="233" t="inlineStr">
        <is>
          <t>13816XXX</t>
        </is>
      </c>
      <c r="B2958" s="216" t="inlineStr">
        <is>
          <t>TAVERNITI BERMUDA</t>
        </is>
      </c>
      <c r="C2958" s="88" t="n">
        <v>75900</v>
      </c>
      <c r="D2958" s="170" t="n"/>
      <c r="E2958" s="170" t="n"/>
      <c r="F2958" s="170" t="n"/>
      <c r="G2958" s="170" t="n"/>
      <c r="H2958" s="170" t="n"/>
      <c r="I2958" s="88">
        <f>ROUND((C2958*J2958)/100,0)*100</f>
        <v/>
      </c>
      <c r="J2958" s="96" t="n">
        <v>1.09</v>
      </c>
      <c r="K2958" s="170" t="n"/>
      <c r="L2958" s="170" t="n"/>
      <c r="M2958" s="30" t="n"/>
      <c r="N2958" s="30" t="n"/>
      <c r="O2958" s="30" t="n"/>
      <c r="P2958" s="170" t="n"/>
      <c r="Q2958" s="30" t="n"/>
      <c r="R2958" s="170" t="n"/>
      <c r="S2958" s="30" t="n"/>
      <c r="T2958" s="170" t="n"/>
      <c r="U2958" s="30" t="n"/>
      <c r="V2958" s="30" t="n"/>
      <c r="W2958" s="30" t="n"/>
      <c r="X2958" s="30" t="n"/>
      <c r="Y2958" s="30" t="n"/>
      <c r="Z2958" s="30" t="n"/>
      <c r="AA2958" s="30" t="n"/>
      <c r="AB2958" s="30" t="n"/>
      <c r="AC2958" s="30" t="n"/>
      <c r="AD2958" s="30" t="n"/>
      <c r="AE2958" s="30" t="n"/>
      <c r="AF2958" s="30" t="n"/>
      <c r="AG2958" s="30" t="n"/>
      <c r="AH2958" s="30" t="n"/>
      <c r="AI2958" s="30" t="n"/>
      <c r="AJ2958" s="30" t="n"/>
      <c r="AK2958" s="30" t="n"/>
      <c r="AL2958" s="30" t="n"/>
      <c r="AM2958" s="30" t="n"/>
      <c r="AN2958" s="30" t="n"/>
      <c r="AO2958" s="30" t="n"/>
    </row>
    <row r="2959" ht="15.75" customHeight="1" s="253">
      <c r="A2959" s="233" t="inlineStr">
        <is>
          <t>13824XXX</t>
        </is>
      </c>
      <c r="B2959" s="110" t="inlineStr">
        <is>
          <t>TAVERNITI BERMUDA</t>
        </is>
      </c>
      <c r="C2959" s="88" t="n">
        <v>74500</v>
      </c>
      <c r="D2959" s="170" t="n"/>
      <c r="E2959" s="170" t="n"/>
      <c r="F2959" s="170" t="n"/>
      <c r="G2959" s="170" t="n"/>
      <c r="H2959" s="170" t="n"/>
      <c r="I2959" s="88">
        <f>ROUND((C2959*J2959)/100,0)*100</f>
        <v/>
      </c>
      <c r="J2959" s="118" t="n">
        <v>1.09</v>
      </c>
      <c r="K2959" s="170" t="n"/>
      <c r="L2959" s="170" t="n"/>
      <c r="M2959" s="30" t="n"/>
      <c r="N2959" s="30" t="n"/>
      <c r="O2959" s="30" t="n"/>
      <c r="P2959" s="170" t="n"/>
      <c r="Q2959" s="30" t="n"/>
      <c r="R2959" s="170" t="n"/>
      <c r="S2959" s="30" t="n"/>
      <c r="T2959" s="170" t="n"/>
      <c r="U2959" s="30" t="n"/>
      <c r="V2959" s="30" t="n"/>
      <c r="W2959" s="30" t="n"/>
      <c r="X2959" s="30" t="n"/>
      <c r="Y2959" s="30" t="n"/>
      <c r="Z2959" s="30" t="n"/>
      <c r="AA2959" s="30" t="n"/>
      <c r="AB2959" s="30" t="n"/>
      <c r="AC2959" s="30" t="n"/>
      <c r="AD2959" s="30" t="n"/>
      <c r="AE2959" s="30" t="n"/>
      <c r="AF2959" s="30" t="n"/>
      <c r="AG2959" s="30" t="n"/>
      <c r="AH2959" s="30" t="n"/>
      <c r="AI2959" s="30" t="n"/>
      <c r="AJ2959" s="30" t="n"/>
      <c r="AK2959" s="30" t="n"/>
      <c r="AL2959" s="30" t="n"/>
      <c r="AM2959" s="30" t="n"/>
      <c r="AN2959" s="30" t="n"/>
      <c r="AO2959" s="30" t="n"/>
    </row>
    <row r="2960" ht="15.75" customHeight="1" s="253">
      <c r="A2960" s="233" t="inlineStr">
        <is>
          <t>13840XXX</t>
        </is>
      </c>
      <c r="B2960" s="216" t="inlineStr">
        <is>
          <t>TAVERNITI BERMUDA</t>
        </is>
      </c>
      <c r="C2960" s="88" t="n">
        <v>75900</v>
      </c>
      <c r="D2960" s="170" t="n"/>
      <c r="E2960" s="170" t="n"/>
      <c r="F2960" s="170" t="n"/>
      <c r="G2960" s="170" t="n"/>
      <c r="H2960" s="170" t="n"/>
      <c r="I2960" s="88">
        <f>ROUND((C2960*J2960)/100,0)*100</f>
        <v/>
      </c>
      <c r="J2960" s="96" t="n">
        <v>1.09</v>
      </c>
      <c r="K2960" s="170" t="n"/>
      <c r="L2960" s="170" t="n"/>
      <c r="M2960" s="30" t="n"/>
      <c r="N2960" s="30" t="n"/>
      <c r="O2960" s="30" t="n"/>
      <c r="P2960" s="170" t="n"/>
      <c r="Q2960" s="30" t="n"/>
      <c r="R2960" s="170" t="n"/>
      <c r="S2960" s="30" t="n"/>
      <c r="T2960" s="170" t="n"/>
      <c r="U2960" s="30" t="n"/>
      <c r="V2960" s="30" t="n"/>
      <c r="W2960" s="30" t="n"/>
      <c r="X2960" s="30" t="n"/>
      <c r="Y2960" s="30" t="n"/>
      <c r="Z2960" s="30" t="n"/>
      <c r="AA2960" s="30" t="n"/>
      <c r="AB2960" s="30" t="n"/>
      <c r="AC2960" s="30" t="n"/>
      <c r="AD2960" s="30" t="n"/>
      <c r="AE2960" s="30" t="n"/>
      <c r="AF2960" s="30" t="n"/>
      <c r="AG2960" s="30" t="n"/>
      <c r="AH2960" s="30" t="n"/>
      <c r="AI2960" s="30" t="n"/>
      <c r="AJ2960" s="30" t="n"/>
      <c r="AK2960" s="30" t="n"/>
      <c r="AL2960" s="30" t="n"/>
      <c r="AM2960" s="30" t="n"/>
      <c r="AN2960" s="30" t="n"/>
      <c r="AO2960" s="30" t="n"/>
    </row>
    <row r="2961" ht="15.75" customHeight="1" s="253">
      <c r="A2961" s="233" t="inlineStr">
        <is>
          <t>13888XXX</t>
        </is>
      </c>
      <c r="B2961" s="110" t="inlineStr">
        <is>
          <t>TAVERNITI BERMUDA</t>
        </is>
      </c>
      <c r="C2961" s="88" t="n">
        <v>69000</v>
      </c>
      <c r="D2961" s="170" t="n"/>
      <c r="E2961" s="170" t="n"/>
      <c r="F2961" s="170" t="n"/>
      <c r="G2961" s="170" t="n"/>
      <c r="H2961" s="170" t="n"/>
      <c r="I2961" s="88">
        <f>ROUND((C2961*J2961)/100,0)*100</f>
        <v/>
      </c>
      <c r="J2961" s="118" t="n">
        <v>1.09</v>
      </c>
      <c r="K2961" s="170" t="n"/>
      <c r="L2961" s="170" t="n"/>
      <c r="M2961" s="30" t="n"/>
      <c r="N2961" s="30" t="n"/>
      <c r="O2961" s="30" t="n"/>
      <c r="P2961" s="170" t="n"/>
      <c r="Q2961" s="30" t="n"/>
      <c r="R2961" s="170" t="n"/>
      <c r="S2961" s="30" t="n"/>
      <c r="T2961" s="170" t="n"/>
      <c r="U2961" s="30" t="n"/>
      <c r="V2961" s="30" t="n"/>
      <c r="W2961" s="30" t="n"/>
      <c r="X2961" s="30" t="n"/>
      <c r="Y2961" s="30" t="n"/>
      <c r="Z2961" s="30" t="n"/>
      <c r="AA2961" s="30" t="n"/>
      <c r="AB2961" s="30" t="n"/>
      <c r="AC2961" s="30" t="n"/>
      <c r="AD2961" s="30" t="n"/>
      <c r="AE2961" s="30" t="n"/>
      <c r="AF2961" s="30" t="n"/>
      <c r="AG2961" s="30" t="n"/>
      <c r="AH2961" s="30" t="n"/>
      <c r="AI2961" s="30" t="n"/>
      <c r="AJ2961" s="30" t="n"/>
      <c r="AK2961" s="30" t="n"/>
      <c r="AL2961" s="30" t="n"/>
      <c r="AM2961" s="30" t="n"/>
      <c r="AN2961" s="30" t="n"/>
      <c r="AO2961" s="30" t="n"/>
    </row>
    <row r="2962" ht="15.75" customHeight="1" s="253">
      <c r="A2962" s="233" t="inlineStr">
        <is>
          <t>15126XXX</t>
        </is>
      </c>
      <c r="B2962" s="110" t="inlineStr">
        <is>
          <t>TAVERNITI BERMUDA</t>
        </is>
      </c>
      <c r="C2962" s="88" t="n">
        <v>64200</v>
      </c>
      <c r="D2962" s="170" t="n"/>
      <c r="E2962" s="170" t="n"/>
      <c r="F2962" s="170" t="n"/>
      <c r="G2962" s="170" t="n"/>
      <c r="H2962" s="170" t="n"/>
      <c r="I2962" s="219">
        <f>ROUND((C2962*J2962)/100,0)*100</f>
        <v/>
      </c>
      <c r="J2962" s="118" t="n">
        <v>1.09</v>
      </c>
      <c r="K2962" s="170" t="n"/>
      <c r="L2962" s="170" t="n"/>
      <c r="M2962" s="18" t="n"/>
      <c r="N2962" s="18" t="n"/>
      <c r="O2962" s="18" t="n"/>
      <c r="P2962" s="43" t="n"/>
      <c r="Q2962" s="30" t="n"/>
      <c r="R2962" s="170" t="n"/>
      <c r="S2962" s="30" t="n"/>
      <c r="T2962" s="170" t="n"/>
      <c r="U2962" s="30" t="n"/>
      <c r="V2962" s="30" t="n"/>
      <c r="W2962" s="30" t="n"/>
      <c r="X2962" s="30" t="n"/>
      <c r="Y2962" s="30" t="n"/>
      <c r="Z2962" s="30" t="n"/>
      <c r="AA2962" s="30" t="n"/>
      <c r="AB2962" s="30" t="n"/>
      <c r="AC2962" s="30" t="n"/>
      <c r="AD2962" s="30" t="n"/>
      <c r="AE2962" s="30" t="n"/>
      <c r="AF2962" s="30" t="n"/>
      <c r="AG2962" s="30" t="n"/>
      <c r="AH2962" s="30" t="n"/>
      <c r="AI2962" s="30" t="n"/>
      <c r="AJ2962" s="30" t="n"/>
      <c r="AK2962" s="30" t="n"/>
      <c r="AL2962" s="30" t="n"/>
      <c r="AM2962" s="30" t="n"/>
      <c r="AN2962" s="30" t="n"/>
    </row>
    <row r="2963" ht="15.75" customHeight="1" s="253">
      <c r="A2963" s="233" t="inlineStr">
        <is>
          <t>15354XXX</t>
        </is>
      </c>
      <c r="B2963" s="110" t="inlineStr">
        <is>
          <t>TAVERNITI BERMUDA</t>
        </is>
      </c>
      <c r="C2963" s="88" t="n">
        <v>84500</v>
      </c>
      <c r="D2963" s="170" t="n"/>
      <c r="E2963" s="170" t="n"/>
      <c r="F2963" s="170" t="n"/>
      <c r="G2963" s="170" t="n"/>
      <c r="H2963" s="170" t="n"/>
      <c r="I2963" s="88">
        <f>ROUND((C2963*J2963)/100,0)*100</f>
        <v/>
      </c>
      <c r="J2963" s="118" t="n">
        <v>1.09</v>
      </c>
      <c r="K2963" s="170" t="n"/>
      <c r="L2963" s="170" t="n"/>
      <c r="M2963" s="30" t="n"/>
      <c r="N2963" s="30" t="n"/>
      <c r="O2963" s="30" t="n"/>
      <c r="P2963" s="170" t="n"/>
      <c r="Q2963" s="30" t="n"/>
      <c r="R2963" s="170" t="n"/>
      <c r="S2963" s="30" t="n"/>
      <c r="T2963" s="170" t="n"/>
      <c r="U2963" s="30" t="n"/>
      <c r="V2963" s="30" t="n"/>
      <c r="W2963" s="30" t="n"/>
      <c r="X2963" s="30" t="n"/>
      <c r="Y2963" s="30" t="n"/>
      <c r="Z2963" s="30" t="n"/>
      <c r="AA2963" s="30" t="n"/>
      <c r="AB2963" s="30" t="n"/>
      <c r="AC2963" s="30" t="n"/>
      <c r="AD2963" s="30" t="n"/>
      <c r="AE2963" s="30" t="n"/>
      <c r="AF2963" s="30" t="n"/>
      <c r="AG2963" s="30" t="n"/>
      <c r="AH2963" s="30" t="n"/>
      <c r="AI2963" s="30" t="n"/>
      <c r="AJ2963" s="30" t="n"/>
      <c r="AK2963" s="30" t="n"/>
      <c r="AL2963" s="30" t="n"/>
      <c r="AM2963" s="30" t="n"/>
      <c r="AN2963" s="30" t="n"/>
      <c r="AO2963" s="30" t="n"/>
    </row>
    <row r="2964" ht="15.75" customHeight="1" s="253">
      <c r="A2964" s="233" t="inlineStr">
        <is>
          <t>15360XXX</t>
        </is>
      </c>
      <c r="B2964" s="110" t="inlineStr">
        <is>
          <t>TAVERNITI BERMUDA</t>
        </is>
      </c>
      <c r="C2964" s="88" t="n">
        <v>88800</v>
      </c>
      <c r="D2964" s="170" t="n"/>
      <c r="E2964" s="170" t="n"/>
      <c r="F2964" s="170" t="n"/>
      <c r="G2964" s="170" t="n"/>
      <c r="H2964" s="170" t="n"/>
      <c r="I2964" s="88">
        <f>ROUND((C2964*J2964)/100,0)*100</f>
        <v/>
      </c>
      <c r="J2964" s="118" t="n">
        <v>1.09</v>
      </c>
      <c r="K2964" s="170" t="n"/>
      <c r="L2964" s="170" t="n"/>
      <c r="M2964" s="30" t="n"/>
      <c r="N2964" s="30" t="n"/>
      <c r="O2964" s="30" t="n"/>
      <c r="P2964" s="170" t="n"/>
      <c r="Q2964" s="30" t="n"/>
      <c r="R2964" s="170" t="n"/>
      <c r="S2964" s="30" t="n"/>
      <c r="T2964" s="170" t="n"/>
      <c r="U2964" s="30" t="n"/>
      <c r="V2964" s="30" t="n"/>
      <c r="W2964" s="30" t="n"/>
      <c r="X2964" s="30" t="n"/>
      <c r="Y2964" s="30" t="n"/>
      <c r="Z2964" s="30" t="n"/>
      <c r="AA2964" s="30" t="n"/>
      <c r="AB2964" s="30" t="n"/>
      <c r="AC2964" s="30" t="n"/>
      <c r="AD2964" s="30" t="n"/>
      <c r="AE2964" s="30" t="n"/>
      <c r="AF2964" s="30" t="n"/>
      <c r="AG2964" s="30" t="n"/>
      <c r="AH2964" s="30" t="n"/>
      <c r="AI2964" s="30" t="n"/>
      <c r="AJ2964" s="30" t="n"/>
      <c r="AK2964" s="30" t="n"/>
      <c r="AL2964" s="30" t="n"/>
      <c r="AM2964" s="30" t="n"/>
      <c r="AN2964" s="30" t="n"/>
      <c r="AO2964" s="30" t="n"/>
    </row>
    <row r="2965" ht="15.75" customHeight="1" s="253">
      <c r="A2965" s="233" t="inlineStr">
        <is>
          <t>15436XXX</t>
        </is>
      </c>
      <c r="B2965" s="110" t="inlineStr">
        <is>
          <t>TAVERNITI BERMUDA</t>
        </is>
      </c>
      <c r="C2965" s="88" t="n">
        <v>81600</v>
      </c>
      <c r="D2965" s="170" t="n"/>
      <c r="E2965" s="170" t="n"/>
      <c r="F2965" s="170" t="n"/>
      <c r="G2965" s="170" t="n"/>
      <c r="H2965" s="170" t="n"/>
      <c r="I2965" s="88">
        <f>ROUND((C2965*J2965)/100,0)*100</f>
        <v/>
      </c>
      <c r="J2965" s="118" t="n">
        <v>1.09</v>
      </c>
      <c r="K2965" s="170" t="n"/>
      <c r="L2965" s="170" t="n"/>
      <c r="M2965" s="30" t="n"/>
      <c r="N2965" s="30" t="n"/>
      <c r="O2965" s="30" t="n"/>
      <c r="P2965" s="170" t="n"/>
      <c r="Q2965" s="30" t="n"/>
      <c r="R2965" s="170" t="n"/>
      <c r="S2965" s="30" t="n"/>
      <c r="T2965" s="170" t="n"/>
      <c r="U2965" s="30" t="n"/>
      <c r="V2965" s="30" t="n"/>
      <c r="W2965" s="30" t="n"/>
      <c r="X2965" s="30" t="n"/>
      <c r="Y2965" s="30" t="n"/>
      <c r="Z2965" s="30" t="n"/>
      <c r="AA2965" s="30" t="n"/>
      <c r="AB2965" s="30" t="n"/>
      <c r="AC2965" s="30" t="n"/>
      <c r="AD2965" s="30" t="n"/>
      <c r="AE2965" s="30" t="n"/>
      <c r="AF2965" s="30" t="n"/>
      <c r="AG2965" s="30" t="n"/>
      <c r="AH2965" s="30" t="n"/>
      <c r="AI2965" s="30" t="n"/>
      <c r="AJ2965" s="30" t="n"/>
      <c r="AK2965" s="30" t="n"/>
      <c r="AL2965" s="30" t="n"/>
      <c r="AM2965" s="30" t="n"/>
      <c r="AN2965" s="30" t="n"/>
      <c r="AO2965" s="30" t="n"/>
    </row>
    <row r="2966" ht="15.75" customHeight="1" s="253">
      <c r="A2966" s="233" t="inlineStr">
        <is>
          <t>15452XXX</t>
        </is>
      </c>
      <c r="B2966" s="110" t="inlineStr">
        <is>
          <t>TAVERNITI BERMUDA</t>
        </is>
      </c>
      <c r="C2966" s="88" t="n">
        <v>81600</v>
      </c>
      <c r="D2966" s="170" t="n"/>
      <c r="E2966" s="170" t="n"/>
      <c r="F2966" s="170" t="n"/>
      <c r="G2966" s="170" t="n"/>
      <c r="H2966" s="170" t="n"/>
      <c r="I2966" s="88">
        <f>ROUND((C2966*J2966)/100,0)*100</f>
        <v/>
      </c>
      <c r="J2966" s="118" t="n">
        <v>1.09</v>
      </c>
      <c r="K2966" s="170" t="n"/>
      <c r="L2966" s="170" t="n"/>
      <c r="M2966" s="30" t="n"/>
      <c r="N2966" s="30" t="n"/>
      <c r="O2966" s="30" t="n"/>
      <c r="P2966" s="170" t="n"/>
      <c r="Q2966" s="30" t="n"/>
      <c r="R2966" s="170" t="n"/>
      <c r="S2966" s="30" t="n"/>
      <c r="T2966" s="170" t="n"/>
      <c r="U2966" s="30" t="n"/>
      <c r="V2966" s="30" t="n"/>
      <c r="W2966" s="30" t="n"/>
      <c r="X2966" s="30" t="n"/>
      <c r="Y2966" s="30" t="n"/>
      <c r="Z2966" s="30" t="n"/>
      <c r="AA2966" s="30" t="n"/>
      <c r="AB2966" s="30" t="n"/>
      <c r="AC2966" s="30" t="n"/>
      <c r="AD2966" s="30" t="n"/>
      <c r="AE2966" s="30" t="n"/>
      <c r="AF2966" s="30" t="n"/>
      <c r="AG2966" s="30" t="n"/>
      <c r="AH2966" s="30" t="n"/>
      <c r="AI2966" s="30" t="n"/>
      <c r="AJ2966" s="30" t="n"/>
      <c r="AK2966" s="30" t="n"/>
      <c r="AL2966" s="30" t="n"/>
      <c r="AM2966" s="30" t="n"/>
      <c r="AN2966" s="30" t="n"/>
      <c r="AO2966" s="30" t="n"/>
    </row>
    <row r="2967" ht="15.75" customHeight="1" s="253">
      <c r="A2967" s="233" t="inlineStr">
        <is>
          <t>15484XXX</t>
        </is>
      </c>
      <c r="B2967" s="110" t="inlineStr">
        <is>
          <t>TAVERNITI BERMUDA</t>
        </is>
      </c>
      <c r="C2967" s="88" t="n">
        <v>81600</v>
      </c>
      <c r="D2967" s="170" t="n"/>
      <c r="E2967" s="170" t="n"/>
      <c r="F2967" s="170" t="n"/>
      <c r="G2967" s="170" t="n"/>
      <c r="H2967" s="170" t="n"/>
      <c r="I2967" s="219">
        <f>ROUND((C2967*J2967)/100,0)*100</f>
        <v/>
      </c>
      <c r="J2967" s="118" t="n">
        <v>1.09</v>
      </c>
      <c r="K2967" s="170" t="n"/>
      <c r="L2967" s="170" t="n"/>
      <c r="M2967" s="18" t="n"/>
      <c r="N2967" s="18" t="n"/>
      <c r="O2967" s="18" t="n"/>
      <c r="P2967" s="43" t="n"/>
      <c r="Q2967" s="30" t="n"/>
      <c r="R2967" s="170" t="n"/>
      <c r="S2967" s="30" t="n"/>
      <c r="T2967" s="170" t="n"/>
      <c r="U2967" s="30" t="n"/>
      <c r="V2967" s="30" t="n"/>
      <c r="W2967" s="30" t="n"/>
      <c r="X2967" s="30" t="n"/>
      <c r="Y2967" s="30" t="n"/>
      <c r="Z2967" s="30" t="n"/>
      <c r="AA2967" s="30" t="n"/>
      <c r="AB2967" s="30" t="n"/>
      <c r="AC2967" s="30" t="n"/>
      <c r="AD2967" s="30" t="n"/>
      <c r="AE2967" s="30" t="n"/>
      <c r="AF2967" s="30" t="n"/>
      <c r="AG2967" s="30" t="n"/>
      <c r="AH2967" s="30" t="n"/>
      <c r="AI2967" s="30" t="n"/>
      <c r="AJ2967" s="30" t="n"/>
      <c r="AK2967" s="30" t="n"/>
      <c r="AL2967" s="30" t="n"/>
      <c r="AM2967" s="30" t="n"/>
      <c r="AN2967" s="30" t="n"/>
    </row>
    <row r="2968" ht="15.75" customHeight="1" s="253">
      <c r="A2968" s="68" t="inlineStr">
        <is>
          <t>16086XXX</t>
        </is>
      </c>
      <c r="B2968" s="110" t="inlineStr">
        <is>
          <t>TAVERNITI BERMUDA</t>
        </is>
      </c>
      <c r="C2968" s="88" t="n">
        <v>70500</v>
      </c>
      <c r="D2968" s="22" t="n"/>
      <c r="E2968" s="22" t="n"/>
      <c r="F2968" s="22" t="n"/>
      <c r="G2968" s="22" t="n"/>
      <c r="H2968" s="22" t="n"/>
      <c r="I2968" s="219">
        <f>ROUND((C2968*J2968)/100,0)*100</f>
        <v/>
      </c>
      <c r="J2968" s="118" t="n">
        <v>1.09</v>
      </c>
      <c r="K2968" s="219" t="n"/>
      <c r="L2968" s="219" t="n"/>
      <c r="M2968" s="18" t="n"/>
      <c r="N2968" s="18" t="n"/>
      <c r="O2968" s="18" t="n"/>
      <c r="P2968" s="43" t="n"/>
      <c r="R2968" s="117" t="n"/>
      <c r="T2968" s="117" t="n"/>
    </row>
    <row r="2969" ht="15.75" customHeight="1" s="253">
      <c r="A2969" s="68" t="inlineStr">
        <is>
          <t>16348XXX</t>
        </is>
      </c>
      <c r="B2969" s="110" t="inlineStr">
        <is>
          <t>TAVERNITI BERMUDA</t>
        </is>
      </c>
      <c r="C2969" s="88" t="n">
        <v>70500</v>
      </c>
      <c r="D2969" s="22" t="n"/>
      <c r="E2969" s="22" t="n"/>
      <c r="F2969" s="22" t="n"/>
      <c r="G2969" s="22" t="n"/>
      <c r="H2969" s="22" t="n"/>
      <c r="I2969" s="219">
        <f>ROUND((C2969*J2969)/100,0)*100</f>
        <v/>
      </c>
      <c r="J2969" s="118" t="n">
        <v>1.09</v>
      </c>
      <c r="K2969" s="219" t="n"/>
      <c r="L2969" s="219" t="n"/>
      <c r="M2969" s="18" t="n"/>
      <c r="N2969" s="18" t="n"/>
      <c r="O2969" s="18" t="n"/>
      <c r="P2969" s="43" t="n"/>
      <c r="R2969" s="117" t="n"/>
      <c r="T2969" s="117" t="n"/>
    </row>
    <row r="2970" ht="15.75" customHeight="1" s="253">
      <c r="A2970" s="68" t="inlineStr">
        <is>
          <t>16350XXX</t>
        </is>
      </c>
      <c r="B2970" s="110" t="inlineStr">
        <is>
          <t>TAVERNITI BERMUDA</t>
        </is>
      </c>
      <c r="C2970" s="88" t="n">
        <v>70500</v>
      </c>
      <c r="D2970" s="22" t="n"/>
      <c r="E2970" s="22" t="n"/>
      <c r="F2970" s="22" t="n"/>
      <c r="G2970" s="22" t="n"/>
      <c r="H2970" s="22" t="n"/>
      <c r="I2970" s="219">
        <f>ROUND((C2970*J2970)/100,0)*100</f>
        <v/>
      </c>
      <c r="J2970" s="118" t="n">
        <v>1.09</v>
      </c>
      <c r="K2970" s="219" t="n"/>
      <c r="L2970" s="219" t="n"/>
      <c r="M2970" s="18" t="n"/>
      <c r="N2970" s="18" t="n"/>
      <c r="O2970" s="18" t="n"/>
      <c r="P2970" s="43" t="n"/>
      <c r="R2970" s="117" t="n"/>
      <c r="T2970" s="117" t="n"/>
    </row>
    <row r="2971" ht="15.75" customHeight="1" s="253">
      <c r="A2971" s="68" t="inlineStr">
        <is>
          <t>16352XXX</t>
        </is>
      </c>
      <c r="B2971" s="110" t="inlineStr">
        <is>
          <t>TAVERNITI BERMUDA</t>
        </is>
      </c>
      <c r="C2971" s="88" t="n">
        <v>70500</v>
      </c>
      <c r="D2971" s="22" t="n"/>
      <c r="E2971" s="22" t="n"/>
      <c r="F2971" s="22" t="n"/>
      <c r="G2971" s="22" t="n"/>
      <c r="H2971" s="22" t="n"/>
      <c r="I2971" s="219">
        <f>ROUND((C2971*J2971)/100,0)*100</f>
        <v/>
      </c>
      <c r="J2971" s="118" t="n">
        <v>1.09</v>
      </c>
      <c r="K2971" s="219" t="n"/>
      <c r="L2971" s="219" t="n"/>
      <c r="M2971" s="18" t="n"/>
      <c r="N2971" s="18" t="n"/>
      <c r="O2971" s="18" t="n"/>
      <c r="P2971" s="43" t="n"/>
      <c r="R2971" s="117" t="n"/>
      <c r="T2971" s="117" t="n"/>
    </row>
    <row r="2972" ht="15.75" customHeight="1" s="253">
      <c r="A2972" s="68" t="inlineStr">
        <is>
          <t>16358XXX</t>
        </is>
      </c>
      <c r="B2972" s="110" t="inlineStr">
        <is>
          <t>TAVERNITI BERMUDA</t>
        </is>
      </c>
      <c r="C2972" s="88" t="n">
        <v>70500</v>
      </c>
      <c r="D2972" s="22" t="n"/>
      <c r="E2972" s="22" t="n"/>
      <c r="F2972" s="22" t="n"/>
      <c r="G2972" s="22" t="n"/>
      <c r="H2972" s="22" t="n"/>
      <c r="I2972" s="219">
        <f>ROUND((C2972*J2972)/100,0)*100</f>
        <v/>
      </c>
      <c r="J2972" s="118" t="n">
        <v>1.09</v>
      </c>
      <c r="K2972" s="219" t="n"/>
      <c r="L2972" s="219" t="n"/>
      <c r="M2972" s="18" t="n"/>
      <c r="N2972" s="18" t="n"/>
      <c r="O2972" s="18" t="n"/>
      <c r="P2972" s="43" t="n"/>
      <c r="R2972" s="117" t="n"/>
      <c r="T2972" s="117" t="n"/>
    </row>
    <row r="2973" ht="15.75" customHeight="1" s="253">
      <c r="A2973" s="68" t="inlineStr">
        <is>
          <t>18934XXX</t>
        </is>
      </c>
      <c r="B2973" s="110" t="inlineStr">
        <is>
          <t>TAVERNITI BERMUDA</t>
        </is>
      </c>
      <c r="C2973" s="88" t="n">
        <v>70500</v>
      </c>
      <c r="D2973" s="22" t="n"/>
      <c r="E2973" s="22" t="n"/>
      <c r="F2973" s="22" t="n"/>
      <c r="G2973" s="22" t="n"/>
      <c r="H2973" s="22" t="n"/>
      <c r="I2973" s="219">
        <f>ROUND((C2973*J2973)/100,0)*100</f>
        <v/>
      </c>
      <c r="J2973" s="118" t="n">
        <v>1.09</v>
      </c>
      <c r="K2973" s="219" t="n"/>
      <c r="L2973" s="219" t="n"/>
      <c r="M2973" s="18" t="n"/>
      <c r="N2973" s="18" t="n"/>
      <c r="O2973" s="18" t="n"/>
      <c r="P2973" s="43" t="n"/>
      <c r="R2973" s="117" t="n"/>
      <c r="T2973" s="117" t="n"/>
    </row>
    <row r="2974" ht="15.75" customHeight="1" s="253">
      <c r="A2974" s="68" t="inlineStr">
        <is>
          <t>23380XXX</t>
        </is>
      </c>
      <c r="B2974" s="110" t="inlineStr">
        <is>
          <t>TAVERNITI SHORT</t>
        </is>
      </c>
      <c r="C2974" s="88" t="n">
        <v>68000</v>
      </c>
      <c r="D2974" s="22" t="n"/>
      <c r="E2974" s="22" t="n"/>
      <c r="F2974" s="22" t="n"/>
      <c r="G2974" s="22" t="n"/>
      <c r="H2974" s="22" t="n"/>
      <c r="I2974" s="219">
        <f>ROUND((C2974*J2974)/100,0)*100</f>
        <v/>
      </c>
      <c r="J2974" s="118" t="n">
        <v>1.09</v>
      </c>
      <c r="K2974" s="219" t="n"/>
      <c r="L2974" s="219" t="n"/>
      <c r="M2974" s="18" t="n"/>
      <c r="N2974" s="18" t="n"/>
      <c r="O2974" s="18" t="n"/>
      <c r="P2974" s="43" t="n"/>
      <c r="R2974" s="117" t="n"/>
      <c r="T2974" s="117" t="n"/>
    </row>
    <row r="2975">
      <c r="A2975" s="68" t="inlineStr">
        <is>
          <t>BP1906EX, 6501</t>
        </is>
      </c>
      <c r="B2975" s="110" t="inlineStr">
        <is>
          <t>I-RUN GUERRILLERA</t>
        </is>
      </c>
      <c r="C2975" s="88" t="n">
        <v>41700</v>
      </c>
      <c r="D2975" s="88">
        <f>ROUND((C2975*1.07)/100,0)*100</f>
        <v/>
      </c>
      <c r="E2975" s="88">
        <f>ROUND((C2975*1.15)/100,0)*100</f>
        <v/>
      </c>
      <c r="F2975" s="88">
        <f>ROUND((C2975*1.15)/100,0)*100</f>
        <v/>
      </c>
      <c r="G2975" s="219" t="n"/>
      <c r="H2975" s="219" t="n"/>
      <c r="I2975" s="219">
        <f>ROUND((C2975*J2975)/100,0)*100</f>
        <v/>
      </c>
      <c r="J2975" s="118" t="n">
        <v>1.09</v>
      </c>
      <c r="K2975" s="219" t="n"/>
      <c r="L2975" s="219" t="n"/>
      <c r="M2975" s="18" t="n"/>
      <c r="N2975" s="18" t="n"/>
      <c r="O2975" s="18" t="n"/>
      <c r="P2975" s="43" t="n"/>
      <c r="R2975" s="117" t="n"/>
      <c r="T2975" s="117" t="n"/>
    </row>
    <row r="2976">
      <c r="A2976" s="68" t="inlineStr">
        <is>
          <t>B19449L</t>
        </is>
      </c>
      <c r="B2976" s="110" t="inlineStr">
        <is>
          <t>I-RUN CAMUFLADA</t>
        </is>
      </c>
      <c r="C2976" s="88" t="n">
        <v>41300</v>
      </c>
      <c r="D2976" s="88">
        <f>ROUND((C2976*1.07)/100,0)*100</f>
        <v/>
      </c>
      <c r="E2976" s="88">
        <f>ROUND((C2976*1.15)/100,0)*100</f>
        <v/>
      </c>
      <c r="F2976" s="88">
        <f>ROUND((C2976*1.15)/100,0)*100</f>
        <v/>
      </c>
      <c r="G2976" s="219" t="n"/>
      <c r="H2976" s="219" t="n"/>
      <c r="I2976" s="219">
        <f>ROUND((C2976*J2976)/100,0)*100</f>
        <v/>
      </c>
      <c r="J2976" s="118" t="n">
        <v>1.09</v>
      </c>
      <c r="K2976" s="219" t="n"/>
      <c r="L2976" s="219" t="n"/>
      <c r="M2976" s="18" t="n"/>
      <c r="N2976" s="18" t="n"/>
      <c r="O2976" s="18" t="n"/>
      <c r="P2976" s="43" t="n"/>
      <c r="R2976" s="117" t="n"/>
      <c r="T2976" s="117" t="n"/>
    </row>
    <row r="2977">
      <c r="A2977" s="68" t="inlineStr">
        <is>
          <t>6503</t>
        </is>
      </c>
      <c r="B2977" s="110" t="inlineStr">
        <is>
          <t>GUERRILLERA C/CINTO</t>
        </is>
      </c>
      <c r="C2977" s="88" t="n">
        <v>40500</v>
      </c>
      <c r="D2977" s="88">
        <f>ROUND((C2977*1.07)/100,0)*100</f>
        <v/>
      </c>
      <c r="E2977" s="88">
        <f>ROUND((C2977*1.15)/100,0)*100</f>
        <v/>
      </c>
      <c r="F2977" s="88">
        <f>ROUND((C2977*1.15)/100,0)*100</f>
        <v/>
      </c>
      <c r="G2977" s="219" t="n"/>
      <c r="H2977" s="219" t="n"/>
      <c r="I2977" s="219">
        <f>ROUND((C2977*J2977)/100,0)*100</f>
        <v/>
      </c>
      <c r="J2977" s="118" t="n">
        <v>1.09</v>
      </c>
      <c r="K2977" s="219" t="n"/>
      <c r="L2977" s="219" t="n"/>
      <c r="M2977" s="18" t="n"/>
      <c r="N2977" s="18" t="n"/>
      <c r="O2977" s="18" t="n"/>
      <c r="P2977" s="43" t="n"/>
      <c r="R2977" s="117" t="n"/>
      <c r="T2977" s="117" t="n"/>
    </row>
    <row r="2978">
      <c r="A2978" s="68" t="n"/>
      <c r="B2978" s="110" t="n"/>
      <c r="C2978" s="183" t="n"/>
      <c r="D2978" s="219" t="n"/>
      <c r="E2978" s="219" t="n"/>
      <c r="F2978" s="219" t="n"/>
      <c r="G2978" s="219" t="n"/>
      <c r="H2978" s="219" t="n"/>
      <c r="I2978" s="219" t="n"/>
      <c r="J2978" s="219" t="n"/>
      <c r="K2978" s="219" t="n"/>
      <c r="L2978" s="219" t="n"/>
      <c r="M2978" s="219" t="n"/>
      <c r="O2978" s="219" t="n"/>
      <c r="P2978" s="117" t="n"/>
      <c r="R2978" s="117" t="n"/>
      <c r="T2978" s="117" t="n"/>
    </row>
    <row r="2979">
      <c r="A2979" s="128" t="n"/>
      <c r="B2979" s="171" t="inlineStr">
        <is>
          <t>CALZADO HOMBRE</t>
        </is>
      </c>
      <c r="C2979" s="71" t="n"/>
      <c r="D2979" s="71" t="n"/>
      <c r="E2979" s="71" t="n"/>
      <c r="F2979" s="219" t="n"/>
      <c r="G2979" s="219" t="n"/>
      <c r="H2979" s="219" t="n"/>
      <c r="I2979" s="219" t="n"/>
      <c r="J2979" s="219" t="n"/>
      <c r="K2979" s="128" t="inlineStr">
        <is>
          <t>04/25</t>
        </is>
      </c>
      <c r="L2979" s="219" t="n"/>
      <c r="M2979" s="219" t="n"/>
      <c r="P2979" s="117" t="n"/>
      <c r="R2979" s="117" t="n"/>
      <c r="T2979" s="117" t="n"/>
    </row>
    <row r="2980">
      <c r="A2980" s="128" t="inlineStr">
        <is>
          <t>5698</t>
        </is>
      </c>
      <c r="B2980" s="246" t="n"/>
      <c r="C2980" s="88" t="n">
        <v>85500</v>
      </c>
      <c r="D2980" s="219" t="n">
        <v>0</v>
      </c>
      <c r="E2980" s="172" t="n"/>
      <c r="F2980" s="219" t="n"/>
      <c r="G2980" s="219" t="n"/>
      <c r="H2980" s="219">
        <f>ROUND((J2980*C2980)/100,0)*100</f>
        <v/>
      </c>
      <c r="I2980" s="219">
        <f>K2980*D2980</f>
        <v/>
      </c>
      <c r="J2980" s="118" t="n">
        <v>2</v>
      </c>
      <c r="K2980" s="219" t="n"/>
      <c r="L2980" s="219" t="n"/>
      <c r="M2980" s="219" t="n"/>
      <c r="P2980" s="117" t="n"/>
      <c r="R2980" s="117" t="n"/>
      <c r="T2980" s="117" t="n"/>
    </row>
    <row r="2981">
      <c r="A2981" s="128" t="inlineStr">
        <is>
          <t>5706645</t>
        </is>
      </c>
      <c r="B2981" s="246" t="inlineStr">
        <is>
          <t>TAVERNITI</t>
        </is>
      </c>
      <c r="C2981" s="88" t="n">
        <v>75100</v>
      </c>
      <c r="D2981" s="219" t="n">
        <v>0</v>
      </c>
      <c r="E2981" s="172" t="n"/>
      <c r="F2981" s="219" t="n"/>
      <c r="G2981" s="219" t="n"/>
      <c r="H2981" s="219">
        <f>ROUND((J2981*C2981)/100,0)*100</f>
        <v/>
      </c>
      <c r="I2981" s="219">
        <f>K2981*D2981</f>
        <v/>
      </c>
      <c r="J2981" s="118" t="n">
        <v>2</v>
      </c>
      <c r="K2981" s="219" t="n"/>
      <c r="L2981" s="219" t="n"/>
      <c r="M2981" s="219" t="n"/>
      <c r="P2981" s="117" t="n"/>
      <c r="R2981" s="117" t="n"/>
      <c r="T2981" s="117" t="n"/>
    </row>
    <row r="2982">
      <c r="A2982" s="128" t="inlineStr">
        <is>
          <t>606</t>
        </is>
      </c>
      <c r="B2982" s="246" t="inlineStr">
        <is>
          <t>TAVERNITI</t>
        </is>
      </c>
      <c r="C2982" s="88" t="n">
        <v>75100</v>
      </c>
      <c r="D2982" s="219" t="n">
        <v>0</v>
      </c>
      <c r="E2982" s="172" t="n"/>
      <c r="F2982" s="219" t="n"/>
      <c r="G2982" s="219" t="n"/>
      <c r="H2982" s="219">
        <f>ROUND((J2982*C2982)/100,0)*100</f>
        <v/>
      </c>
      <c r="I2982" s="219">
        <f>K2982*D2982</f>
        <v/>
      </c>
      <c r="J2982" s="118" t="n">
        <v>2</v>
      </c>
      <c r="K2982" s="219" t="n"/>
      <c r="L2982" s="219" t="n"/>
      <c r="M2982" s="219" t="n"/>
      <c r="P2982" s="117" t="n"/>
      <c r="R2982" s="117" t="n"/>
      <c r="T2982" s="117" t="n"/>
    </row>
    <row r="2983">
      <c r="A2983" s="128" t="inlineStr">
        <is>
          <t>619</t>
        </is>
      </c>
      <c r="B2983" s="246" t="inlineStr">
        <is>
          <t>TAVERNITI</t>
        </is>
      </c>
      <c r="C2983" s="88" t="n">
        <v>75100</v>
      </c>
      <c r="D2983" s="219" t="n">
        <v>0</v>
      </c>
      <c r="E2983" s="172" t="n"/>
      <c r="F2983" s="219" t="n"/>
      <c r="G2983" s="219" t="n"/>
      <c r="H2983" s="219">
        <f>ROUND((J2983*C2983)/100,0)*100</f>
        <v/>
      </c>
      <c r="I2983" s="219">
        <f>K2983*D2983</f>
        <v/>
      </c>
      <c r="J2983" s="118" t="n">
        <v>2</v>
      </c>
      <c r="K2983" s="219" t="n"/>
      <c r="L2983" s="219" t="n"/>
      <c r="M2983" s="219" t="n"/>
      <c r="P2983" s="117" t="n"/>
      <c r="R2983" s="117" t="n"/>
      <c r="T2983" s="117" t="n"/>
    </row>
    <row r="2984">
      <c r="A2984" s="128" t="inlineStr">
        <is>
          <t>5692xxx</t>
        </is>
      </c>
      <c r="B2984" s="246" t="inlineStr">
        <is>
          <t>TAVERNITI</t>
        </is>
      </c>
      <c r="C2984" s="88" t="n">
        <v>73100</v>
      </c>
      <c r="D2984" s="219" t="n">
        <v>0</v>
      </c>
      <c r="E2984" s="172" t="n"/>
      <c r="F2984" s="219" t="n"/>
      <c r="G2984" s="219" t="n"/>
      <c r="H2984" s="219">
        <f>ROUND((J2984*C2984)/100,0)*100</f>
        <v/>
      </c>
      <c r="I2984" s="219">
        <f>K2984*D2984</f>
        <v/>
      </c>
      <c r="J2984" s="118" t="n">
        <v>2</v>
      </c>
      <c r="K2984" s="219" t="n"/>
      <c r="L2984" s="219" t="n"/>
      <c r="M2984" s="219" t="n"/>
      <c r="P2984" s="117" t="n"/>
      <c r="R2984" s="117" t="n"/>
      <c r="T2984" s="117" t="n"/>
    </row>
    <row r="2985">
      <c r="A2985" s="128" t="inlineStr">
        <is>
          <t>5698XXX</t>
        </is>
      </c>
      <c r="B2985" s="246" t="inlineStr">
        <is>
          <t>TAVERNITI</t>
        </is>
      </c>
      <c r="C2985" s="88" t="n">
        <v>72900</v>
      </c>
      <c r="D2985" s="219" t="n">
        <v>0</v>
      </c>
      <c r="E2985" s="172" t="n"/>
      <c r="F2985" s="219" t="n"/>
      <c r="G2985" s="219" t="n"/>
      <c r="H2985" s="219">
        <f>ROUND((J2985*C2985)/100,0)*100</f>
        <v/>
      </c>
      <c r="I2985" s="219">
        <f>K2985*D2985</f>
        <v/>
      </c>
      <c r="J2985" s="118" t="n">
        <v>2</v>
      </c>
      <c r="K2985" s="219" t="n"/>
      <c r="L2985" s="219" t="n"/>
      <c r="M2985" s="219" t="n"/>
      <c r="P2985" s="117" t="n"/>
      <c r="R2985" s="117" t="n"/>
      <c r="T2985" s="117" t="n"/>
    </row>
    <row r="2986">
      <c r="A2986" s="128" t="inlineStr">
        <is>
          <t>5708</t>
        </is>
      </c>
      <c r="B2986" s="246" t="inlineStr">
        <is>
          <t>TAVERNITI ZAPATILLA</t>
        </is>
      </c>
      <c r="C2986" s="88" t="n">
        <v>98300</v>
      </c>
      <c r="D2986" s="219" t="n">
        <v>0</v>
      </c>
      <c r="E2986" s="172" t="n"/>
      <c r="F2986" s="219" t="n"/>
      <c r="G2986" s="219" t="n"/>
      <c r="H2986" s="219">
        <f>ROUND((J2986*C2986)/100,0)*100</f>
        <v/>
      </c>
      <c r="I2986" s="219">
        <f>K2986*D2986</f>
        <v/>
      </c>
      <c r="J2986" s="118" t="n">
        <v>2</v>
      </c>
      <c r="K2986" s="219" t="n"/>
      <c r="L2986" s="219" t="n"/>
      <c r="M2986" s="219" t="n"/>
      <c r="P2986" s="117" t="n"/>
      <c r="R2986" s="117" t="n"/>
      <c r="T2986" s="117" t="n"/>
    </row>
    <row r="2987">
      <c r="A2987" s="128" t="inlineStr">
        <is>
          <t>5714</t>
        </is>
      </c>
      <c r="B2987" s="246" t="inlineStr">
        <is>
          <t xml:space="preserve">TAVERNITI PANCHAS </t>
        </is>
      </c>
      <c r="C2987" s="88" t="n">
        <v>51000</v>
      </c>
      <c r="D2987" s="219" t="n">
        <v>0</v>
      </c>
      <c r="E2987" s="172" t="n"/>
      <c r="F2987" s="219" t="n"/>
      <c r="G2987" s="219" t="n"/>
      <c r="H2987" s="219">
        <f>ROUND((J2987*C2987)/100,0)*100</f>
        <v/>
      </c>
      <c r="I2987" s="219">
        <f>K2987*D2987</f>
        <v/>
      </c>
      <c r="J2987" s="118" t="n">
        <v>2</v>
      </c>
      <c r="K2987" s="219" t="n"/>
      <c r="L2987" s="219" t="n"/>
      <c r="M2987" s="219" t="n"/>
      <c r="P2987" s="117" t="n"/>
      <c r="R2987" s="117" t="n"/>
      <c r="T2987" s="117" t="n"/>
    </row>
    <row r="2988">
      <c r="A2988" s="128" t="inlineStr">
        <is>
          <t>003001</t>
        </is>
      </c>
      <c r="B2988" s="246" t="inlineStr">
        <is>
          <t>TIPICO PANTUFLAS TOWEL</t>
        </is>
      </c>
      <c r="C2988" s="219" t="n">
        <v>18900</v>
      </c>
      <c r="D2988" s="219" t="n"/>
      <c r="E2988" s="172" t="n"/>
      <c r="F2988" s="219" t="n"/>
      <c r="G2988" s="219" t="n"/>
      <c r="H2988" s="219">
        <f>ROUND((J2988*C2988)/100,0)*100</f>
        <v/>
      </c>
      <c r="I2988" s="219">
        <f>K2988*D2988</f>
        <v/>
      </c>
      <c r="J2988" s="118" t="n">
        <v>2</v>
      </c>
      <c r="K2988" s="219" t="n">
        <v>1.25</v>
      </c>
      <c r="L2988" s="219" t="n"/>
      <c r="M2988" s="219" t="n"/>
      <c r="P2988" s="117" t="n"/>
      <c r="R2988" s="117" t="n"/>
      <c r="T2988" s="117" t="n"/>
    </row>
    <row r="2989">
      <c r="A2989" s="128" t="inlineStr">
        <is>
          <t>003002</t>
        </is>
      </c>
      <c r="B2989" s="246" t="inlineStr">
        <is>
          <t>TIPICO MICROF. COMBINADA</t>
        </is>
      </c>
      <c r="C2989" s="219" t="n">
        <v>24700</v>
      </c>
      <c r="D2989" s="219" t="n"/>
      <c r="E2989" s="172" t="n"/>
      <c r="F2989" s="219" t="n"/>
      <c r="G2989" s="219" t="n"/>
      <c r="H2989" s="219">
        <f>ROUND((J2989*C2989)/100,0)*100</f>
        <v/>
      </c>
      <c r="I2989" s="219">
        <f>K2989*D2989</f>
        <v/>
      </c>
      <c r="J2989" s="118" t="n">
        <v>2</v>
      </c>
      <c r="K2989" s="219" t="n">
        <v>1.25</v>
      </c>
      <c r="L2989" s="219" t="n"/>
      <c r="M2989" s="219" t="n"/>
      <c r="P2989" s="117" t="n"/>
      <c r="R2989" s="117" t="n"/>
      <c r="T2989" s="117" t="n"/>
    </row>
    <row r="2990">
      <c r="A2990" s="128" t="n"/>
      <c r="B2990" s="246" t="n"/>
      <c r="C2990" s="219" t="n"/>
      <c r="D2990" s="219" t="n"/>
      <c r="E2990" s="219" t="n"/>
      <c r="F2990" s="219" t="n"/>
      <c r="G2990" s="219" t="n"/>
      <c r="H2990" s="219" t="n"/>
      <c r="I2990" s="219" t="n"/>
      <c r="J2990" s="219" t="n"/>
      <c r="K2990" s="219" t="n"/>
      <c r="L2990" s="219" t="n"/>
      <c r="M2990" s="219" t="n"/>
      <c r="P2990" s="117" t="n"/>
      <c r="R2990" s="117" t="n"/>
      <c r="T2990" s="117" t="n"/>
    </row>
    <row r="2991">
      <c r="A2991" s="128" t="n"/>
      <c r="B2991" s="246" t="n"/>
      <c r="C2991" s="219" t="n"/>
      <c r="D2991" s="219" t="n"/>
      <c r="E2991" s="219" t="n"/>
      <c r="F2991" s="219" t="n"/>
      <c r="G2991" s="219" t="n"/>
      <c r="H2991" s="219" t="n"/>
      <c r="I2991" s="219" t="n"/>
      <c r="J2991" s="219" t="n"/>
      <c r="K2991" s="219" t="n"/>
      <c r="L2991" s="219" t="n"/>
      <c r="M2991" s="219" t="n"/>
      <c r="P2991" s="117" t="n"/>
      <c r="R2991" s="117" t="n"/>
      <c r="T2991" s="117" t="n"/>
    </row>
    <row r="2992">
      <c r="A2992" s="128" t="n"/>
      <c r="B2992" s="171" t="inlineStr">
        <is>
          <t>JEANS HOMBRE</t>
        </is>
      </c>
      <c r="C2992" s="71" t="inlineStr">
        <is>
          <t>40-48</t>
        </is>
      </c>
      <c r="D2992" s="71" t="inlineStr">
        <is>
          <t>50-54</t>
        </is>
      </c>
      <c r="E2992" s="71" t="inlineStr">
        <is>
          <t>56-60</t>
        </is>
      </c>
      <c r="F2992" s="71" t="inlineStr">
        <is>
          <t>62-66</t>
        </is>
      </c>
      <c r="G2992" s="71" t="inlineStr">
        <is>
          <t>68-70</t>
        </is>
      </c>
      <c r="H2992" s="219" t="n"/>
      <c r="I2992" s="128" t="inlineStr">
        <is>
          <t>11/25</t>
        </is>
      </c>
      <c r="J2992" s="219" t="n"/>
      <c r="K2992" s="219" t="n"/>
      <c r="L2992" s="219" t="n"/>
      <c r="M2992" s="219" t="n"/>
      <c r="P2992" s="117" t="n"/>
      <c r="R2992" s="117" t="n"/>
      <c r="T2992" s="117" t="n"/>
    </row>
    <row r="2993">
      <c r="A2993" s="128" t="n"/>
      <c r="B2993" s="246" t="n"/>
      <c r="C2993" s="219" t="n"/>
      <c r="D2993" s="219" t="n"/>
      <c r="E2993" s="219" t="n"/>
      <c r="F2993" s="219" t="n"/>
      <c r="G2993" s="219" t="n"/>
      <c r="H2993" s="219" t="n"/>
      <c r="I2993" s="219" t="n"/>
      <c r="J2993" s="219" t="n"/>
      <c r="K2993" s="219" t="n"/>
      <c r="L2993" s="219" t="n"/>
      <c r="M2993" s="219" t="n"/>
      <c r="P2993" s="117" t="n"/>
      <c r="Q2993" s="118" t="n">
        <v>1.05</v>
      </c>
      <c r="R2993" s="117" t="n"/>
      <c r="T2993" s="117" t="n"/>
    </row>
    <row r="2994">
      <c r="A2994" s="174" t="inlineStr">
        <is>
          <t>68-2150512-4800</t>
        </is>
      </c>
      <c r="B2994" s="246" t="n"/>
      <c r="C2994" s="88" t="n">
        <v>51100</v>
      </c>
      <c r="D2994" s="22" t="n"/>
      <c r="E2994" s="22" t="n"/>
      <c r="F2994" s="219" t="n"/>
      <c r="G2994" s="219" t="n"/>
      <c r="H2994" s="219" t="n"/>
      <c r="I2994" s="219" t="n"/>
      <c r="J2994" s="219" t="n"/>
      <c r="K2994" s="219" t="n"/>
      <c r="L2994" s="219">
        <f>ROUND((Q2994*C2994)/100,0)*100</f>
        <v/>
      </c>
      <c r="M2994" s="219" t="n"/>
      <c r="P2994" s="117" t="n"/>
      <c r="Q2994" s="118" t="n">
        <v>1.05</v>
      </c>
      <c r="R2994" s="117" t="n"/>
      <c r="T2994" s="117" t="n"/>
    </row>
    <row r="2995">
      <c r="A2995" s="174" t="inlineStr">
        <is>
          <t>68-20512-2800</t>
        </is>
      </c>
      <c r="B2995" s="246" t="inlineStr">
        <is>
          <t>BASICO MITRE</t>
        </is>
      </c>
      <c r="C2995" s="88" t="n">
        <v>51100</v>
      </c>
      <c r="D2995" s="22" t="n"/>
      <c r="E2995" s="22" t="n"/>
      <c r="F2995" s="219" t="n"/>
      <c r="G2995" s="219" t="n"/>
      <c r="H2995" s="219" t="n"/>
      <c r="I2995" s="219" t="n"/>
      <c r="J2995" s="219" t="n"/>
      <c r="K2995" s="219" t="n"/>
      <c r="L2995" s="219">
        <f>ROUND((Q2995*C2995)/100,0)*100</f>
        <v/>
      </c>
      <c r="M2995" s="219" t="n"/>
      <c r="P2995" s="117" t="n"/>
      <c r="Q2995" s="118" t="n">
        <v>1.05</v>
      </c>
      <c r="R2995" s="117" t="n"/>
      <c r="T2995" s="117" t="n"/>
    </row>
    <row r="2996">
      <c r="A2996" s="174" t="inlineStr">
        <is>
          <t>68-2280215-5800</t>
        </is>
      </c>
      <c r="B2996" s="246" t="inlineStr">
        <is>
          <t>BLEACH</t>
        </is>
      </c>
      <c r="C2996" s="88" t="n">
        <v>51100</v>
      </c>
      <c r="D2996" s="22" t="n"/>
      <c r="E2996" s="22" t="n"/>
      <c r="F2996" s="219" t="n"/>
      <c r="G2996" s="219" t="n"/>
      <c r="H2996" s="219" t="n"/>
      <c r="I2996" s="219" t="n"/>
      <c r="J2996" s="219" t="n"/>
      <c r="K2996" s="219" t="n"/>
      <c r="L2996" s="219">
        <f>ROUND((Q2996*C2996)/100,0)*100</f>
        <v/>
      </c>
      <c r="M2996" s="219" t="n"/>
      <c r="P2996" s="117" t="n"/>
      <c r="Q2996" s="118" t="n">
        <v>1.05</v>
      </c>
      <c r="R2996" s="117" t="n"/>
      <c r="T2996" s="117" t="n"/>
    </row>
    <row r="2997">
      <c r="A2997" s="174" t="inlineStr">
        <is>
          <t>68-2380647-4500</t>
        </is>
      </c>
      <c r="B2997" s="246" t="inlineStr">
        <is>
          <t>LIMERICH APOLO</t>
        </is>
      </c>
      <c r="C2997" s="88" t="n">
        <v>51100</v>
      </c>
      <c r="D2997" s="22" t="n"/>
      <c r="E2997" s="22" t="n"/>
      <c r="F2997" s="219" t="n"/>
      <c r="G2997" s="219" t="n"/>
      <c r="H2997" s="219" t="n"/>
      <c r="I2997" s="219" t="n"/>
      <c r="J2997" s="219" t="n"/>
      <c r="K2997" s="219" t="n"/>
      <c r="L2997" s="219">
        <f>ROUND((Q2997*C2997)/100,0)*100</f>
        <v/>
      </c>
      <c r="M2997" s="219" t="n"/>
      <c r="P2997" s="117" t="n"/>
      <c r="Q2997" s="118" t="n">
        <v>1.05</v>
      </c>
      <c r="R2997" s="117" t="n"/>
      <c r="T2997" s="117" t="n"/>
    </row>
    <row r="2998">
      <c r="A2998" s="174" t="inlineStr">
        <is>
          <t>68-3480497-2600</t>
        </is>
      </c>
      <c r="B2998" s="246" t="inlineStr">
        <is>
          <t>MOODY ICARO</t>
        </is>
      </c>
      <c r="C2998" s="88" t="n">
        <v>81300</v>
      </c>
      <c r="D2998" s="22" t="n"/>
      <c r="E2998" s="22" t="n"/>
      <c r="F2998" s="219" t="n"/>
      <c r="G2998" s="219" t="n"/>
      <c r="H2998" s="219" t="n"/>
      <c r="I2998" s="219" t="n"/>
      <c r="J2998" s="219" t="n"/>
      <c r="K2998" s="219" t="n"/>
      <c r="L2998" s="219">
        <f>ROUND((Q2998*C2998)/100,0)*100</f>
        <v/>
      </c>
      <c r="M2998" s="219" t="n"/>
      <c r="P2998" s="117" t="n"/>
      <c r="Q2998" s="118" t="n">
        <v>1.05</v>
      </c>
      <c r="R2998" s="117" t="n"/>
      <c r="T2998" s="117" t="n"/>
    </row>
    <row r="2999">
      <c r="A2999" s="174" t="inlineStr">
        <is>
          <t>68-4480215-3900</t>
        </is>
      </c>
      <c r="B2999" s="246" t="n"/>
      <c r="C2999" s="88" t="n">
        <v>51100</v>
      </c>
      <c r="D2999" s="22" t="n"/>
      <c r="E2999" s="22" t="n"/>
      <c r="F2999" s="219" t="n"/>
      <c r="G2999" s="219" t="n"/>
      <c r="H2999" s="219" t="n"/>
      <c r="I2999" s="219" t="n"/>
      <c r="J2999" s="219" t="n"/>
      <c r="K2999" s="219" t="n"/>
      <c r="L2999" s="219">
        <f>ROUND((Q2999*C2999)/100,0)*100</f>
        <v/>
      </c>
      <c r="M2999" s="219" t="n"/>
      <c r="P2999" s="117" t="n"/>
      <c r="Q2999" s="118" t="n">
        <v>1.05</v>
      </c>
      <c r="R2999" s="117" t="n"/>
      <c r="T2999" s="117" t="n"/>
    </row>
    <row r="3000">
      <c r="A3000" s="176" t="inlineStr">
        <is>
          <t>68-4980215-4300</t>
        </is>
      </c>
      <c r="B3000" s="246" t="inlineStr">
        <is>
          <t>AUTHENTIC T/ MEDIO FLUSH</t>
        </is>
      </c>
      <c r="C3000" s="88" t="n">
        <v>51100</v>
      </c>
      <c r="D3000" s="22" t="n"/>
      <c r="E3000" s="22" t="n"/>
      <c r="F3000" s="219" t="n"/>
      <c r="G3000" s="219" t="n"/>
      <c r="H3000" s="219" t="n"/>
      <c r="I3000" s="219" t="n"/>
      <c r="J3000" s="219" t="n"/>
      <c r="K3000" s="219" t="n"/>
      <c r="L3000" s="219">
        <f>ROUND((Q3000*C3000)/100,0)*100</f>
        <v/>
      </c>
      <c r="M3000" s="219" t="n"/>
      <c r="P3000" s="117" t="n"/>
      <c r="Q3000" s="118" t="n">
        <v>1.05</v>
      </c>
      <c r="R3000" s="117" t="n"/>
      <c r="T3000" s="117" t="n"/>
    </row>
    <row r="3001">
      <c r="A3001" s="174" t="inlineStr">
        <is>
          <t>68-50474-3200</t>
        </is>
      </c>
      <c r="B3001" s="246" t="inlineStr">
        <is>
          <t>ABBEY NUADA</t>
        </is>
      </c>
      <c r="C3001" s="88" t="n">
        <v>51100</v>
      </c>
      <c r="D3001" s="22" t="n"/>
      <c r="E3001" s="22" t="n"/>
      <c r="F3001" s="219" t="n"/>
      <c r="G3001" s="219" t="n"/>
      <c r="H3001" s="219" t="n"/>
      <c r="I3001" s="219" t="n"/>
      <c r="J3001" s="219" t="n"/>
      <c r="K3001" s="219" t="n"/>
      <c r="L3001" s="219">
        <f>ROUND((Q3001*C3001)/100,0)*100</f>
        <v/>
      </c>
      <c r="M3001" s="219" t="n"/>
      <c r="P3001" s="117" t="n"/>
      <c r="Q3001" s="118" t="n">
        <v>1.05</v>
      </c>
      <c r="R3001" s="117" t="n"/>
      <c r="T3001" s="117" t="n"/>
    </row>
    <row r="3002">
      <c r="A3002" s="174" t="inlineStr">
        <is>
          <t>68-50515-2400</t>
        </is>
      </c>
      <c r="B3002" s="246" t="inlineStr">
        <is>
          <t>BRITISH NUADA</t>
        </is>
      </c>
      <c r="C3002" s="88" t="n">
        <v>51100</v>
      </c>
      <c r="D3002" s="22" t="n"/>
      <c r="E3002" s="22" t="n"/>
      <c r="F3002" s="219" t="n"/>
      <c r="G3002" s="219" t="n"/>
      <c r="H3002" s="219" t="n"/>
      <c r="I3002" s="219" t="n"/>
      <c r="J3002" s="219" t="n"/>
      <c r="K3002" s="219" t="n"/>
      <c r="L3002" s="219">
        <f>ROUND((Q3002*C3002)/100,0)*100</f>
        <v/>
      </c>
      <c r="M3002" s="219" t="n"/>
      <c r="P3002" s="117" t="n"/>
      <c r="Q3002" s="118" t="n">
        <v>1.05</v>
      </c>
      <c r="R3002" s="117" t="n"/>
      <c r="T3002" s="117" t="n"/>
    </row>
    <row r="3003">
      <c r="A3003" s="176" t="inlineStr">
        <is>
          <t>68-60215-9212</t>
        </is>
      </c>
      <c r="B3003" s="246" t="inlineStr">
        <is>
          <t>MEDIO HARBOR</t>
        </is>
      </c>
      <c r="C3003" s="88" t="n">
        <v>51100</v>
      </c>
      <c r="D3003" s="22" t="n"/>
      <c r="E3003" s="22" t="n"/>
      <c r="F3003" s="219" t="n"/>
      <c r="G3003" s="219" t="n"/>
      <c r="H3003" s="219" t="n"/>
      <c r="I3003" s="219" t="n"/>
      <c r="J3003" s="219" t="n"/>
      <c r="K3003" s="219" t="n"/>
      <c r="L3003" s="219">
        <f>ROUND((Q3003*C3003)/100,0)*100</f>
        <v/>
      </c>
      <c r="M3003" s="219" t="n"/>
      <c r="P3003" s="117" t="n"/>
      <c r="Q3003" s="118" t="n">
        <v>1.05</v>
      </c>
      <c r="R3003" s="117" t="n"/>
      <c r="T3003" s="117" t="n"/>
    </row>
    <row r="3004">
      <c r="A3004" s="174" t="inlineStr">
        <is>
          <t>68-8350512-2200</t>
        </is>
      </c>
      <c r="B3004" s="246" t="inlineStr">
        <is>
          <t>GENUINE RUMYGRE</t>
        </is>
      </c>
      <c r="C3004" s="88" t="n">
        <v>51100</v>
      </c>
      <c r="D3004" s="22" t="n"/>
      <c r="E3004" s="22" t="n"/>
      <c r="F3004" s="219" t="n"/>
      <c r="G3004" s="219" t="n"/>
      <c r="H3004" s="219" t="n"/>
      <c r="I3004" s="219" t="n"/>
      <c r="J3004" s="219" t="n"/>
      <c r="K3004" s="219" t="n"/>
      <c r="L3004" s="219">
        <f>ROUND((Q3004*C3004)/100,0)*100</f>
        <v/>
      </c>
      <c r="M3004" s="219" t="n"/>
      <c r="P3004" s="117" t="n"/>
      <c r="Q3004" s="118" t="n">
        <v>1.05</v>
      </c>
      <c r="R3004" s="117" t="n"/>
      <c r="T3004" s="117" t="n"/>
    </row>
    <row r="3005">
      <c r="A3005" s="174" t="inlineStr">
        <is>
          <t>68-8520684-2400</t>
        </is>
      </c>
      <c r="B3005" s="246" t="inlineStr">
        <is>
          <t>MARK T MEDIO GOLDEN</t>
        </is>
      </c>
      <c r="C3005" s="88" t="n">
        <v>51100</v>
      </c>
      <c r="D3005" s="22" t="n"/>
      <c r="E3005" s="22" t="n"/>
      <c r="F3005" s="219" t="n"/>
      <c r="G3005" s="219" t="n"/>
      <c r="H3005" s="219" t="n"/>
      <c r="I3005" s="219" t="n"/>
      <c r="J3005" s="219" t="n"/>
      <c r="K3005" s="219" t="n"/>
      <c r="L3005" s="219">
        <f>ROUND((Q3005*C3005)/100,0)*100</f>
        <v/>
      </c>
      <c r="M3005" s="219" t="n"/>
      <c r="P3005" s="117" t="n"/>
      <c r="Q3005" s="118" t="n">
        <v>1.05</v>
      </c>
      <c r="R3005" s="117" t="n"/>
      <c r="T3005" s="117" t="n"/>
    </row>
    <row r="3006">
      <c r="A3006" s="174" t="inlineStr">
        <is>
          <t>68-90659-5700</t>
        </is>
      </c>
      <c r="B3006" s="246" t="inlineStr">
        <is>
          <t>CROSS DENIM BES DB</t>
        </is>
      </c>
      <c r="C3006" s="88" t="n">
        <v>53500</v>
      </c>
      <c r="D3006" s="22" t="n"/>
      <c r="E3006" s="22" t="n"/>
      <c r="F3006" s="219" t="n"/>
      <c r="G3006" s="219" t="n"/>
      <c r="H3006" s="219" t="n"/>
      <c r="I3006" s="219" t="n"/>
      <c r="J3006" s="219" t="n"/>
      <c r="K3006" s="219" t="n"/>
      <c r="L3006" s="219">
        <f>ROUND((Q3006*C3006)/100,0)*100</f>
        <v/>
      </c>
      <c r="M3006" s="219" t="n"/>
      <c r="P3006" s="117" t="n"/>
      <c r="Q3006" s="118" t="n">
        <v>1.05</v>
      </c>
      <c r="R3006" s="117" t="n"/>
      <c r="T3006" s="117" t="n"/>
    </row>
    <row r="3007">
      <c r="A3007" s="128" t="inlineStr">
        <is>
          <t>92911</t>
        </is>
      </c>
      <c r="B3007" s="246" t="inlineStr">
        <is>
          <t>MENSFIELD GABARDINA</t>
        </is>
      </c>
      <c r="C3007" s="88" t="n">
        <v>47300</v>
      </c>
      <c r="D3007" s="88" t="n"/>
      <c r="E3007" s="88" t="n"/>
      <c r="F3007" s="88" t="n"/>
      <c r="G3007" s="88" t="n"/>
      <c r="H3007" s="219" t="n"/>
      <c r="I3007" s="219" t="n"/>
      <c r="J3007" s="219" t="n"/>
      <c r="K3007" s="219" t="n"/>
      <c r="L3007" s="219">
        <f>ROUND((Q3007*C3007)/100,0)*100</f>
        <v/>
      </c>
      <c r="M3007" s="219" t="n"/>
      <c r="P3007" s="117" t="n"/>
      <c r="Q3007" s="118" t="n">
        <v>1.05</v>
      </c>
      <c r="R3007" s="117" t="n"/>
      <c r="T3007" s="117" t="n"/>
    </row>
    <row r="3008">
      <c r="A3008" s="128" t="n"/>
      <c r="B3008" s="246" t="inlineStr">
        <is>
          <t>POLO CLUB BLUE GASTADO</t>
        </is>
      </c>
      <c r="C3008" s="88" t="n">
        <v>60100</v>
      </c>
      <c r="D3008" s="219" t="n"/>
      <c r="E3008" s="219" t="n"/>
      <c r="F3008" s="219" t="n"/>
      <c r="G3008" s="219" t="n"/>
      <c r="H3008" s="219" t="n"/>
      <c r="I3008" s="219" t="n"/>
      <c r="J3008" s="219" t="n"/>
      <c r="K3008" s="219" t="n"/>
      <c r="L3008" s="219">
        <f>ROUND((Q3008*C3008)/100,0)*100</f>
        <v/>
      </c>
      <c r="M3008" s="219" t="n"/>
      <c r="P3008" s="117" t="n"/>
      <c r="Q3008" s="118" t="n">
        <v>1.05</v>
      </c>
      <c r="R3008" s="117" t="n"/>
      <c r="T3008" s="117" t="n"/>
    </row>
    <row r="3009">
      <c r="A3009" s="128" t="inlineStr">
        <is>
          <t>w1pa63</t>
        </is>
      </c>
      <c r="B3009" s="246" t="inlineStr">
        <is>
          <t>POLO CLUB STYLE MATRIX C/CARGO</t>
        </is>
      </c>
      <c r="C3009" s="88" t="n">
        <v>77100</v>
      </c>
      <c r="D3009" s="219" t="n"/>
      <c r="E3009" s="219" t="n"/>
      <c r="F3009" s="219" t="n"/>
      <c r="G3009" s="219" t="n"/>
      <c r="H3009" s="219" t="n"/>
      <c r="I3009" s="219" t="n"/>
      <c r="J3009" s="219" t="n"/>
      <c r="K3009" s="219" t="n"/>
      <c r="L3009" s="219">
        <f>ROUND((Q3009*C3009)/100,0)*100</f>
        <v/>
      </c>
      <c r="M3009" s="219" t="n"/>
      <c r="P3009" s="117" t="n"/>
      <c r="Q3009" s="118" t="n">
        <v>1.05</v>
      </c>
      <c r="R3009" s="117" t="n"/>
      <c r="T3009" s="117" t="n"/>
    </row>
    <row r="3010">
      <c r="A3010" s="128" t="n"/>
      <c r="B3010" s="246" t="inlineStr">
        <is>
          <t>POLO CLUB STYLE RUBI C/CINTO</t>
        </is>
      </c>
      <c r="C3010" s="88" t="n">
        <v>68200</v>
      </c>
      <c r="D3010" s="219" t="n"/>
      <c r="E3010" s="219" t="n"/>
      <c r="F3010" s="219" t="n"/>
      <c r="G3010" s="219" t="n"/>
      <c r="H3010" s="219" t="n"/>
      <c r="I3010" s="219" t="n"/>
      <c r="J3010" s="219" t="n"/>
      <c r="K3010" s="219" t="n"/>
      <c r="L3010" s="219">
        <f>ROUND((Q3010*C3010)/100,0)*100</f>
        <v/>
      </c>
      <c r="M3010" s="219" t="n"/>
      <c r="P3010" s="117" t="n"/>
      <c r="Q3010" s="118" t="n">
        <v>1.05</v>
      </c>
      <c r="R3010" s="117" t="n"/>
      <c r="T3010" s="117" t="n"/>
    </row>
    <row r="3011">
      <c r="A3011" s="128" t="inlineStr">
        <is>
          <t>365</t>
        </is>
      </c>
      <c r="B3011" s="246" t="inlineStr">
        <is>
          <t>JOAN DE LA CREU GABARD COLOR</t>
        </is>
      </c>
      <c r="C3011" s="88" t="n">
        <v>45300</v>
      </c>
      <c r="D3011" s="219" t="n"/>
      <c r="E3011" s="219" t="n"/>
      <c r="F3011" s="219" t="n"/>
      <c r="G3011" s="219" t="n"/>
      <c r="H3011" s="219" t="n"/>
      <c r="I3011" s="219" t="n"/>
      <c r="J3011" s="219" t="n"/>
      <c r="K3011" s="219" t="n"/>
      <c r="L3011" s="219">
        <f>ROUND((Q3011*C3011)/100,0)*100</f>
        <v/>
      </c>
      <c r="M3011" s="219" t="n"/>
      <c r="P3011" s="117" t="n"/>
      <c r="Q3011" s="118" t="n">
        <v>1.05</v>
      </c>
      <c r="R3011" s="117" t="n"/>
      <c r="T3011" s="117" t="n"/>
    </row>
    <row r="3012">
      <c r="A3012" s="128" t="inlineStr">
        <is>
          <t>530</t>
        </is>
      </c>
      <c r="B3012" s="246" t="inlineStr">
        <is>
          <t>NEW RANCH CELESTE</t>
        </is>
      </c>
      <c r="C3012" s="88" t="n">
        <v>45300</v>
      </c>
      <c r="D3012" s="219" t="n"/>
      <c r="E3012" s="219" t="n"/>
      <c r="F3012" s="219" t="n"/>
      <c r="G3012" s="219" t="n"/>
      <c r="H3012" s="219" t="n"/>
      <c r="I3012" s="219" t="n"/>
      <c r="J3012" s="219" t="n"/>
      <c r="K3012" s="219" t="n"/>
      <c r="L3012" s="219">
        <f>ROUND((Q3012*C3012)/100,0)*100</f>
        <v/>
      </c>
      <c r="M3012" s="219" t="n"/>
      <c r="P3012" s="117" t="n"/>
      <c r="Q3012" s="118" t="n">
        <v>1.05</v>
      </c>
      <c r="R3012" s="117" t="n"/>
      <c r="T3012" s="117" t="n"/>
    </row>
    <row r="3013">
      <c r="A3013" s="128" t="inlineStr">
        <is>
          <t>531</t>
        </is>
      </c>
      <c r="B3013" s="246" t="inlineStr">
        <is>
          <t>NEW RANCH GABARDINA COLOR</t>
        </is>
      </c>
      <c r="C3013" s="88" t="n">
        <v>45300</v>
      </c>
      <c r="D3013" s="219" t="n"/>
      <c r="E3013" s="219" t="n"/>
      <c r="F3013" s="219" t="n"/>
      <c r="G3013" s="219" t="n"/>
      <c r="H3013" s="219" t="n"/>
      <c r="I3013" s="219" t="n"/>
      <c r="J3013" s="219" t="n"/>
      <c r="K3013" s="219" t="n"/>
      <c r="L3013" s="219">
        <f>ROUND((Q3013*C3013)/100,0)*100</f>
        <v/>
      </c>
      <c r="M3013" s="219" t="n"/>
      <c r="P3013" s="117" t="n"/>
      <c r="Q3013" s="118" t="n">
        <v>1.05</v>
      </c>
      <c r="R3013" s="117" t="n"/>
      <c r="T3013" s="117" t="n"/>
    </row>
    <row r="3014">
      <c r="A3014" s="128" t="inlineStr">
        <is>
          <t>532</t>
        </is>
      </c>
      <c r="B3014" s="246" t="inlineStr">
        <is>
          <t>N. RANCH AZUL GASTADO OXIDO</t>
        </is>
      </c>
      <c r="C3014" s="88" t="n">
        <v>45300</v>
      </c>
      <c r="D3014" s="219" t="n"/>
      <c r="E3014" s="219" t="n"/>
      <c r="F3014" s="219" t="n"/>
      <c r="G3014" s="219" t="n"/>
      <c r="H3014" s="219" t="n"/>
      <c r="I3014" s="219" t="n"/>
      <c r="J3014" s="219" t="n"/>
      <c r="K3014" s="219" t="n"/>
      <c r="L3014" s="219">
        <f>ROUND((Q3014*C3014)/100,0)*100</f>
        <v/>
      </c>
      <c r="M3014" s="219" t="n"/>
      <c r="O3014" s="118" t="n"/>
      <c r="P3014" s="117" t="n"/>
      <c r="Q3014" s="118" t="n">
        <v>1.05</v>
      </c>
      <c r="R3014" s="117" t="n"/>
      <c r="T3014" s="117" t="n"/>
    </row>
    <row r="3015">
      <c r="A3015" s="128" t="inlineStr">
        <is>
          <t>163/164</t>
        </is>
      </c>
      <c r="B3015" s="246" t="inlineStr">
        <is>
          <t xml:space="preserve"> GABARDINA CARGO</t>
        </is>
      </c>
      <c r="C3015" s="88" t="n">
        <v>47200</v>
      </c>
      <c r="D3015" s="88">
        <f>ROUND((C3015*1.07)/100,0)*100</f>
        <v/>
      </c>
      <c r="E3015" s="88">
        <f>ROUND((C3015*1.15)/100,0)*100</f>
        <v/>
      </c>
      <c r="F3015" s="88">
        <f>ROUND((C3015*1.15)/100,0)*100</f>
        <v/>
      </c>
      <c r="G3015" s="88">
        <f>ROUND((C3015*1.21)/100,0)*100</f>
        <v/>
      </c>
      <c r="H3015" s="219" t="n"/>
      <c r="I3015" s="219" t="n"/>
      <c r="J3015" s="219" t="n"/>
      <c r="K3015" s="219" t="n"/>
      <c r="L3015" s="88">
        <f>ROUND((Q3015*C3015)/100,0)*100</f>
        <v/>
      </c>
      <c r="M3015" s="88" t="n"/>
      <c r="N3015" s="88" t="n"/>
      <c r="O3015" s="88" t="n"/>
      <c r="P3015" s="88" t="n"/>
      <c r="Q3015" s="118" t="n">
        <v>1.05</v>
      </c>
      <c r="R3015" s="117" t="n"/>
      <c r="T3015" s="117" t="n"/>
      <c r="AC3015" s="118" t="n"/>
      <c r="AD3015" s="118" t="n"/>
      <c r="AE3015" s="118" t="n"/>
      <c r="AF3015" s="118" t="n"/>
      <c r="AG3015" s="118" t="n"/>
      <c r="AH3015" s="118" t="n"/>
      <c r="AI3015" s="118" t="n"/>
      <c r="AJ3015" s="118" t="n"/>
      <c r="AK3015" s="118" t="n"/>
      <c r="AL3015" s="118" t="n"/>
      <c r="AM3015" s="118" t="n"/>
      <c r="AN3015" s="118" t="n"/>
    </row>
    <row r="3016">
      <c r="A3016" s="68" t="inlineStr">
        <is>
          <t>3002</t>
        </is>
      </c>
      <c r="B3016" s="110" t="inlineStr">
        <is>
          <t>AERO JEAN BORDADO Y LOCALIZADO</t>
        </is>
      </c>
      <c r="C3016" s="88" t="n">
        <v>47100</v>
      </c>
      <c r="D3016" s="88">
        <f>ROUND((C3016*1.07)/100,0)*100</f>
        <v/>
      </c>
      <c r="E3016" s="88">
        <f>ROUND((C3016*1.15)/100,0)*100</f>
        <v/>
      </c>
      <c r="F3016" s="88">
        <f>ROUND((C3016*1.15)/100,0)*100</f>
        <v/>
      </c>
      <c r="G3016" s="88">
        <f>ROUND((C3016*1.21)/100,0)*100</f>
        <v/>
      </c>
      <c r="H3016" s="219" t="n"/>
      <c r="I3016" s="219" t="n"/>
      <c r="J3016" s="219" t="n"/>
      <c r="K3016" s="219" t="n"/>
      <c r="L3016" s="88">
        <f>ROUND((Q3016*C3016)/100,0)*100</f>
        <v/>
      </c>
      <c r="M3016" s="88" t="n"/>
      <c r="N3016" s="88" t="n"/>
      <c r="O3016" s="88" t="n"/>
      <c r="P3016" s="88" t="n"/>
      <c r="Q3016" s="118" t="n">
        <v>1.05</v>
      </c>
      <c r="R3016" s="117" t="n"/>
      <c r="T3016" s="117" t="n"/>
      <c r="AC3016" s="118" t="n"/>
      <c r="AD3016" s="118" t="n"/>
      <c r="AE3016" s="118" t="n"/>
      <c r="AF3016" s="118" t="n"/>
      <c r="AG3016" s="118" t="n"/>
      <c r="AH3016" s="118" t="n"/>
      <c r="AI3016" s="118" t="n"/>
      <c r="AJ3016" s="118" t="n"/>
      <c r="AK3016" s="118" t="n"/>
      <c r="AL3016" s="118" t="n"/>
      <c r="AM3016" s="118" t="n"/>
      <c r="AN3016" s="118" t="n"/>
    </row>
    <row r="3017">
      <c r="A3017" s="68" t="inlineStr">
        <is>
          <t>3003</t>
        </is>
      </c>
      <c r="B3017" s="64" t="inlineStr">
        <is>
          <t>AERO JEAN CLASICO THUNDER</t>
        </is>
      </c>
      <c r="C3017" s="88" t="n">
        <v>38800</v>
      </c>
      <c r="D3017" s="88">
        <f>ROUND((C3017*1.07)/100,0)*100</f>
        <v/>
      </c>
      <c r="E3017" s="88">
        <f>ROUND((C3017*1.15)/100,0)*100</f>
        <v/>
      </c>
      <c r="F3017" s="88">
        <f>ROUND((C3017*1.15)/100,0)*100</f>
        <v/>
      </c>
      <c r="G3017" s="88">
        <f>ROUND((C3017*1.21)/100,0)*100</f>
        <v/>
      </c>
      <c r="H3017" s="219" t="n"/>
      <c r="I3017" s="219" t="n"/>
      <c r="J3017" s="219" t="n"/>
      <c r="K3017" s="219" t="n"/>
      <c r="L3017" s="88">
        <f>ROUND((Q3017*C3017)/100,0)*100</f>
        <v/>
      </c>
      <c r="M3017" s="88" t="n"/>
      <c r="N3017" s="88" t="n"/>
      <c r="O3017" s="88" t="n"/>
      <c r="P3017" s="88" t="n"/>
      <c r="Q3017" s="118" t="n">
        <v>1.05</v>
      </c>
      <c r="R3017" s="117" t="n"/>
      <c r="T3017" s="117" t="n"/>
      <c r="AC3017" s="118" t="n"/>
      <c r="AD3017" s="118" t="n"/>
      <c r="AE3017" s="118" t="n"/>
      <c r="AF3017" s="118" t="n"/>
      <c r="AG3017" s="118" t="n"/>
      <c r="AH3017" s="118" t="n"/>
      <c r="AI3017" s="118" t="n"/>
      <c r="AJ3017" s="118" t="n"/>
      <c r="AK3017" s="118" t="n"/>
      <c r="AL3017" s="118" t="n"/>
      <c r="AM3017" s="118" t="n"/>
      <c r="AN3017" s="118" t="n"/>
    </row>
    <row r="3018">
      <c r="A3018" s="128" t="inlineStr">
        <is>
          <t>3005</t>
        </is>
      </c>
      <c r="B3018" s="246" t="inlineStr">
        <is>
          <t>AERO AZUL CLASICO</t>
        </is>
      </c>
      <c r="C3018" s="88" t="n">
        <v>38800</v>
      </c>
      <c r="D3018" s="88">
        <f>ROUND((C3018*1.07)/100,0)*100</f>
        <v/>
      </c>
      <c r="E3018" s="88">
        <f>ROUND((C3018*1.15)/100,0)*100</f>
        <v/>
      </c>
      <c r="F3018" s="88">
        <f>ROUND((C3018*1.15)/100,0)*100</f>
        <v/>
      </c>
      <c r="G3018" s="88">
        <f>ROUND((C3018*1.21)/100,0)*100</f>
        <v/>
      </c>
      <c r="H3018" s="219" t="n"/>
      <c r="I3018" s="219" t="n"/>
      <c r="J3018" s="219" t="n"/>
      <c r="K3018" s="219" t="n"/>
      <c r="L3018" s="88">
        <f>ROUND((Q3018*C3018)/100,0)*100</f>
        <v/>
      </c>
      <c r="M3018" s="88" t="n"/>
      <c r="N3018" s="88" t="n"/>
      <c r="O3018" s="88" t="n"/>
      <c r="P3018" s="88" t="n"/>
      <c r="Q3018" s="118" t="n">
        <v>1.05</v>
      </c>
      <c r="R3018" s="117" t="n"/>
      <c r="T3018" s="117" t="n"/>
      <c r="AC3018" s="118" t="n"/>
      <c r="AD3018" s="118" t="n"/>
      <c r="AE3018" s="118" t="n"/>
      <c r="AF3018" s="118" t="n"/>
      <c r="AG3018" s="118" t="n"/>
      <c r="AH3018" s="118" t="n"/>
      <c r="AI3018" s="118" t="n"/>
      <c r="AJ3018" s="118" t="n"/>
      <c r="AK3018" s="118" t="n"/>
      <c r="AL3018" s="118" t="n"/>
      <c r="AM3018" s="118" t="n"/>
      <c r="AN3018" s="118" t="n"/>
    </row>
    <row r="3019">
      <c r="A3019" s="128" t="inlineStr">
        <is>
          <t>3015</t>
        </is>
      </c>
      <c r="B3019" s="246" t="inlineStr">
        <is>
          <t>AERO RIB-TOP</t>
        </is>
      </c>
      <c r="C3019" s="88" t="n">
        <v>49300</v>
      </c>
      <c r="D3019" s="88">
        <f>ROUND((C3019*1.07)/100,0)*100</f>
        <v/>
      </c>
      <c r="E3019" s="88">
        <f>ROUND((C3019*1.15)/100,0)*100</f>
        <v/>
      </c>
      <c r="F3019" s="88">
        <f>ROUND((C3019*1.15)/100,0)*100</f>
        <v/>
      </c>
      <c r="G3019" s="88">
        <f>ROUND((C3019*1.21)/100,0)*100</f>
        <v/>
      </c>
      <c r="H3019" s="219" t="n"/>
      <c r="I3019" s="219" t="n"/>
      <c r="J3019" s="219" t="n"/>
      <c r="K3019" s="219" t="n"/>
      <c r="L3019" s="88">
        <f>ROUND((Q3019*C3019)/100,0)*100</f>
        <v/>
      </c>
      <c r="M3019" s="88" t="n"/>
      <c r="N3019" s="88" t="n"/>
      <c r="O3019" s="88" t="n"/>
      <c r="P3019" s="88" t="n"/>
      <c r="Q3019" s="118" t="n">
        <v>1.05</v>
      </c>
      <c r="R3019" s="117" t="n"/>
      <c r="T3019" s="117" t="n"/>
      <c r="AC3019" s="118" t="n"/>
      <c r="AD3019" s="118" t="n"/>
      <c r="AE3019" s="118" t="n"/>
      <c r="AF3019" s="118" t="n"/>
      <c r="AG3019" s="118" t="n"/>
      <c r="AH3019" s="118" t="n"/>
      <c r="AI3019" s="118" t="n"/>
      <c r="AJ3019" s="118" t="n"/>
      <c r="AK3019" s="118" t="n"/>
      <c r="AL3019" s="118" t="n"/>
      <c r="AM3019" s="118" t="n"/>
      <c r="AN3019" s="118" t="n"/>
    </row>
    <row r="3020">
      <c r="A3020" s="128" t="inlineStr">
        <is>
          <t>3020</t>
        </is>
      </c>
      <c r="B3020" s="246" t="inlineStr">
        <is>
          <t>AERO GABARDINA CORTE JEAN</t>
        </is>
      </c>
      <c r="C3020" s="88" t="n">
        <v>49300</v>
      </c>
      <c r="D3020" s="88">
        <f>ROUND((C3020*1.07)/100,0)*100</f>
        <v/>
      </c>
      <c r="E3020" s="88">
        <f>ROUND((C3020*1.15)/100,0)*100</f>
        <v/>
      </c>
      <c r="F3020" s="88">
        <f>ROUND((C3020*1.15)/100,0)*100</f>
        <v/>
      </c>
      <c r="G3020" s="88">
        <f>ROUND((C3020*1.21)/100,0)*100</f>
        <v/>
      </c>
      <c r="H3020" s="219" t="n"/>
      <c r="I3020" s="219" t="n"/>
      <c r="J3020" s="219" t="n"/>
      <c r="K3020" s="219" t="n"/>
      <c r="L3020" s="88">
        <f>ROUND((Q3020*C3020)/100,0)*100</f>
        <v/>
      </c>
      <c r="M3020" s="88" t="n"/>
      <c r="N3020" s="88" t="n"/>
      <c r="O3020" s="88" t="n"/>
      <c r="P3020" s="88" t="n"/>
      <c r="Q3020" s="118" t="n">
        <v>1.05</v>
      </c>
      <c r="R3020" s="117" t="n"/>
      <c r="T3020" s="117" t="n"/>
      <c r="AC3020" s="118" t="n"/>
      <c r="AD3020" s="118" t="n"/>
      <c r="AE3020" s="118" t="n"/>
      <c r="AF3020" s="118" t="n"/>
      <c r="AG3020" s="118" t="n"/>
      <c r="AH3020" s="118" t="n"/>
      <c r="AI3020" s="118" t="n"/>
      <c r="AJ3020" s="118" t="n"/>
      <c r="AK3020" s="118" t="n"/>
      <c r="AL3020" s="118" t="n"/>
      <c r="AM3020" s="118" t="n"/>
      <c r="AN3020" s="118" t="n"/>
    </row>
    <row r="3021">
      <c r="A3021" s="128" t="inlineStr">
        <is>
          <t>3022</t>
        </is>
      </c>
      <c r="B3021" s="246" t="inlineStr">
        <is>
          <t>AERO GABARDINA CORTE JEAN</t>
        </is>
      </c>
      <c r="C3021" s="88" t="n">
        <v>49300</v>
      </c>
      <c r="D3021" s="88">
        <f>ROUND((C3021*1.07)/100,0)*100</f>
        <v/>
      </c>
      <c r="E3021" s="88">
        <f>ROUND((C3021*1.15)/100,0)*100</f>
        <v/>
      </c>
      <c r="F3021" s="88">
        <f>ROUND((C3021*1.15)/100,0)*100</f>
        <v/>
      </c>
      <c r="G3021" s="88">
        <f>ROUND((C3021*1.21)/100,0)*100</f>
        <v/>
      </c>
      <c r="H3021" s="219" t="n"/>
      <c r="I3021" s="219" t="n"/>
      <c r="J3021" s="219" t="n"/>
      <c r="K3021" s="219" t="n"/>
      <c r="L3021" s="88">
        <f>ROUND((Q3021*C3021)/100,0)*100</f>
        <v/>
      </c>
      <c r="M3021" s="88" t="n"/>
      <c r="N3021" s="88" t="n"/>
      <c r="O3021" s="88" t="n"/>
      <c r="P3021" s="88" t="n"/>
      <c r="Q3021" s="118" t="n">
        <v>1.05</v>
      </c>
      <c r="R3021" s="117" t="n"/>
      <c r="T3021" s="117" t="n"/>
      <c r="AC3021" s="118" t="n"/>
      <c r="AD3021" s="118" t="n"/>
      <c r="AE3021" s="118" t="n"/>
      <c r="AF3021" s="118" t="n"/>
      <c r="AG3021" s="118" t="n"/>
      <c r="AH3021" s="118" t="n"/>
      <c r="AI3021" s="118" t="n"/>
      <c r="AJ3021" s="118" t="n"/>
      <c r="AK3021" s="118" t="n"/>
      <c r="AL3021" s="118" t="n"/>
      <c r="AM3021" s="118" t="n"/>
      <c r="AN3021" s="118" t="n"/>
    </row>
    <row r="3022">
      <c r="A3022" s="128" t="inlineStr">
        <is>
          <t>30221</t>
        </is>
      </c>
      <c r="B3022" s="246" t="inlineStr">
        <is>
          <t>KORCEL GABARDINA JEAN</t>
        </is>
      </c>
      <c r="C3022" s="88" t="n">
        <v>53400</v>
      </c>
      <c r="D3022" s="88">
        <f>ROUND((C3022*1.07)/100,0)*100</f>
        <v/>
      </c>
      <c r="E3022" s="88">
        <f>ROUND((C3022*1.15)/100,0)*100</f>
        <v/>
      </c>
      <c r="F3022" s="88">
        <f>ROUND((C3022*1.15)/100,0)*100</f>
        <v/>
      </c>
      <c r="G3022" s="88">
        <f>ROUND((C3022*1.21)/100,0)*100</f>
        <v/>
      </c>
      <c r="H3022" s="219" t="n"/>
      <c r="I3022" s="219" t="n"/>
      <c r="J3022" s="219" t="n"/>
      <c r="K3022" s="219" t="n"/>
      <c r="L3022" s="88">
        <f>ROUND((Q3022*C3022)/100,0)*100</f>
        <v/>
      </c>
      <c r="M3022" s="88" t="n"/>
      <c r="N3022" s="88" t="n"/>
      <c r="O3022" s="88" t="n"/>
      <c r="P3022" s="88" t="n"/>
      <c r="Q3022" s="118" t="n">
        <v>1.05</v>
      </c>
      <c r="R3022" s="117" t="n"/>
      <c r="T3022" s="117" t="n"/>
      <c r="AC3022" s="118" t="n"/>
      <c r="AD3022" s="118" t="n"/>
      <c r="AE3022" s="118" t="n"/>
      <c r="AF3022" s="118" t="n"/>
      <c r="AG3022" s="118" t="n"/>
      <c r="AH3022" s="118" t="n"/>
      <c r="AI3022" s="118" t="n"/>
      <c r="AJ3022" s="118" t="n"/>
      <c r="AK3022" s="118" t="n"/>
      <c r="AL3022" s="118" t="n"/>
      <c r="AM3022" s="118" t="n"/>
      <c r="AN3022" s="118" t="n"/>
    </row>
    <row r="3023">
      <c r="A3023" s="128" t="inlineStr">
        <is>
          <t>30222</t>
        </is>
      </c>
      <c r="B3023" s="246" t="inlineStr">
        <is>
          <t>PRINGLES JOGGER CARGO</t>
        </is>
      </c>
      <c r="C3023" s="88" t="n">
        <v>81900</v>
      </c>
      <c r="D3023" s="88">
        <f>ROUND((C3023*1.07)/100,0)*100</f>
        <v/>
      </c>
      <c r="E3023" s="88">
        <f>ROUND((C3023*1.15)/100,0)*100</f>
        <v/>
      </c>
      <c r="F3023" s="88">
        <f>ROUND((C3023*1.15)/100,0)*100</f>
        <v/>
      </c>
      <c r="G3023" s="88">
        <f>ROUND((C3023*1.21)/100,0)*100</f>
        <v/>
      </c>
      <c r="H3023" s="219" t="n"/>
      <c r="I3023" s="219" t="n"/>
      <c r="J3023" s="219" t="n"/>
      <c r="K3023" s="219" t="n"/>
      <c r="L3023" s="88">
        <f>ROUND((Q3023*C3023)/100,0)*100</f>
        <v/>
      </c>
      <c r="M3023" s="88" t="n"/>
      <c r="N3023" s="88" t="n"/>
      <c r="O3023" s="88" t="n"/>
      <c r="P3023" s="88" t="n"/>
      <c r="Q3023" s="118" t="n">
        <v>1.05</v>
      </c>
      <c r="R3023" s="117" t="n"/>
      <c r="T3023" s="117" t="n"/>
      <c r="AC3023" s="118" t="n"/>
      <c r="AD3023" s="118" t="n"/>
      <c r="AE3023" s="118" t="n"/>
      <c r="AF3023" s="118" t="n"/>
      <c r="AG3023" s="118" t="n"/>
      <c r="AH3023" s="118" t="n"/>
      <c r="AI3023" s="118" t="n"/>
      <c r="AJ3023" s="118" t="n"/>
      <c r="AK3023" s="118" t="n"/>
      <c r="AL3023" s="118" t="n"/>
      <c r="AM3023" s="118" t="n"/>
      <c r="AN3023" s="118" t="n"/>
    </row>
    <row r="3024">
      <c r="A3024" s="128" t="inlineStr">
        <is>
          <t>3031</t>
        </is>
      </c>
      <c r="B3024" s="246" t="inlineStr">
        <is>
          <t>AERO JEAN LOCALIZADO</t>
        </is>
      </c>
      <c r="C3024" s="88" t="n">
        <v>49300</v>
      </c>
      <c r="D3024" s="88">
        <f>ROUND((C3024*1.07)/100,0)*100</f>
        <v/>
      </c>
      <c r="E3024" s="88">
        <f>ROUND((C3024*1.15)/100,0)*100</f>
        <v/>
      </c>
      <c r="F3024" s="88">
        <f>ROUND((C3024*1.15)/100,0)*100</f>
        <v/>
      </c>
      <c r="G3024" s="88">
        <f>ROUND((C3024*1.21)/100,0)*100</f>
        <v/>
      </c>
      <c r="H3024" s="219" t="n"/>
      <c r="I3024" s="219" t="n"/>
      <c r="J3024" s="219" t="n"/>
      <c r="K3024" s="219" t="n"/>
      <c r="L3024" s="88">
        <f>ROUND((Q3024*C3024)/100,0)*100</f>
        <v/>
      </c>
      <c r="M3024" s="88" t="n"/>
      <c r="N3024" s="88" t="n"/>
      <c r="O3024" s="88" t="n"/>
      <c r="P3024" s="88" t="n"/>
      <c r="Q3024" s="118" t="n">
        <v>1.05</v>
      </c>
      <c r="R3024" s="117" t="n"/>
      <c r="T3024" s="117" t="n"/>
      <c r="AC3024" s="118" t="n"/>
      <c r="AD3024" s="118" t="n"/>
      <c r="AE3024" s="118" t="n"/>
      <c r="AF3024" s="118" t="n"/>
      <c r="AG3024" s="118" t="n"/>
      <c r="AH3024" s="118" t="n"/>
      <c r="AI3024" s="118" t="n"/>
      <c r="AJ3024" s="118" t="n"/>
      <c r="AK3024" s="118" t="n"/>
      <c r="AL3024" s="118" t="n"/>
      <c r="AM3024" s="118" t="n"/>
      <c r="AN3024" s="118" t="n"/>
    </row>
    <row r="3025">
      <c r="A3025" s="128" t="inlineStr">
        <is>
          <t>3038</t>
        </is>
      </c>
      <c r="B3025" s="246" t="inlineStr">
        <is>
          <t>AERO</t>
        </is>
      </c>
      <c r="C3025" s="88" t="n">
        <v>49300</v>
      </c>
      <c r="D3025" s="88">
        <f>ROUND((C3025*1.07)/100,0)*100</f>
        <v/>
      </c>
      <c r="E3025" s="88">
        <f>ROUND((C3025*1.15)/100,0)*100</f>
        <v/>
      </c>
      <c r="F3025" s="88">
        <f>ROUND((C3025*1.15)/100,0)*100</f>
        <v/>
      </c>
      <c r="G3025" s="88">
        <f>ROUND((C3025*1.21)/100,0)*100</f>
        <v/>
      </c>
      <c r="H3025" s="219" t="n"/>
      <c r="I3025" s="219" t="n"/>
      <c r="J3025" s="219" t="n"/>
      <c r="K3025" s="219" t="n"/>
      <c r="L3025" s="88">
        <f>ROUND((Q3025*C3025)/100,0)*100</f>
        <v/>
      </c>
      <c r="M3025" s="88" t="n"/>
      <c r="N3025" s="88" t="n"/>
      <c r="O3025" s="88" t="n"/>
      <c r="P3025" s="88" t="n"/>
      <c r="Q3025" s="118" t="n">
        <v>1.05</v>
      </c>
      <c r="R3025" s="117" t="n"/>
      <c r="T3025" s="117" t="n"/>
      <c r="AC3025" s="118" t="n"/>
      <c r="AD3025" s="118" t="n"/>
      <c r="AE3025" s="118" t="n"/>
      <c r="AF3025" s="118" t="n"/>
      <c r="AG3025" s="118" t="n"/>
      <c r="AH3025" s="118" t="n"/>
      <c r="AI3025" s="118" t="n"/>
      <c r="AJ3025" s="118" t="n"/>
      <c r="AK3025" s="118" t="n"/>
      <c r="AL3025" s="118" t="n"/>
      <c r="AM3025" s="118" t="n"/>
      <c r="AN3025" s="118" t="n"/>
    </row>
    <row r="3026">
      <c r="A3026" s="177" t="inlineStr">
        <is>
          <t>004062XX</t>
        </is>
      </c>
      <c r="B3026" s="135" t="inlineStr">
        <is>
          <t>TAVERNITI JEAN</t>
        </is>
      </c>
      <c r="C3026" s="88" t="n">
        <v>79000</v>
      </c>
      <c r="D3026" s="170" t="n"/>
      <c r="E3026" s="170" t="n"/>
      <c r="F3026" s="105" t="n"/>
      <c r="G3026" s="105" t="n"/>
      <c r="H3026" s="105" t="n"/>
      <c r="I3026" s="170" t="n"/>
      <c r="J3026" s="105" t="n"/>
      <c r="K3026" s="105" t="n"/>
      <c r="L3026" s="227">
        <f>ROUND((Q3026*C3026)/100,0)*100</f>
        <v/>
      </c>
      <c r="M3026" s="105" t="n"/>
      <c r="N3026" s="30" t="n"/>
      <c r="O3026" s="30" t="n"/>
      <c r="P3026" s="170" t="n"/>
      <c r="Q3026" s="96" t="n">
        <v>1.05</v>
      </c>
      <c r="R3026" s="170" t="n"/>
      <c r="S3026" s="30" t="n"/>
      <c r="T3026" s="170" t="n"/>
      <c r="U3026" s="30" t="n"/>
      <c r="V3026" s="30" t="n"/>
      <c r="W3026" s="30" t="n"/>
      <c r="X3026" s="30" t="n"/>
      <c r="Y3026" s="30" t="n"/>
      <c r="Z3026" s="30" t="n"/>
      <c r="AA3026" s="30" t="n"/>
      <c r="AB3026" s="30" t="n"/>
      <c r="AC3026" s="30" t="n"/>
      <c r="AD3026" s="30" t="n"/>
      <c r="AE3026" s="30" t="n"/>
      <c r="AF3026" s="30" t="n"/>
      <c r="AG3026" s="30" t="n"/>
      <c r="AH3026" s="30" t="n"/>
      <c r="AI3026" s="30" t="n"/>
      <c r="AJ3026" s="30" t="n"/>
      <c r="AK3026" s="30" t="n"/>
      <c r="AL3026" s="30" t="n"/>
      <c r="AM3026" s="30" t="n"/>
      <c r="AN3026" s="30" t="n"/>
      <c r="AO3026" s="30" t="n"/>
    </row>
    <row r="3027">
      <c r="A3027" s="177" t="inlineStr">
        <is>
          <t>00476XXX</t>
        </is>
      </c>
      <c r="B3027" s="135" t="inlineStr">
        <is>
          <t>TAVERNITI JEAN</t>
        </is>
      </c>
      <c r="C3027" s="88" t="n">
        <v>81000</v>
      </c>
      <c r="D3027" s="170" t="n"/>
      <c r="E3027" s="170" t="n"/>
      <c r="F3027" s="105" t="n"/>
      <c r="G3027" s="105" t="n"/>
      <c r="H3027" s="105" t="n"/>
      <c r="I3027" s="170" t="n"/>
      <c r="J3027" s="105" t="n"/>
      <c r="K3027" s="105" t="n"/>
      <c r="L3027" s="227">
        <f>ROUND((Q3027*C3027)/100,0)*100</f>
        <v/>
      </c>
      <c r="M3027" s="105" t="n"/>
      <c r="N3027" s="30" t="n"/>
      <c r="O3027" s="30" t="n"/>
      <c r="P3027" s="170" t="n"/>
      <c r="Q3027" s="118" t="n">
        <v>1.05</v>
      </c>
      <c r="R3027" s="170" t="n"/>
      <c r="S3027" s="30" t="n"/>
      <c r="T3027" s="170" t="n"/>
      <c r="U3027" s="30" t="n"/>
      <c r="V3027" s="30" t="n"/>
      <c r="W3027" s="30" t="n"/>
      <c r="X3027" s="30" t="n"/>
      <c r="Y3027" s="30" t="n"/>
      <c r="Z3027" s="30" t="n"/>
      <c r="AA3027" s="30" t="n"/>
      <c r="AB3027" s="30" t="n"/>
      <c r="AC3027" s="30" t="n"/>
      <c r="AD3027" s="30" t="n"/>
      <c r="AE3027" s="30" t="n"/>
      <c r="AF3027" s="30" t="n"/>
      <c r="AG3027" s="30" t="n"/>
      <c r="AH3027" s="30" t="n"/>
      <c r="AI3027" s="30" t="n"/>
      <c r="AJ3027" s="30" t="n"/>
      <c r="AK3027" s="30" t="n"/>
      <c r="AL3027" s="30" t="n"/>
      <c r="AM3027" s="30" t="n"/>
      <c r="AN3027" s="30" t="n"/>
      <c r="AO3027" s="30" t="n"/>
    </row>
    <row r="3028">
      <c r="A3028" s="181" t="inlineStr">
        <is>
          <t>138236</t>
        </is>
      </c>
      <c r="B3028" s="246" t="inlineStr">
        <is>
          <t>TAVERNITI JEAN</t>
        </is>
      </c>
      <c r="C3028" s="88" t="n">
        <v>81000</v>
      </c>
      <c r="D3028" s="219" t="n"/>
      <c r="E3028" s="219" t="n"/>
      <c r="F3028" s="180" t="n"/>
      <c r="G3028" s="180" t="n"/>
      <c r="H3028" s="180" t="n"/>
      <c r="I3028" s="219" t="n"/>
      <c r="J3028" s="180" t="n"/>
      <c r="K3028" s="180" t="n"/>
      <c r="L3028" s="180">
        <f>ROUND((Q3028*C3028)/100,0)*100</f>
        <v/>
      </c>
      <c r="M3028" s="180" t="n"/>
      <c r="P3028" s="117" t="n"/>
      <c r="Q3028" s="118" t="n">
        <v>1.05</v>
      </c>
      <c r="R3028" s="117" t="n"/>
      <c r="T3028" s="117" t="n"/>
      <c r="AD3028" s="118" t="n"/>
      <c r="AE3028" s="118" t="n"/>
      <c r="AF3028" s="118" t="n"/>
      <c r="AG3028" s="118" t="n"/>
      <c r="AH3028" s="118" t="n"/>
      <c r="AI3028" s="118" t="n"/>
      <c r="AJ3028" s="118" t="n"/>
      <c r="AK3028" s="118" t="n"/>
      <c r="AL3028" s="118" t="n"/>
      <c r="AM3028" s="118" t="n"/>
      <c r="AN3028" s="118" t="n"/>
    </row>
    <row r="3029">
      <c r="A3029" s="181" t="inlineStr">
        <is>
          <t>138237</t>
        </is>
      </c>
      <c r="B3029" s="246" t="inlineStr">
        <is>
          <t>TAVERNITI JEAN</t>
        </is>
      </c>
      <c r="C3029" s="88" t="n">
        <v>81000</v>
      </c>
      <c r="D3029" s="219" t="n"/>
      <c r="E3029" s="219" t="n"/>
      <c r="F3029" s="180" t="n"/>
      <c r="G3029" s="180" t="n"/>
      <c r="H3029" s="180" t="n"/>
      <c r="I3029" s="180" t="n"/>
      <c r="J3029" s="180" t="n"/>
      <c r="K3029" s="180" t="n"/>
      <c r="L3029" s="180">
        <f>ROUND((Q3029*C3029)/100,0)*100</f>
        <v/>
      </c>
      <c r="M3029" s="180" t="n"/>
      <c r="P3029" s="117" t="n"/>
      <c r="Q3029" s="118" t="n">
        <v>1.05</v>
      </c>
      <c r="R3029" s="117" t="n"/>
      <c r="T3029" s="117" t="n"/>
    </row>
    <row r="3030">
      <c r="A3030" s="181" t="inlineStr">
        <is>
          <t>138525</t>
        </is>
      </c>
      <c r="B3030" s="246" t="inlineStr">
        <is>
          <t>TAVERNITI JEAN</t>
        </is>
      </c>
      <c r="C3030" s="88" t="n">
        <v>81000</v>
      </c>
      <c r="D3030" s="219" t="n"/>
      <c r="E3030" s="219" t="n"/>
      <c r="F3030" s="180" t="n"/>
      <c r="G3030" s="180" t="n"/>
      <c r="H3030" s="180" t="n"/>
      <c r="I3030" s="180" t="n"/>
      <c r="J3030" s="180" t="n"/>
      <c r="K3030" s="180" t="n"/>
      <c r="L3030" s="180">
        <f>ROUND((Q3030*C3030)/100,0)*100</f>
        <v/>
      </c>
      <c r="M3030" s="180" t="n"/>
      <c r="P3030" s="117" t="n"/>
      <c r="Q3030" s="118" t="n">
        <v>1.05</v>
      </c>
      <c r="R3030" s="117" t="n"/>
      <c r="T3030" s="117" t="n"/>
    </row>
    <row r="3031">
      <c r="A3031" s="181" t="inlineStr">
        <is>
          <t>138603</t>
        </is>
      </c>
      <c r="B3031" s="246" t="inlineStr">
        <is>
          <t>TAVERNITI JEAN</t>
        </is>
      </c>
      <c r="C3031" s="88" t="n">
        <v>81000</v>
      </c>
      <c r="D3031" s="219" t="n"/>
      <c r="E3031" s="219" t="n"/>
      <c r="F3031" s="180" t="n"/>
      <c r="G3031" s="180" t="n"/>
      <c r="H3031" s="180" t="n"/>
      <c r="I3031" s="180" t="n"/>
      <c r="J3031" s="180" t="n"/>
      <c r="K3031" s="180" t="n">
        <v>1.06</v>
      </c>
      <c r="L3031" s="180">
        <f>ROUND((Q3031*C3031)/100,0)*100</f>
        <v/>
      </c>
      <c r="M3031" s="180" t="n"/>
      <c r="P3031" s="117" t="n"/>
      <c r="Q3031" s="118" t="n">
        <v>1.05</v>
      </c>
      <c r="R3031" s="117" t="n"/>
      <c r="T3031" s="117" t="n"/>
    </row>
    <row r="3032">
      <c r="A3032" s="181" t="inlineStr">
        <is>
          <t>138712</t>
        </is>
      </c>
      <c r="B3032" s="246" t="inlineStr">
        <is>
          <t>TAVERNITI JEAN</t>
        </is>
      </c>
      <c r="C3032" s="88" t="n">
        <v>81000</v>
      </c>
      <c r="D3032" s="219" t="n"/>
      <c r="E3032" s="219" t="n"/>
      <c r="F3032" s="180" t="n"/>
      <c r="G3032" s="180" t="n"/>
      <c r="H3032" s="180" t="n"/>
      <c r="I3032" s="180" t="n"/>
      <c r="J3032" s="180" t="n"/>
      <c r="K3032" s="180" t="n"/>
      <c r="L3032" s="180">
        <f>ROUND((Q3032*C3032)/100,0)*100</f>
        <v/>
      </c>
      <c r="M3032" s="180" t="n"/>
      <c r="P3032" s="117" t="n"/>
      <c r="Q3032" s="118" t="n">
        <v>1.05</v>
      </c>
      <c r="R3032" s="117" t="n"/>
      <c r="T3032" s="117" t="n"/>
    </row>
    <row r="3033">
      <c r="A3033" s="134" t="inlineStr">
        <is>
          <t>138912</t>
        </is>
      </c>
      <c r="B3033" s="246" t="inlineStr">
        <is>
          <t>TAVERNITI JEAN</t>
        </is>
      </c>
      <c r="C3033" s="88" t="n">
        <v>81000</v>
      </c>
      <c r="D3033" s="219" t="n"/>
      <c r="E3033" s="219" t="n"/>
      <c r="F3033" s="219" t="n"/>
      <c r="G3033" s="219" t="n"/>
      <c r="H3033" s="180" t="n"/>
      <c r="I3033" s="219" t="n"/>
      <c r="J3033" s="219" t="n"/>
      <c r="K3033" s="219" t="n"/>
      <c r="L3033" s="219">
        <f>ROUND((Q3033*C3033)/100,0)*100</f>
        <v/>
      </c>
      <c r="M3033" s="219" t="n"/>
      <c r="P3033" s="117" t="n"/>
      <c r="Q3033" s="118" t="n">
        <v>1.05</v>
      </c>
      <c r="R3033" s="117" t="n"/>
      <c r="T3033" s="117" t="n"/>
    </row>
    <row r="3034">
      <c r="A3034" s="134" t="inlineStr">
        <is>
          <t>234525</t>
        </is>
      </c>
      <c r="B3034" s="246" t="inlineStr">
        <is>
          <t>TAVERNITI JEAN</t>
        </is>
      </c>
      <c r="C3034" s="88" t="n">
        <v>81000</v>
      </c>
      <c r="D3034" s="219" t="n"/>
      <c r="E3034" s="219" t="n"/>
      <c r="F3034" s="219" t="n"/>
      <c r="G3034" s="219" t="n"/>
      <c r="H3034" s="180" t="n"/>
      <c r="I3034" s="219" t="n"/>
      <c r="J3034" s="219" t="n"/>
      <c r="K3034" s="219" t="n"/>
      <c r="L3034" s="219">
        <f>ROUND((Q3034*C3034)/100,0)*100</f>
        <v/>
      </c>
      <c r="M3034" s="219" t="n"/>
      <c r="P3034" s="117" t="n"/>
      <c r="Q3034" s="118" t="n">
        <v>1.05</v>
      </c>
      <c r="R3034" s="117" t="n"/>
      <c r="T3034" s="117" t="n"/>
    </row>
    <row r="3035">
      <c r="A3035" s="134" t="inlineStr">
        <is>
          <t>246450</t>
        </is>
      </c>
      <c r="B3035" s="246" t="inlineStr">
        <is>
          <t>TAVERNITI JEAN</t>
        </is>
      </c>
      <c r="C3035" s="88" t="n">
        <v>81000</v>
      </c>
      <c r="D3035" s="219" t="n"/>
      <c r="E3035" s="219" t="n"/>
      <c r="F3035" s="219" t="n"/>
      <c r="G3035" s="219" t="n"/>
      <c r="H3035" s="180" t="n"/>
      <c r="I3035" s="219" t="n"/>
      <c r="J3035" s="219" t="n"/>
      <c r="K3035" s="219" t="n"/>
      <c r="L3035" s="219">
        <f>ROUND((Q3035*C3035)/100,0)*100</f>
        <v/>
      </c>
      <c r="M3035" s="219" t="n"/>
      <c r="P3035" s="117" t="n"/>
      <c r="Q3035" s="118" t="n">
        <v>1.05</v>
      </c>
      <c r="R3035" s="117" t="n"/>
      <c r="T3035" s="117" t="n"/>
    </row>
    <row r="3036">
      <c r="A3036" s="134" t="inlineStr">
        <is>
          <t>258204</t>
        </is>
      </c>
      <c r="B3036" s="246" t="inlineStr">
        <is>
          <t>TAVERNITI JEAN</t>
        </is>
      </c>
      <c r="C3036" s="88" t="n">
        <v>81000</v>
      </c>
      <c r="D3036" s="219" t="n"/>
      <c r="E3036" s="219" t="n"/>
      <c r="F3036" s="219" t="n"/>
      <c r="G3036" s="219" t="n"/>
      <c r="H3036" s="180" t="n"/>
      <c r="I3036" s="219" t="n"/>
      <c r="J3036" s="219" t="n"/>
      <c r="K3036" s="219" t="n"/>
      <c r="L3036" s="219">
        <f>ROUND((Q3036*C3036)/100,0)*100</f>
        <v/>
      </c>
      <c r="M3036" s="219" t="n"/>
      <c r="P3036" s="117" t="n"/>
      <c r="Q3036" s="118" t="n">
        <v>1.05</v>
      </c>
      <c r="R3036" s="117" t="n"/>
      <c r="T3036" s="117" t="n"/>
    </row>
    <row r="3037">
      <c r="A3037" s="134" t="inlineStr">
        <is>
          <t>258525</t>
        </is>
      </c>
      <c r="B3037" s="246" t="inlineStr">
        <is>
          <t>TAVERNITI JEAN</t>
        </is>
      </c>
      <c r="C3037" s="88" t="n">
        <v>81000</v>
      </c>
      <c r="D3037" s="219" t="n"/>
      <c r="E3037" s="219" t="n"/>
      <c r="F3037" s="219" t="n"/>
      <c r="G3037" s="219" t="n"/>
      <c r="H3037" s="180" t="n"/>
      <c r="I3037" s="219" t="n"/>
      <c r="J3037" s="219" t="n"/>
      <c r="K3037" s="219" t="n"/>
      <c r="L3037" s="219">
        <f>ROUND((Q3037*C3037)/100,0)*100</f>
        <v/>
      </c>
      <c r="M3037" s="219" t="n"/>
      <c r="P3037" s="117" t="n"/>
      <c r="Q3037" s="118" t="n">
        <v>1.05</v>
      </c>
      <c r="R3037" s="117" t="n"/>
      <c r="T3037" s="117" t="n"/>
    </row>
    <row r="3038">
      <c r="A3038" s="134" t="inlineStr">
        <is>
          <t>260412</t>
        </is>
      </c>
      <c r="B3038" s="246" t="inlineStr">
        <is>
          <t>TAVERNITI JEAN</t>
        </is>
      </c>
      <c r="C3038" s="88" t="n">
        <v>81000</v>
      </c>
      <c r="D3038" s="219" t="n"/>
      <c r="E3038" s="219" t="n"/>
      <c r="F3038" s="219" t="n"/>
      <c r="G3038" s="219" t="n"/>
      <c r="H3038" s="180" t="n"/>
      <c r="I3038" s="219" t="n"/>
      <c r="J3038" s="219" t="n"/>
      <c r="K3038" s="219" t="n"/>
      <c r="L3038" s="219">
        <f>ROUND((Q3038*C3038)/100,0)*100</f>
        <v/>
      </c>
      <c r="M3038" s="219" t="n"/>
      <c r="P3038" s="117" t="n"/>
      <c r="Q3038" s="118" t="n">
        <v>1.05</v>
      </c>
      <c r="R3038" s="117" t="n"/>
      <c r="T3038" s="117" t="n"/>
    </row>
    <row r="3039">
      <c r="A3039" s="134" t="inlineStr">
        <is>
          <t>260710</t>
        </is>
      </c>
      <c r="B3039" s="246" t="inlineStr">
        <is>
          <t>TAVERNITI JEAN</t>
        </is>
      </c>
      <c r="C3039" s="88" t="n">
        <v>81000</v>
      </c>
      <c r="D3039" s="219" t="n"/>
      <c r="E3039" s="219" t="n"/>
      <c r="F3039" s="219" t="n"/>
      <c r="G3039" s="219" t="n"/>
      <c r="H3039" s="180" t="n"/>
      <c r="I3039" s="219" t="n"/>
      <c r="J3039" s="219" t="n"/>
      <c r="K3039" s="219" t="n"/>
      <c r="L3039" s="219">
        <f>ROUND((Q3039*C3039)/100,0)*100</f>
        <v/>
      </c>
      <c r="M3039" s="219" t="n"/>
      <c r="P3039" s="117" t="n"/>
      <c r="Q3039" s="118" t="n">
        <v>1.05</v>
      </c>
      <c r="R3039" s="117" t="n"/>
      <c r="T3039" s="117" t="n"/>
    </row>
    <row r="3040">
      <c r="A3040" s="134" t="inlineStr">
        <is>
          <t>260712</t>
        </is>
      </c>
      <c r="B3040" s="246" t="inlineStr">
        <is>
          <t>TAVERNITI JEAN</t>
        </is>
      </c>
      <c r="C3040" s="88" t="n">
        <v>81000</v>
      </c>
      <c r="D3040" s="219" t="n"/>
      <c r="E3040" s="219" t="n"/>
      <c r="F3040" s="219" t="n"/>
      <c r="G3040" s="219" t="n"/>
      <c r="H3040" s="180" t="n"/>
      <c r="I3040" s="219" t="n"/>
      <c r="J3040" s="219" t="n"/>
      <c r="K3040" s="219" t="n"/>
      <c r="L3040" s="219">
        <f>ROUND((Q3040*C3040)/100,0)*100</f>
        <v/>
      </c>
      <c r="M3040" s="219" t="n"/>
      <c r="P3040" s="117" t="n"/>
      <c r="Q3040" s="118" t="n">
        <v>1.05</v>
      </c>
      <c r="R3040" s="117" t="n"/>
      <c r="T3040" s="117" t="n"/>
    </row>
    <row r="3041">
      <c r="A3041" s="134" t="inlineStr">
        <is>
          <t>260920</t>
        </is>
      </c>
      <c r="B3041" s="246" t="inlineStr">
        <is>
          <t>TAVERNITI JEAN</t>
        </is>
      </c>
      <c r="C3041" s="88" t="n">
        <v>81000</v>
      </c>
      <c r="D3041" s="219" t="n"/>
      <c r="E3041" s="219" t="n"/>
      <c r="F3041" s="219" t="n"/>
      <c r="G3041" s="219" t="n"/>
      <c r="H3041" s="180" t="n"/>
      <c r="I3041" s="219" t="n"/>
      <c r="J3041" s="219" t="n"/>
      <c r="K3041" s="219" t="n"/>
      <c r="L3041" s="219">
        <f>ROUND((Q3041*C3041)/100,0)*100</f>
        <v/>
      </c>
      <c r="M3041" s="219" t="n"/>
      <c r="P3041" s="117" t="n"/>
      <c r="Q3041" s="118" t="n">
        <v>1.05</v>
      </c>
      <c r="R3041" s="117" t="n"/>
      <c r="T3041" s="117" t="n"/>
    </row>
    <row r="3042">
      <c r="A3042" s="134" t="inlineStr">
        <is>
          <t>260922</t>
        </is>
      </c>
      <c r="B3042" s="246" t="inlineStr">
        <is>
          <t>TAVERNITI JEAN</t>
        </is>
      </c>
      <c r="C3042" s="88" t="n">
        <v>81000</v>
      </c>
      <c r="D3042" s="219" t="n"/>
      <c r="E3042" s="219" t="n"/>
      <c r="F3042" s="219" t="n"/>
      <c r="G3042" s="219" t="n"/>
      <c r="H3042" s="180" t="n"/>
      <c r="I3042" s="219" t="n"/>
      <c r="J3042" s="219" t="n"/>
      <c r="K3042" s="219" t="n"/>
      <c r="L3042" s="219">
        <f>ROUND((Q3042*C3042)/100,0)*100</f>
        <v/>
      </c>
      <c r="M3042" s="219" t="n"/>
      <c r="P3042" s="117" t="n"/>
      <c r="Q3042" s="118" t="n">
        <v>1.05</v>
      </c>
      <c r="R3042" s="117" t="n"/>
      <c r="T3042" s="117" t="n"/>
    </row>
    <row r="3043">
      <c r="A3043" s="134" t="inlineStr">
        <is>
          <t>266237</t>
        </is>
      </c>
      <c r="B3043" s="246" t="inlineStr">
        <is>
          <t>TAVERNITI JEAN</t>
        </is>
      </c>
      <c r="C3043" s="88" t="n">
        <v>81000</v>
      </c>
      <c r="D3043" s="219" t="n"/>
      <c r="E3043" s="219" t="n"/>
      <c r="F3043" s="219" t="n"/>
      <c r="G3043" s="219" t="n"/>
      <c r="H3043" s="180" t="n"/>
      <c r="I3043" s="219" t="n"/>
      <c r="J3043" s="219" t="n"/>
      <c r="K3043" s="219" t="n"/>
      <c r="L3043" s="219">
        <f>ROUND((Q3043*C3043)/100,0)*100</f>
        <v/>
      </c>
      <c r="M3043" s="219" t="n"/>
      <c r="P3043" s="117" t="n"/>
      <c r="Q3043" s="118" t="n">
        <v>1.05</v>
      </c>
      <c r="R3043" s="117" t="n"/>
      <c r="T3043" s="117" t="n"/>
    </row>
    <row r="3044">
      <c r="A3044" s="134" t="inlineStr">
        <is>
          <t>276710</t>
        </is>
      </c>
      <c r="B3044" s="246" t="inlineStr">
        <is>
          <t>TAVERNITI JEAN</t>
        </is>
      </c>
      <c r="C3044" s="88" t="n">
        <v>81000</v>
      </c>
      <c r="D3044" s="219" t="n"/>
      <c r="E3044" s="219" t="n"/>
      <c r="F3044" s="219" t="n"/>
      <c r="G3044" s="219" t="n"/>
      <c r="H3044" s="180" t="n"/>
      <c r="I3044" s="219" t="n"/>
      <c r="J3044" s="219" t="n"/>
      <c r="K3044" s="219" t="n"/>
      <c r="L3044" s="219">
        <f>ROUND((Q3044*C3044)/100,0)*100</f>
        <v/>
      </c>
      <c r="M3044" s="219" t="n"/>
      <c r="P3044" s="117" t="n"/>
      <c r="Q3044" s="118" t="n">
        <v>1.05</v>
      </c>
      <c r="R3044" s="117" t="n"/>
      <c r="T3044" s="117" t="n"/>
    </row>
    <row r="3045">
      <c r="A3045" s="134" t="inlineStr">
        <is>
          <t>286683</t>
        </is>
      </c>
      <c r="B3045" s="246" t="inlineStr">
        <is>
          <t>TAVERNITI JEAN</t>
        </is>
      </c>
      <c r="C3045" s="88" t="n">
        <v>81000</v>
      </c>
      <c r="D3045" s="219" t="n"/>
      <c r="E3045" s="219" t="n"/>
      <c r="F3045" s="219" t="n"/>
      <c r="G3045" s="219" t="n"/>
      <c r="H3045" s="180" t="n"/>
      <c r="I3045" s="219" t="n"/>
      <c r="J3045" s="219" t="n"/>
      <c r="K3045" s="219" t="n"/>
      <c r="L3045" s="219">
        <f>ROUND((Q3045*C3045)/100,0)*100</f>
        <v/>
      </c>
      <c r="M3045" s="219" t="n"/>
      <c r="P3045" s="117" t="n"/>
      <c r="Q3045" s="118" t="n">
        <v>1.05</v>
      </c>
      <c r="R3045" s="117" t="n"/>
      <c r="T3045" s="117" t="n"/>
    </row>
    <row r="3046">
      <c r="A3046" s="134" t="inlineStr">
        <is>
          <t>298570</t>
        </is>
      </c>
      <c r="B3046" s="246" t="inlineStr">
        <is>
          <t>TAVERNITI JEAN</t>
        </is>
      </c>
      <c r="C3046" s="88" t="n">
        <v>81000</v>
      </c>
      <c r="D3046" s="219" t="n"/>
      <c r="E3046" s="219" t="n"/>
      <c r="F3046" s="219" t="n"/>
      <c r="G3046" s="219" t="n"/>
      <c r="H3046" s="180" t="n"/>
      <c r="I3046" s="219" t="n"/>
      <c r="J3046" s="219" t="n"/>
      <c r="K3046" s="219" t="n"/>
      <c r="L3046" s="219">
        <f>ROUND((Q3046*C3046)/100,0)*100</f>
        <v/>
      </c>
      <c r="M3046" s="219" t="n"/>
      <c r="P3046" s="117" t="n"/>
      <c r="Q3046" s="118" t="n">
        <v>1.05</v>
      </c>
      <c r="R3046" s="117" t="n"/>
      <c r="T3046" s="117" t="n"/>
    </row>
    <row r="3047">
      <c r="A3047" s="134" t="inlineStr">
        <is>
          <t>298204</t>
        </is>
      </c>
      <c r="B3047" s="246" t="inlineStr">
        <is>
          <t>TAVERNITI JEAN</t>
        </is>
      </c>
      <c r="C3047" s="88" t="n">
        <v>81000</v>
      </c>
      <c r="D3047" s="219" t="n"/>
      <c r="E3047" s="219" t="n"/>
      <c r="F3047" s="219" t="n"/>
      <c r="G3047" s="219" t="n"/>
      <c r="H3047" s="180" t="n"/>
      <c r="I3047" s="219" t="n"/>
      <c r="J3047" s="219" t="n"/>
      <c r="K3047" s="219" t="n"/>
      <c r="L3047" s="219">
        <f>ROUND((Q3047*C3047)/100,0)*100</f>
        <v/>
      </c>
      <c r="M3047" s="219" t="n"/>
      <c r="P3047" s="117" t="n"/>
      <c r="Q3047" s="118" t="n">
        <v>1.05</v>
      </c>
      <c r="R3047" s="117" t="n"/>
      <c r="T3047" s="117" t="n"/>
    </row>
    <row r="3048">
      <c r="A3048" s="134" t="inlineStr">
        <is>
          <t>298920</t>
        </is>
      </c>
      <c r="B3048" s="246" t="inlineStr">
        <is>
          <t>TAVERNITI JEAN</t>
        </is>
      </c>
      <c r="C3048" s="88" t="n">
        <v>81000</v>
      </c>
      <c r="D3048" s="219" t="n"/>
      <c r="E3048" s="219" t="n"/>
      <c r="F3048" s="219" t="n"/>
      <c r="G3048" s="219" t="n"/>
      <c r="H3048" s="180" t="n"/>
      <c r="I3048" s="219" t="n"/>
      <c r="J3048" s="219" t="n"/>
      <c r="K3048" s="219" t="n"/>
      <c r="L3048" s="219">
        <f>ROUND((Q3048*C3048)/100,0)*100</f>
        <v/>
      </c>
      <c r="M3048" s="219" t="n"/>
      <c r="P3048" s="117" t="n"/>
      <c r="Q3048" s="118" t="n">
        <v>1.05</v>
      </c>
      <c r="R3048" s="117" t="n"/>
      <c r="T3048" s="117" t="n"/>
    </row>
    <row r="3049">
      <c r="A3049" s="134" t="inlineStr">
        <is>
          <t>300450</t>
        </is>
      </c>
      <c r="B3049" s="246" t="inlineStr">
        <is>
          <t>TAVERNITI JEAN</t>
        </is>
      </c>
      <c r="C3049" s="88" t="n">
        <v>81000</v>
      </c>
      <c r="D3049" s="219" t="n"/>
      <c r="E3049" s="219" t="n"/>
      <c r="F3049" s="219" t="n"/>
      <c r="G3049" s="219" t="n"/>
      <c r="H3049" s="180" t="n"/>
      <c r="I3049" s="219" t="n"/>
      <c r="J3049" s="219" t="n"/>
      <c r="K3049" s="219" t="n"/>
      <c r="L3049" s="219">
        <f>ROUND((Q3049*C3049)/100,0)*100</f>
        <v/>
      </c>
      <c r="M3049" s="219" t="n"/>
      <c r="P3049" s="117" t="n"/>
      <c r="Q3049" s="118" t="n">
        <v>1.05</v>
      </c>
      <c r="R3049" s="117" t="n"/>
      <c r="T3049" s="117" t="n"/>
    </row>
    <row r="3050">
      <c r="A3050" s="134" t="inlineStr">
        <is>
          <t>31420X</t>
        </is>
      </c>
      <c r="B3050" s="246" t="inlineStr">
        <is>
          <t>TAVERNITI JEAN</t>
        </is>
      </c>
      <c r="C3050" s="88" t="n">
        <v>81000</v>
      </c>
      <c r="D3050" s="219" t="n"/>
      <c r="E3050" s="219" t="n"/>
      <c r="F3050" s="219" t="n"/>
      <c r="G3050" s="219" t="n"/>
      <c r="H3050" s="180" t="n"/>
      <c r="I3050" s="219" t="n"/>
      <c r="J3050" s="219" t="n"/>
      <c r="K3050" s="219" t="n"/>
      <c r="L3050" s="219">
        <f>ROUND((Q3050*C3050)/100,0)*100</f>
        <v/>
      </c>
      <c r="M3050" s="219" t="n"/>
      <c r="P3050" s="117" t="n"/>
      <c r="Q3050" s="118" t="n">
        <v>1.05</v>
      </c>
      <c r="R3050" s="117" t="n"/>
      <c r="T3050" s="117" t="n"/>
    </row>
    <row r="3051">
      <c r="A3051" s="134" t="inlineStr">
        <is>
          <t>314236</t>
        </is>
      </c>
      <c r="B3051" s="246" t="inlineStr">
        <is>
          <t>TAVERNITI JEAN</t>
        </is>
      </c>
      <c r="C3051" s="88" t="n">
        <v>81000</v>
      </c>
      <c r="D3051" s="219" t="n"/>
      <c r="E3051" s="219" t="n"/>
      <c r="F3051" s="219" t="n"/>
      <c r="G3051" s="219" t="n"/>
      <c r="H3051" s="180" t="n"/>
      <c r="I3051" s="219" t="n"/>
      <c r="J3051" s="219" t="n"/>
      <c r="K3051" s="219" t="n"/>
      <c r="L3051" s="219">
        <f>ROUND((Q3051*C3051)/100,0)*100</f>
        <v/>
      </c>
      <c r="M3051" s="219" t="n"/>
      <c r="P3051" s="117" t="n"/>
      <c r="Q3051" s="118" t="n">
        <v>1.05</v>
      </c>
      <c r="R3051" s="117" t="n"/>
      <c r="T3051" s="117" t="n"/>
    </row>
    <row r="3052">
      <c r="A3052" s="134" t="inlineStr">
        <is>
          <t>314237</t>
        </is>
      </c>
      <c r="B3052" s="246" t="inlineStr">
        <is>
          <t>TAVERNITI JEAN</t>
        </is>
      </c>
      <c r="C3052" s="88" t="n">
        <v>81000</v>
      </c>
      <c r="D3052" s="219" t="n"/>
      <c r="E3052" s="219" t="n"/>
      <c r="F3052" s="219" t="n"/>
      <c r="G3052" s="219" t="n"/>
      <c r="H3052" s="180" t="n"/>
      <c r="I3052" s="219" t="n"/>
      <c r="J3052" s="219" t="n"/>
      <c r="K3052" s="219" t="n"/>
      <c r="L3052" s="219">
        <f>ROUND((Q3052*C3052)/100,0)*100</f>
        <v/>
      </c>
      <c r="M3052" s="219" t="n"/>
      <c r="P3052" s="117" t="n"/>
      <c r="Q3052" s="118" t="n">
        <v>1.05</v>
      </c>
      <c r="R3052" s="117" t="n"/>
      <c r="T3052" s="117" t="n"/>
    </row>
    <row r="3053">
      <c r="A3053" s="134" t="inlineStr">
        <is>
          <t>314239</t>
        </is>
      </c>
      <c r="B3053" s="246" t="inlineStr">
        <is>
          <t>TAVERNITI JEAN</t>
        </is>
      </c>
      <c r="C3053" s="88" t="n">
        <v>81000</v>
      </c>
      <c r="D3053" s="219" t="n"/>
      <c r="E3053" s="219" t="n"/>
      <c r="F3053" s="219" t="n"/>
      <c r="G3053" s="219" t="n"/>
      <c r="H3053" s="180" t="n"/>
      <c r="I3053" s="219" t="n"/>
      <c r="J3053" s="219" t="n"/>
      <c r="K3053" s="219" t="n"/>
      <c r="L3053" s="219">
        <f>ROUND((Q3053*C3053)/100,0)*100</f>
        <v/>
      </c>
      <c r="M3053" s="219" t="n"/>
      <c r="P3053" s="117" t="n"/>
      <c r="Q3053" s="118" t="n">
        <v>1.05</v>
      </c>
      <c r="R3053" s="117" t="n"/>
      <c r="T3053" s="117" t="n"/>
    </row>
    <row r="3054">
      <c r="A3054" s="134" t="inlineStr">
        <is>
          <t>314450</t>
        </is>
      </c>
      <c r="B3054" s="246" t="inlineStr">
        <is>
          <t>TAVERNITI JEAN</t>
        </is>
      </c>
      <c r="C3054" s="88" t="n">
        <v>81000</v>
      </c>
      <c r="D3054" s="219" t="n"/>
      <c r="E3054" s="219" t="n"/>
      <c r="F3054" s="219" t="n"/>
      <c r="G3054" s="219" t="n"/>
      <c r="H3054" s="180" t="n"/>
      <c r="I3054" s="219" t="n"/>
      <c r="J3054" s="219" t="n"/>
      <c r="K3054" s="219" t="n"/>
      <c r="L3054" s="219">
        <f>ROUND((Q3054*C3054)/100,0)*100</f>
        <v/>
      </c>
      <c r="M3054" s="219" t="n"/>
      <c r="P3054" s="117" t="n"/>
      <c r="Q3054" s="118" t="n">
        <v>1.05</v>
      </c>
      <c r="R3054" s="117" t="n"/>
      <c r="T3054" s="117" t="n"/>
    </row>
    <row r="3055">
      <c r="A3055" s="134" t="inlineStr">
        <is>
          <t>314451</t>
        </is>
      </c>
      <c r="B3055" s="246" t="inlineStr">
        <is>
          <t>TAVERNITI JEAN</t>
        </is>
      </c>
      <c r="C3055" s="88" t="n">
        <v>81000</v>
      </c>
      <c r="D3055" s="219" t="n"/>
      <c r="E3055" s="219" t="n"/>
      <c r="F3055" s="219" t="n"/>
      <c r="G3055" s="219" t="n"/>
      <c r="H3055" s="180" t="n"/>
      <c r="I3055" s="219" t="n"/>
      <c r="J3055" s="219" t="n"/>
      <c r="K3055" s="219" t="n"/>
      <c r="L3055" s="219">
        <f>ROUND((Q3055*C3055)/100,0)*100</f>
        <v/>
      </c>
      <c r="M3055" s="219" t="n"/>
      <c r="P3055" s="117" t="n"/>
      <c r="Q3055" s="118" t="n">
        <v>1.05</v>
      </c>
      <c r="R3055" s="117" t="n"/>
      <c r="T3055" s="117" t="n"/>
    </row>
    <row r="3056">
      <c r="A3056" s="89" t="inlineStr">
        <is>
          <t>003145XX</t>
        </is>
      </c>
      <c r="B3056" s="135" t="inlineStr">
        <is>
          <t>TAVERNITI JEAN</t>
        </is>
      </c>
      <c r="C3056" s="88" t="n">
        <v>81000</v>
      </c>
      <c r="D3056" s="170" t="n"/>
      <c r="E3056" s="170" t="n"/>
      <c r="F3056" s="170" t="n"/>
      <c r="G3056" s="170" t="n"/>
      <c r="H3056" s="227" t="n"/>
      <c r="I3056" s="170" t="n"/>
      <c r="J3056" s="170" t="n"/>
      <c r="K3056" s="170" t="n"/>
      <c r="L3056" s="170">
        <f>ROUND((Q3056*C3056)/100,0)*100</f>
        <v/>
      </c>
      <c r="M3056" s="170" t="n"/>
      <c r="N3056" s="30" t="n"/>
      <c r="O3056" s="30" t="n"/>
      <c r="P3056" s="170" t="n"/>
      <c r="Q3056" s="118" t="n">
        <v>1.05</v>
      </c>
      <c r="R3056" s="170" t="n"/>
      <c r="S3056" s="30" t="n"/>
      <c r="T3056" s="170" t="n"/>
      <c r="U3056" s="30" t="n"/>
      <c r="V3056" s="30" t="n"/>
      <c r="W3056" s="30" t="n"/>
      <c r="X3056" s="30" t="n"/>
      <c r="Y3056" s="30" t="n"/>
      <c r="Z3056" s="30" t="n"/>
      <c r="AA3056" s="30" t="n"/>
      <c r="AB3056" s="30" t="n"/>
      <c r="AC3056" s="30" t="n"/>
      <c r="AD3056" s="30" t="n"/>
      <c r="AE3056" s="30" t="n"/>
      <c r="AF3056" s="30" t="n"/>
      <c r="AG3056" s="30" t="n"/>
      <c r="AH3056" s="30" t="n"/>
      <c r="AI3056" s="30" t="n"/>
      <c r="AJ3056" s="30" t="n"/>
      <c r="AK3056" s="30" t="n"/>
      <c r="AL3056" s="30" t="n"/>
      <c r="AM3056" s="30" t="n"/>
      <c r="AN3056" s="30" t="n"/>
    </row>
    <row r="3057">
      <c r="A3057" s="134" t="inlineStr">
        <is>
          <t>314568</t>
        </is>
      </c>
      <c r="B3057" s="246" t="inlineStr">
        <is>
          <t>TAVERNITI JEAN</t>
        </is>
      </c>
      <c r="C3057" s="88" t="n">
        <v>81000</v>
      </c>
      <c r="D3057" s="219" t="n"/>
      <c r="E3057" s="219" t="n"/>
      <c r="F3057" s="219" t="n"/>
      <c r="G3057" s="219" t="n"/>
      <c r="H3057" s="180" t="n"/>
      <c r="I3057" s="219" t="n"/>
      <c r="J3057" s="219" t="n"/>
      <c r="K3057" s="219" t="n"/>
      <c r="L3057" s="219">
        <f>ROUND((Q3057*C3057)/100,0)*100</f>
        <v/>
      </c>
      <c r="M3057" s="219" t="n"/>
      <c r="P3057" s="117" t="n"/>
      <c r="Q3057" s="118" t="n">
        <v>1.05</v>
      </c>
      <c r="R3057" s="117" t="n"/>
      <c r="T3057" s="117" t="n"/>
    </row>
    <row r="3058">
      <c r="A3058" s="134" t="inlineStr">
        <is>
          <t>314683</t>
        </is>
      </c>
      <c r="B3058" s="246" t="inlineStr">
        <is>
          <t>TAVERNITI JEAN</t>
        </is>
      </c>
      <c r="C3058" s="88" t="n">
        <v>81000</v>
      </c>
      <c r="D3058" s="219" t="n"/>
      <c r="E3058" s="219" t="n"/>
      <c r="F3058" s="219" t="n"/>
      <c r="G3058" s="219" t="n"/>
      <c r="H3058" s="180" t="n"/>
      <c r="I3058" s="219" t="n"/>
      <c r="J3058" s="219" t="n"/>
      <c r="K3058" s="219" t="n"/>
      <c r="L3058" s="219">
        <f>ROUND((Q3058*C3058)/100,0)*100</f>
        <v/>
      </c>
      <c r="M3058" s="219" t="n"/>
      <c r="P3058" s="117" t="n"/>
      <c r="Q3058" s="118" t="n">
        <v>1.05</v>
      </c>
      <c r="R3058" s="117" t="n"/>
      <c r="T3058" s="117" t="n"/>
    </row>
    <row r="3059">
      <c r="A3059" s="134" t="inlineStr">
        <is>
          <t>314711</t>
        </is>
      </c>
      <c r="B3059" s="246" t="inlineStr">
        <is>
          <t>TAVERNITI JEAN</t>
        </is>
      </c>
      <c r="C3059" s="88" t="n">
        <v>81000</v>
      </c>
      <c r="D3059" s="219" t="n"/>
      <c r="E3059" s="219" t="n"/>
      <c r="F3059" s="219" t="n"/>
      <c r="G3059" s="219" t="n"/>
      <c r="H3059" s="180" t="n"/>
      <c r="I3059" s="219" t="n"/>
      <c r="J3059" s="219" t="n"/>
      <c r="K3059" s="219" t="n"/>
      <c r="L3059" s="219">
        <f>ROUND((Q3059*C3059)/100,0)*100</f>
        <v/>
      </c>
      <c r="M3059" s="219" t="n"/>
      <c r="P3059" s="117" t="n"/>
      <c r="Q3059" s="118" t="n">
        <v>1.05</v>
      </c>
      <c r="R3059" s="117" t="n"/>
      <c r="T3059" s="117" t="n"/>
    </row>
    <row r="3060">
      <c r="A3060" s="134" t="inlineStr">
        <is>
          <t>314712</t>
        </is>
      </c>
      <c r="B3060" s="246" t="inlineStr">
        <is>
          <t>TAVERNITI JEAN</t>
        </is>
      </c>
      <c r="C3060" s="88" t="n">
        <v>81000</v>
      </c>
      <c r="D3060" s="219" t="n"/>
      <c r="E3060" s="219" t="n"/>
      <c r="F3060" s="219" t="n"/>
      <c r="G3060" s="219" t="n"/>
      <c r="H3060" s="180" t="n"/>
      <c r="I3060" s="219" t="n"/>
      <c r="J3060" s="219" t="n"/>
      <c r="K3060" s="219" t="n"/>
      <c r="L3060" s="219">
        <f>ROUND((Q3060*C3060)/100,0)*100</f>
        <v/>
      </c>
      <c r="M3060" s="219" t="n"/>
      <c r="P3060" s="117" t="n"/>
      <c r="Q3060" s="118" t="n">
        <v>1.05</v>
      </c>
      <c r="R3060" s="117" t="n"/>
      <c r="T3060" s="117" t="n"/>
    </row>
    <row r="3061">
      <c r="A3061" s="134" t="inlineStr">
        <is>
          <t>314912</t>
        </is>
      </c>
      <c r="B3061" s="246" t="inlineStr">
        <is>
          <t>TAVERNITI JEAN</t>
        </is>
      </c>
      <c r="C3061" s="88" t="n">
        <v>81000</v>
      </c>
      <c r="D3061" s="219" t="n"/>
      <c r="E3061" s="219" t="n"/>
      <c r="F3061" s="219" t="n"/>
      <c r="G3061" s="219" t="n"/>
      <c r="H3061" s="180" t="n"/>
      <c r="I3061" s="219" t="n"/>
      <c r="J3061" s="219" t="n"/>
      <c r="K3061" s="219" t="n"/>
      <c r="L3061" s="219">
        <f>ROUND((Q3061*C3061)/100,0)*100</f>
        <v/>
      </c>
      <c r="M3061" s="219" t="n"/>
      <c r="P3061" s="117" t="n"/>
      <c r="Q3061" s="118" t="n">
        <v>1.05</v>
      </c>
      <c r="R3061" s="117" t="n"/>
      <c r="T3061" s="117" t="n"/>
    </row>
    <row r="3062">
      <c r="A3062" s="134" t="inlineStr">
        <is>
          <t>314913</t>
        </is>
      </c>
      <c r="B3062" s="246" t="inlineStr">
        <is>
          <t>TAVERNITI JEAN</t>
        </is>
      </c>
      <c r="C3062" s="88" t="n">
        <v>81000</v>
      </c>
      <c r="D3062" s="219" t="n"/>
      <c r="E3062" s="219" t="n"/>
      <c r="F3062" s="219" t="n"/>
      <c r="G3062" s="219" t="n"/>
      <c r="H3062" s="180" t="n"/>
      <c r="I3062" s="219" t="n"/>
      <c r="J3062" s="219" t="n"/>
      <c r="K3062" s="219" t="n"/>
      <c r="L3062" s="219">
        <f>ROUND((Q3062*C3062)/100,0)*100</f>
        <v/>
      </c>
      <c r="M3062" s="219" t="n"/>
      <c r="P3062" s="117" t="n"/>
      <c r="Q3062" s="118" t="n">
        <v>1.05</v>
      </c>
      <c r="R3062" s="117" t="n"/>
      <c r="T3062" s="117" t="n"/>
    </row>
    <row r="3063">
      <c r="A3063" s="134" t="inlineStr">
        <is>
          <t>31802</t>
        </is>
      </c>
      <c r="B3063" s="246" t="inlineStr">
        <is>
          <t>TAVERNITI JEAN</t>
        </is>
      </c>
      <c r="C3063" s="88" t="n">
        <v>81000</v>
      </c>
      <c r="D3063" s="219" t="n"/>
      <c r="E3063" s="219" t="n"/>
      <c r="F3063" s="219" t="n"/>
      <c r="G3063" s="219" t="n"/>
      <c r="H3063" s="180" t="n"/>
      <c r="I3063" s="219" t="n"/>
      <c r="J3063" s="219" t="n"/>
      <c r="K3063" s="219" t="n"/>
      <c r="L3063" s="219">
        <f>ROUND((Q3063*C3063)/100,0)*100</f>
        <v/>
      </c>
      <c r="M3063" s="219" t="n"/>
      <c r="P3063" s="117" t="n"/>
      <c r="Q3063" s="118" t="n">
        <v>1.05</v>
      </c>
      <c r="R3063" s="117" t="n"/>
      <c r="T3063" s="117" t="n"/>
    </row>
    <row r="3064">
      <c r="A3064" s="134" t="inlineStr">
        <is>
          <t>342603/4</t>
        </is>
      </c>
      <c r="B3064" s="246" t="inlineStr">
        <is>
          <t>TAVERNITI JEAN</t>
        </is>
      </c>
      <c r="C3064" s="88" t="n">
        <v>81000</v>
      </c>
      <c r="D3064" s="219" t="n"/>
      <c r="E3064" s="219" t="n"/>
      <c r="F3064" s="219" t="n"/>
      <c r="G3064" s="219" t="n"/>
      <c r="H3064" s="180" t="n"/>
      <c r="I3064" s="219" t="n"/>
      <c r="J3064" s="219" t="n"/>
      <c r="K3064" s="219" t="n"/>
      <c r="L3064" s="219">
        <f>ROUND((Q3064*C3064)/100,0)*100</f>
        <v/>
      </c>
      <c r="M3064" s="219" t="n"/>
      <c r="P3064" s="117" t="n"/>
      <c r="Q3064" s="118" t="n">
        <v>1.05</v>
      </c>
      <c r="R3064" s="117" t="n"/>
      <c r="T3064" s="117" t="n"/>
    </row>
    <row r="3065">
      <c r="A3065" s="134" t="inlineStr">
        <is>
          <t>350207</t>
        </is>
      </c>
      <c r="B3065" s="246" t="inlineStr">
        <is>
          <t>TAVERNITI JEAN</t>
        </is>
      </c>
      <c r="C3065" s="88" t="n">
        <v>81000</v>
      </c>
      <c r="D3065" s="219" t="n"/>
      <c r="E3065" s="219" t="n"/>
      <c r="F3065" s="219" t="n"/>
      <c r="G3065" s="219" t="n"/>
      <c r="H3065" s="180" t="n"/>
      <c r="I3065" s="219" t="n"/>
      <c r="J3065" s="219" t="n"/>
      <c r="K3065" s="219" t="n"/>
      <c r="L3065" s="219">
        <f>ROUND((Q3065*C3065)/100,0)*100</f>
        <v/>
      </c>
      <c r="M3065" s="219" t="n"/>
      <c r="P3065" s="117" t="n"/>
      <c r="Q3065" s="118" t="n">
        <v>1.05</v>
      </c>
      <c r="R3065" s="117" t="n"/>
      <c r="T3065" s="117" t="n"/>
    </row>
    <row r="3066">
      <c r="A3066" s="134" t="inlineStr">
        <is>
          <t>350450</t>
        </is>
      </c>
      <c r="B3066" s="246" t="inlineStr">
        <is>
          <t>TAVERNITI JEAN</t>
        </is>
      </c>
      <c r="C3066" s="88" t="n">
        <v>81000</v>
      </c>
      <c r="D3066" s="219" t="n"/>
      <c r="E3066" s="219" t="n"/>
      <c r="F3066" s="219" t="n"/>
      <c r="G3066" s="219" t="n"/>
      <c r="H3066" s="180" t="n"/>
      <c r="I3066" s="219" t="n"/>
      <c r="J3066" s="219" t="n"/>
      <c r="K3066" s="219" t="n"/>
      <c r="L3066" s="219">
        <f>ROUND((Q3066*C3066)/100,0)*100</f>
        <v/>
      </c>
      <c r="M3066" s="219" t="n"/>
      <c r="P3066" s="117" t="n"/>
      <c r="Q3066" s="118" t="n">
        <v>1.05</v>
      </c>
      <c r="R3066" s="117" t="n"/>
      <c r="T3066" s="117" t="n"/>
    </row>
    <row r="3067">
      <c r="A3067" s="134" t="inlineStr">
        <is>
          <t>350912</t>
        </is>
      </c>
      <c r="B3067" s="246" t="inlineStr">
        <is>
          <t>TAVERNITI JEAN</t>
        </is>
      </c>
      <c r="C3067" s="88" t="n">
        <v>81000</v>
      </c>
      <c r="D3067" s="219" t="n"/>
      <c r="E3067" s="219" t="n"/>
      <c r="F3067" s="219" t="n"/>
      <c r="G3067" s="219" t="n"/>
      <c r="H3067" s="180" t="n"/>
      <c r="I3067" s="219" t="n"/>
      <c r="J3067" s="219" t="n"/>
      <c r="K3067" s="219" t="n"/>
      <c r="L3067" s="219">
        <f>ROUND((Q3067*C3067)/100,0)*100</f>
        <v/>
      </c>
      <c r="M3067" s="219" t="n"/>
      <c r="P3067" s="117" t="n"/>
      <c r="Q3067" s="118" t="n">
        <v>1.05</v>
      </c>
      <c r="R3067" s="117" t="n"/>
      <c r="T3067" s="117" t="n"/>
    </row>
    <row r="3068">
      <c r="A3068" s="134" t="inlineStr">
        <is>
          <t>360235</t>
        </is>
      </c>
      <c r="B3068" s="246" t="inlineStr">
        <is>
          <t>TAVERNITI JEAN</t>
        </is>
      </c>
      <c r="C3068" s="88" t="n">
        <v>81000</v>
      </c>
      <c r="D3068" s="219" t="n"/>
      <c r="E3068" s="219" t="n"/>
      <c r="F3068" s="219" t="n"/>
      <c r="G3068" s="219" t="n"/>
      <c r="H3068" s="180" t="n"/>
      <c r="I3068" s="219" t="n"/>
      <c r="J3068" s="219" t="n"/>
      <c r="K3068" s="219" t="n"/>
      <c r="L3068" s="219">
        <f>ROUND((Q3068*C3068)/100,0)*100</f>
        <v/>
      </c>
      <c r="M3068" s="219" t="n"/>
      <c r="P3068" s="117" t="n"/>
      <c r="Q3068" s="118" t="n">
        <v>1.05</v>
      </c>
      <c r="R3068" s="117" t="n"/>
      <c r="T3068" s="117" t="n"/>
    </row>
    <row r="3069">
      <c r="A3069" s="134" t="inlineStr">
        <is>
          <t>362525</t>
        </is>
      </c>
      <c r="B3069" s="246" t="inlineStr">
        <is>
          <t>TAVERNITI JEAN</t>
        </is>
      </c>
      <c r="C3069" s="88" t="n">
        <v>81000</v>
      </c>
      <c r="D3069" s="219" t="n"/>
      <c r="E3069" s="219" t="n"/>
      <c r="F3069" s="219" t="n"/>
      <c r="G3069" s="219" t="n"/>
      <c r="H3069" s="180" t="n"/>
      <c r="I3069" s="219" t="n"/>
      <c r="J3069" s="219" t="n"/>
      <c r="K3069" s="219" t="n"/>
      <c r="L3069" s="219">
        <f>ROUND((Q3069*C3069)/100,0)*100</f>
        <v/>
      </c>
      <c r="M3069" s="219" t="n"/>
      <c r="P3069" s="117" t="n"/>
      <c r="Q3069" s="118" t="n">
        <v>1.05</v>
      </c>
      <c r="R3069" s="117" t="n"/>
      <c r="T3069" s="117" t="n"/>
    </row>
    <row r="3070">
      <c r="A3070" s="134" t="inlineStr">
        <is>
          <t>362705</t>
        </is>
      </c>
      <c r="B3070" s="246" t="inlineStr">
        <is>
          <t>TAVERNITI JEAN</t>
        </is>
      </c>
      <c r="C3070" s="88" t="n">
        <v>81000</v>
      </c>
      <c r="D3070" s="219" t="n"/>
      <c r="E3070" s="219" t="n"/>
      <c r="F3070" s="219" t="n"/>
      <c r="G3070" s="219" t="n"/>
      <c r="H3070" s="180" t="n"/>
      <c r="I3070" s="219" t="n"/>
      <c r="J3070" s="219" t="n"/>
      <c r="K3070" s="219" t="n"/>
      <c r="L3070" s="219">
        <f>ROUND((Q3070*C3070)/100,0)*100</f>
        <v/>
      </c>
      <c r="M3070" s="219" t="n"/>
      <c r="P3070" s="117" t="n"/>
      <c r="Q3070" s="118" t="n">
        <v>1.05</v>
      </c>
      <c r="R3070" s="117" t="n"/>
      <c r="T3070" s="117" t="n"/>
    </row>
    <row r="3071">
      <c r="A3071" s="134" t="inlineStr">
        <is>
          <t>364536</t>
        </is>
      </c>
      <c r="B3071" s="246" t="inlineStr">
        <is>
          <t>TAVERNITI JEAN</t>
        </is>
      </c>
      <c r="C3071" s="88" t="n">
        <v>81000</v>
      </c>
      <c r="D3071" s="219" t="n"/>
      <c r="E3071" s="219" t="n"/>
      <c r="F3071" s="219" t="n"/>
      <c r="G3071" s="219" t="n"/>
      <c r="H3071" s="180" t="n"/>
      <c r="I3071" s="219" t="n"/>
      <c r="J3071" s="219" t="n"/>
      <c r="K3071" s="219" t="n"/>
      <c r="L3071" s="219">
        <f>ROUND((Q3071*C3071)/100,0)*100</f>
        <v/>
      </c>
      <c r="M3071" s="219" t="n"/>
      <c r="P3071" s="117" t="n"/>
      <c r="Q3071" s="118" t="n">
        <v>1.05</v>
      </c>
      <c r="R3071" s="117" t="n"/>
      <c r="T3071" s="117" t="n"/>
    </row>
    <row r="3072">
      <c r="A3072" s="134" t="inlineStr">
        <is>
          <t>364711</t>
        </is>
      </c>
      <c r="B3072" s="246" t="inlineStr">
        <is>
          <t>TAVERNITI JEAN</t>
        </is>
      </c>
      <c r="C3072" s="88" t="n">
        <v>81000</v>
      </c>
      <c r="D3072" s="219" t="n"/>
      <c r="E3072" s="219" t="n"/>
      <c r="F3072" s="219" t="n"/>
      <c r="G3072" s="219" t="n"/>
      <c r="H3072" s="180" t="n"/>
      <c r="I3072" s="219" t="n"/>
      <c r="J3072" s="219" t="n"/>
      <c r="K3072" s="219" t="n"/>
      <c r="L3072" s="219">
        <f>ROUND((Q3072*C3072)/100,0)*100</f>
        <v/>
      </c>
      <c r="M3072" s="219" t="n"/>
      <c r="P3072" s="117" t="n"/>
      <c r="Q3072" s="118" t="n">
        <v>1.05</v>
      </c>
      <c r="R3072" s="117" t="n"/>
      <c r="T3072" s="117" t="n"/>
    </row>
    <row r="3073">
      <c r="A3073" s="134" t="inlineStr">
        <is>
          <t>368237</t>
        </is>
      </c>
      <c r="B3073" s="246" t="inlineStr">
        <is>
          <t>TAVERNITI JEAN</t>
        </is>
      </c>
      <c r="C3073" s="88" t="n">
        <v>81000</v>
      </c>
      <c r="D3073" s="219" t="n"/>
      <c r="E3073" s="219" t="n"/>
      <c r="F3073" s="219" t="n"/>
      <c r="G3073" s="219" t="n"/>
      <c r="H3073" s="180" t="n"/>
      <c r="I3073" s="219" t="n"/>
      <c r="J3073" s="219" t="n"/>
      <c r="K3073" s="219" t="n"/>
      <c r="L3073" s="219">
        <f>ROUND((Q3073*C3073)/100,0)*100</f>
        <v/>
      </c>
      <c r="M3073" s="219" t="n"/>
      <c r="P3073" s="117" t="n"/>
      <c r="Q3073" s="118" t="n">
        <v>1.05</v>
      </c>
      <c r="R3073" s="117" t="n"/>
      <c r="T3073" s="117" t="n"/>
    </row>
    <row r="3074">
      <c r="A3074" s="134" t="inlineStr">
        <is>
          <t>368450</t>
        </is>
      </c>
      <c r="B3074" s="246" t="inlineStr">
        <is>
          <t>TAVERNITI JEAN</t>
        </is>
      </c>
      <c r="C3074" s="88" t="n">
        <v>81000</v>
      </c>
      <c r="D3074" s="219" t="n"/>
      <c r="E3074" s="219" t="n"/>
      <c r="F3074" s="219" t="n"/>
      <c r="G3074" s="219" t="n"/>
      <c r="H3074" s="180" t="n"/>
      <c r="I3074" s="219" t="n"/>
      <c r="J3074" s="219" t="n"/>
      <c r="K3074" s="219" t="n"/>
      <c r="L3074" s="219">
        <f>ROUND((Q3074*C3074)/100,0)*100</f>
        <v/>
      </c>
      <c r="M3074" s="219" t="n"/>
      <c r="P3074" s="117" t="n"/>
      <c r="Q3074" s="118" t="n">
        <v>1.05</v>
      </c>
      <c r="R3074" s="117" t="n"/>
      <c r="T3074" s="117" t="n"/>
    </row>
    <row r="3075">
      <c r="A3075" s="134" t="inlineStr">
        <is>
          <t>368452</t>
        </is>
      </c>
      <c r="B3075" s="246" t="inlineStr">
        <is>
          <t>TAVERNITI JEAN</t>
        </is>
      </c>
      <c r="C3075" s="88" t="n">
        <v>81000</v>
      </c>
      <c r="D3075" s="219" t="n"/>
      <c r="E3075" s="219" t="n"/>
      <c r="F3075" s="219" t="n"/>
      <c r="G3075" s="219" t="n"/>
      <c r="H3075" s="180" t="n"/>
      <c r="I3075" s="219" t="n"/>
      <c r="J3075" s="219" t="n"/>
      <c r="K3075" s="219" t="n"/>
      <c r="L3075" s="219">
        <f>ROUND((Q3075*C3075)/100,0)*100</f>
        <v/>
      </c>
      <c r="M3075" s="219" t="n"/>
      <c r="P3075" s="117" t="n"/>
      <c r="Q3075" s="118" t="n">
        <v>1.05</v>
      </c>
      <c r="R3075" s="117" t="n"/>
      <c r="T3075" s="117" t="n"/>
    </row>
    <row r="3076">
      <c r="A3076" s="134" t="inlineStr">
        <is>
          <t>368524</t>
        </is>
      </c>
      <c r="B3076" s="246" t="inlineStr">
        <is>
          <t>TAVERNITI JEAN</t>
        </is>
      </c>
      <c r="C3076" s="88" t="n">
        <v>81000</v>
      </c>
      <c r="D3076" s="219" t="n"/>
      <c r="E3076" s="219" t="n"/>
      <c r="F3076" s="219" t="n"/>
      <c r="G3076" s="219" t="n"/>
      <c r="H3076" s="180" t="n"/>
      <c r="I3076" s="219" t="n"/>
      <c r="J3076" s="219" t="n"/>
      <c r="K3076" s="219" t="n"/>
      <c r="L3076" s="219">
        <f>ROUND((Q3076*C3076)/100,0)*100</f>
        <v/>
      </c>
      <c r="M3076" s="219" t="n"/>
      <c r="P3076" s="117" t="n"/>
      <c r="Q3076" s="118" t="n">
        <v>1.05</v>
      </c>
      <c r="R3076" s="117" t="n"/>
      <c r="T3076" s="117" t="n"/>
    </row>
    <row r="3077">
      <c r="A3077" s="134" t="inlineStr">
        <is>
          <t>368525</t>
        </is>
      </c>
      <c r="B3077" s="246" t="inlineStr">
        <is>
          <t>TAVERNITI JEAN</t>
        </is>
      </c>
      <c r="C3077" s="88" t="n">
        <v>81000</v>
      </c>
      <c r="D3077" s="219" t="n"/>
      <c r="E3077" s="219" t="n"/>
      <c r="F3077" s="219" t="n"/>
      <c r="G3077" s="219" t="n"/>
      <c r="H3077" s="180" t="n"/>
      <c r="I3077" s="219" t="n"/>
      <c r="J3077" s="219" t="n"/>
      <c r="K3077" s="219" t="n"/>
      <c r="L3077" s="219">
        <f>ROUND((Q3077*C3077)/100,0)*100</f>
        <v/>
      </c>
      <c r="M3077" s="219" t="n"/>
      <c r="P3077" s="117" t="n"/>
      <c r="Q3077" s="118" t="n">
        <v>1.05</v>
      </c>
      <c r="R3077" s="117" t="n"/>
      <c r="T3077" s="117" t="n"/>
    </row>
    <row r="3078">
      <c r="A3078" s="134" t="inlineStr">
        <is>
          <t>368568</t>
        </is>
      </c>
      <c r="B3078" s="246" t="inlineStr">
        <is>
          <t>TAVERNITI JEAN</t>
        </is>
      </c>
      <c r="C3078" s="88" t="n">
        <v>81000</v>
      </c>
      <c r="D3078" s="219" t="n"/>
      <c r="E3078" s="219" t="n"/>
      <c r="F3078" s="219" t="n"/>
      <c r="G3078" s="219" t="n"/>
      <c r="H3078" s="180" t="n"/>
      <c r="I3078" s="219" t="n"/>
      <c r="J3078" s="219" t="n"/>
      <c r="K3078" s="219" t="n"/>
      <c r="L3078" s="219">
        <f>ROUND((Q3078*C3078)/100,0)*100</f>
        <v/>
      </c>
      <c r="M3078" s="219" t="n"/>
      <c r="P3078" s="117" t="n"/>
      <c r="Q3078" s="118" t="n">
        <v>1.05</v>
      </c>
      <c r="R3078" s="117" t="n"/>
      <c r="T3078" s="117" t="n"/>
    </row>
    <row r="3079">
      <c r="A3079" s="134" t="inlineStr">
        <is>
          <t>368603</t>
        </is>
      </c>
      <c r="B3079" s="246" t="inlineStr">
        <is>
          <t>TAVERNITI JEAN</t>
        </is>
      </c>
      <c r="C3079" s="88" t="n">
        <v>81000</v>
      </c>
      <c r="D3079" s="219" t="n"/>
      <c r="E3079" s="219" t="n"/>
      <c r="F3079" s="219" t="n"/>
      <c r="G3079" s="219" t="n"/>
      <c r="H3079" s="180" t="n"/>
      <c r="I3079" s="219" t="n"/>
      <c r="J3079" s="219" t="n"/>
      <c r="K3079" s="219" t="n"/>
      <c r="L3079" s="219">
        <f>ROUND((Q3079*C3079)/100,0)*100</f>
        <v/>
      </c>
      <c r="M3079" s="219" t="n"/>
      <c r="P3079" s="117" t="n"/>
      <c r="Q3079" s="118" t="n">
        <v>1.05</v>
      </c>
      <c r="R3079" s="117" t="n"/>
      <c r="T3079" s="117" t="n"/>
    </row>
    <row r="3080">
      <c r="A3080" s="134" t="inlineStr">
        <is>
          <t>368710</t>
        </is>
      </c>
      <c r="B3080" s="246" t="inlineStr">
        <is>
          <t>TAVERNITI JEAN</t>
        </is>
      </c>
      <c r="C3080" s="88" t="n">
        <v>81000</v>
      </c>
      <c r="D3080" s="219" t="n"/>
      <c r="E3080" s="219" t="n"/>
      <c r="F3080" s="219" t="n"/>
      <c r="G3080" s="219" t="n"/>
      <c r="H3080" s="180" t="n"/>
      <c r="I3080" s="219" t="n"/>
      <c r="J3080" s="219" t="n"/>
      <c r="K3080" s="219" t="n"/>
      <c r="L3080" s="219">
        <f>ROUND((Q3080*C3080)/100,0)*100</f>
        <v/>
      </c>
      <c r="M3080" s="219" t="n"/>
      <c r="P3080" s="117" t="n"/>
      <c r="Q3080" s="118" t="n">
        <v>1.05</v>
      </c>
      <c r="R3080" s="117" t="n"/>
      <c r="T3080" s="117" t="n"/>
    </row>
    <row r="3081">
      <c r="A3081" s="134" t="inlineStr">
        <is>
          <t>368712</t>
        </is>
      </c>
      <c r="B3081" s="246" t="inlineStr">
        <is>
          <t>TAVERNITI JEAN</t>
        </is>
      </c>
      <c r="C3081" s="88" t="n">
        <v>81000</v>
      </c>
      <c r="D3081" s="219" t="n"/>
      <c r="E3081" s="219" t="n"/>
      <c r="F3081" s="219" t="n"/>
      <c r="G3081" s="219" t="n"/>
      <c r="H3081" s="180" t="n"/>
      <c r="I3081" s="219" t="n"/>
      <c r="J3081" s="219" t="n"/>
      <c r="K3081" s="219" t="n"/>
      <c r="L3081" s="219">
        <f>ROUND((Q3081*C3081)/100,0)*100</f>
        <v/>
      </c>
      <c r="M3081" s="219" t="n"/>
      <c r="P3081" s="117" t="n"/>
      <c r="Q3081" s="118" t="n">
        <v>1.05</v>
      </c>
      <c r="R3081" s="117" t="n"/>
      <c r="T3081" s="117" t="n"/>
    </row>
    <row r="3082">
      <c r="A3082" s="134" t="inlineStr">
        <is>
          <t>372711</t>
        </is>
      </c>
      <c r="B3082" s="246" t="inlineStr">
        <is>
          <t>TAVERNITI JEAN</t>
        </is>
      </c>
      <c r="C3082" s="88" t="n">
        <v>81000</v>
      </c>
      <c r="D3082" s="219" t="n"/>
      <c r="E3082" s="219" t="n"/>
      <c r="F3082" s="219" t="n"/>
      <c r="G3082" s="219" t="n"/>
      <c r="H3082" s="180" t="n"/>
      <c r="I3082" s="219" t="n"/>
      <c r="J3082" s="219" t="n"/>
      <c r="K3082" s="219" t="n"/>
      <c r="L3082" s="219">
        <f>ROUND((Q3082*C3082)/100,0)*100</f>
        <v/>
      </c>
      <c r="M3082" s="219" t="n"/>
      <c r="P3082" s="117" t="n"/>
      <c r="Q3082" s="118" t="n">
        <v>1.05</v>
      </c>
      <c r="R3082" s="117" t="n"/>
      <c r="T3082" s="117" t="n"/>
    </row>
    <row r="3083">
      <c r="A3083" s="134" t="inlineStr">
        <is>
          <t>376525</t>
        </is>
      </c>
      <c r="B3083" s="246" t="inlineStr">
        <is>
          <t>TAVERNITI JEAN</t>
        </is>
      </c>
      <c r="C3083" s="88" t="n">
        <v>81000</v>
      </c>
      <c r="D3083" s="219" t="n"/>
      <c r="E3083" s="219" t="n"/>
      <c r="F3083" s="219" t="n"/>
      <c r="G3083" s="219" t="n"/>
      <c r="H3083" s="180" t="n"/>
      <c r="I3083" s="219" t="n"/>
      <c r="J3083" s="219" t="n"/>
      <c r="K3083" s="219" t="n"/>
      <c r="L3083" s="219">
        <f>ROUND((Q3083*C3083)/100,0)*100</f>
        <v/>
      </c>
      <c r="M3083" s="219" t="n"/>
      <c r="P3083" s="117" t="n"/>
      <c r="Q3083" s="118" t="n">
        <v>1.05</v>
      </c>
      <c r="R3083" s="117" t="n"/>
      <c r="T3083" s="117" t="n"/>
    </row>
    <row r="3084">
      <c r="A3084" s="134" t="inlineStr">
        <is>
          <t>376711</t>
        </is>
      </c>
      <c r="B3084" s="246" t="inlineStr">
        <is>
          <t>TAVERNITI JEAN</t>
        </is>
      </c>
      <c r="C3084" s="88" t="n">
        <v>81000</v>
      </c>
      <c r="D3084" s="219" t="n"/>
      <c r="E3084" s="219" t="n"/>
      <c r="F3084" s="219" t="n"/>
      <c r="G3084" s="219" t="n"/>
      <c r="H3084" s="180" t="n"/>
      <c r="I3084" s="219" t="n"/>
      <c r="J3084" s="219" t="n"/>
      <c r="K3084" s="219" t="n"/>
      <c r="L3084" s="219">
        <f>ROUND((Q3084*C3084)/100,0)*100</f>
        <v/>
      </c>
      <c r="M3084" s="219" t="n"/>
      <c r="P3084" s="117" t="n"/>
      <c r="Q3084" s="118" t="n">
        <v>1.05</v>
      </c>
      <c r="R3084" s="117" t="n"/>
      <c r="T3084" s="117" t="n"/>
    </row>
    <row r="3085">
      <c r="A3085" s="134" t="inlineStr">
        <is>
          <t>380204</t>
        </is>
      </c>
      <c r="B3085" s="246" t="inlineStr">
        <is>
          <t>TAVERNITI JEAN</t>
        </is>
      </c>
      <c r="C3085" s="88" t="n">
        <v>81000</v>
      </c>
      <c r="D3085" s="219" t="n"/>
      <c r="E3085" s="219" t="n"/>
      <c r="F3085" s="219" t="n"/>
      <c r="G3085" s="219" t="n"/>
      <c r="H3085" s="180" t="n"/>
      <c r="I3085" s="219" t="n"/>
      <c r="J3085" s="219" t="n"/>
      <c r="K3085" s="219" t="n"/>
      <c r="L3085" s="219">
        <f>ROUND((Q3085*C3085)/100,0)*100</f>
        <v/>
      </c>
      <c r="M3085" s="219" t="n"/>
      <c r="P3085" s="117" t="n"/>
      <c r="Q3085" s="118" t="n">
        <v>1.05</v>
      </c>
      <c r="R3085" s="117" t="n"/>
      <c r="T3085" s="117" t="n"/>
    </row>
    <row r="3086">
      <c r="A3086" s="134" t="inlineStr">
        <is>
          <t>380205</t>
        </is>
      </c>
      <c r="B3086" s="246" t="inlineStr">
        <is>
          <t>TAVERNITI JEAN</t>
        </is>
      </c>
      <c r="C3086" s="88" t="n">
        <v>81000</v>
      </c>
      <c r="D3086" s="219" t="n"/>
      <c r="E3086" s="219" t="n"/>
      <c r="F3086" s="219" t="n"/>
      <c r="G3086" s="219" t="n"/>
      <c r="H3086" s="180" t="n"/>
      <c r="I3086" s="219" t="n"/>
      <c r="J3086" s="219" t="n"/>
      <c r="K3086" s="219" t="n"/>
      <c r="L3086" s="219">
        <f>ROUND((Q3086*C3086)/100,0)*100</f>
        <v/>
      </c>
      <c r="M3086" s="219" t="n"/>
      <c r="P3086" s="117" t="n"/>
      <c r="Q3086" s="118" t="n">
        <v>1.05</v>
      </c>
      <c r="R3086" s="117" t="n"/>
      <c r="T3086" s="117" t="n"/>
    </row>
    <row r="3087">
      <c r="A3087" s="134" t="inlineStr">
        <is>
          <t>380236</t>
        </is>
      </c>
      <c r="B3087" s="246" t="inlineStr">
        <is>
          <t>TAVERNITI JEAN</t>
        </is>
      </c>
      <c r="C3087" s="88" t="n">
        <v>81000</v>
      </c>
      <c r="D3087" s="219" t="n"/>
      <c r="E3087" s="219" t="n"/>
      <c r="F3087" s="219" t="n"/>
      <c r="G3087" s="219" t="n"/>
      <c r="H3087" s="180" t="n"/>
      <c r="I3087" s="219" t="n"/>
      <c r="J3087" s="219" t="n"/>
      <c r="K3087" s="219" t="n"/>
      <c r="L3087" s="219">
        <f>ROUND((Q3087*C3087)/100,0)*100</f>
        <v/>
      </c>
      <c r="M3087" s="219" t="n"/>
      <c r="P3087" s="117" t="n"/>
      <c r="Q3087" s="118" t="n">
        <v>1.05</v>
      </c>
      <c r="R3087" s="117" t="n"/>
      <c r="T3087" s="117" t="n"/>
    </row>
    <row r="3088">
      <c r="A3088" s="134" t="inlineStr">
        <is>
          <t>380505</t>
        </is>
      </c>
      <c r="B3088" s="246" t="inlineStr">
        <is>
          <t>TAVERNITI JEAN</t>
        </is>
      </c>
      <c r="C3088" s="88" t="n">
        <v>81000</v>
      </c>
      <c r="D3088" s="219" t="n"/>
      <c r="E3088" s="219" t="n"/>
      <c r="F3088" s="219" t="n"/>
      <c r="G3088" s="219" t="n"/>
      <c r="H3088" s="180" t="n"/>
      <c r="I3088" s="219" t="n"/>
      <c r="J3088" s="219" t="n"/>
      <c r="K3088" s="219" t="n"/>
      <c r="L3088" s="219">
        <f>ROUND((Q3088*C3088)/100,0)*100</f>
        <v/>
      </c>
      <c r="M3088" s="219" t="n"/>
      <c r="P3088" s="117" t="n"/>
      <c r="Q3088" s="118" t="n">
        <v>1.05</v>
      </c>
      <c r="R3088" s="117" t="n"/>
      <c r="T3088" s="117" t="n"/>
    </row>
    <row r="3089">
      <c r="A3089" s="134" t="inlineStr">
        <is>
          <t>380523</t>
        </is>
      </c>
      <c r="B3089" s="246" t="inlineStr">
        <is>
          <t>TAVERNITI JEAN</t>
        </is>
      </c>
      <c r="C3089" s="88" t="n">
        <v>81000</v>
      </c>
      <c r="D3089" s="219" t="n"/>
      <c r="E3089" s="219" t="n"/>
      <c r="F3089" s="219" t="n"/>
      <c r="G3089" s="219" t="n"/>
      <c r="H3089" s="180" t="n"/>
      <c r="I3089" s="219" t="n"/>
      <c r="J3089" s="219" t="n"/>
      <c r="K3089" s="219" t="n"/>
      <c r="L3089" s="219">
        <f>ROUND((Q3089*C3089)/100,0)*100</f>
        <v/>
      </c>
      <c r="M3089" s="219" t="n"/>
      <c r="P3089" s="117" t="n"/>
      <c r="Q3089" s="118" t="n">
        <v>1.05</v>
      </c>
      <c r="R3089" s="117" t="n"/>
      <c r="T3089" s="117" t="n"/>
    </row>
    <row r="3090">
      <c r="A3090" s="134" t="inlineStr">
        <is>
          <t>380536</t>
        </is>
      </c>
      <c r="B3090" s="246" t="inlineStr">
        <is>
          <t>TAVERNITI JEAN</t>
        </is>
      </c>
      <c r="C3090" s="88" t="n">
        <v>81000</v>
      </c>
      <c r="D3090" s="219" t="n"/>
      <c r="E3090" s="219" t="n"/>
      <c r="F3090" s="219" t="n"/>
      <c r="G3090" s="219" t="n"/>
      <c r="H3090" s="180" t="n"/>
      <c r="I3090" s="219" t="n"/>
      <c r="J3090" s="219" t="n"/>
      <c r="K3090" s="219" t="n"/>
      <c r="L3090" s="219">
        <f>ROUND((Q3090*C3090)/100,0)*100</f>
        <v/>
      </c>
      <c r="M3090" s="219" t="n"/>
      <c r="P3090" s="117" t="n"/>
      <c r="Q3090" s="118" t="n">
        <v>1.05</v>
      </c>
      <c r="R3090" s="117" t="n"/>
      <c r="T3090" s="117" t="n"/>
    </row>
    <row r="3091">
      <c r="A3091" s="134" t="inlineStr">
        <is>
          <t>380710</t>
        </is>
      </c>
      <c r="B3091" s="246" t="inlineStr">
        <is>
          <t>TAVERNITI JEAN</t>
        </is>
      </c>
      <c r="C3091" s="88" t="n">
        <v>81000</v>
      </c>
      <c r="D3091" s="219" t="n"/>
      <c r="E3091" s="219" t="n"/>
      <c r="F3091" s="219" t="n"/>
      <c r="G3091" s="219" t="n"/>
      <c r="H3091" s="180" t="n"/>
      <c r="I3091" s="219" t="n"/>
      <c r="J3091" s="219" t="n"/>
      <c r="K3091" s="219" t="n"/>
      <c r="L3091" s="219">
        <f>ROUND((Q3091*C3091)/100,0)*100</f>
        <v/>
      </c>
      <c r="M3091" s="219" t="n"/>
      <c r="P3091" s="117" t="n"/>
      <c r="Q3091" s="118" t="n">
        <v>1.05</v>
      </c>
      <c r="R3091" s="117" t="n"/>
      <c r="T3091" s="117" t="n"/>
    </row>
    <row r="3092">
      <c r="A3092" s="134" t="inlineStr">
        <is>
          <t>382237</t>
        </is>
      </c>
      <c r="B3092" s="246" t="inlineStr">
        <is>
          <t>TAVERNITI JEAN</t>
        </is>
      </c>
      <c r="C3092" s="88" t="n">
        <v>81000</v>
      </c>
      <c r="D3092" s="219" t="n"/>
      <c r="E3092" s="219" t="n"/>
      <c r="F3092" s="219" t="n"/>
      <c r="G3092" s="219" t="n"/>
      <c r="H3092" s="180" t="n"/>
      <c r="I3092" s="219" t="n"/>
      <c r="J3092" s="219" t="n"/>
      <c r="K3092" s="219" t="n"/>
      <c r="L3092" s="219">
        <f>ROUND((Q3092*C3092)/100,0)*100</f>
        <v/>
      </c>
      <c r="M3092" s="219" t="n"/>
      <c r="P3092" s="117" t="n"/>
      <c r="Q3092" s="118" t="n">
        <v>1.05</v>
      </c>
      <c r="R3092" s="117" t="n"/>
      <c r="T3092" s="117" t="n"/>
    </row>
    <row r="3093">
      <c r="A3093" s="134" t="inlineStr">
        <is>
          <t>382451</t>
        </is>
      </c>
      <c r="B3093" s="246" t="inlineStr">
        <is>
          <t>TAVERNITI JEAN</t>
        </is>
      </c>
      <c r="C3093" s="88" t="n">
        <v>81000</v>
      </c>
      <c r="D3093" s="219" t="n"/>
      <c r="E3093" s="219" t="n"/>
      <c r="F3093" s="219" t="n"/>
      <c r="G3093" s="219" t="n"/>
      <c r="H3093" s="180" t="n"/>
      <c r="I3093" s="219" t="n"/>
      <c r="J3093" s="219" t="n"/>
      <c r="K3093" s="219" t="n"/>
      <c r="L3093" s="219">
        <f>ROUND((Q3093*C3093)/100,0)*100</f>
        <v/>
      </c>
      <c r="M3093" s="219" t="n"/>
      <c r="P3093" s="117" t="n"/>
      <c r="Q3093" s="118" t="n">
        <v>1.05</v>
      </c>
      <c r="R3093" s="117" t="n"/>
      <c r="T3093" s="117" t="n"/>
    </row>
    <row r="3094">
      <c r="A3094" s="134" t="inlineStr">
        <is>
          <t>382452</t>
        </is>
      </c>
      <c r="B3094" s="246" t="inlineStr">
        <is>
          <t>TAVERNITI JEAN</t>
        </is>
      </c>
      <c r="C3094" s="88" t="n">
        <v>81000</v>
      </c>
      <c r="D3094" s="219" t="n"/>
      <c r="E3094" s="219" t="n"/>
      <c r="F3094" s="219" t="n"/>
      <c r="G3094" s="219" t="n"/>
      <c r="H3094" s="180" t="n"/>
      <c r="I3094" s="219" t="n"/>
      <c r="J3094" s="219" t="n"/>
      <c r="K3094" s="219" t="n"/>
      <c r="L3094" s="219">
        <f>ROUND((Q3094*C3094)/100,0)*100</f>
        <v/>
      </c>
      <c r="M3094" s="219" t="n"/>
      <c r="P3094" s="117" t="n"/>
      <c r="Q3094" s="118" t="n">
        <v>1.05</v>
      </c>
      <c r="R3094" s="117" t="n"/>
      <c r="T3094" s="117" t="n"/>
    </row>
    <row r="3095">
      <c r="A3095" s="134" t="inlineStr">
        <is>
          <t>382570</t>
        </is>
      </c>
      <c r="B3095" s="246" t="inlineStr">
        <is>
          <t>TAVERNITI JEAN</t>
        </is>
      </c>
      <c r="C3095" s="88" t="n">
        <v>81000</v>
      </c>
      <c r="D3095" s="219" t="n"/>
      <c r="E3095" s="219" t="n"/>
      <c r="F3095" s="219" t="n"/>
      <c r="G3095" s="219" t="n"/>
      <c r="H3095" s="180" t="n"/>
      <c r="I3095" s="219" t="n"/>
      <c r="J3095" s="219" t="n"/>
      <c r="K3095" s="219" t="n"/>
      <c r="L3095" s="219">
        <f>ROUND((Q3095*C3095)/100,0)*100</f>
        <v/>
      </c>
      <c r="M3095" s="219" t="n"/>
      <c r="P3095" s="117" t="n"/>
      <c r="Q3095" s="118" t="n">
        <v>1.05</v>
      </c>
      <c r="R3095" s="117" t="n"/>
      <c r="T3095" s="117" t="n"/>
    </row>
    <row r="3096">
      <c r="A3096" s="134" t="inlineStr">
        <is>
          <t>382603</t>
        </is>
      </c>
      <c r="B3096" s="246" t="inlineStr">
        <is>
          <t>TAVERNITI JEAN</t>
        </is>
      </c>
      <c r="C3096" s="88" t="n">
        <v>81000</v>
      </c>
      <c r="D3096" s="219" t="n"/>
      <c r="E3096" s="219" t="n"/>
      <c r="F3096" s="219" t="n"/>
      <c r="G3096" s="219" t="n"/>
      <c r="H3096" s="180" t="n"/>
      <c r="I3096" s="219" t="n"/>
      <c r="J3096" s="219" t="n"/>
      <c r="K3096" s="219" t="n"/>
      <c r="L3096" s="219">
        <f>ROUND((Q3096*C3096)/100,0)*100</f>
        <v/>
      </c>
      <c r="M3096" s="219" t="n"/>
      <c r="P3096" s="117" t="n"/>
      <c r="Q3096" s="118" t="n">
        <v>1.05</v>
      </c>
      <c r="R3096" s="117" t="n"/>
      <c r="T3096" s="117" t="n"/>
    </row>
    <row r="3097">
      <c r="A3097" s="134" t="inlineStr">
        <is>
          <t>382713</t>
        </is>
      </c>
      <c r="B3097" s="246" t="inlineStr">
        <is>
          <t>TAVERNITI JEAN</t>
        </is>
      </c>
      <c r="C3097" s="88" t="n">
        <v>81000</v>
      </c>
      <c r="D3097" s="219" t="n"/>
      <c r="E3097" s="219" t="n"/>
      <c r="F3097" s="219" t="n"/>
      <c r="G3097" s="219" t="n"/>
      <c r="H3097" s="180" t="n"/>
      <c r="I3097" s="219" t="n"/>
      <c r="J3097" s="219" t="n"/>
      <c r="K3097" s="219" t="n"/>
      <c r="L3097" s="219">
        <f>ROUND((Q3097*C3097)/100,0)*100</f>
        <v/>
      </c>
      <c r="M3097" s="219" t="n"/>
      <c r="P3097" s="117" t="n"/>
      <c r="Q3097" s="118" t="n">
        <v>1.05</v>
      </c>
      <c r="R3097" s="117" t="n"/>
      <c r="T3097" s="117" t="n"/>
    </row>
    <row r="3098">
      <c r="A3098" s="134" t="inlineStr">
        <is>
          <t>382713</t>
        </is>
      </c>
      <c r="B3098" s="246" t="inlineStr">
        <is>
          <t>TAVERNITI JEAN</t>
        </is>
      </c>
      <c r="C3098" s="88" t="n">
        <v>81000</v>
      </c>
      <c r="D3098" s="219" t="n"/>
      <c r="E3098" s="219" t="n"/>
      <c r="F3098" s="219" t="n"/>
      <c r="G3098" s="219" t="n"/>
      <c r="H3098" s="180" t="n"/>
      <c r="I3098" s="219" t="n"/>
      <c r="J3098" s="219" t="n"/>
      <c r="K3098" s="219" t="n"/>
      <c r="L3098" s="219">
        <f>ROUND((Q3098*C3098)/100,0)*100</f>
        <v/>
      </c>
      <c r="M3098" s="219" t="n"/>
      <c r="P3098" s="117" t="n"/>
      <c r="Q3098" s="118" t="n">
        <v>1.05</v>
      </c>
      <c r="R3098" s="117" t="n"/>
      <c r="T3098" s="117" t="n"/>
    </row>
    <row r="3099">
      <c r="A3099" s="134" t="inlineStr">
        <is>
          <t>384510</t>
        </is>
      </c>
      <c r="B3099" s="246" t="inlineStr">
        <is>
          <t>TAVERNITI JEAN</t>
        </is>
      </c>
      <c r="C3099" s="88" t="n">
        <v>81000</v>
      </c>
      <c r="D3099" s="219" t="n"/>
      <c r="E3099" s="219" t="n"/>
      <c r="F3099" s="219" t="n"/>
      <c r="G3099" s="219" t="n"/>
      <c r="H3099" s="180" t="n"/>
      <c r="I3099" s="219" t="n"/>
      <c r="J3099" s="219" t="n"/>
      <c r="K3099" s="219" t="n"/>
      <c r="L3099" s="219">
        <f>ROUND((Q3099*C3099)/100,0)*100</f>
        <v/>
      </c>
      <c r="M3099" s="219" t="n"/>
      <c r="P3099" s="117" t="n"/>
      <c r="Q3099" s="118" t="n">
        <v>1.05</v>
      </c>
      <c r="R3099" s="117" t="n"/>
      <c r="T3099" s="117" t="n"/>
    </row>
    <row r="3100">
      <c r="A3100" s="134" t="inlineStr">
        <is>
          <t>388204</t>
        </is>
      </c>
      <c r="B3100" s="246" t="inlineStr">
        <is>
          <t>TAVERNITI JEAN</t>
        </is>
      </c>
      <c r="C3100" s="88" t="n">
        <v>81000</v>
      </c>
      <c r="D3100" s="219" t="n"/>
      <c r="E3100" s="219" t="n"/>
      <c r="F3100" s="219" t="n"/>
      <c r="G3100" s="219" t="n"/>
      <c r="H3100" s="180" t="n"/>
      <c r="I3100" s="219" t="n"/>
      <c r="J3100" s="219" t="n"/>
      <c r="K3100" s="219" t="n"/>
      <c r="L3100" s="219">
        <f>ROUND((Q3100*C3100)/100,0)*100</f>
        <v/>
      </c>
      <c r="M3100" s="219" t="n"/>
      <c r="P3100" s="117" t="n"/>
      <c r="Q3100" s="118" t="n">
        <v>1.05</v>
      </c>
      <c r="R3100" s="117" t="n"/>
      <c r="T3100" s="117" t="n"/>
    </row>
    <row r="3101">
      <c r="A3101" s="134" t="inlineStr">
        <is>
          <t>406204</t>
        </is>
      </c>
      <c r="B3101" s="246" t="inlineStr">
        <is>
          <t>TAVERNITI JEAN</t>
        </is>
      </c>
      <c r="C3101" s="88" t="n">
        <v>81000</v>
      </c>
      <c r="D3101" s="219" t="n"/>
      <c r="E3101" s="219" t="n"/>
      <c r="F3101" s="219" t="n"/>
      <c r="G3101" s="219" t="n"/>
      <c r="H3101" s="180" t="n"/>
      <c r="I3101" s="219" t="n"/>
      <c r="J3101" s="219" t="n"/>
      <c r="K3101" s="219" t="n"/>
      <c r="L3101" s="219">
        <f>ROUND((Q3101*C3101)/100,0)*100</f>
        <v/>
      </c>
      <c r="M3101" s="219" t="n"/>
      <c r="P3101" s="117" t="n"/>
      <c r="Q3101" s="118" t="n">
        <v>1.05</v>
      </c>
      <c r="R3101" s="117" t="n"/>
      <c r="T3101" s="117" t="n"/>
    </row>
    <row r="3102">
      <c r="A3102" s="89" t="inlineStr">
        <is>
          <t>004065XX</t>
        </is>
      </c>
      <c r="B3102" s="135" t="inlineStr">
        <is>
          <t>TAVERNITI JEAN</t>
        </is>
      </c>
      <c r="C3102" s="88" t="n">
        <v>81000</v>
      </c>
      <c r="D3102" s="170" t="n"/>
      <c r="E3102" s="170" t="n"/>
      <c r="F3102" s="170" t="n"/>
      <c r="G3102" s="170" t="n"/>
      <c r="H3102" s="227" t="n"/>
      <c r="I3102" s="170" t="n"/>
      <c r="J3102" s="170" t="n"/>
      <c r="K3102" s="170" t="n"/>
      <c r="L3102" s="170">
        <f>ROUND((Q3102*C3102)/100,0)*100</f>
        <v/>
      </c>
      <c r="M3102" s="170" t="n"/>
      <c r="N3102" s="30" t="n"/>
      <c r="O3102" s="30" t="n"/>
      <c r="P3102" s="170" t="n"/>
      <c r="Q3102" s="118" t="n">
        <v>1.05</v>
      </c>
      <c r="R3102" s="170" t="n"/>
      <c r="S3102" s="30" t="n"/>
      <c r="T3102" s="170" t="n"/>
      <c r="U3102" s="30" t="n"/>
      <c r="V3102" s="30" t="n"/>
      <c r="W3102" s="30" t="n"/>
      <c r="X3102" s="30" t="n"/>
      <c r="Y3102" s="30" t="n"/>
      <c r="Z3102" s="30" t="n"/>
      <c r="AA3102" s="30" t="n"/>
      <c r="AB3102" s="30" t="n"/>
      <c r="AC3102" s="30" t="n"/>
      <c r="AD3102" s="30" t="n"/>
      <c r="AE3102" s="30" t="n"/>
      <c r="AF3102" s="30" t="n"/>
      <c r="AG3102" s="30" t="n"/>
      <c r="AH3102" s="30" t="n"/>
      <c r="AI3102" s="30" t="n"/>
      <c r="AJ3102" s="30" t="n"/>
      <c r="AK3102" s="30" t="n"/>
      <c r="AL3102" s="30" t="n"/>
      <c r="AM3102" s="30" t="n"/>
      <c r="AN3102" s="30" t="n"/>
    </row>
    <row r="3103">
      <c r="A3103" s="134" t="inlineStr">
        <is>
          <t>406602</t>
        </is>
      </c>
      <c r="B3103" s="246" t="inlineStr">
        <is>
          <t>TAVERNITI JEAN</t>
        </is>
      </c>
      <c r="C3103" s="88" t="n">
        <v>81000</v>
      </c>
      <c r="D3103" s="219" t="n"/>
      <c r="E3103" s="219" t="n"/>
      <c r="F3103" s="219" t="n"/>
      <c r="G3103" s="219" t="n"/>
      <c r="H3103" s="180" t="n"/>
      <c r="I3103" s="219" t="n"/>
      <c r="J3103" s="219" t="n"/>
      <c r="K3103" s="219" t="n"/>
      <c r="L3103" s="219">
        <f>ROUND((Q3103*C3103)/100,0)*100</f>
        <v/>
      </c>
      <c r="M3103" s="219" t="n"/>
      <c r="P3103" s="117" t="n"/>
      <c r="Q3103" s="118" t="n">
        <v>1.05</v>
      </c>
      <c r="R3103" s="117" t="n"/>
      <c r="T3103" s="117" t="n"/>
    </row>
    <row r="3104">
      <c r="A3104" s="134" t="inlineStr">
        <is>
          <t>004067XX</t>
        </is>
      </c>
      <c r="B3104" s="246" t="inlineStr">
        <is>
          <t>TAVERNITI JEAN</t>
        </is>
      </c>
      <c r="C3104" s="88" t="n">
        <v>92600</v>
      </c>
      <c r="D3104" s="219" t="n"/>
      <c r="E3104" s="219" t="n"/>
      <c r="F3104" s="219" t="n"/>
      <c r="G3104" s="219" t="n"/>
      <c r="H3104" s="180" t="n"/>
      <c r="I3104" s="219" t="n"/>
      <c r="J3104" s="219" t="n"/>
      <c r="K3104" s="219" t="n"/>
      <c r="L3104" s="219">
        <f>ROUND((Q3104*C3104)/100,0)*100</f>
        <v/>
      </c>
      <c r="M3104" s="219" t="n"/>
      <c r="P3104" s="117" t="n"/>
      <c r="Q3104" s="118" t="n">
        <v>1.05</v>
      </c>
      <c r="R3104" s="117" t="n"/>
      <c r="T3104" s="117" t="n"/>
    </row>
    <row r="3105">
      <c r="A3105" s="134" t="inlineStr">
        <is>
          <t>406927</t>
        </is>
      </c>
      <c r="B3105" s="246" t="inlineStr">
        <is>
          <t>TAVERNITI JEAN</t>
        </is>
      </c>
      <c r="C3105" s="88" t="n">
        <v>81000</v>
      </c>
      <c r="D3105" s="219" t="n"/>
      <c r="E3105" s="219" t="n"/>
      <c r="F3105" s="219" t="n"/>
      <c r="G3105" s="219" t="n"/>
      <c r="H3105" s="180" t="n"/>
      <c r="I3105" s="219" t="n"/>
      <c r="J3105" s="219" t="n"/>
      <c r="K3105" s="219" t="n"/>
      <c r="L3105" s="219">
        <f>ROUND((Q3105*C3105)/100,0)*100</f>
        <v/>
      </c>
      <c r="M3105" s="219" t="n"/>
      <c r="P3105" s="117" t="n"/>
      <c r="Q3105" s="118" t="n">
        <v>1.05</v>
      </c>
      <c r="R3105" s="117" t="n"/>
      <c r="T3105" s="117" t="n"/>
    </row>
    <row r="3106">
      <c r="A3106" s="134" t="inlineStr">
        <is>
          <t>412603</t>
        </is>
      </c>
      <c r="B3106" s="246" t="inlineStr">
        <is>
          <t>TAVERNITI JEAN</t>
        </is>
      </c>
      <c r="C3106" s="88" t="n">
        <v>81000</v>
      </c>
      <c r="D3106" s="219" t="n"/>
      <c r="E3106" s="219" t="n"/>
      <c r="F3106" s="219" t="n"/>
      <c r="G3106" s="219" t="n"/>
      <c r="H3106" s="180" t="n"/>
      <c r="I3106" s="219" t="n"/>
      <c r="J3106" s="219" t="n"/>
      <c r="K3106" s="219" t="n"/>
      <c r="L3106" s="219">
        <f>ROUND((Q3106*C3106)/100,0)*100</f>
        <v/>
      </c>
      <c r="M3106" s="219" t="n"/>
      <c r="P3106" s="117" t="n"/>
      <c r="Q3106" s="118" t="n">
        <v>1.05</v>
      </c>
      <c r="R3106" s="117" t="n"/>
      <c r="T3106" s="117" t="n"/>
    </row>
    <row r="3107">
      <c r="A3107" s="134" t="inlineStr">
        <is>
          <t>428630</t>
        </is>
      </c>
      <c r="B3107" s="246" t="inlineStr">
        <is>
          <t>TAVERNITI JEAN</t>
        </is>
      </c>
      <c r="C3107" s="88" t="n">
        <v>81000</v>
      </c>
      <c r="D3107" s="219" t="n"/>
      <c r="E3107" s="219" t="n"/>
      <c r="F3107" s="219" t="n"/>
      <c r="G3107" s="219" t="n"/>
      <c r="H3107" s="180" t="n"/>
      <c r="I3107" s="219" t="n"/>
      <c r="J3107" s="219" t="n"/>
      <c r="K3107" s="219" t="n"/>
      <c r="L3107" s="219">
        <f>ROUND((Q3107*C3107)/100,0)*100</f>
        <v/>
      </c>
      <c r="M3107" s="219" t="n"/>
      <c r="P3107" s="117" t="n"/>
      <c r="Q3107" s="118" t="n">
        <v>1.05</v>
      </c>
      <c r="R3107" s="117" t="n"/>
      <c r="T3107" s="117" t="n"/>
    </row>
    <row r="3108">
      <c r="A3108" s="134" t="inlineStr">
        <is>
          <t>428665</t>
        </is>
      </c>
      <c r="B3108" s="246" t="inlineStr">
        <is>
          <t>TAVERNITI JEAN</t>
        </is>
      </c>
      <c r="C3108" s="88" t="n">
        <v>81000</v>
      </c>
      <c r="D3108" s="219" t="n"/>
      <c r="E3108" s="219" t="n"/>
      <c r="F3108" s="219" t="n"/>
      <c r="G3108" s="219" t="n"/>
      <c r="H3108" s="180" t="n"/>
      <c r="I3108" s="219" t="n"/>
      <c r="J3108" s="219" t="n"/>
      <c r="K3108" s="219" t="n"/>
      <c r="L3108" s="219">
        <f>ROUND((Q3108*C3108)/100,0)*100</f>
        <v/>
      </c>
      <c r="M3108" s="219" t="n"/>
      <c r="P3108" s="117" t="n"/>
      <c r="Q3108" s="118" t="n">
        <v>1.05</v>
      </c>
      <c r="R3108" s="117" t="n"/>
      <c r="T3108" s="117" t="n"/>
    </row>
    <row r="3109">
      <c r="A3109" s="134" t="inlineStr">
        <is>
          <t>4662XXX</t>
        </is>
      </c>
      <c r="B3109" s="246" t="inlineStr">
        <is>
          <t>TAVERNITI JEAN</t>
        </is>
      </c>
      <c r="C3109" s="88" t="n">
        <v>81000</v>
      </c>
      <c r="D3109" s="219" t="n"/>
      <c r="E3109" s="219" t="n"/>
      <c r="F3109" s="219" t="n"/>
      <c r="G3109" s="219" t="n"/>
      <c r="H3109" s="180" t="n"/>
      <c r="I3109" s="219" t="n"/>
      <c r="J3109" s="219" t="n"/>
      <c r="K3109" s="219" t="n"/>
      <c r="L3109" s="219">
        <f>ROUND((Q3109*C3109)/100,0)*100</f>
        <v/>
      </c>
      <c r="M3109" s="219" t="n"/>
      <c r="P3109" s="117" t="n"/>
      <c r="Q3109" s="118" t="n">
        <v>1.05</v>
      </c>
      <c r="R3109" s="117" t="n"/>
      <c r="T3109" s="117" t="n"/>
    </row>
    <row r="3110">
      <c r="A3110" s="89" t="inlineStr">
        <is>
          <t>004762XX</t>
        </is>
      </c>
      <c r="B3110" s="135" t="inlineStr">
        <is>
          <t>TAVERNITI JEAN</t>
        </is>
      </c>
      <c r="C3110" s="88" t="n">
        <v>95600</v>
      </c>
      <c r="D3110" s="170" t="n"/>
      <c r="E3110" s="170" t="n"/>
      <c r="F3110" s="170" t="n"/>
      <c r="G3110" s="170" t="n"/>
      <c r="H3110" s="227" t="n"/>
      <c r="I3110" s="170" t="n"/>
      <c r="J3110" s="170" t="n"/>
      <c r="K3110" s="170" t="n"/>
      <c r="L3110" s="170">
        <f>ROUND((Q3110*C3110)/100,0)*100</f>
        <v/>
      </c>
      <c r="M3110" s="170" t="n"/>
      <c r="N3110" s="30" t="n"/>
      <c r="O3110" s="30" t="n"/>
      <c r="P3110" s="170" t="n"/>
      <c r="Q3110" s="118" t="n">
        <v>1.05</v>
      </c>
      <c r="R3110" s="170" t="n"/>
      <c r="S3110" s="30" t="n"/>
      <c r="T3110" s="170" t="n"/>
      <c r="U3110" s="30" t="n"/>
      <c r="V3110" s="30" t="n"/>
      <c r="W3110" s="30" t="n"/>
      <c r="X3110" s="30" t="n"/>
      <c r="Y3110" s="30" t="n"/>
      <c r="Z3110" s="30" t="n"/>
      <c r="AA3110" s="30" t="n"/>
      <c r="AB3110" s="30" t="n"/>
      <c r="AC3110" s="30" t="n"/>
      <c r="AD3110" s="30" t="n"/>
      <c r="AE3110" s="30" t="n"/>
      <c r="AF3110" s="30" t="n"/>
      <c r="AG3110" s="30" t="n"/>
      <c r="AH3110" s="30" t="n"/>
      <c r="AI3110" s="30" t="n"/>
      <c r="AJ3110" s="30" t="n"/>
      <c r="AK3110" s="30" t="n"/>
      <c r="AL3110" s="30" t="n"/>
      <c r="AM3110" s="30" t="n"/>
      <c r="AN3110" s="30" t="n"/>
    </row>
    <row r="3111">
      <c r="A3111" s="134" t="inlineStr">
        <is>
          <t>004765XX</t>
        </is>
      </c>
      <c r="B3111" s="246" t="inlineStr">
        <is>
          <t>TAVERNITI JEAN</t>
        </is>
      </c>
      <c r="C3111" s="88" t="n">
        <v>87000</v>
      </c>
      <c r="D3111" s="219" t="n"/>
      <c r="E3111" s="219" t="n"/>
      <c r="F3111" s="219" t="n"/>
      <c r="G3111" s="219" t="n"/>
      <c r="H3111" s="180" t="n"/>
      <c r="I3111" s="219" t="n"/>
      <c r="J3111" s="219" t="n"/>
      <c r="K3111" s="219" t="n"/>
      <c r="L3111" s="219">
        <f>ROUND((Q3111*C3111)/100,0)*100</f>
        <v/>
      </c>
      <c r="M3111" s="219" t="n"/>
      <c r="P3111" s="117" t="n"/>
      <c r="Q3111" s="118" t="n">
        <v>1.05</v>
      </c>
      <c r="R3111" s="117" t="n"/>
      <c r="T3111" s="117" t="n"/>
    </row>
    <row r="3112">
      <c r="A3112" s="134" t="inlineStr">
        <is>
          <t>004766XX</t>
        </is>
      </c>
      <c r="B3112" s="246" t="inlineStr">
        <is>
          <t>TAVERNITI JEAN</t>
        </is>
      </c>
      <c r="C3112" s="88" t="n">
        <v>81000</v>
      </c>
      <c r="D3112" s="219" t="n"/>
      <c r="E3112" s="219" t="n"/>
      <c r="F3112" s="219" t="n"/>
      <c r="G3112" s="219" t="n"/>
      <c r="H3112" s="180" t="n"/>
      <c r="I3112" s="219" t="n"/>
      <c r="J3112" s="219" t="n"/>
      <c r="K3112" s="219" t="n"/>
      <c r="L3112" s="219">
        <f>ROUND((Q3112*C3112)/100,0)*100</f>
        <v/>
      </c>
      <c r="M3112" s="219" t="n"/>
      <c r="P3112" s="117" t="n"/>
      <c r="Q3112" s="118" t="n">
        <v>1.05</v>
      </c>
      <c r="R3112" s="117" t="n"/>
      <c r="T3112" s="117" t="n"/>
    </row>
    <row r="3113">
      <c r="A3113" s="134" t="inlineStr">
        <is>
          <t>004767XX</t>
        </is>
      </c>
      <c r="B3113" s="246" t="inlineStr">
        <is>
          <t>TAVERNITI JEAN</t>
        </is>
      </c>
      <c r="C3113" s="88" t="n">
        <v>85600</v>
      </c>
      <c r="D3113" s="219" t="n"/>
      <c r="E3113" s="219" t="n"/>
      <c r="F3113" s="219" t="n"/>
      <c r="G3113" s="219" t="n"/>
      <c r="H3113" s="180" t="n"/>
      <c r="I3113" s="219" t="n"/>
      <c r="J3113" s="219" t="n"/>
      <c r="K3113" s="219" t="n"/>
      <c r="L3113" s="219">
        <f>ROUND((Q3113*C3113)/100,0)*100</f>
        <v/>
      </c>
      <c r="M3113" s="219" t="n"/>
      <c r="P3113" s="117" t="n"/>
      <c r="Q3113" s="118" t="n">
        <v>1.05</v>
      </c>
      <c r="R3113" s="117" t="n"/>
      <c r="T3113" s="117" t="n"/>
    </row>
    <row r="3114">
      <c r="A3114" s="134" t="inlineStr">
        <is>
          <t>4806XX</t>
        </is>
      </c>
      <c r="B3114" s="246" t="inlineStr">
        <is>
          <t>TAVERNITI JEAN</t>
        </is>
      </c>
      <c r="C3114" s="88" t="n">
        <v>81000</v>
      </c>
      <c r="D3114" s="219" t="n"/>
      <c r="E3114" s="219" t="n"/>
      <c r="F3114" s="219" t="n"/>
      <c r="G3114" s="219" t="n"/>
      <c r="H3114" s="180" t="n"/>
      <c r="I3114" s="219" t="n"/>
      <c r="J3114" s="219" t="n"/>
      <c r="K3114" s="219" t="n"/>
      <c r="L3114" s="219">
        <f>ROUND((Q3114*C3114)/100,0)*100</f>
        <v/>
      </c>
      <c r="M3114" s="219" t="n"/>
      <c r="P3114" s="117" t="n"/>
      <c r="Q3114" s="118" t="n">
        <v>1.05</v>
      </c>
      <c r="R3114" s="117" t="n"/>
      <c r="T3114" s="117" t="n"/>
    </row>
    <row r="3115">
      <c r="A3115" s="134" t="inlineStr">
        <is>
          <t>480625</t>
        </is>
      </c>
      <c r="B3115" s="246" t="inlineStr">
        <is>
          <t>TAVERNITI JEAN</t>
        </is>
      </c>
      <c r="C3115" s="88" t="n">
        <v>81000</v>
      </c>
      <c r="D3115" s="219" t="n"/>
      <c r="E3115" s="219" t="n"/>
      <c r="F3115" s="219" t="n"/>
      <c r="G3115" s="219" t="n"/>
      <c r="H3115" s="180" t="n"/>
      <c r="I3115" s="219" t="n"/>
      <c r="J3115" s="219" t="n"/>
      <c r="K3115" s="219" t="n"/>
      <c r="L3115" s="219">
        <f>ROUND((Q3115*C3115)/100,0)*100</f>
        <v/>
      </c>
      <c r="M3115" s="219" t="n"/>
      <c r="P3115" s="117" t="n"/>
      <c r="Q3115" s="118" t="n">
        <v>1.05</v>
      </c>
      <c r="R3115" s="117" t="n"/>
      <c r="T3115" s="117" t="n"/>
    </row>
    <row r="3116">
      <c r="A3116" s="134" t="inlineStr">
        <is>
          <t>558450</t>
        </is>
      </c>
      <c r="B3116" s="246" t="inlineStr">
        <is>
          <t>TAVERNITI JEAN</t>
        </is>
      </c>
      <c r="C3116" s="88" t="n">
        <v>81000</v>
      </c>
      <c r="D3116" s="219" t="n"/>
      <c r="E3116" s="219" t="n"/>
      <c r="F3116" s="219" t="n"/>
      <c r="G3116" s="219" t="n"/>
      <c r="H3116" s="180" t="n"/>
      <c r="I3116" s="219" t="n"/>
      <c r="J3116" s="219" t="n"/>
      <c r="K3116" s="219" t="n"/>
      <c r="L3116" s="219">
        <f>ROUND((Q3116*C3116)/100,0)*100</f>
        <v/>
      </c>
      <c r="M3116" s="219" t="n"/>
      <c r="P3116" s="117" t="n"/>
      <c r="Q3116" s="118" t="n">
        <v>1.05</v>
      </c>
      <c r="R3116" s="117" t="n"/>
      <c r="T3116" s="117" t="n"/>
    </row>
    <row r="3117">
      <c r="A3117" s="134" t="inlineStr">
        <is>
          <t>558568</t>
        </is>
      </c>
      <c r="B3117" s="246" t="inlineStr">
        <is>
          <t>TAVERNITI JEAN</t>
        </is>
      </c>
      <c r="C3117" s="88" t="n">
        <v>81000</v>
      </c>
      <c r="D3117" s="219" t="n"/>
      <c r="E3117" s="219" t="n"/>
      <c r="F3117" s="219" t="n"/>
      <c r="G3117" s="219" t="n"/>
      <c r="H3117" s="180" t="n"/>
      <c r="I3117" s="219" t="n"/>
      <c r="J3117" s="219" t="n"/>
      <c r="K3117" s="219" t="n"/>
      <c r="L3117" s="219">
        <f>ROUND((Q3117*C3117)/100,0)*100</f>
        <v/>
      </c>
      <c r="M3117" s="219" t="n"/>
      <c r="P3117" s="117" t="n"/>
      <c r="Q3117" s="118" t="n">
        <v>1.05</v>
      </c>
      <c r="R3117" s="117" t="n"/>
      <c r="T3117" s="117" t="n"/>
    </row>
    <row r="3118">
      <c r="A3118" s="134" t="inlineStr">
        <is>
          <t>562708</t>
        </is>
      </c>
      <c r="B3118" s="246" t="inlineStr">
        <is>
          <t>TAVERNITI JEAN</t>
        </is>
      </c>
      <c r="C3118" s="88" t="n">
        <v>81000</v>
      </c>
      <c r="D3118" s="219" t="n"/>
      <c r="E3118" s="219" t="n"/>
      <c r="F3118" s="219" t="n"/>
      <c r="G3118" s="219" t="n"/>
      <c r="H3118" s="180" t="n"/>
      <c r="I3118" s="219" t="n"/>
      <c r="J3118" s="219" t="n"/>
      <c r="K3118" s="219" t="n"/>
      <c r="L3118" s="219">
        <f>ROUND((Q3118*C3118)/100,0)*100</f>
        <v/>
      </c>
      <c r="M3118" s="219" t="n"/>
      <c r="P3118" s="117" t="n"/>
      <c r="Q3118" s="118" t="n">
        <v>1.05</v>
      </c>
      <c r="R3118" s="117" t="n"/>
      <c r="T3118" s="117" t="n"/>
    </row>
    <row r="3119">
      <c r="A3119" s="68" t="inlineStr">
        <is>
          <t>574525</t>
        </is>
      </c>
      <c r="B3119" s="246" t="inlineStr">
        <is>
          <t>TAVERNITI JEAN</t>
        </is>
      </c>
      <c r="C3119" s="88" t="n">
        <v>81000</v>
      </c>
      <c r="D3119" s="219" t="n"/>
      <c r="E3119" s="219" t="n"/>
      <c r="F3119" s="219" t="n"/>
      <c r="G3119" s="219" t="n"/>
      <c r="H3119" s="180" t="n"/>
      <c r="I3119" s="219" t="n"/>
      <c r="J3119" s="219" t="n"/>
      <c r="K3119" s="219" t="n"/>
      <c r="L3119" s="219">
        <f>ROUND((Q3119*C3119)/100,0)*100</f>
        <v/>
      </c>
      <c r="M3119" s="219" t="n"/>
      <c r="P3119" s="117" t="n"/>
      <c r="Q3119" s="118" t="n">
        <v>1.05</v>
      </c>
      <c r="R3119" s="117" t="n"/>
      <c r="T3119" s="117" t="n"/>
    </row>
    <row r="3120">
      <c r="A3120" s="134" t="inlineStr">
        <is>
          <t>576204</t>
        </is>
      </c>
      <c r="B3120" s="246" t="inlineStr">
        <is>
          <t>TAVERNITI JEAN</t>
        </is>
      </c>
      <c r="C3120" s="88" t="n">
        <v>81000</v>
      </c>
      <c r="D3120" s="219" t="n"/>
      <c r="E3120" s="219" t="n"/>
      <c r="F3120" s="219" t="n"/>
      <c r="G3120" s="219" t="n"/>
      <c r="H3120" s="180" t="n"/>
      <c r="I3120" s="219" t="n"/>
      <c r="J3120" s="219" t="n"/>
      <c r="K3120" s="219" t="n"/>
      <c r="L3120" s="219">
        <f>ROUND((Q3120*C3120)/100,0)*100</f>
        <v/>
      </c>
      <c r="M3120" s="219" t="n"/>
      <c r="P3120" s="117" t="n"/>
      <c r="Q3120" s="118" t="n">
        <v>1.05</v>
      </c>
      <c r="R3120" s="117" t="n"/>
      <c r="T3120" s="117" t="n"/>
    </row>
    <row r="3121">
      <c r="A3121" s="134" t="inlineStr">
        <is>
          <t>582619</t>
        </is>
      </c>
      <c r="B3121" s="246" t="inlineStr">
        <is>
          <t>TAVERNITI JEAN</t>
        </is>
      </c>
      <c r="C3121" s="88" t="n">
        <v>81000</v>
      </c>
      <c r="D3121" s="219" t="n"/>
      <c r="E3121" s="219" t="n"/>
      <c r="F3121" s="219" t="n"/>
      <c r="G3121" s="219" t="n"/>
      <c r="H3121" s="180" t="n"/>
      <c r="I3121" s="219" t="n"/>
      <c r="J3121" s="219" t="n"/>
      <c r="K3121" s="219" t="n"/>
      <c r="L3121" s="219">
        <f>ROUND((Q3121*C3121)/100,0)*100</f>
        <v/>
      </c>
      <c r="M3121" s="219" t="n"/>
      <c r="P3121" s="117" t="n"/>
      <c r="Q3121" s="118" t="n">
        <v>1.05</v>
      </c>
      <c r="R3121" s="117" t="n"/>
      <c r="T3121" s="117" t="n"/>
    </row>
    <row r="3122">
      <c r="A3122" s="134" t="inlineStr">
        <is>
          <t>586452</t>
        </is>
      </c>
      <c r="B3122" s="246" t="inlineStr">
        <is>
          <t>TAVERNITI JEAN</t>
        </is>
      </c>
      <c r="C3122" s="88" t="n">
        <v>81000</v>
      </c>
      <c r="D3122" s="219" t="n"/>
      <c r="E3122" s="219" t="n"/>
      <c r="F3122" s="219" t="n"/>
      <c r="G3122" s="219" t="n"/>
      <c r="H3122" s="180" t="n"/>
      <c r="I3122" s="219" t="n"/>
      <c r="J3122" s="219" t="n"/>
      <c r="K3122" s="219" t="n"/>
      <c r="L3122" s="219">
        <f>ROUND((Q3122*C3122)/100,0)*100</f>
        <v/>
      </c>
      <c r="M3122" s="219" t="n"/>
      <c r="P3122" s="117" t="n"/>
      <c r="Q3122" s="118" t="n">
        <v>1.05</v>
      </c>
      <c r="R3122" s="117" t="n"/>
      <c r="T3122" s="117" t="n"/>
    </row>
    <row r="3123">
      <c r="A3123" s="134" t="inlineStr">
        <is>
          <t>586568</t>
        </is>
      </c>
      <c r="B3123" s="246" t="inlineStr">
        <is>
          <t>TAVERNITI JEAN</t>
        </is>
      </c>
      <c r="C3123" s="88" t="n">
        <v>81000</v>
      </c>
      <c r="D3123" s="219" t="n"/>
      <c r="E3123" s="219" t="n"/>
      <c r="F3123" s="219" t="n"/>
      <c r="G3123" s="219" t="n"/>
      <c r="H3123" s="180" t="n"/>
      <c r="I3123" s="219" t="n"/>
      <c r="J3123" s="219" t="n"/>
      <c r="K3123" s="219" t="n"/>
      <c r="L3123" s="219">
        <f>ROUND((Q3123*C3123)/100,0)*100</f>
        <v/>
      </c>
      <c r="M3123" s="219" t="n"/>
      <c r="P3123" s="117" t="n"/>
      <c r="Q3123" s="118" t="n">
        <v>1.05</v>
      </c>
      <c r="R3123" s="117" t="n"/>
      <c r="T3123" s="117" t="n"/>
    </row>
    <row r="3124">
      <c r="A3124" s="134" t="inlineStr">
        <is>
          <t>5869XX</t>
        </is>
      </c>
      <c r="B3124" s="246" t="inlineStr">
        <is>
          <t>TAVERNITI JEAN</t>
        </is>
      </c>
      <c r="C3124" s="88" t="n">
        <v>81000</v>
      </c>
      <c r="D3124" s="219" t="n"/>
      <c r="E3124" s="219" t="n"/>
      <c r="F3124" s="219" t="n"/>
      <c r="G3124" s="219" t="n"/>
      <c r="H3124" s="180" t="n"/>
      <c r="I3124" s="219" t="n"/>
      <c r="J3124" s="219" t="n"/>
      <c r="K3124" s="219" t="n"/>
      <c r="L3124" s="219">
        <f>ROUND((Q3124*C3124)/100,0)*100</f>
        <v/>
      </c>
      <c r="M3124" s="219" t="n"/>
      <c r="P3124" s="117" t="n"/>
      <c r="Q3124" s="118" t="n">
        <v>1.05</v>
      </c>
      <c r="R3124" s="117" t="n"/>
      <c r="T3124" s="117" t="n"/>
    </row>
    <row r="3125">
      <c r="A3125" s="134" t="inlineStr">
        <is>
          <t>588205</t>
        </is>
      </c>
      <c r="B3125" s="246" t="inlineStr">
        <is>
          <t>TAVERNITI JEAN</t>
        </is>
      </c>
      <c r="C3125" s="88" t="n">
        <v>81000</v>
      </c>
      <c r="D3125" s="219" t="n"/>
      <c r="E3125" s="219" t="n"/>
      <c r="F3125" s="219" t="n"/>
      <c r="G3125" s="219" t="n"/>
      <c r="H3125" s="180" t="n"/>
      <c r="I3125" s="219" t="n"/>
      <c r="J3125" s="219" t="n"/>
      <c r="K3125" s="219" t="n"/>
      <c r="L3125" s="219">
        <f>ROUND((Q3125*C3125)/100,0)*100</f>
        <v/>
      </c>
      <c r="M3125" s="219" t="n"/>
      <c r="P3125" s="117" t="n"/>
      <c r="Q3125" s="118" t="n">
        <v>1.05</v>
      </c>
      <c r="R3125" s="117" t="n"/>
      <c r="T3125" s="117" t="n"/>
    </row>
    <row r="3126">
      <c r="A3126" s="134" t="inlineStr">
        <is>
          <t>588207</t>
        </is>
      </c>
      <c r="B3126" s="246" t="inlineStr">
        <is>
          <t>TAVERNITI JEAN</t>
        </is>
      </c>
      <c r="C3126" s="88" t="n">
        <v>81000</v>
      </c>
      <c r="D3126" s="219" t="n"/>
      <c r="E3126" s="219" t="n"/>
      <c r="F3126" s="219" t="n"/>
      <c r="G3126" s="219" t="n"/>
      <c r="H3126" s="180" t="n"/>
      <c r="I3126" s="219" t="n"/>
      <c r="J3126" s="219" t="n"/>
      <c r="K3126" s="219" t="n"/>
      <c r="L3126" s="219">
        <f>ROUND((Q3126*C3126)/100,0)*100</f>
        <v/>
      </c>
      <c r="M3126" s="219" t="n"/>
      <c r="P3126" s="117" t="n"/>
      <c r="Q3126" s="118" t="n">
        <v>1.05</v>
      </c>
      <c r="R3126" s="117" t="n"/>
      <c r="T3126" s="117" t="n"/>
    </row>
    <row r="3127">
      <c r="A3127" s="134" t="inlineStr">
        <is>
          <t>588236</t>
        </is>
      </c>
      <c r="B3127" s="246" t="inlineStr">
        <is>
          <t>TAVERNITI JEAN</t>
        </is>
      </c>
      <c r="C3127" s="88" t="n">
        <v>81000</v>
      </c>
      <c r="D3127" s="219" t="n"/>
      <c r="E3127" s="219" t="n"/>
      <c r="F3127" s="219" t="n"/>
      <c r="G3127" s="219" t="n"/>
      <c r="H3127" s="180" t="n"/>
      <c r="I3127" s="219" t="n"/>
      <c r="J3127" s="219" t="n"/>
      <c r="K3127" s="219" t="n"/>
      <c r="L3127" s="219">
        <f>ROUND((Q3127*C3127)/100,0)*100</f>
        <v/>
      </c>
      <c r="M3127" s="219" t="n"/>
      <c r="P3127" s="117" t="n"/>
      <c r="Q3127" s="118" t="n">
        <v>1.05</v>
      </c>
      <c r="R3127" s="117" t="n"/>
      <c r="T3127" s="117" t="n"/>
    </row>
    <row r="3128">
      <c r="A3128" s="134" t="inlineStr">
        <is>
          <t>588237</t>
        </is>
      </c>
      <c r="B3128" s="246" t="inlineStr">
        <is>
          <t>TAVERNITI JEAN</t>
        </is>
      </c>
      <c r="C3128" s="88" t="n">
        <v>81000</v>
      </c>
      <c r="D3128" s="219" t="n"/>
      <c r="E3128" s="219" t="n"/>
      <c r="F3128" s="219" t="n"/>
      <c r="G3128" s="219" t="n"/>
      <c r="H3128" s="180" t="n"/>
      <c r="I3128" s="219" t="n"/>
      <c r="J3128" s="219" t="n"/>
      <c r="K3128" s="219" t="n"/>
      <c r="L3128" s="219">
        <f>ROUND((Q3128*C3128)/100,0)*100</f>
        <v/>
      </c>
      <c r="M3128" s="219" t="n"/>
      <c r="P3128" s="117" t="n"/>
      <c r="Q3128" s="118" t="n">
        <v>1.05</v>
      </c>
      <c r="R3128" s="117" t="n"/>
      <c r="T3128" s="117" t="n"/>
    </row>
    <row r="3129">
      <c r="A3129" s="134" t="inlineStr">
        <is>
          <t>588450</t>
        </is>
      </c>
      <c r="B3129" s="246" t="inlineStr">
        <is>
          <t>TAVERNITI JEAN</t>
        </is>
      </c>
      <c r="C3129" s="88" t="n">
        <v>81000</v>
      </c>
      <c r="D3129" s="219" t="n"/>
      <c r="E3129" s="219" t="n"/>
      <c r="F3129" s="219" t="n"/>
      <c r="G3129" s="219" t="n"/>
      <c r="H3129" s="180" t="n"/>
      <c r="I3129" s="219" t="n"/>
      <c r="J3129" s="219" t="n"/>
      <c r="K3129" s="219" t="n"/>
      <c r="L3129" s="219">
        <f>ROUND((Q3129*C3129)/100,0)*100</f>
        <v/>
      </c>
      <c r="M3129" s="219" t="n"/>
      <c r="P3129" s="117" t="n"/>
      <c r="Q3129" s="118" t="n">
        <v>1.05</v>
      </c>
      <c r="R3129" s="117" t="n"/>
      <c r="T3129" s="117" t="n"/>
    </row>
    <row r="3130">
      <c r="A3130" s="134" t="inlineStr">
        <is>
          <t>588454</t>
        </is>
      </c>
      <c r="B3130" s="246" t="inlineStr">
        <is>
          <t>TAVERNITI JEAN</t>
        </is>
      </c>
      <c r="C3130" s="88" t="n">
        <v>81000</v>
      </c>
      <c r="D3130" s="219" t="n"/>
      <c r="E3130" s="219" t="n"/>
      <c r="F3130" s="219" t="n"/>
      <c r="G3130" s="219" t="n"/>
      <c r="H3130" s="180" t="n"/>
      <c r="I3130" s="219" t="n"/>
      <c r="J3130" s="219" t="n"/>
      <c r="K3130" s="219" t="n"/>
      <c r="L3130" s="219">
        <f>ROUND((Q3130*C3130)/100,0)*100</f>
        <v/>
      </c>
      <c r="M3130" s="219" t="n"/>
      <c r="P3130" s="117" t="n"/>
      <c r="Q3130" s="118" t="n">
        <v>1.05</v>
      </c>
      <c r="R3130" s="117" t="n"/>
      <c r="T3130" s="117" t="n"/>
    </row>
    <row r="3131">
      <c r="A3131" s="134" t="inlineStr">
        <is>
          <t>588524</t>
        </is>
      </c>
      <c r="B3131" s="246" t="inlineStr">
        <is>
          <t>TAVERNITI JEAN</t>
        </is>
      </c>
      <c r="C3131" s="88" t="n">
        <v>81000</v>
      </c>
      <c r="D3131" s="219" t="n"/>
      <c r="E3131" s="219" t="n"/>
      <c r="F3131" s="219" t="n"/>
      <c r="G3131" s="219" t="n"/>
      <c r="H3131" s="180" t="n"/>
      <c r="I3131" s="219" t="n"/>
      <c r="J3131" s="219" t="n"/>
      <c r="K3131" s="219" t="n"/>
      <c r="L3131" s="219">
        <f>ROUND((Q3131*C3131)/100,0)*100</f>
        <v/>
      </c>
      <c r="M3131" s="219" t="n"/>
      <c r="P3131" s="117" t="n"/>
      <c r="Q3131" s="118" t="n">
        <v>1.05</v>
      </c>
      <c r="R3131" s="117" t="n"/>
      <c r="T3131" s="117" t="n"/>
    </row>
    <row r="3132">
      <c r="A3132" s="134" t="inlineStr">
        <is>
          <t>588603</t>
        </is>
      </c>
      <c r="B3132" s="246" t="inlineStr">
        <is>
          <t>TAVERNITI JEAN</t>
        </is>
      </c>
      <c r="C3132" s="88" t="n">
        <v>81000</v>
      </c>
      <c r="D3132" s="219" t="n"/>
      <c r="E3132" s="219" t="n"/>
      <c r="F3132" s="219" t="n"/>
      <c r="G3132" s="219" t="n"/>
      <c r="H3132" s="180" t="n"/>
      <c r="I3132" s="219" t="n"/>
      <c r="J3132" s="219" t="n"/>
      <c r="K3132" s="219" t="n"/>
      <c r="L3132" s="219">
        <f>ROUND((Q3132*C3132)/100,0)*100</f>
        <v/>
      </c>
      <c r="M3132" s="219" t="n"/>
      <c r="P3132" s="117" t="n"/>
      <c r="Q3132" s="118" t="n">
        <v>1.05</v>
      </c>
      <c r="R3132" s="117" t="n"/>
      <c r="T3132" s="117" t="n"/>
    </row>
    <row r="3133">
      <c r="A3133" s="134" t="inlineStr">
        <is>
          <t>588711</t>
        </is>
      </c>
      <c r="B3133" s="246" t="inlineStr">
        <is>
          <t>TAVERNITI JEAN</t>
        </is>
      </c>
      <c r="C3133" s="88" t="n">
        <v>81000</v>
      </c>
      <c r="D3133" s="219" t="n"/>
      <c r="E3133" s="219" t="n"/>
      <c r="F3133" s="219" t="n"/>
      <c r="G3133" s="219" t="n"/>
      <c r="H3133" s="180" t="n"/>
      <c r="I3133" s="219" t="n"/>
      <c r="J3133" s="219" t="n"/>
      <c r="K3133" s="219" t="n"/>
      <c r="L3133" s="219">
        <f>ROUND((Q3133*C3133)/100,0)*100</f>
        <v/>
      </c>
      <c r="M3133" s="219" t="n"/>
      <c r="P3133" s="117" t="n"/>
      <c r="Q3133" s="118" t="n">
        <v>1.05</v>
      </c>
      <c r="R3133" s="117" t="n"/>
      <c r="T3133" s="117" t="n"/>
    </row>
    <row r="3134">
      <c r="A3134" s="134" t="inlineStr">
        <is>
          <t>588713</t>
        </is>
      </c>
      <c r="B3134" s="246" t="inlineStr">
        <is>
          <t>TAVERNITI JEAN</t>
        </is>
      </c>
      <c r="C3134" s="88" t="n">
        <v>81000</v>
      </c>
      <c r="D3134" s="219" t="n"/>
      <c r="E3134" s="219" t="n"/>
      <c r="F3134" s="219" t="n"/>
      <c r="G3134" s="219" t="n"/>
      <c r="H3134" s="180" t="n"/>
      <c r="I3134" s="219" t="n"/>
      <c r="J3134" s="219" t="n"/>
      <c r="K3134" s="219" t="n"/>
      <c r="L3134" s="219">
        <f>ROUND((Q3134*C3134)/100,0)*100</f>
        <v/>
      </c>
      <c r="M3134" s="219" t="n"/>
      <c r="P3134" s="117" t="n"/>
      <c r="Q3134" s="118" t="n">
        <v>1.05</v>
      </c>
      <c r="R3134" s="117" t="n"/>
      <c r="T3134" s="117" t="n"/>
    </row>
    <row r="3135">
      <c r="A3135" s="134" t="inlineStr">
        <is>
          <t>588913</t>
        </is>
      </c>
      <c r="B3135" s="246" t="inlineStr">
        <is>
          <t>TAVERNITI JEAN</t>
        </is>
      </c>
      <c r="C3135" s="88" t="n">
        <v>81000</v>
      </c>
      <c r="D3135" s="219" t="n"/>
      <c r="E3135" s="219" t="n"/>
      <c r="F3135" s="219" t="n"/>
      <c r="G3135" s="219" t="n"/>
      <c r="H3135" s="180" t="n"/>
      <c r="I3135" s="219" t="n"/>
      <c r="J3135" s="219" t="n"/>
      <c r="K3135" s="219" t="n"/>
      <c r="L3135" s="219">
        <f>ROUND((Q3135*C3135)/100,0)*100</f>
        <v/>
      </c>
      <c r="M3135" s="219" t="n"/>
      <c r="P3135" s="117" t="n"/>
      <c r="Q3135" s="118" t="n">
        <v>1.05</v>
      </c>
      <c r="R3135" s="117" t="n"/>
      <c r="T3135" s="117" t="n"/>
    </row>
    <row r="3136">
      <c r="A3136" s="134" t="inlineStr">
        <is>
          <t>588914</t>
        </is>
      </c>
      <c r="B3136" s="246" t="inlineStr">
        <is>
          <t>TAVERNITI JEAN</t>
        </is>
      </c>
      <c r="C3136" s="88" t="n">
        <v>81000</v>
      </c>
      <c r="D3136" s="219" t="n"/>
      <c r="E3136" s="219" t="n"/>
      <c r="F3136" s="219" t="n"/>
      <c r="G3136" s="219" t="n"/>
      <c r="H3136" s="180" t="n"/>
      <c r="I3136" s="219" t="n"/>
      <c r="J3136" s="219" t="n"/>
      <c r="K3136" s="219" t="n"/>
      <c r="L3136" s="219">
        <f>ROUND((Q3136*C3136)/100,0)*100</f>
        <v/>
      </c>
      <c r="M3136" s="219" t="n"/>
      <c r="P3136" s="117" t="n"/>
      <c r="Q3136" s="118" t="n">
        <v>1.05</v>
      </c>
      <c r="R3136" s="117" t="n"/>
      <c r="T3136" s="117" t="n"/>
    </row>
    <row r="3137">
      <c r="A3137" s="134" t="inlineStr">
        <is>
          <t>586204</t>
        </is>
      </c>
      <c r="B3137" s="246" t="inlineStr">
        <is>
          <t>TAVERNITI JEAN</t>
        </is>
      </c>
      <c r="C3137" s="88" t="n">
        <v>81000</v>
      </c>
      <c r="D3137" s="219" t="n"/>
      <c r="E3137" s="219" t="n"/>
      <c r="F3137" s="219" t="n"/>
      <c r="G3137" s="219" t="n"/>
      <c r="H3137" s="180" t="n"/>
      <c r="I3137" s="219" t="n"/>
      <c r="J3137" s="219" t="n"/>
      <c r="K3137" s="219" t="n"/>
      <c r="L3137" s="219">
        <f>ROUND((Q3137*C3137)/100,0)*100</f>
        <v/>
      </c>
      <c r="M3137" s="219" t="n"/>
      <c r="P3137" s="117" t="n"/>
      <c r="Q3137" s="118" t="n">
        <v>1.05</v>
      </c>
      <c r="R3137" s="117" t="n"/>
      <c r="T3137" s="117" t="n"/>
    </row>
    <row r="3138">
      <c r="A3138" s="134" t="inlineStr">
        <is>
          <t>592204</t>
        </is>
      </c>
      <c r="B3138" s="246" t="inlineStr">
        <is>
          <t>TAVERNITI JEAN</t>
        </is>
      </c>
      <c r="C3138" s="88" t="n">
        <v>81000</v>
      </c>
      <c r="D3138" s="219" t="n"/>
      <c r="E3138" s="219" t="n"/>
      <c r="F3138" s="219" t="n"/>
      <c r="G3138" s="219" t="n"/>
      <c r="H3138" s="180" t="n"/>
      <c r="I3138" s="219" t="n"/>
      <c r="J3138" s="219" t="n"/>
      <c r="K3138" s="219" t="n"/>
      <c r="L3138" s="219">
        <f>ROUND((Q3138*C3138)/100,0)*100</f>
        <v/>
      </c>
      <c r="M3138" s="219" t="n"/>
      <c r="P3138" s="117" t="n"/>
      <c r="Q3138" s="118" t="n">
        <v>1.05</v>
      </c>
      <c r="R3138" s="117" t="n"/>
      <c r="T3138" s="117" t="n"/>
    </row>
    <row r="3139">
      <c r="A3139" s="134" t="inlineStr">
        <is>
          <t>598560</t>
        </is>
      </c>
      <c r="B3139" s="246" t="inlineStr">
        <is>
          <t>TAVERNITI JEAN</t>
        </is>
      </c>
      <c r="C3139" s="88" t="n">
        <v>81000</v>
      </c>
      <c r="D3139" s="219" t="n"/>
      <c r="E3139" s="219" t="n"/>
      <c r="F3139" s="219" t="n"/>
      <c r="G3139" s="219" t="n"/>
      <c r="H3139" s="180" t="n"/>
      <c r="I3139" s="219" t="n"/>
      <c r="J3139" s="219" t="n"/>
      <c r="K3139" s="219" t="n"/>
      <c r="L3139" s="219">
        <f>ROUND((Q3139*C3139)/100,0)*100</f>
        <v/>
      </c>
      <c r="M3139" s="219" t="n"/>
      <c r="P3139" s="117" t="n"/>
      <c r="Q3139" s="118" t="n">
        <v>1.05</v>
      </c>
      <c r="R3139" s="117" t="n"/>
      <c r="T3139" s="117" t="n"/>
    </row>
    <row r="3140">
      <c r="A3140" s="128" t="inlineStr">
        <is>
          <t>654604</t>
        </is>
      </c>
      <c r="B3140" s="246" t="inlineStr">
        <is>
          <t>TAVERNITI JEAN</t>
        </is>
      </c>
      <c r="C3140" s="88" t="n">
        <v>81000</v>
      </c>
      <c r="D3140" s="219" t="n"/>
      <c r="E3140" s="219" t="n"/>
      <c r="F3140" s="219" t="n"/>
      <c r="G3140" s="219" t="n"/>
      <c r="H3140" s="180" t="n"/>
      <c r="I3140" s="219" t="n"/>
      <c r="J3140" s="219" t="n"/>
      <c r="K3140" s="219" t="n"/>
      <c r="L3140" s="219">
        <f>ROUND((Q3140*C3140)/100,0)*100</f>
        <v/>
      </c>
      <c r="M3140" s="219" t="n"/>
      <c r="P3140" s="117" t="n"/>
      <c r="Q3140" s="118" t="n">
        <v>1.05</v>
      </c>
      <c r="R3140" s="117" t="n"/>
      <c r="T3140" s="117" t="n"/>
    </row>
    <row r="3141">
      <c r="A3141" s="128" t="inlineStr">
        <is>
          <t>654680</t>
        </is>
      </c>
      <c r="B3141" s="246" t="inlineStr">
        <is>
          <t>TAVERNITI JEAN</t>
        </is>
      </c>
      <c r="C3141" s="88" t="n">
        <v>81000</v>
      </c>
      <c r="D3141" s="219" t="n"/>
      <c r="E3141" s="219" t="n"/>
      <c r="F3141" s="219" t="n"/>
      <c r="G3141" s="219" t="n"/>
      <c r="H3141" s="180" t="n"/>
      <c r="I3141" s="219" t="n"/>
      <c r="J3141" s="219" t="n"/>
      <c r="K3141" s="219" t="n"/>
      <c r="L3141" s="219">
        <f>ROUND((Q3141*C3141)/100,0)*100</f>
        <v/>
      </c>
      <c r="M3141" s="219" t="n"/>
      <c r="P3141" s="117" t="n"/>
      <c r="Q3141" s="118" t="n">
        <v>1.05</v>
      </c>
      <c r="R3141" s="117" t="n"/>
      <c r="T3141" s="117" t="n"/>
    </row>
    <row r="3142">
      <c r="A3142" s="128" t="inlineStr">
        <is>
          <t>1070712</t>
        </is>
      </c>
      <c r="B3142" s="246" t="inlineStr">
        <is>
          <t>TAVERNITI JEAN</t>
        </is>
      </c>
      <c r="C3142" s="88" t="n">
        <v>81000</v>
      </c>
      <c r="D3142" s="219" t="n"/>
      <c r="E3142" s="219" t="n"/>
      <c r="F3142" s="219" t="n"/>
      <c r="G3142" s="219" t="n"/>
      <c r="H3142" s="180" t="n"/>
      <c r="I3142" s="219" t="n"/>
      <c r="J3142" s="219" t="n"/>
      <c r="K3142" s="219" t="n"/>
      <c r="L3142" s="219">
        <f>ROUND((Q3142*C3142)/100,0)*100</f>
        <v/>
      </c>
      <c r="M3142" s="219" t="n"/>
      <c r="P3142" s="117" t="n"/>
      <c r="Q3142" s="118" t="n">
        <v>1.05</v>
      </c>
      <c r="R3142" s="117" t="n"/>
      <c r="T3142" s="117" t="n"/>
    </row>
    <row r="3143">
      <c r="A3143" s="134" t="inlineStr">
        <is>
          <t>10714XX</t>
        </is>
      </c>
      <c r="B3143" s="246" t="inlineStr">
        <is>
          <t>TAVERNITI JEAN</t>
        </is>
      </c>
      <c r="C3143" s="88" t="n">
        <v>81000</v>
      </c>
      <c r="D3143" s="219" t="n"/>
      <c r="E3143" s="219" t="n"/>
      <c r="F3143" s="219" t="n"/>
      <c r="G3143" s="219" t="n"/>
      <c r="H3143" s="180" t="n"/>
      <c r="I3143" s="219" t="n"/>
      <c r="J3143" s="219" t="n"/>
      <c r="K3143" s="219" t="n"/>
      <c r="L3143" s="219">
        <f>ROUND((Q3143*C3143)/100,0)*100</f>
        <v/>
      </c>
      <c r="M3143" s="219" t="n"/>
      <c r="P3143" s="117" t="n"/>
      <c r="Q3143" s="118" t="n">
        <v>1.05</v>
      </c>
      <c r="R3143" s="117" t="n"/>
      <c r="T3143" s="117" t="n"/>
    </row>
    <row r="3144">
      <c r="A3144" s="134" t="inlineStr">
        <is>
          <t>1072913</t>
        </is>
      </c>
      <c r="B3144" s="246" t="inlineStr">
        <is>
          <t>TAVERNITI JEAN</t>
        </is>
      </c>
      <c r="C3144" s="88" t="n">
        <v>81000</v>
      </c>
      <c r="D3144" s="219" t="n"/>
      <c r="E3144" s="219" t="n"/>
      <c r="F3144" s="219" t="n"/>
      <c r="G3144" s="219" t="n"/>
      <c r="H3144" s="180" t="n"/>
      <c r="I3144" s="219" t="n"/>
      <c r="J3144" s="219" t="n"/>
      <c r="K3144" s="219" t="n"/>
      <c r="L3144" s="219">
        <f>ROUND((Q3144*C3144)/100,0)*100</f>
        <v/>
      </c>
      <c r="M3144" s="219" t="n"/>
      <c r="P3144" s="117" t="n"/>
      <c r="Q3144" s="118" t="n">
        <v>1.05</v>
      </c>
      <c r="R3144" s="117" t="n"/>
      <c r="T3144" s="117" t="n"/>
    </row>
    <row r="3145">
      <c r="A3145" s="134" t="inlineStr">
        <is>
          <t>10862XX</t>
        </is>
      </c>
      <c r="B3145" s="246" t="inlineStr">
        <is>
          <t>TAVERNITI JEAN</t>
        </is>
      </c>
      <c r="C3145" s="88" t="n">
        <v>81000</v>
      </c>
      <c r="D3145" s="219" t="n"/>
      <c r="E3145" s="219" t="n"/>
      <c r="F3145" s="219" t="n"/>
      <c r="G3145" s="219" t="n"/>
      <c r="H3145" s="180" t="n"/>
      <c r="I3145" s="219" t="n"/>
      <c r="J3145" s="219" t="n"/>
      <c r="K3145" s="219" t="n"/>
      <c r="L3145" s="219">
        <f>ROUND((Q3145*C3145)/100,0)*100</f>
        <v/>
      </c>
      <c r="M3145" s="219" t="n"/>
      <c r="P3145" s="117" t="n"/>
      <c r="Q3145" s="118" t="n">
        <v>1.05</v>
      </c>
      <c r="R3145" s="117" t="n"/>
      <c r="T3145" s="117" t="n"/>
    </row>
    <row r="3146">
      <c r="A3146" s="89" t="inlineStr">
        <is>
          <t>10980XX</t>
        </is>
      </c>
      <c r="B3146" s="135" t="inlineStr">
        <is>
          <t>TAVERNITI JEAN</t>
        </is>
      </c>
      <c r="C3146" s="88" t="n">
        <v>81000</v>
      </c>
      <c r="D3146" s="170" t="n"/>
      <c r="E3146" s="170" t="n"/>
      <c r="F3146" s="170" t="n"/>
      <c r="G3146" s="170" t="n"/>
      <c r="H3146" s="227" t="n"/>
      <c r="I3146" s="170" t="n"/>
      <c r="J3146" s="170" t="n"/>
      <c r="K3146" s="170" t="n"/>
      <c r="L3146" s="170">
        <f>ROUND((Q3146*C3146)/100,0)*100</f>
        <v/>
      </c>
      <c r="M3146" s="170" t="n"/>
      <c r="N3146" s="30" t="n"/>
      <c r="O3146" s="30" t="n"/>
      <c r="P3146" s="170" t="n"/>
      <c r="Q3146" s="118" t="n">
        <v>1.05</v>
      </c>
      <c r="R3146" s="170" t="n"/>
      <c r="S3146" s="30" t="n"/>
      <c r="T3146" s="170" t="n"/>
      <c r="U3146" s="30" t="n"/>
      <c r="V3146" s="30" t="n"/>
      <c r="W3146" s="30" t="n"/>
      <c r="X3146" s="30" t="n"/>
      <c r="Y3146" s="30" t="n"/>
      <c r="Z3146" s="30" t="n"/>
      <c r="AA3146" s="30" t="n"/>
      <c r="AB3146" s="30" t="n"/>
      <c r="AC3146" s="30" t="n"/>
      <c r="AD3146" s="30" t="n"/>
      <c r="AE3146" s="30" t="n"/>
      <c r="AF3146" s="30" t="n"/>
      <c r="AG3146" s="30" t="n"/>
      <c r="AH3146" s="30" t="n"/>
      <c r="AI3146" s="30" t="n"/>
      <c r="AJ3146" s="30" t="n"/>
      <c r="AK3146" s="30" t="n"/>
      <c r="AL3146" s="30" t="n"/>
      <c r="AM3146" s="30" t="n"/>
      <c r="AN3146" s="30" t="n"/>
    </row>
    <row r="3147">
      <c r="A3147" s="134" t="inlineStr">
        <is>
          <t>10980XX</t>
        </is>
      </c>
      <c r="B3147" s="246" t="inlineStr">
        <is>
          <t>TAVERNITI JEAN</t>
        </is>
      </c>
      <c r="C3147" s="88" t="n">
        <v>81000</v>
      </c>
      <c r="D3147" s="219" t="n"/>
      <c r="E3147" s="219" t="n"/>
      <c r="F3147" s="219" t="n"/>
      <c r="G3147" s="219" t="n"/>
      <c r="H3147" s="180" t="n"/>
      <c r="I3147" s="219" t="n"/>
      <c r="J3147" s="219" t="n"/>
      <c r="K3147" s="219" t="n"/>
      <c r="L3147" s="219">
        <f>ROUND((Q3147*C3147)/100,0)*100</f>
        <v/>
      </c>
      <c r="M3147" s="219" t="n"/>
      <c r="P3147" s="117" t="n"/>
      <c r="Q3147" s="118" t="n">
        <v>1.05</v>
      </c>
      <c r="R3147" s="117" t="n"/>
      <c r="T3147" s="117" t="n"/>
    </row>
    <row r="3148">
      <c r="A3148" s="134" t="inlineStr">
        <is>
          <t>1098206</t>
        </is>
      </c>
      <c r="B3148" s="246" t="inlineStr">
        <is>
          <t>TAVERNITI JEAN</t>
        </is>
      </c>
      <c r="C3148" s="88" t="n">
        <v>81000</v>
      </c>
      <c r="D3148" s="219" t="n"/>
      <c r="E3148" s="219" t="n"/>
      <c r="F3148" s="219" t="n"/>
      <c r="G3148" s="219" t="n"/>
      <c r="H3148" s="180" t="n"/>
      <c r="I3148" s="219" t="n"/>
      <c r="J3148" s="219" t="n"/>
      <c r="K3148" s="219" t="n"/>
      <c r="L3148" s="219">
        <f>ROUND((Q3148*C3148)/100,0)*100</f>
        <v/>
      </c>
      <c r="M3148" s="219" t="n"/>
      <c r="P3148" s="117" t="n"/>
      <c r="Q3148" s="118" t="n">
        <v>1.05</v>
      </c>
      <c r="R3148" s="117" t="n"/>
      <c r="T3148" s="117" t="n"/>
    </row>
    <row r="3149">
      <c r="A3149" s="134" t="inlineStr">
        <is>
          <t>1098207</t>
        </is>
      </c>
      <c r="B3149" s="246" t="inlineStr">
        <is>
          <t>TAVERNITI JEAN</t>
        </is>
      </c>
      <c r="C3149" s="88" t="n">
        <v>81000</v>
      </c>
      <c r="D3149" s="219" t="n"/>
      <c r="E3149" s="219" t="n"/>
      <c r="F3149" s="219" t="n"/>
      <c r="G3149" s="219" t="n"/>
      <c r="H3149" s="180" t="n"/>
      <c r="I3149" s="219" t="n"/>
      <c r="J3149" s="219" t="n"/>
      <c r="K3149" s="219" t="n"/>
      <c r="L3149" s="219">
        <f>ROUND((Q3149*C3149)/100,0)*100</f>
        <v/>
      </c>
      <c r="M3149" s="219" t="n"/>
      <c r="P3149" s="117" t="n"/>
      <c r="Q3149" s="118" t="n">
        <v>1.05</v>
      </c>
      <c r="R3149" s="117" t="n"/>
      <c r="T3149" s="117" t="n"/>
    </row>
    <row r="3150">
      <c r="A3150" s="134" t="inlineStr">
        <is>
          <t>1098236</t>
        </is>
      </c>
      <c r="B3150" s="246" t="inlineStr">
        <is>
          <t>TAVERNITI JEAN</t>
        </is>
      </c>
      <c r="C3150" s="88" t="n">
        <v>81000</v>
      </c>
      <c r="D3150" s="219" t="n"/>
      <c r="E3150" s="219" t="n"/>
      <c r="F3150" s="219" t="n"/>
      <c r="G3150" s="219" t="n"/>
      <c r="H3150" s="180" t="n"/>
      <c r="I3150" s="219" t="n"/>
      <c r="J3150" s="219" t="n"/>
      <c r="K3150" s="219" t="n"/>
      <c r="L3150" s="219">
        <f>ROUND((Q3150*C3150)/100,0)*100</f>
        <v/>
      </c>
      <c r="M3150" s="219" t="n"/>
      <c r="P3150" s="117" t="n"/>
      <c r="Q3150" s="118" t="n">
        <v>1.05</v>
      </c>
      <c r="R3150" s="117" t="n"/>
      <c r="T3150" s="117" t="n"/>
    </row>
    <row r="3151">
      <c r="A3151" s="134" t="inlineStr">
        <is>
          <t>1098239</t>
        </is>
      </c>
      <c r="B3151" s="246" t="inlineStr">
        <is>
          <t>TAVERNITI JEAN</t>
        </is>
      </c>
      <c r="C3151" s="88" t="n">
        <v>81000</v>
      </c>
      <c r="D3151" s="219" t="n"/>
      <c r="E3151" s="219" t="n"/>
      <c r="F3151" s="219" t="n"/>
      <c r="G3151" s="219" t="n"/>
      <c r="H3151" s="180" t="n"/>
      <c r="I3151" s="219" t="n"/>
      <c r="J3151" s="219" t="n"/>
      <c r="K3151" s="219" t="n"/>
      <c r="L3151" s="219">
        <f>ROUND((Q3151*C3151)/100,0)*100</f>
        <v/>
      </c>
      <c r="M3151" s="219" t="n"/>
      <c r="P3151" s="117" t="n"/>
      <c r="Q3151" s="118" t="n">
        <v>1.05</v>
      </c>
      <c r="R3151" s="117" t="n"/>
      <c r="T3151" s="117" t="n"/>
    </row>
    <row r="3152">
      <c r="A3152" s="134" t="inlineStr">
        <is>
          <t>1098453</t>
        </is>
      </c>
      <c r="B3152" s="246" t="inlineStr">
        <is>
          <t>TAVERNITI JEAN</t>
        </is>
      </c>
      <c r="C3152" s="88" t="n">
        <v>81000</v>
      </c>
      <c r="D3152" s="219" t="n"/>
      <c r="E3152" s="219" t="n"/>
      <c r="F3152" s="219" t="n"/>
      <c r="G3152" s="219" t="n"/>
      <c r="H3152" s="180" t="n"/>
      <c r="I3152" s="219" t="n"/>
      <c r="J3152" s="219" t="n"/>
      <c r="K3152" s="219" t="n"/>
      <c r="L3152" s="219">
        <f>ROUND((Q3152*C3152)/100,0)*100</f>
        <v/>
      </c>
      <c r="M3152" s="219" t="n"/>
      <c r="P3152" s="117" t="n"/>
      <c r="Q3152" s="118" t="n">
        <v>1.05</v>
      </c>
      <c r="R3152" s="117" t="n"/>
      <c r="T3152" s="117" t="n"/>
    </row>
    <row r="3153">
      <c r="A3153" s="134" t="inlineStr">
        <is>
          <t>1098454</t>
        </is>
      </c>
      <c r="B3153" s="246" t="inlineStr">
        <is>
          <t>TAVERNITI JEAN</t>
        </is>
      </c>
      <c r="C3153" s="88" t="n">
        <v>81000</v>
      </c>
      <c r="D3153" s="219" t="n"/>
      <c r="E3153" s="219" t="n"/>
      <c r="F3153" s="219" t="n"/>
      <c r="G3153" s="219" t="n"/>
      <c r="H3153" s="180" t="n"/>
      <c r="I3153" s="219" t="n"/>
      <c r="J3153" s="219" t="n"/>
      <c r="K3153" s="219" t="n"/>
      <c r="L3153" s="219">
        <f>ROUND((Q3153*C3153)/100,0)*100</f>
        <v/>
      </c>
      <c r="M3153" s="219" t="n"/>
      <c r="P3153" s="117" t="n"/>
      <c r="Q3153" s="118" t="n">
        <v>1.05</v>
      </c>
      <c r="R3153" s="117" t="n"/>
      <c r="T3153" s="117" t="n"/>
    </row>
    <row r="3154">
      <c r="A3154" s="134" t="inlineStr">
        <is>
          <t>1098455</t>
        </is>
      </c>
      <c r="B3154" s="246" t="inlineStr">
        <is>
          <t>TAVERNITI JEAN</t>
        </is>
      </c>
      <c r="C3154" s="88" t="n">
        <v>81000</v>
      </c>
      <c r="D3154" s="219" t="n"/>
      <c r="E3154" s="219" t="n"/>
      <c r="F3154" s="219" t="n"/>
      <c r="G3154" s="219" t="n"/>
      <c r="H3154" s="180" t="n"/>
      <c r="I3154" s="219" t="n"/>
      <c r="J3154" s="219" t="n"/>
      <c r="K3154" s="219" t="n"/>
      <c r="L3154" s="219">
        <f>ROUND((Q3154*C3154)/100,0)*100</f>
        <v/>
      </c>
      <c r="M3154" s="219" t="n"/>
      <c r="P3154" s="117" t="n"/>
      <c r="Q3154" s="118" t="n">
        <v>1.05</v>
      </c>
      <c r="R3154" s="117" t="n"/>
      <c r="T3154" s="117" t="n"/>
    </row>
    <row r="3155">
      <c r="A3155" s="134" t="inlineStr">
        <is>
          <t>010985XX</t>
        </is>
      </c>
      <c r="B3155" s="246" t="inlineStr">
        <is>
          <t>TAVERNITI JEAN</t>
        </is>
      </c>
      <c r="C3155" s="88" t="n">
        <v>81000</v>
      </c>
      <c r="D3155" s="219" t="n"/>
      <c r="E3155" s="219" t="n"/>
      <c r="F3155" s="219" t="n"/>
      <c r="G3155" s="219" t="n"/>
      <c r="H3155" s="180" t="n"/>
      <c r="I3155" s="219" t="n"/>
      <c r="J3155" s="219" t="n"/>
      <c r="K3155" s="219" t="n"/>
      <c r="L3155" s="219">
        <f>ROUND((Q3155*C3155)/100,0)*100</f>
        <v/>
      </c>
      <c r="M3155" s="219" t="n"/>
      <c r="P3155" s="117" t="n"/>
      <c r="Q3155" s="118" t="n">
        <v>1.05</v>
      </c>
      <c r="R3155" s="117" t="n"/>
      <c r="T3155" s="117" t="n"/>
    </row>
    <row r="3156">
      <c r="A3156" s="134" t="inlineStr">
        <is>
          <t>1098603</t>
        </is>
      </c>
      <c r="B3156" s="246" t="inlineStr">
        <is>
          <t>TAVERNITI JEAN</t>
        </is>
      </c>
      <c r="C3156" s="88" t="n">
        <v>81000</v>
      </c>
      <c r="D3156" s="219" t="n"/>
      <c r="E3156" s="219" t="n"/>
      <c r="F3156" s="219" t="n"/>
      <c r="G3156" s="219" t="n"/>
      <c r="H3156" s="180" t="n"/>
      <c r="I3156" s="219" t="n"/>
      <c r="J3156" s="219" t="n"/>
      <c r="K3156" s="219" t="n"/>
      <c r="L3156" s="219">
        <f>ROUND((Q3156*C3156)/100,0)*100</f>
        <v/>
      </c>
      <c r="M3156" s="219" t="n"/>
      <c r="P3156" s="117" t="n"/>
      <c r="Q3156" s="118" t="n">
        <v>1.05</v>
      </c>
      <c r="R3156" s="117" t="n"/>
      <c r="T3156" s="117" t="n"/>
    </row>
    <row r="3157">
      <c r="A3157" s="134" t="inlineStr">
        <is>
          <t>1098713</t>
        </is>
      </c>
      <c r="B3157" s="246" t="inlineStr">
        <is>
          <t>TAVERNITI JEAN</t>
        </is>
      </c>
      <c r="C3157" s="88" t="n">
        <v>81000</v>
      </c>
      <c r="D3157" s="219" t="n"/>
      <c r="E3157" s="219" t="n"/>
      <c r="F3157" s="219" t="n"/>
      <c r="G3157" s="219" t="n"/>
      <c r="H3157" s="180" t="n"/>
      <c r="I3157" s="219" t="n"/>
      <c r="J3157" s="219" t="n"/>
      <c r="K3157" s="219" t="n"/>
      <c r="L3157" s="219">
        <f>ROUND((Q3157*C3157)/100,0)*100</f>
        <v/>
      </c>
      <c r="M3157" s="219" t="n"/>
      <c r="P3157" s="117" t="n"/>
      <c r="Q3157" s="118" t="n">
        <v>1.05</v>
      </c>
      <c r="R3157" s="117" t="n"/>
      <c r="T3157" s="117" t="n"/>
    </row>
    <row r="3158">
      <c r="A3158" s="134" t="inlineStr">
        <is>
          <t>1098714</t>
        </is>
      </c>
      <c r="B3158" s="246" t="inlineStr">
        <is>
          <t>TAVERNITI JEAN</t>
        </is>
      </c>
      <c r="C3158" s="88" t="n">
        <v>81000</v>
      </c>
      <c r="D3158" s="219" t="n"/>
      <c r="E3158" s="219" t="n"/>
      <c r="F3158" s="219" t="n"/>
      <c r="G3158" s="219" t="n"/>
      <c r="H3158" s="180" t="n"/>
      <c r="I3158" s="219" t="n"/>
      <c r="J3158" s="219" t="n"/>
      <c r="K3158" s="219" t="n"/>
      <c r="L3158" s="219">
        <f>ROUND((Q3158*C3158)/100,0)*100</f>
        <v/>
      </c>
      <c r="M3158" s="219" t="n"/>
      <c r="P3158" s="117" t="n"/>
      <c r="Q3158" s="118" t="n">
        <v>1.05</v>
      </c>
      <c r="R3158" s="117" t="n"/>
      <c r="T3158" s="117" t="n"/>
    </row>
    <row r="3159" s="253">
      <c r="A3159" s="128" t="inlineStr">
        <is>
          <t>1098926</t>
        </is>
      </c>
      <c r="B3159" s="246" t="inlineStr">
        <is>
          <t>TAVERNITI JEAN</t>
        </is>
      </c>
      <c r="C3159" s="88" t="n">
        <v>81000</v>
      </c>
      <c r="D3159" s="219" t="n"/>
      <c r="E3159" s="219" t="n"/>
      <c r="F3159" s="219" t="n"/>
      <c r="G3159" s="219" t="n"/>
      <c r="H3159" s="180" t="n"/>
      <c r="I3159" s="219" t="n"/>
      <c r="J3159" s="219" t="n"/>
      <c r="K3159" s="219" t="n"/>
      <c r="L3159" s="219">
        <f>ROUND((Q3159*C3159)/100,0)*100</f>
        <v/>
      </c>
      <c r="M3159" s="219" t="n"/>
      <c r="P3159" s="117" t="n"/>
      <c r="Q3159" s="118" t="n">
        <v>1.05</v>
      </c>
      <c r="R3159" s="117" t="n"/>
      <c r="T3159" s="117" t="n"/>
    </row>
    <row r="3160">
      <c r="A3160" s="134" t="inlineStr">
        <is>
          <t>1118917</t>
        </is>
      </c>
      <c r="B3160" s="246" t="inlineStr">
        <is>
          <t>TAVERNITI JEAN</t>
        </is>
      </c>
      <c r="C3160" s="88" t="n">
        <v>81000</v>
      </c>
      <c r="D3160" s="219" t="n"/>
      <c r="E3160" s="219" t="n"/>
      <c r="F3160" s="219" t="n"/>
      <c r="G3160" s="219" t="n"/>
      <c r="H3160" s="180" t="n"/>
      <c r="I3160" s="219" t="n"/>
      <c r="J3160" s="219" t="n"/>
      <c r="K3160" s="219" t="n"/>
      <c r="L3160" s="219">
        <f>ROUND((Q3160*C3160)/100,0)*100</f>
        <v/>
      </c>
      <c r="M3160" s="219" t="n"/>
      <c r="P3160" s="117" t="n"/>
      <c r="Q3160" s="118" t="n">
        <v>1.05</v>
      </c>
      <c r="R3160" s="117" t="n"/>
      <c r="T3160" s="117" t="n"/>
    </row>
    <row r="3161">
      <c r="A3161" s="134" t="inlineStr">
        <is>
          <t>1142450</t>
        </is>
      </c>
      <c r="B3161" s="246" t="inlineStr">
        <is>
          <t>TAVERNITI JEAN</t>
        </is>
      </c>
      <c r="C3161" s="88" t="n">
        <v>81000</v>
      </c>
      <c r="D3161" s="219" t="n"/>
      <c r="E3161" s="219" t="n"/>
      <c r="F3161" s="219" t="n"/>
      <c r="G3161" s="219" t="n"/>
      <c r="H3161" s="180" t="n"/>
      <c r="I3161" s="219" t="n"/>
      <c r="J3161" s="219" t="n"/>
      <c r="K3161" s="219" t="n"/>
      <c r="L3161" s="219">
        <f>ROUND((Q3161*C3161)/100,0)*100</f>
        <v/>
      </c>
      <c r="M3161" s="219" t="n"/>
      <c r="P3161" s="117" t="n"/>
      <c r="Q3161" s="118" t="n">
        <v>1.05</v>
      </c>
      <c r="R3161" s="117" t="n"/>
      <c r="T3161" s="117" t="n"/>
    </row>
    <row r="3162">
      <c r="A3162" s="134" t="inlineStr">
        <is>
          <t>1142451</t>
        </is>
      </c>
      <c r="B3162" s="246" t="inlineStr">
        <is>
          <t>TAVERNITI JEAN</t>
        </is>
      </c>
      <c r="C3162" s="88" t="n">
        <v>81000</v>
      </c>
      <c r="D3162" s="219" t="n"/>
      <c r="E3162" s="219" t="n"/>
      <c r="F3162" s="219" t="n"/>
      <c r="G3162" s="219" t="n"/>
      <c r="H3162" s="180" t="n"/>
      <c r="I3162" s="219" t="n"/>
      <c r="J3162" s="219" t="n"/>
      <c r="K3162" s="219" t="n"/>
      <c r="L3162" s="219">
        <f>ROUND((Q3162*C3162)/100,0)*100</f>
        <v/>
      </c>
      <c r="M3162" s="219" t="n"/>
      <c r="P3162" s="117" t="n"/>
      <c r="Q3162" s="118" t="n">
        <v>1.05</v>
      </c>
      <c r="R3162" s="117" t="n"/>
      <c r="T3162" s="117" t="n"/>
    </row>
    <row r="3163">
      <c r="A3163" s="134" t="inlineStr">
        <is>
          <t>1152202</t>
        </is>
      </c>
      <c r="B3163" s="246" t="inlineStr">
        <is>
          <t>TAVERNITI JEAN</t>
        </is>
      </c>
      <c r="C3163" s="88" t="n">
        <v>81000</v>
      </c>
      <c r="D3163" s="219" t="n"/>
      <c r="E3163" s="219" t="n"/>
      <c r="F3163" s="219" t="n"/>
      <c r="G3163" s="219" t="n"/>
      <c r="H3163" s="180" t="n"/>
      <c r="I3163" s="219" t="n"/>
      <c r="J3163" s="219" t="n"/>
      <c r="K3163" s="219" t="n"/>
      <c r="L3163" s="219">
        <f>ROUND((Q3163*C3163)/100,0)*100</f>
        <v/>
      </c>
      <c r="M3163" s="219" t="n"/>
      <c r="P3163" s="117" t="n"/>
      <c r="Q3163" s="118" t="n">
        <v>1.05</v>
      </c>
      <c r="R3163" s="117" t="n"/>
      <c r="T3163" s="117" t="n"/>
    </row>
    <row r="3164">
      <c r="A3164" s="134" t="inlineStr">
        <is>
          <t>1152209</t>
        </is>
      </c>
      <c r="B3164" s="246" t="inlineStr">
        <is>
          <t>TAVERNITI JEAN</t>
        </is>
      </c>
      <c r="C3164" s="88" t="n">
        <v>81000</v>
      </c>
      <c r="D3164" s="219" t="n"/>
      <c r="E3164" s="219" t="n"/>
      <c r="F3164" s="219" t="n"/>
      <c r="G3164" s="219" t="n"/>
      <c r="H3164" s="180" t="n"/>
      <c r="I3164" s="219" t="n"/>
      <c r="J3164" s="219" t="n"/>
      <c r="K3164" s="219" t="n"/>
      <c r="L3164" s="219">
        <f>ROUND((Q3164*C3164)/100,0)*100</f>
        <v/>
      </c>
      <c r="M3164" s="219" t="n"/>
      <c r="P3164" s="117" t="n"/>
      <c r="Q3164" s="118" t="n">
        <v>1.05</v>
      </c>
      <c r="R3164" s="117" t="n"/>
      <c r="T3164" s="117" t="n"/>
    </row>
    <row r="3165">
      <c r="A3165" s="134" t="inlineStr">
        <is>
          <t>1152211</t>
        </is>
      </c>
      <c r="B3165" s="246" t="inlineStr">
        <is>
          <t>TAVERNITI JEAN</t>
        </is>
      </c>
      <c r="C3165" s="88" t="n">
        <v>81000</v>
      </c>
      <c r="D3165" s="219" t="n"/>
      <c r="E3165" s="219" t="n"/>
      <c r="F3165" s="219" t="n"/>
      <c r="G3165" s="219" t="n"/>
      <c r="H3165" s="180" t="n"/>
      <c r="I3165" s="219" t="n"/>
      <c r="J3165" s="219" t="n"/>
      <c r="K3165" s="219" t="n"/>
      <c r="L3165" s="219">
        <f>ROUND((Q3165*C3165)/100,0)*100</f>
        <v/>
      </c>
      <c r="M3165" s="219" t="n"/>
      <c r="P3165" s="117" t="n"/>
      <c r="Q3165" s="118" t="n">
        <v>1.05</v>
      </c>
      <c r="R3165" s="117" t="n"/>
      <c r="T3165" s="117" t="n"/>
    </row>
    <row r="3166">
      <c r="A3166" s="134" t="inlineStr">
        <is>
          <t>1152238</t>
        </is>
      </c>
      <c r="B3166" s="246" t="inlineStr">
        <is>
          <t>TAVERNITI JEAN</t>
        </is>
      </c>
      <c r="C3166" s="88" t="n">
        <v>81000</v>
      </c>
      <c r="D3166" s="219" t="n"/>
      <c r="E3166" s="219" t="n"/>
      <c r="F3166" s="219" t="n"/>
      <c r="G3166" s="219" t="n"/>
      <c r="H3166" s="180" t="n"/>
      <c r="I3166" s="219" t="n"/>
      <c r="J3166" s="219" t="n"/>
      <c r="K3166" s="219" t="n"/>
      <c r="L3166" s="219">
        <f>ROUND((Q3166*C3166)/100,0)*100</f>
        <v/>
      </c>
      <c r="M3166" s="219" t="n"/>
      <c r="P3166" s="117" t="n"/>
      <c r="Q3166" s="118" t="n">
        <v>1.05</v>
      </c>
      <c r="R3166" s="117" t="n"/>
      <c r="T3166" s="117" t="n"/>
    </row>
    <row r="3167">
      <c r="A3167" s="134" t="inlineStr">
        <is>
          <t>1152451</t>
        </is>
      </c>
      <c r="B3167" s="246" t="inlineStr">
        <is>
          <t>TAVERNITI JEAN</t>
        </is>
      </c>
      <c r="C3167" s="88" t="n">
        <v>81000</v>
      </c>
      <c r="D3167" s="219" t="n"/>
      <c r="E3167" s="219" t="n"/>
      <c r="F3167" s="219" t="n"/>
      <c r="G3167" s="219" t="n"/>
      <c r="H3167" s="180" t="n"/>
      <c r="I3167" s="219" t="n"/>
      <c r="J3167" s="219" t="n"/>
      <c r="K3167" s="219" t="n"/>
      <c r="L3167" s="219">
        <f>ROUND((Q3167*C3167)/100,0)*100</f>
        <v/>
      </c>
      <c r="M3167" s="219" t="n"/>
      <c r="P3167" s="117" t="n"/>
      <c r="Q3167" s="118" t="n">
        <v>1.05</v>
      </c>
      <c r="R3167" s="117" t="n"/>
      <c r="T3167" s="117" t="n"/>
    </row>
    <row r="3168">
      <c r="A3168" s="134" t="inlineStr">
        <is>
          <t>1152452</t>
        </is>
      </c>
      <c r="B3168" s="246" t="inlineStr">
        <is>
          <t>TAVERNITI JEAN</t>
        </is>
      </c>
      <c r="C3168" s="88" t="n">
        <v>81000</v>
      </c>
      <c r="D3168" s="219" t="n"/>
      <c r="E3168" s="219" t="n"/>
      <c r="F3168" s="219" t="n"/>
      <c r="G3168" s="219" t="n"/>
      <c r="H3168" s="180" t="n"/>
      <c r="I3168" s="219" t="n"/>
      <c r="J3168" s="219" t="n"/>
      <c r="K3168" s="219" t="n"/>
      <c r="L3168" s="219">
        <f>ROUND((Q3168*C3168)/100,0)*100</f>
        <v/>
      </c>
      <c r="M3168" s="219" t="n"/>
      <c r="P3168" s="117" t="n"/>
      <c r="Q3168" s="118" t="n">
        <v>1.05</v>
      </c>
      <c r="R3168" s="117" t="n"/>
      <c r="T3168" s="117" t="n"/>
    </row>
    <row r="3169">
      <c r="A3169" s="134" t="inlineStr">
        <is>
          <t>1152454</t>
        </is>
      </c>
      <c r="B3169" s="246" t="inlineStr">
        <is>
          <t>TAVERNITI JEAN</t>
        </is>
      </c>
      <c r="C3169" s="88" t="n">
        <v>81000</v>
      </c>
      <c r="D3169" s="219" t="n"/>
      <c r="E3169" s="219" t="n"/>
      <c r="F3169" s="219" t="n"/>
      <c r="G3169" s="219" t="n"/>
      <c r="H3169" s="180" t="n"/>
      <c r="I3169" s="219" t="n"/>
      <c r="J3169" s="219" t="n"/>
      <c r="K3169" s="219" t="n"/>
      <c r="L3169" s="219">
        <f>ROUND((Q3169*C3169)/100,0)*100</f>
        <v/>
      </c>
      <c r="M3169" s="219" t="n"/>
      <c r="P3169" s="117" t="n"/>
      <c r="Q3169" s="118" t="n">
        <v>1.05</v>
      </c>
      <c r="R3169" s="117" t="n"/>
      <c r="T3169" s="117" t="n"/>
    </row>
    <row r="3170">
      <c r="A3170" s="134" t="inlineStr">
        <is>
          <t>1152511</t>
        </is>
      </c>
      <c r="B3170" s="246" t="inlineStr">
        <is>
          <t>TAVERNITI JEAN</t>
        </is>
      </c>
      <c r="C3170" s="88" t="n">
        <v>81000</v>
      </c>
      <c r="D3170" s="219" t="n"/>
      <c r="E3170" s="219" t="n"/>
      <c r="F3170" s="219" t="n"/>
      <c r="G3170" s="219" t="n"/>
      <c r="H3170" s="180" t="n"/>
      <c r="I3170" s="219" t="n"/>
      <c r="J3170" s="219" t="n"/>
      <c r="K3170" s="219" t="n"/>
      <c r="L3170" s="219">
        <f>ROUND((Q3170*C3170)/100,0)*100</f>
        <v/>
      </c>
      <c r="M3170" s="219" t="n"/>
      <c r="P3170" s="117" t="n"/>
      <c r="Q3170" s="118" t="n">
        <v>1.05</v>
      </c>
      <c r="R3170" s="117" t="n"/>
      <c r="T3170" s="117" t="n"/>
    </row>
    <row r="3171">
      <c r="A3171" s="134" t="inlineStr">
        <is>
          <t>1152512</t>
        </is>
      </c>
      <c r="B3171" s="246" t="inlineStr">
        <is>
          <t>TAVERNITI JEAN</t>
        </is>
      </c>
      <c r="C3171" s="88" t="n">
        <v>81000</v>
      </c>
      <c r="D3171" s="219" t="n"/>
      <c r="E3171" s="219" t="n"/>
      <c r="F3171" s="219" t="n"/>
      <c r="G3171" s="219" t="n"/>
      <c r="H3171" s="180" t="n"/>
      <c r="I3171" s="219" t="n"/>
      <c r="J3171" s="219" t="n"/>
      <c r="K3171" s="219" t="n"/>
      <c r="L3171" s="219">
        <f>ROUND((Q3171*C3171)/100,0)*100</f>
        <v/>
      </c>
      <c r="M3171" s="219" t="n"/>
      <c r="P3171" s="117" t="n"/>
      <c r="Q3171" s="118" t="n">
        <v>1.05</v>
      </c>
      <c r="R3171" s="117" t="n"/>
      <c r="T3171" s="117" t="n"/>
    </row>
    <row r="3172">
      <c r="A3172" s="134" t="inlineStr">
        <is>
          <t>1152523</t>
        </is>
      </c>
      <c r="B3172" s="246" t="inlineStr">
        <is>
          <t>TAVERNITI JEAN</t>
        </is>
      </c>
      <c r="C3172" s="88" t="n">
        <v>81000</v>
      </c>
      <c r="D3172" s="219" t="n"/>
      <c r="E3172" s="219" t="n"/>
      <c r="F3172" s="219" t="n"/>
      <c r="G3172" s="219" t="n"/>
      <c r="H3172" s="180" t="n"/>
      <c r="I3172" s="219" t="n"/>
      <c r="J3172" s="219" t="n"/>
      <c r="K3172" s="219" t="n"/>
      <c r="L3172" s="219">
        <f>ROUND((Q3172*C3172)/100,0)*100</f>
        <v/>
      </c>
      <c r="M3172" s="219" t="n"/>
      <c r="P3172" s="117" t="n"/>
      <c r="Q3172" s="118" t="n">
        <v>1.05</v>
      </c>
      <c r="R3172" s="117" t="n"/>
      <c r="T3172" s="117" t="n"/>
    </row>
    <row r="3173">
      <c r="A3173" s="128" t="inlineStr">
        <is>
          <t>1152525</t>
        </is>
      </c>
      <c r="B3173" s="246" t="inlineStr">
        <is>
          <t>TAVERNITI JEAN</t>
        </is>
      </c>
      <c r="C3173" s="88" t="n">
        <v>81000</v>
      </c>
      <c r="D3173" s="219" t="n"/>
      <c r="E3173" s="219" t="n"/>
      <c r="F3173" s="219" t="n"/>
      <c r="G3173" s="219" t="n"/>
      <c r="H3173" s="180" t="n"/>
      <c r="I3173" s="219" t="n"/>
      <c r="J3173" s="219" t="n"/>
      <c r="K3173" s="219" t="n"/>
      <c r="L3173" s="219">
        <f>ROUND((Q3173*C3173)/100,0)*100</f>
        <v/>
      </c>
      <c r="M3173" s="219" t="n"/>
      <c r="P3173" s="117" t="n"/>
      <c r="Q3173" s="118" t="n">
        <v>1.05</v>
      </c>
      <c r="R3173" s="117" t="n"/>
      <c r="T3173" s="117" t="n"/>
    </row>
    <row r="3174">
      <c r="A3174" s="134" t="inlineStr">
        <is>
          <t>1152526</t>
        </is>
      </c>
      <c r="B3174" s="246" t="inlineStr">
        <is>
          <t>TAVERNITI JEAN</t>
        </is>
      </c>
      <c r="C3174" s="88" t="n">
        <v>81000</v>
      </c>
      <c r="D3174" s="219" t="n"/>
      <c r="E3174" s="219" t="n"/>
      <c r="F3174" s="219" t="n"/>
      <c r="G3174" s="219" t="n"/>
      <c r="H3174" s="180" t="n"/>
      <c r="I3174" s="219" t="n"/>
      <c r="J3174" s="219" t="n"/>
      <c r="K3174" s="219" t="n"/>
      <c r="L3174" s="219">
        <f>ROUND((Q3174*C3174)/100,0)*100</f>
        <v/>
      </c>
      <c r="M3174" s="219" t="n"/>
      <c r="P3174" s="117" t="n"/>
      <c r="Q3174" s="118" t="n">
        <v>1.05</v>
      </c>
      <c r="R3174" s="117" t="n"/>
      <c r="T3174" s="117" t="n"/>
    </row>
    <row r="3175">
      <c r="A3175" s="134" t="inlineStr">
        <is>
          <t>1152570</t>
        </is>
      </c>
      <c r="B3175" s="246" t="inlineStr">
        <is>
          <t>TAVERNITI JEAN</t>
        </is>
      </c>
      <c r="C3175" s="88" t="n">
        <v>81000</v>
      </c>
      <c r="D3175" s="219" t="n"/>
      <c r="E3175" s="219" t="n"/>
      <c r="F3175" s="219" t="n"/>
      <c r="G3175" s="219" t="n"/>
      <c r="H3175" s="180" t="n"/>
      <c r="I3175" s="219" t="n"/>
      <c r="J3175" s="219" t="n"/>
      <c r="K3175" s="219" t="n"/>
      <c r="L3175" s="219">
        <f>ROUND((Q3175*C3175)/100,0)*100</f>
        <v/>
      </c>
      <c r="M3175" s="219" t="n"/>
      <c r="P3175" s="117" t="n"/>
      <c r="Q3175" s="118" t="n">
        <v>1.05</v>
      </c>
      <c r="R3175" s="117" t="n"/>
      <c r="T3175" s="117" t="n"/>
    </row>
    <row r="3176">
      <c r="A3176" s="134" t="inlineStr">
        <is>
          <t>1152683</t>
        </is>
      </c>
      <c r="B3176" s="246" t="inlineStr">
        <is>
          <t>TAVERNITI JEAN</t>
        </is>
      </c>
      <c r="C3176" s="88" t="n">
        <v>81000</v>
      </c>
      <c r="D3176" s="219" t="n"/>
      <c r="E3176" s="219" t="n"/>
      <c r="F3176" s="219" t="n"/>
      <c r="G3176" s="219" t="n"/>
      <c r="H3176" s="180" t="n"/>
      <c r="I3176" s="219" t="n"/>
      <c r="J3176" s="219" t="n"/>
      <c r="K3176" s="219" t="n"/>
      <c r="L3176" s="219">
        <f>ROUND((Q3176*C3176)/100,0)*100</f>
        <v/>
      </c>
      <c r="M3176" s="219" t="n"/>
      <c r="P3176" s="117" t="n"/>
      <c r="Q3176" s="118" t="n">
        <v>1.05</v>
      </c>
      <c r="R3176" s="117" t="n"/>
      <c r="T3176" s="117" t="n"/>
    </row>
    <row r="3177">
      <c r="A3177" s="134" t="inlineStr">
        <is>
          <t>1152708</t>
        </is>
      </c>
      <c r="B3177" s="246" t="inlineStr">
        <is>
          <t>TAVERNITI JEAN</t>
        </is>
      </c>
      <c r="C3177" s="88" t="n">
        <v>81000</v>
      </c>
      <c r="D3177" s="219" t="n"/>
      <c r="E3177" s="219" t="n"/>
      <c r="F3177" s="219" t="n"/>
      <c r="G3177" s="219" t="n"/>
      <c r="H3177" s="180" t="n"/>
      <c r="I3177" s="219" t="n"/>
      <c r="J3177" s="219" t="n"/>
      <c r="K3177" s="219" t="n"/>
      <c r="L3177" s="219">
        <f>ROUND((Q3177*C3177)/100,0)*100</f>
        <v/>
      </c>
      <c r="M3177" s="219" t="n"/>
      <c r="P3177" s="117" t="n"/>
      <c r="Q3177" s="118" t="n">
        <v>1.05</v>
      </c>
      <c r="R3177" s="117" t="n"/>
      <c r="T3177" s="117" t="n"/>
    </row>
    <row r="3178">
      <c r="A3178" s="134" t="inlineStr">
        <is>
          <t>1152714</t>
        </is>
      </c>
      <c r="B3178" s="246" t="inlineStr">
        <is>
          <t>TAVERNITI JEAN</t>
        </is>
      </c>
      <c r="C3178" s="88" t="n">
        <v>81000</v>
      </c>
      <c r="D3178" s="219" t="n"/>
      <c r="E3178" s="219" t="n"/>
      <c r="F3178" s="219" t="n"/>
      <c r="G3178" s="219" t="n"/>
      <c r="H3178" s="180" t="n"/>
      <c r="I3178" s="219" t="n"/>
      <c r="J3178" s="219" t="n"/>
      <c r="K3178" s="219" t="n"/>
      <c r="L3178" s="219">
        <f>ROUND((Q3178*C3178)/100,0)*100</f>
        <v/>
      </c>
      <c r="M3178" s="219" t="n"/>
      <c r="P3178" s="117" t="n"/>
      <c r="Q3178" s="118" t="n">
        <v>1.05</v>
      </c>
      <c r="R3178" s="117" t="n"/>
      <c r="T3178" s="117" t="n"/>
    </row>
    <row r="3179">
      <c r="A3179" s="134" t="inlineStr">
        <is>
          <t>1152918</t>
        </is>
      </c>
      <c r="B3179" s="246" t="inlineStr">
        <is>
          <t>TAVERNITI JEAN</t>
        </is>
      </c>
      <c r="C3179" s="88" t="n">
        <v>81000</v>
      </c>
      <c r="D3179" s="219" t="n"/>
      <c r="E3179" s="219" t="n"/>
      <c r="F3179" s="219" t="n"/>
      <c r="G3179" s="219" t="n"/>
      <c r="H3179" s="180" t="n"/>
      <c r="I3179" s="219" t="n"/>
      <c r="J3179" s="219" t="n"/>
      <c r="K3179" s="219" t="n"/>
      <c r="L3179" s="219">
        <f>ROUND((Q3179*C3179)/100,0)*100</f>
        <v/>
      </c>
      <c r="M3179" s="219" t="n"/>
      <c r="P3179" s="117" t="n"/>
      <c r="Q3179" s="118" t="n">
        <v>1.05</v>
      </c>
      <c r="R3179" s="117" t="n"/>
      <c r="T3179" s="117" t="n"/>
    </row>
    <row r="3180">
      <c r="A3180" s="134" t="inlineStr">
        <is>
          <t>1152925</t>
        </is>
      </c>
      <c r="B3180" s="246" t="inlineStr">
        <is>
          <t>TAVERNITI JEAN</t>
        </is>
      </c>
      <c r="C3180" s="88" t="n">
        <v>81000</v>
      </c>
      <c r="D3180" s="219" t="n"/>
      <c r="E3180" s="219" t="n"/>
      <c r="F3180" s="219" t="n"/>
      <c r="G3180" s="219" t="n"/>
      <c r="H3180" s="180" t="n"/>
      <c r="I3180" s="219" t="n"/>
      <c r="J3180" s="219" t="n"/>
      <c r="K3180" s="219" t="n"/>
      <c r="L3180" s="219">
        <f>ROUND((Q3180*C3180)/100,0)*100</f>
        <v/>
      </c>
      <c r="M3180" s="219" t="n"/>
      <c r="P3180" s="117" t="n"/>
      <c r="Q3180" s="118" t="n">
        <v>1.05</v>
      </c>
      <c r="R3180" s="117" t="n"/>
      <c r="T3180" s="117" t="n"/>
    </row>
    <row r="3181">
      <c r="A3181" s="134" t="inlineStr">
        <is>
          <t>1152925</t>
        </is>
      </c>
      <c r="B3181" s="246" t="inlineStr">
        <is>
          <t>TAVERNITI JEAN</t>
        </is>
      </c>
      <c r="C3181" s="88" t="n">
        <v>81000</v>
      </c>
      <c r="D3181" s="219" t="n"/>
      <c r="E3181" s="219" t="n"/>
      <c r="F3181" s="219" t="n"/>
      <c r="G3181" s="219" t="n"/>
      <c r="H3181" s="180" t="n"/>
      <c r="I3181" s="219" t="n"/>
      <c r="J3181" s="219" t="n"/>
      <c r="K3181" s="219" t="n"/>
      <c r="L3181" s="219">
        <f>ROUND((Q3181*C3181)/100,0)*100</f>
        <v/>
      </c>
      <c r="M3181" s="219" t="n"/>
      <c r="P3181" s="117" t="n"/>
      <c r="Q3181" s="118" t="n">
        <v>1.05</v>
      </c>
      <c r="R3181" s="117" t="n"/>
      <c r="T3181" s="117" t="n"/>
    </row>
    <row r="3182">
      <c r="A3182" s="134" t="inlineStr">
        <is>
          <t>01210XXX</t>
        </is>
      </c>
      <c r="B3182" s="246" t="inlineStr">
        <is>
          <t>TAVERNITI JEAN</t>
        </is>
      </c>
      <c r="C3182" s="88" t="n">
        <v>86100</v>
      </c>
      <c r="D3182" s="219" t="n"/>
      <c r="E3182" s="219" t="n"/>
      <c r="F3182" s="219" t="n"/>
      <c r="G3182" s="219" t="n"/>
      <c r="H3182" s="180" t="n"/>
      <c r="I3182" s="219" t="n"/>
      <c r="J3182" s="219" t="n"/>
      <c r="K3182" s="219" t="n"/>
      <c r="L3182" s="219">
        <f>ROUND((Q3182*C3182)/100,0)*100</f>
        <v/>
      </c>
      <c r="M3182" s="219" t="n"/>
      <c r="P3182" s="117" t="n"/>
      <c r="Q3182" s="118" t="n">
        <v>1.05</v>
      </c>
      <c r="R3182" s="117" t="n"/>
      <c r="T3182" s="117" t="n"/>
    </row>
    <row r="3183">
      <c r="A3183" s="134" t="inlineStr">
        <is>
          <t>1237705</t>
        </is>
      </c>
      <c r="B3183" s="246" t="inlineStr">
        <is>
          <t>TAVERNITI JEAN</t>
        </is>
      </c>
      <c r="C3183" s="88" t="n">
        <v>81000</v>
      </c>
      <c r="D3183" s="219" t="n"/>
      <c r="E3183" s="219" t="n"/>
      <c r="F3183" s="219" t="n"/>
      <c r="G3183" s="219" t="n"/>
      <c r="H3183" s="180" t="n"/>
      <c r="I3183" s="219" t="n"/>
      <c r="J3183" s="219" t="n"/>
      <c r="K3183" s="219" t="n"/>
      <c r="L3183" s="219">
        <f>ROUND((Q3183*C3183)/100,0)*100</f>
        <v/>
      </c>
      <c r="M3183" s="219" t="n"/>
      <c r="P3183" s="117" t="n"/>
      <c r="Q3183" s="118" t="n">
        <v>1.05</v>
      </c>
      <c r="R3183" s="117" t="n"/>
      <c r="T3183" s="117" t="n"/>
    </row>
    <row r="3184">
      <c r="A3184" s="134" t="inlineStr">
        <is>
          <t>1276913</t>
        </is>
      </c>
      <c r="B3184" s="246" t="inlineStr">
        <is>
          <t>TAVERNITI JEAN</t>
        </is>
      </c>
      <c r="C3184" s="88" t="n">
        <v>81000</v>
      </c>
      <c r="D3184" s="219" t="n"/>
      <c r="E3184" s="219" t="n"/>
      <c r="F3184" s="219" t="n"/>
      <c r="G3184" s="219" t="n"/>
      <c r="H3184" s="180" t="n"/>
      <c r="I3184" s="219" t="n"/>
      <c r="J3184" s="219" t="n"/>
      <c r="K3184" s="219" t="n"/>
      <c r="L3184" s="219">
        <f>ROUND((Q3184*C3184)/100,0)*100</f>
        <v/>
      </c>
      <c r="M3184" s="219" t="n"/>
      <c r="P3184" s="117" t="n"/>
      <c r="Q3184" s="118" t="n">
        <v>1.05</v>
      </c>
      <c r="R3184" s="117" t="n"/>
      <c r="T3184" s="117" t="n"/>
    </row>
    <row r="3185">
      <c r="A3185" s="134" t="inlineStr">
        <is>
          <t>1286451</t>
        </is>
      </c>
      <c r="B3185" s="246" t="inlineStr">
        <is>
          <t>TAVERNITI JEAN</t>
        </is>
      </c>
      <c r="C3185" s="88" t="n">
        <v>81000</v>
      </c>
      <c r="D3185" s="219" t="n"/>
      <c r="E3185" s="219" t="n"/>
      <c r="F3185" s="219" t="n"/>
      <c r="G3185" s="219" t="n"/>
      <c r="H3185" s="180" t="n"/>
      <c r="I3185" s="219" t="n"/>
      <c r="J3185" s="219" t="n"/>
      <c r="K3185" s="219" t="n"/>
      <c r="L3185" s="219">
        <f>ROUND((Q3185*C3185)/100,0)*100</f>
        <v/>
      </c>
      <c r="M3185" s="219" t="n"/>
      <c r="P3185" s="117" t="n"/>
      <c r="Q3185" s="118" t="n">
        <v>1.05</v>
      </c>
      <c r="R3185" s="117" t="n"/>
      <c r="T3185" s="117" t="n"/>
    </row>
    <row r="3186">
      <c r="A3186" s="134" t="inlineStr">
        <is>
          <t>1286452</t>
        </is>
      </c>
      <c r="B3186" s="246" t="inlineStr">
        <is>
          <t>TAVERNITI JEAN</t>
        </is>
      </c>
      <c r="C3186" s="88" t="n">
        <v>81000</v>
      </c>
      <c r="D3186" s="219" t="n"/>
      <c r="E3186" s="219" t="n"/>
      <c r="F3186" s="219" t="n"/>
      <c r="G3186" s="219" t="n"/>
      <c r="H3186" s="180" t="n"/>
      <c r="I3186" s="219" t="n"/>
      <c r="J3186" s="219" t="n"/>
      <c r="K3186" s="219" t="n"/>
      <c r="L3186" s="219">
        <f>ROUND((Q3186*C3186)/100,0)*100</f>
        <v/>
      </c>
      <c r="M3186" s="219" t="n"/>
      <c r="P3186" s="117" t="n"/>
      <c r="Q3186" s="118" t="n">
        <v>1.05</v>
      </c>
      <c r="R3186" s="117" t="n"/>
      <c r="T3186" s="117" t="n"/>
    </row>
    <row r="3187">
      <c r="A3187" s="134" t="inlineStr">
        <is>
          <t>1329712</t>
        </is>
      </c>
      <c r="B3187" s="246" t="inlineStr">
        <is>
          <t>TAVERNITI JEAN</t>
        </is>
      </c>
      <c r="C3187" s="88" t="n">
        <v>81000</v>
      </c>
      <c r="D3187" s="219" t="n"/>
      <c r="E3187" s="219" t="n"/>
      <c r="F3187" s="219" t="n"/>
      <c r="G3187" s="219" t="n"/>
      <c r="H3187" s="180" t="n"/>
      <c r="I3187" s="219" t="n"/>
      <c r="J3187" s="219" t="n"/>
      <c r="K3187" s="219" t="n"/>
      <c r="L3187" s="219">
        <f>ROUND((Q3187*C3187)/100,0)*100</f>
        <v/>
      </c>
      <c r="M3187" s="219" t="n"/>
      <c r="P3187" s="117" t="n"/>
      <c r="Q3187" s="118" t="n">
        <v>1.05</v>
      </c>
      <c r="R3187" s="117" t="n"/>
      <c r="T3187" s="117" t="n"/>
    </row>
    <row r="3188">
      <c r="A3188" s="134" t="inlineStr">
        <is>
          <t>1350502</t>
        </is>
      </c>
      <c r="B3188" s="246" t="inlineStr">
        <is>
          <t>TAVERNITI JEAN</t>
        </is>
      </c>
      <c r="C3188" s="88" t="n">
        <v>81000</v>
      </c>
      <c r="D3188" s="219" t="n"/>
      <c r="E3188" s="219" t="n"/>
      <c r="F3188" s="219" t="n"/>
      <c r="G3188" s="219" t="n"/>
      <c r="H3188" s="180" t="n"/>
      <c r="I3188" s="219" t="n"/>
      <c r="J3188" s="219" t="n"/>
      <c r="K3188" s="219" t="n"/>
      <c r="L3188" s="219">
        <f>ROUND((Q3188*C3188)/100,0)*100</f>
        <v/>
      </c>
      <c r="M3188" s="219" t="n"/>
      <c r="P3188" s="117" t="n"/>
      <c r="Q3188" s="118" t="n">
        <v>1.05</v>
      </c>
      <c r="R3188" s="117" t="n"/>
      <c r="T3188" s="117" t="n"/>
    </row>
    <row r="3189">
      <c r="A3189" s="134" t="inlineStr">
        <is>
          <t>1350913</t>
        </is>
      </c>
      <c r="B3189" s="246" t="inlineStr">
        <is>
          <t>TAVERNITI JEAN</t>
        </is>
      </c>
      <c r="C3189" s="88" t="n">
        <v>81000</v>
      </c>
      <c r="D3189" s="219" t="n"/>
      <c r="E3189" s="219" t="n"/>
      <c r="F3189" s="219" t="n"/>
      <c r="G3189" s="219" t="n"/>
      <c r="H3189" s="180" t="n"/>
      <c r="I3189" s="219" t="n"/>
      <c r="J3189" s="219" t="n"/>
      <c r="K3189" s="219" t="n"/>
      <c r="L3189" s="219">
        <f>ROUND((Q3189*C3189)/100,0)*100</f>
        <v/>
      </c>
      <c r="M3189" s="219" t="n"/>
      <c r="P3189" s="117" t="n"/>
      <c r="Q3189" s="118" t="n">
        <v>1.05</v>
      </c>
      <c r="R3189" s="117" t="n"/>
      <c r="T3189" s="117" t="n"/>
    </row>
    <row r="3190">
      <c r="A3190" s="134" t="inlineStr">
        <is>
          <t>01428XXX</t>
        </is>
      </c>
      <c r="B3190" s="246" t="inlineStr">
        <is>
          <t>TAVERNITI JEAN</t>
        </is>
      </c>
      <c r="C3190" s="88" t="n">
        <v>93500</v>
      </c>
      <c r="D3190" s="219" t="n"/>
      <c r="E3190" s="219" t="n"/>
      <c r="F3190" s="219" t="n"/>
      <c r="G3190" s="219" t="n"/>
      <c r="H3190" s="180" t="n"/>
      <c r="I3190" s="219" t="n"/>
      <c r="J3190" s="219" t="n"/>
      <c r="K3190" s="219" t="n"/>
      <c r="L3190" s="219">
        <f>ROUND((Q3190*C3190)/100,0)*100</f>
        <v/>
      </c>
      <c r="M3190" s="219" t="n"/>
      <c r="P3190" s="117" t="n"/>
      <c r="Q3190" s="118" t="n">
        <v>1.05</v>
      </c>
      <c r="R3190" s="117" t="n"/>
      <c r="T3190" s="117" t="n"/>
    </row>
    <row r="3191">
      <c r="A3191" s="134" t="inlineStr">
        <is>
          <t>01612XXX</t>
        </is>
      </c>
      <c r="B3191" s="246" t="inlineStr">
        <is>
          <t>TAVERNITI JEAN</t>
        </is>
      </c>
      <c r="C3191" s="88" t="n">
        <v>81000</v>
      </c>
      <c r="D3191" s="219" t="n"/>
      <c r="E3191" s="219" t="n"/>
      <c r="F3191" s="219" t="n"/>
      <c r="G3191" s="219" t="n"/>
      <c r="H3191" s="180" t="n"/>
      <c r="I3191" s="219" t="n"/>
      <c r="J3191" s="219" t="n"/>
      <c r="K3191" s="219" t="n"/>
      <c r="L3191" s="219">
        <f>ROUND((Q3191*C3191)/100,0)*100</f>
        <v/>
      </c>
      <c r="M3191" s="219" t="n"/>
      <c r="P3191" s="117" t="n"/>
      <c r="Q3191" s="118" t="n">
        <v>1.05</v>
      </c>
      <c r="R3191" s="117" t="n"/>
      <c r="T3191" s="117" t="n"/>
    </row>
    <row r="3192">
      <c r="A3192" s="134" t="inlineStr">
        <is>
          <t>016345XX</t>
        </is>
      </c>
      <c r="B3192" s="246" t="inlineStr">
        <is>
          <t>TAVERNITI JEAN</t>
        </is>
      </c>
      <c r="C3192" s="88" t="n">
        <v>81000</v>
      </c>
      <c r="D3192" s="219" t="n"/>
      <c r="E3192" s="219" t="n"/>
      <c r="F3192" s="219" t="n"/>
      <c r="G3192" s="219" t="n"/>
      <c r="H3192" s="180" t="n"/>
      <c r="I3192" s="219" t="n"/>
      <c r="J3192" s="219" t="n"/>
      <c r="K3192" s="219" t="n"/>
      <c r="L3192" s="219">
        <f>ROUND((Q3192*C3192)/100,0)*100</f>
        <v/>
      </c>
      <c r="M3192" s="219" t="n"/>
      <c r="P3192" s="117" t="n"/>
      <c r="Q3192" s="118" t="n">
        <v>1.05</v>
      </c>
      <c r="R3192" s="117" t="n"/>
      <c r="T3192" s="117" t="n"/>
    </row>
    <row r="3193">
      <c r="A3193" s="134" t="inlineStr">
        <is>
          <t>01720XXX</t>
        </is>
      </c>
      <c r="B3193" s="246" t="inlineStr">
        <is>
          <t>TAVERNITI JEAN</t>
        </is>
      </c>
      <c r="C3193" s="88" t="n">
        <v>81000</v>
      </c>
      <c r="D3193" s="219" t="n"/>
      <c r="E3193" s="219" t="n"/>
      <c r="F3193" s="219" t="n"/>
      <c r="G3193" s="219" t="n"/>
      <c r="H3193" s="180" t="n"/>
      <c r="I3193" s="219" t="n"/>
      <c r="J3193" s="219" t="n"/>
      <c r="K3193" s="219" t="n"/>
      <c r="L3193" s="219">
        <f>ROUND((Q3193*C3193)/100,0)*100</f>
        <v/>
      </c>
      <c r="M3193" s="219" t="n"/>
      <c r="P3193" s="117" t="n"/>
      <c r="Q3193" s="118" t="n">
        <v>1.05</v>
      </c>
      <c r="R3193" s="117" t="n"/>
      <c r="T3193" s="117" t="n"/>
    </row>
    <row r="3194">
      <c r="A3194" s="134" t="inlineStr">
        <is>
          <t>01786XXX</t>
        </is>
      </c>
      <c r="B3194" s="246" t="inlineStr">
        <is>
          <t>TAVERNITI JEAN</t>
        </is>
      </c>
      <c r="C3194" s="88" t="n">
        <v>81000</v>
      </c>
      <c r="D3194" s="219" t="n"/>
      <c r="E3194" s="219" t="n"/>
      <c r="F3194" s="219" t="n"/>
      <c r="G3194" s="219" t="n"/>
      <c r="H3194" s="180" t="n"/>
      <c r="I3194" s="219" t="n"/>
      <c r="J3194" s="219" t="n"/>
      <c r="K3194" s="219" t="n"/>
      <c r="L3194" s="219">
        <f>ROUND((Q3194*C3194)/100,0)*100</f>
        <v/>
      </c>
      <c r="M3194" s="219" t="n"/>
      <c r="P3194" s="117" t="n"/>
      <c r="Q3194" s="118" t="n">
        <v>1.05</v>
      </c>
      <c r="R3194" s="117" t="n"/>
      <c r="T3194" s="117" t="n"/>
    </row>
    <row r="3195">
      <c r="A3195" s="134" t="inlineStr">
        <is>
          <t>01800XXX</t>
        </is>
      </c>
      <c r="B3195" s="246" t="inlineStr">
        <is>
          <t>TAVERNITI JEAN</t>
        </is>
      </c>
      <c r="C3195" s="88" t="n">
        <v>98700</v>
      </c>
      <c r="D3195" s="219" t="n"/>
      <c r="E3195" s="219" t="n"/>
      <c r="F3195" s="219" t="n"/>
      <c r="G3195" s="219" t="n"/>
      <c r="H3195" s="180" t="n"/>
      <c r="I3195" s="219" t="n"/>
      <c r="J3195" s="219" t="n"/>
      <c r="K3195" s="219" t="n"/>
      <c r="L3195" s="219">
        <f>ROUND((Q3195*C3195)/100,0)*100</f>
        <v/>
      </c>
      <c r="M3195" s="219" t="n"/>
      <c r="P3195" s="117" t="n"/>
      <c r="Q3195" s="118" t="n">
        <v>1.05</v>
      </c>
      <c r="R3195" s="117" t="n"/>
      <c r="T3195" s="117" t="n"/>
    </row>
    <row r="3196">
      <c r="A3196" s="128" t="inlineStr">
        <is>
          <t>01948XXX</t>
        </is>
      </c>
      <c r="B3196" s="246" t="inlineStr">
        <is>
          <t>TAVERNITI JEAN</t>
        </is>
      </c>
      <c r="C3196" s="88" t="n">
        <v>86500</v>
      </c>
      <c r="D3196" s="219" t="n"/>
      <c r="E3196" s="219" t="n"/>
      <c r="F3196" s="219" t="n"/>
      <c r="G3196" s="219" t="n"/>
      <c r="H3196" s="180" t="n"/>
      <c r="I3196" s="219" t="n"/>
      <c r="J3196" s="219" t="n"/>
      <c r="K3196" s="219" t="n"/>
      <c r="L3196" s="219">
        <f>ROUND((Q3196*C3196)/100,0)*100</f>
        <v/>
      </c>
      <c r="M3196" s="219" t="n"/>
      <c r="P3196" s="117" t="n"/>
      <c r="Q3196" s="118" t="n">
        <v>1.05</v>
      </c>
      <c r="R3196" s="117" t="n"/>
      <c r="T3196" s="117" t="n"/>
    </row>
    <row r="3197">
      <c r="A3197" s="134" t="inlineStr">
        <is>
          <t>10003XXX</t>
        </is>
      </c>
      <c r="B3197" s="246" t="inlineStr">
        <is>
          <t>TAVERNITI JEAN</t>
        </is>
      </c>
      <c r="C3197" s="88" t="n">
        <v>81000</v>
      </c>
      <c r="D3197" s="219" t="n"/>
      <c r="E3197" s="219" t="n"/>
      <c r="F3197" s="219" t="n"/>
      <c r="G3197" s="219" t="n"/>
      <c r="H3197" s="180" t="n"/>
      <c r="I3197" s="219" t="n"/>
      <c r="J3197" s="219" t="n"/>
      <c r="K3197" s="219" t="n"/>
      <c r="L3197" s="219">
        <f>ROUND((Q3197*C3197)/100,0)*100</f>
        <v/>
      </c>
      <c r="M3197" s="219" t="n"/>
      <c r="P3197" s="117" t="n"/>
      <c r="Q3197" s="118" t="n">
        <v>1.05</v>
      </c>
      <c r="R3197" s="117" t="n"/>
      <c r="T3197" s="117" t="n"/>
    </row>
    <row r="3198">
      <c r="A3198" s="134" t="inlineStr">
        <is>
          <t>10004XXX</t>
        </is>
      </c>
      <c r="B3198" s="246" t="inlineStr">
        <is>
          <t>TAVERNITI JEAN</t>
        </is>
      </c>
      <c r="C3198" s="88" t="n">
        <v>81000</v>
      </c>
      <c r="D3198" s="219" t="n"/>
      <c r="E3198" s="219" t="n"/>
      <c r="F3198" s="219" t="n"/>
      <c r="G3198" s="219" t="n"/>
      <c r="H3198" s="180" t="n"/>
      <c r="I3198" s="219" t="n"/>
      <c r="J3198" s="219" t="n"/>
      <c r="K3198" s="219" t="n"/>
      <c r="L3198" s="219">
        <f>ROUND((Q3198*C3198)/100,0)*100</f>
        <v/>
      </c>
      <c r="M3198" s="219" t="n"/>
      <c r="P3198" s="117" t="n"/>
      <c r="Q3198" s="118" t="n">
        <v>1.05</v>
      </c>
      <c r="R3198" s="117" t="n"/>
      <c r="T3198" s="117" t="n"/>
    </row>
    <row r="3199">
      <c r="A3199" s="68" t="inlineStr">
        <is>
          <t>10029XXX</t>
        </is>
      </c>
      <c r="B3199" s="246" t="inlineStr">
        <is>
          <t>TAVERNITI JEAN</t>
        </is>
      </c>
      <c r="C3199" s="88" t="n">
        <v>81000</v>
      </c>
      <c r="D3199" s="219" t="n"/>
      <c r="E3199" s="219" t="n"/>
      <c r="F3199" s="219" t="n"/>
      <c r="G3199" s="219" t="n"/>
      <c r="H3199" s="180" t="n"/>
      <c r="I3199" s="219" t="n"/>
      <c r="J3199" s="219" t="n"/>
      <c r="K3199" s="219" t="n"/>
      <c r="L3199" s="219">
        <f>ROUND((Q3199*C3199)/100,0)*100</f>
        <v/>
      </c>
      <c r="M3199" s="219" t="n"/>
      <c r="P3199" s="117" t="n"/>
      <c r="Q3199" s="118" t="n">
        <v>1.05</v>
      </c>
      <c r="R3199" s="117" t="n"/>
      <c r="T3199" s="117" t="n"/>
    </row>
    <row r="3200">
      <c r="A3200" s="68" t="inlineStr">
        <is>
          <t>10062XXX</t>
        </is>
      </c>
      <c r="B3200" s="246" t="inlineStr">
        <is>
          <t>TAVERNITI JEAN</t>
        </is>
      </c>
      <c r="C3200" s="88" t="n">
        <v>81000</v>
      </c>
      <c r="D3200" s="219" t="n"/>
      <c r="E3200" s="219" t="n"/>
      <c r="F3200" s="219" t="n"/>
      <c r="G3200" s="219" t="n"/>
      <c r="H3200" s="180" t="n"/>
      <c r="I3200" s="219" t="n"/>
      <c r="J3200" s="219" t="n"/>
      <c r="K3200" s="219" t="n"/>
      <c r="L3200" s="219">
        <f>ROUND((Q3200*C3200)/100,0)*100</f>
        <v/>
      </c>
      <c r="M3200" s="219" t="n"/>
      <c r="P3200" s="117" t="n"/>
      <c r="Q3200" s="118" t="n">
        <v>1.05</v>
      </c>
      <c r="R3200" s="117" t="n"/>
      <c r="T3200" s="117" t="n"/>
    </row>
    <row r="3201">
      <c r="A3201" s="134" t="inlineStr">
        <is>
          <t>10123XXX</t>
        </is>
      </c>
      <c r="B3201" s="246" t="inlineStr">
        <is>
          <t>TAVERNITI JEAN</t>
        </is>
      </c>
      <c r="C3201" s="88" t="n">
        <v>81000</v>
      </c>
      <c r="D3201" s="219" t="n"/>
      <c r="E3201" s="219" t="n"/>
      <c r="F3201" s="219" t="n"/>
      <c r="G3201" s="219" t="n"/>
      <c r="H3201" s="180" t="n"/>
      <c r="I3201" s="219" t="n"/>
      <c r="J3201" s="219" t="n"/>
      <c r="K3201" s="219" t="n"/>
      <c r="L3201" s="219">
        <f>ROUND((Q3201*C3201)/100,0)*100</f>
        <v/>
      </c>
      <c r="M3201" s="219" t="n"/>
      <c r="P3201" s="117" t="n"/>
      <c r="Q3201" s="118" t="n">
        <v>1.05</v>
      </c>
      <c r="R3201" s="117" t="n"/>
      <c r="T3201" s="117" t="n"/>
    </row>
    <row r="3202">
      <c r="A3202" s="134" t="inlineStr">
        <is>
          <t>10150705</t>
        </is>
      </c>
      <c r="B3202" s="246" t="inlineStr">
        <is>
          <t>TAVERNITI JEAN</t>
        </is>
      </c>
      <c r="C3202" s="88" t="n">
        <v>81000</v>
      </c>
      <c r="D3202" s="219" t="n"/>
      <c r="E3202" s="219" t="n"/>
      <c r="F3202" s="219" t="n"/>
      <c r="G3202" s="219" t="n"/>
      <c r="H3202" s="180" t="n"/>
      <c r="I3202" s="219" t="n"/>
      <c r="J3202" s="219" t="n"/>
      <c r="K3202" s="219" t="n"/>
      <c r="L3202" s="219">
        <f>ROUND((Q3202*C3202)/100,0)*100</f>
        <v/>
      </c>
      <c r="M3202" s="219" t="n"/>
      <c r="P3202" s="117" t="n"/>
      <c r="Q3202" s="118" t="n">
        <v>1.05</v>
      </c>
      <c r="R3202" s="117" t="n"/>
      <c r="T3202" s="117" t="n"/>
    </row>
    <row r="3203">
      <c r="A3203" s="134" t="inlineStr">
        <is>
          <t>10156602</t>
        </is>
      </c>
      <c r="B3203" s="246" t="inlineStr">
        <is>
          <t>TAVERNITI JEAN</t>
        </is>
      </c>
      <c r="C3203" s="88" t="n">
        <v>81000</v>
      </c>
      <c r="E3203" s="219" t="n"/>
      <c r="F3203" s="219" t="n"/>
      <c r="G3203" s="219" t="n"/>
      <c r="H3203" s="180" t="n"/>
      <c r="I3203" s="219" t="n"/>
      <c r="J3203" s="219" t="n"/>
      <c r="K3203" s="219" t="n"/>
      <c r="L3203" s="219">
        <f>ROUND((Q3203*C3203)/100,0)*100</f>
        <v/>
      </c>
      <c r="M3203" s="219" t="n"/>
      <c r="P3203" s="117" t="n"/>
      <c r="Q3203" s="118" t="n">
        <v>1.05</v>
      </c>
      <c r="R3203" s="117" t="n"/>
      <c r="T3203" s="117" t="n"/>
    </row>
    <row r="3204">
      <c r="A3204" s="134" t="inlineStr">
        <is>
          <t>10158237</t>
        </is>
      </c>
      <c r="B3204" s="246" t="inlineStr">
        <is>
          <t>TAVERNITI JEAN</t>
        </is>
      </c>
      <c r="C3204" s="88" t="n">
        <v>81000</v>
      </c>
      <c r="D3204" s="219" t="n"/>
      <c r="E3204" s="219" t="n"/>
      <c r="F3204" s="219" t="n"/>
      <c r="G3204" s="219" t="n"/>
      <c r="H3204" s="180" t="n"/>
      <c r="I3204" s="219" t="n"/>
      <c r="J3204" s="219" t="n"/>
      <c r="K3204" s="219" t="n"/>
      <c r="L3204" s="219">
        <f>ROUND((Q3204*C3204)/100,0)*100</f>
        <v/>
      </c>
      <c r="M3204" s="219" t="n"/>
      <c r="P3204" s="117" t="n"/>
      <c r="Q3204" s="118" t="n">
        <v>1.05</v>
      </c>
      <c r="R3204" s="117" t="n"/>
      <c r="T3204" s="117" t="n"/>
    </row>
    <row r="3205">
      <c r="A3205" s="134" t="inlineStr">
        <is>
          <t>10160XXX</t>
        </is>
      </c>
      <c r="B3205" s="246" t="inlineStr">
        <is>
          <t>TAVERNITI JEAN</t>
        </is>
      </c>
      <c r="C3205" s="88" t="n">
        <v>89000</v>
      </c>
      <c r="D3205" s="219" t="n"/>
      <c r="E3205" s="219" t="n"/>
      <c r="F3205" s="219" t="n"/>
      <c r="G3205" s="219" t="n"/>
      <c r="H3205" s="180" t="n"/>
      <c r="I3205" s="219" t="n"/>
      <c r="J3205" s="219" t="n"/>
      <c r="K3205" s="219" t="n"/>
      <c r="L3205" s="219">
        <f>ROUND((Q3205*C3205)/100,0)*100</f>
        <v/>
      </c>
      <c r="M3205" s="219" t="n"/>
      <c r="P3205" s="117" t="n"/>
      <c r="Q3205" s="118" t="n">
        <v>1.05</v>
      </c>
      <c r="R3205" s="117" t="n"/>
      <c r="T3205" s="117" t="n"/>
    </row>
    <row r="3206">
      <c r="A3206" s="134" t="inlineStr">
        <is>
          <t>10162912</t>
        </is>
      </c>
      <c r="B3206" s="246" t="inlineStr">
        <is>
          <t>TAVERNITI JEAN</t>
        </is>
      </c>
      <c r="C3206" s="88" t="n">
        <v>81000</v>
      </c>
      <c r="D3206" s="219" t="n"/>
      <c r="E3206" s="219" t="n"/>
      <c r="F3206" s="219" t="n"/>
      <c r="G3206" s="219" t="n"/>
      <c r="H3206" s="180" t="n"/>
      <c r="I3206" s="219" t="n"/>
      <c r="J3206" s="219" t="n"/>
      <c r="K3206" s="219" t="n"/>
      <c r="L3206" s="219">
        <f>ROUND((Q3206*C3206)/100,0)*100</f>
        <v/>
      </c>
      <c r="M3206" s="219" t="n"/>
      <c r="P3206" s="117" t="n"/>
      <c r="Q3206" s="118" t="n">
        <v>1.05</v>
      </c>
      <c r="R3206" s="117" t="n"/>
      <c r="T3206" s="117" t="n"/>
    </row>
    <row r="3207">
      <c r="A3207" s="134" t="inlineStr">
        <is>
          <t>10168236</t>
        </is>
      </c>
      <c r="B3207" s="246" t="inlineStr">
        <is>
          <t>TAVERNITI JEAN</t>
        </is>
      </c>
      <c r="C3207" s="88" t="n">
        <v>81000</v>
      </c>
      <c r="D3207" s="219" t="n"/>
      <c r="E3207" s="219" t="n"/>
      <c r="F3207" s="219" t="n"/>
      <c r="G3207" s="219" t="n"/>
      <c r="H3207" s="180" t="n"/>
      <c r="I3207" s="219" t="n"/>
      <c r="J3207" s="219" t="n"/>
      <c r="K3207" s="219" t="n"/>
      <c r="L3207" s="219">
        <f>ROUND((Q3207*C3207)/100,0)*100</f>
        <v/>
      </c>
      <c r="M3207" s="219" t="n"/>
      <c r="P3207" s="117" t="n"/>
      <c r="Q3207" s="118" t="n">
        <v>1.05</v>
      </c>
      <c r="R3207" s="117" t="n"/>
      <c r="T3207" s="117" t="n"/>
    </row>
    <row r="3208">
      <c r="A3208" s="134" t="inlineStr">
        <is>
          <t>10168450</t>
        </is>
      </c>
      <c r="B3208" s="246" t="inlineStr">
        <is>
          <t>TAVERNITI JEAN</t>
        </is>
      </c>
      <c r="C3208" s="88" t="n">
        <v>81000</v>
      </c>
      <c r="D3208" s="219" t="n"/>
      <c r="E3208" s="219" t="n"/>
      <c r="F3208" s="219" t="n"/>
      <c r="G3208" s="219" t="n"/>
      <c r="H3208" s="180" t="n"/>
      <c r="I3208" s="219" t="n"/>
      <c r="J3208" s="219" t="n"/>
      <c r="K3208" s="219" t="n"/>
      <c r="L3208" s="219">
        <f>ROUND((Q3208*C3208)/100,0)*100</f>
        <v/>
      </c>
      <c r="M3208" s="219" t="n"/>
      <c r="P3208" s="117" t="n"/>
      <c r="Q3208" s="118" t="n">
        <v>1.05</v>
      </c>
      <c r="R3208" s="117" t="n"/>
      <c r="T3208" s="117" t="n"/>
    </row>
    <row r="3209">
      <c r="A3209" s="134" t="inlineStr">
        <is>
          <t>10190451</t>
        </is>
      </c>
      <c r="B3209" s="246" t="inlineStr">
        <is>
          <t>TAVERNITI JEAN</t>
        </is>
      </c>
      <c r="C3209" s="88" t="n">
        <v>81000</v>
      </c>
      <c r="D3209" s="219" t="n"/>
      <c r="E3209" s="219" t="n"/>
      <c r="F3209" s="219" t="n"/>
      <c r="G3209" s="219" t="n"/>
      <c r="H3209" s="180" t="n"/>
      <c r="I3209" s="219" t="n"/>
      <c r="J3209" s="219" t="n"/>
      <c r="K3209" s="219" t="n"/>
      <c r="L3209" s="219">
        <f>ROUND((Q3209*C3209)/100,0)*100</f>
        <v/>
      </c>
      <c r="M3209" s="219" t="n"/>
      <c r="P3209" s="117" t="n"/>
      <c r="Q3209" s="118" t="n">
        <v>1.05</v>
      </c>
      <c r="R3209" s="117" t="n"/>
      <c r="T3209" s="117" t="n"/>
    </row>
    <row r="3210">
      <c r="A3210" s="134" t="inlineStr">
        <is>
          <t>10194450</t>
        </is>
      </c>
      <c r="B3210" s="246" t="inlineStr">
        <is>
          <t>TAVERNITI JEAN</t>
        </is>
      </c>
      <c r="C3210" s="88" t="n">
        <v>81000</v>
      </c>
      <c r="D3210" s="219" t="n"/>
      <c r="E3210" s="219" t="n"/>
      <c r="F3210" s="219" t="n"/>
      <c r="G3210" s="219" t="n"/>
      <c r="H3210" s="180" t="n"/>
      <c r="I3210" s="219" t="n"/>
      <c r="J3210" s="219" t="n"/>
      <c r="K3210" s="219" t="n"/>
      <c r="L3210" s="219">
        <f>ROUND((Q3210*C3210)/100,0)*100</f>
        <v/>
      </c>
      <c r="M3210" s="219" t="n"/>
      <c r="P3210" s="117" t="n"/>
      <c r="Q3210" s="118" t="n">
        <v>1.05</v>
      </c>
      <c r="R3210" s="117" t="n"/>
      <c r="T3210" s="117" t="n"/>
    </row>
    <row r="3211">
      <c r="A3211" s="134" t="inlineStr">
        <is>
          <t>10194913</t>
        </is>
      </c>
      <c r="B3211" s="246" t="inlineStr">
        <is>
          <t>TAVERNITI JEAN</t>
        </is>
      </c>
      <c r="C3211" s="88" t="n">
        <v>81000</v>
      </c>
      <c r="D3211" s="219" t="n"/>
      <c r="E3211" s="219" t="n"/>
      <c r="F3211" s="219" t="n"/>
      <c r="G3211" s="219" t="n"/>
      <c r="H3211" s="180" t="n"/>
      <c r="I3211" s="219" t="n"/>
      <c r="J3211" s="219" t="n"/>
      <c r="K3211" s="219" t="n"/>
      <c r="L3211" s="219">
        <f>ROUND((Q3211*C3211)/100,0)*100</f>
        <v/>
      </c>
      <c r="M3211" s="219" t="n"/>
      <c r="P3211" s="117" t="n"/>
      <c r="Q3211" s="118" t="n">
        <v>1.05</v>
      </c>
      <c r="R3211" s="117" t="n"/>
      <c r="T3211" s="117" t="n"/>
    </row>
    <row r="3212">
      <c r="A3212" s="68" t="inlineStr">
        <is>
          <t>10202207</t>
        </is>
      </c>
      <c r="B3212" s="246" t="inlineStr">
        <is>
          <t>TAVERNITI JEAN</t>
        </is>
      </c>
      <c r="C3212" s="88" t="n">
        <v>81000</v>
      </c>
      <c r="D3212" s="219" t="n"/>
      <c r="E3212" s="219" t="n"/>
      <c r="F3212" s="219" t="n"/>
      <c r="G3212" s="219" t="n"/>
      <c r="H3212" s="180" t="n"/>
      <c r="I3212" s="219" t="n"/>
      <c r="J3212" s="219" t="n"/>
      <c r="K3212" s="219" t="n"/>
      <c r="L3212" s="219">
        <f>ROUND((Q3212*C3212)/100,0)*100</f>
        <v/>
      </c>
      <c r="M3212" s="219" t="n"/>
      <c r="P3212" s="117" t="n"/>
      <c r="Q3212" s="118" t="n">
        <v>1.05</v>
      </c>
      <c r="R3212" s="117" t="n"/>
      <c r="T3212" s="117" t="n"/>
    </row>
    <row r="3213">
      <c r="A3213" s="68" t="inlineStr">
        <is>
          <t>10202235</t>
        </is>
      </c>
      <c r="B3213" s="246" t="inlineStr">
        <is>
          <t>TAVERNITI JEAN</t>
        </is>
      </c>
      <c r="C3213" s="88" t="n">
        <v>81000</v>
      </c>
      <c r="D3213" s="219" t="n"/>
      <c r="E3213" s="219" t="n"/>
      <c r="F3213" s="219" t="n"/>
      <c r="G3213" s="219" t="n"/>
      <c r="H3213" s="180" t="n"/>
      <c r="I3213" s="219" t="n"/>
      <c r="J3213" s="219" t="n"/>
      <c r="K3213" s="219" t="n"/>
      <c r="L3213" s="219">
        <f>ROUND((Q3213*C3213)/100,0)*100</f>
        <v/>
      </c>
      <c r="M3213" s="219" t="n"/>
      <c r="P3213" s="117" t="n"/>
      <c r="Q3213" s="118" t="n">
        <v>1.05</v>
      </c>
      <c r="R3213" s="117" t="n"/>
      <c r="T3213" s="117" t="n"/>
    </row>
    <row r="3214">
      <c r="A3214" s="68" t="inlineStr">
        <is>
          <t>10202683</t>
        </is>
      </c>
      <c r="B3214" s="246" t="inlineStr">
        <is>
          <t>TAVERNITI JEAN</t>
        </is>
      </c>
      <c r="C3214" s="88" t="n">
        <v>81000</v>
      </c>
      <c r="D3214" s="219" t="n"/>
      <c r="E3214" s="219" t="n"/>
      <c r="F3214" s="219" t="n"/>
      <c r="G3214" s="219" t="n"/>
      <c r="H3214" s="180" t="n"/>
      <c r="I3214" s="219" t="n"/>
      <c r="J3214" s="219" t="n"/>
      <c r="K3214" s="219" t="n"/>
      <c r="L3214" s="219">
        <f>ROUND((Q3214*C3214)/100,0)*100</f>
        <v/>
      </c>
      <c r="M3214" s="219" t="n"/>
      <c r="P3214" s="117" t="n"/>
      <c r="Q3214" s="118" t="n">
        <v>1.05</v>
      </c>
      <c r="R3214" s="117" t="n"/>
      <c r="T3214" s="117" t="n"/>
    </row>
    <row r="3215">
      <c r="A3215" s="68" t="inlineStr">
        <is>
          <t>10208237</t>
        </is>
      </c>
      <c r="B3215" s="246" t="inlineStr">
        <is>
          <t>TAVERNITI JEAN</t>
        </is>
      </c>
      <c r="C3215" s="88" t="n">
        <v>81000</v>
      </c>
      <c r="D3215" s="219" t="n"/>
      <c r="E3215" s="219" t="n"/>
      <c r="F3215" s="219" t="n"/>
      <c r="G3215" s="219" t="n"/>
      <c r="H3215" s="180" t="n"/>
      <c r="I3215" s="219" t="n"/>
      <c r="J3215" s="219" t="n"/>
      <c r="K3215" s="219" t="n"/>
      <c r="L3215" s="219">
        <f>ROUND((Q3215*C3215)/100,0)*100</f>
        <v/>
      </c>
      <c r="M3215" s="219" t="n"/>
      <c r="P3215" s="117" t="n"/>
      <c r="Q3215" s="118" t="n">
        <v>1.05</v>
      </c>
      <c r="R3215" s="117" t="n"/>
      <c r="T3215" s="117" t="n"/>
    </row>
    <row r="3216">
      <c r="A3216" s="68" t="inlineStr">
        <is>
          <t>10208XXX</t>
        </is>
      </c>
      <c r="B3216" s="246" t="inlineStr">
        <is>
          <t>TAVERNITI JEAN</t>
        </is>
      </c>
      <c r="C3216" s="88" t="n">
        <v>81000</v>
      </c>
      <c r="D3216" s="219" t="n"/>
      <c r="E3216" s="219" t="n"/>
      <c r="F3216" s="219" t="n"/>
      <c r="G3216" s="219" t="n"/>
      <c r="H3216" s="180" t="n"/>
      <c r="I3216" s="219" t="n"/>
      <c r="J3216" s="219" t="n"/>
      <c r="K3216" s="219" t="n"/>
      <c r="L3216" s="219">
        <f>ROUND((Q3216*C3216)/100,0)*100</f>
        <v/>
      </c>
      <c r="M3216" s="219" t="n"/>
      <c r="P3216" s="117" t="n"/>
      <c r="Q3216" s="118" t="n">
        <v>1.05</v>
      </c>
      <c r="R3216" s="117" t="n"/>
      <c r="T3216" s="117" t="n"/>
    </row>
    <row r="3217">
      <c r="A3217" s="68" t="inlineStr">
        <is>
          <t>10212712</t>
        </is>
      </c>
      <c r="B3217" s="246" t="inlineStr">
        <is>
          <t>TAVERNITI JEAN</t>
        </is>
      </c>
      <c r="C3217" s="88" t="n">
        <v>81000</v>
      </c>
      <c r="D3217" s="219" t="n"/>
      <c r="E3217" s="219" t="n"/>
      <c r="F3217" s="219" t="n"/>
      <c r="G3217" s="219" t="n"/>
      <c r="H3217" s="180" t="n"/>
      <c r="I3217" s="219" t="n"/>
      <c r="J3217" s="219" t="n"/>
      <c r="K3217" s="219" t="n"/>
      <c r="L3217" s="219">
        <f>ROUND((Q3217*C3217)/100,0)*100</f>
        <v/>
      </c>
      <c r="M3217" s="219" t="n"/>
      <c r="P3217" s="117" t="n"/>
      <c r="Q3217" s="118" t="n">
        <v>1.05</v>
      </c>
      <c r="R3217" s="117" t="n"/>
      <c r="T3217" s="117" t="n"/>
    </row>
    <row r="3218">
      <c r="A3218" s="68" t="inlineStr">
        <is>
          <t>10214236</t>
        </is>
      </c>
      <c r="B3218" s="246" t="inlineStr">
        <is>
          <t>TAVERNITI JEAN</t>
        </is>
      </c>
      <c r="C3218" s="88" t="n">
        <v>81000</v>
      </c>
      <c r="D3218" s="219" t="n"/>
      <c r="E3218" s="219" t="n"/>
      <c r="F3218" s="219" t="n"/>
      <c r="G3218" s="219" t="n"/>
      <c r="H3218" s="180" t="n"/>
      <c r="I3218" s="219" t="n"/>
      <c r="J3218" s="219" t="n"/>
      <c r="K3218" s="219" t="n"/>
      <c r="L3218" s="219">
        <f>ROUND((Q3218*C3218)/100,0)*100</f>
        <v/>
      </c>
      <c r="M3218" s="219" t="n"/>
      <c r="P3218" s="117" t="n"/>
      <c r="Q3218" s="118" t="n">
        <v>1.05</v>
      </c>
      <c r="R3218" s="117" t="n"/>
      <c r="T3218" s="117" t="n"/>
    </row>
    <row r="3219">
      <c r="A3219" s="68" t="inlineStr">
        <is>
          <t>10214568</t>
        </is>
      </c>
      <c r="B3219" s="246" t="inlineStr">
        <is>
          <t>TAVERNITI JEAN</t>
        </is>
      </c>
      <c r="C3219" s="88" t="n">
        <v>81000</v>
      </c>
      <c r="D3219" s="219" t="n"/>
      <c r="E3219" s="219" t="n"/>
      <c r="F3219" s="219" t="n"/>
      <c r="G3219" s="219" t="n"/>
      <c r="H3219" s="180" t="n"/>
      <c r="I3219" s="219" t="n"/>
      <c r="J3219" s="219" t="n"/>
      <c r="K3219" s="219" t="n"/>
      <c r="L3219" s="219">
        <f>ROUND((Q3219*C3219)/100,0)*100</f>
        <v/>
      </c>
      <c r="M3219" s="219" t="n"/>
      <c r="P3219" s="117" t="n"/>
      <c r="Q3219" s="118" t="n">
        <v>1.05</v>
      </c>
      <c r="R3219" s="117" t="n"/>
      <c r="T3219" s="117" t="n"/>
    </row>
    <row r="3220">
      <c r="A3220" s="68" t="inlineStr">
        <is>
          <t>10214710</t>
        </is>
      </c>
      <c r="B3220" s="246" t="inlineStr">
        <is>
          <t>TAVERNITI JEAN</t>
        </is>
      </c>
      <c r="C3220" s="88" t="n">
        <v>81000</v>
      </c>
      <c r="D3220" s="219" t="n"/>
      <c r="E3220" s="219" t="n"/>
      <c r="F3220" s="219" t="n"/>
      <c r="G3220" s="219" t="n"/>
      <c r="H3220" s="180" t="n"/>
      <c r="I3220" s="219" t="n"/>
      <c r="J3220" s="219" t="n"/>
      <c r="K3220" s="219" t="n"/>
      <c r="L3220" s="219">
        <f>ROUND((Q3220*C3220)/100,0)*100</f>
        <v/>
      </c>
      <c r="M3220" s="219" t="n"/>
      <c r="P3220" s="117" t="n"/>
      <c r="Q3220" s="118" t="n">
        <v>1.05</v>
      </c>
      <c r="R3220" s="117" t="n"/>
      <c r="T3220" s="117" t="n"/>
    </row>
    <row r="3221">
      <c r="A3221" s="68" t="inlineStr">
        <is>
          <t>10214711</t>
        </is>
      </c>
      <c r="B3221" s="246" t="inlineStr">
        <is>
          <t>TAVERNITI JEAN</t>
        </is>
      </c>
      <c r="C3221" s="88" t="n">
        <v>81000</v>
      </c>
      <c r="D3221" s="219" t="n"/>
      <c r="E3221" s="219" t="n"/>
      <c r="F3221" s="219" t="n"/>
      <c r="G3221" s="219" t="n"/>
      <c r="H3221" s="180" t="n"/>
      <c r="I3221" s="219" t="n"/>
      <c r="J3221" s="219" t="n"/>
      <c r="K3221" s="219" t="n"/>
      <c r="L3221" s="219">
        <f>ROUND((Q3221*C3221)/100,0)*100</f>
        <v/>
      </c>
      <c r="M3221" s="219" t="n"/>
      <c r="P3221" s="117" t="n"/>
      <c r="Q3221" s="118" t="n">
        <v>1.05</v>
      </c>
      <c r="R3221" s="117" t="n"/>
      <c r="T3221" s="117" t="n"/>
    </row>
    <row r="3222">
      <c r="A3222" s="68" t="inlineStr">
        <is>
          <t>10216208</t>
        </is>
      </c>
      <c r="B3222" s="246" t="inlineStr">
        <is>
          <t>TAVERNITI JEAN</t>
        </is>
      </c>
      <c r="C3222" s="88" t="n">
        <v>81000</v>
      </c>
      <c r="D3222" s="219" t="n"/>
      <c r="E3222" s="219" t="n"/>
      <c r="F3222" s="219" t="n"/>
      <c r="G3222" s="219" t="n"/>
      <c r="H3222" s="180" t="n"/>
      <c r="I3222" s="219" t="n"/>
      <c r="J3222" s="219" t="n"/>
      <c r="K3222" s="219" t="n"/>
      <c r="L3222" s="219">
        <f>ROUND((Q3222*C3222)/100,0)*100</f>
        <v/>
      </c>
      <c r="M3222" s="219" t="n"/>
      <c r="P3222" s="117" t="n"/>
      <c r="Q3222" s="118" t="n">
        <v>1.05</v>
      </c>
      <c r="R3222" s="117" t="n"/>
      <c r="T3222" s="117" t="n"/>
    </row>
    <row r="3223">
      <c r="A3223" s="68" t="inlineStr">
        <is>
          <t>10216235</t>
        </is>
      </c>
      <c r="B3223" s="246" t="inlineStr">
        <is>
          <t xml:space="preserve">TAVERNITI </t>
        </is>
      </c>
      <c r="C3223" s="88" t="n">
        <v>81000</v>
      </c>
      <c r="D3223" s="219" t="n"/>
      <c r="E3223" s="219" t="n"/>
      <c r="F3223" s="219" t="n"/>
      <c r="G3223" s="219" t="n"/>
      <c r="H3223" s="180" t="n"/>
      <c r="I3223" s="219" t="n"/>
      <c r="J3223" s="219" t="n"/>
      <c r="K3223" s="219" t="n"/>
      <c r="L3223" s="219">
        <f>ROUND((Q3223*C3223)/100,0)*100</f>
        <v/>
      </c>
      <c r="M3223" s="219" t="n"/>
      <c r="P3223" s="117" t="n"/>
      <c r="Q3223" s="118" t="n">
        <v>1.05</v>
      </c>
      <c r="R3223" s="117" t="n"/>
      <c r="T3223" s="117" t="n"/>
    </row>
    <row r="3224">
      <c r="A3224" s="68" t="inlineStr">
        <is>
          <t>10216525</t>
        </is>
      </c>
      <c r="B3224" s="246" t="inlineStr">
        <is>
          <t>TAVERNITI JEAN</t>
        </is>
      </c>
      <c r="C3224" s="88" t="n">
        <v>81000</v>
      </c>
      <c r="D3224" s="219" t="n"/>
      <c r="E3224" s="219" t="n"/>
      <c r="F3224" s="219" t="n"/>
      <c r="G3224" s="219" t="n"/>
      <c r="H3224" s="180" t="n"/>
      <c r="I3224" s="219" t="n"/>
      <c r="J3224" s="219" t="n"/>
      <c r="K3224" s="219" t="n"/>
      <c r="L3224" s="219">
        <f>ROUND((Q3224*C3224)/100,0)*100</f>
        <v/>
      </c>
      <c r="M3224" s="219" t="n"/>
      <c r="P3224" s="117" t="n"/>
      <c r="Q3224" s="118" t="n">
        <v>1.05</v>
      </c>
      <c r="R3224" s="117" t="n"/>
      <c r="T3224" s="117" t="n"/>
    </row>
    <row r="3225">
      <c r="A3225" s="68" t="inlineStr">
        <is>
          <t>10220XXX</t>
        </is>
      </c>
      <c r="B3225" s="246" t="inlineStr">
        <is>
          <t>TAVERNITI PANTALON PREMIUN</t>
        </is>
      </c>
      <c r="C3225" s="88" t="n">
        <v>109000</v>
      </c>
      <c r="D3225" s="88">
        <f>ROUND((C3225*1.08)/100,0)*100</f>
        <v/>
      </c>
      <c r="E3225" s="219" t="n"/>
      <c r="F3225" s="219" t="n"/>
      <c r="G3225" s="219" t="n"/>
      <c r="H3225" s="180" t="n"/>
      <c r="I3225" s="219" t="n"/>
      <c r="J3225" s="219" t="n"/>
      <c r="K3225" s="219" t="n"/>
      <c r="L3225" s="219">
        <f>ROUND((Q3225*C3225)/100,0)*100</f>
        <v/>
      </c>
      <c r="M3225" s="219" t="n"/>
      <c r="P3225" s="117" t="n"/>
      <c r="Q3225" s="118" t="n">
        <v>1.05</v>
      </c>
      <c r="R3225" s="117" t="n"/>
      <c r="T3225" s="117" t="n"/>
    </row>
    <row r="3226">
      <c r="A3226" s="134" t="inlineStr">
        <is>
          <t>10237XXX</t>
        </is>
      </c>
      <c r="B3226" s="246" t="inlineStr">
        <is>
          <t>TAVERNITI JEAN</t>
        </is>
      </c>
      <c r="C3226" s="88" t="n">
        <v>81000</v>
      </c>
      <c r="D3226" s="219" t="n"/>
      <c r="E3226" s="219" t="n"/>
      <c r="F3226" s="219" t="n"/>
      <c r="G3226" s="219" t="n"/>
      <c r="H3226" s="180" t="n"/>
      <c r="I3226" s="219" t="n"/>
      <c r="J3226" s="219" t="n"/>
      <c r="K3226" s="219" t="n"/>
      <c r="L3226" s="219">
        <f>ROUND((Q3226*C3226)/100,0)*100</f>
        <v/>
      </c>
      <c r="M3226" s="219" t="n"/>
      <c r="P3226" s="117" t="n"/>
      <c r="Q3226" s="118" t="n">
        <v>1.05</v>
      </c>
      <c r="R3226" s="117" t="n"/>
      <c r="T3226" s="117" t="n"/>
    </row>
    <row r="3227">
      <c r="A3227" s="68" t="inlineStr">
        <is>
          <t>10238711</t>
        </is>
      </c>
      <c r="B3227" s="246" t="inlineStr">
        <is>
          <t>TAVERNITI JEAN</t>
        </is>
      </c>
      <c r="C3227" s="88" t="n">
        <v>81000</v>
      </c>
      <c r="D3227" s="219" t="n"/>
      <c r="E3227" s="219" t="n"/>
      <c r="F3227" s="219" t="n"/>
      <c r="G3227" s="219" t="n"/>
      <c r="H3227" s="180" t="n"/>
      <c r="I3227" s="219" t="n"/>
      <c r="J3227" s="219" t="n"/>
      <c r="K3227" s="219" t="n"/>
      <c r="L3227" s="219">
        <f>ROUND((Q3227*C3227)/100,0)*100</f>
        <v/>
      </c>
      <c r="M3227" s="219" t="n"/>
      <c r="P3227" s="117" t="n"/>
      <c r="Q3227" s="118" t="n">
        <v>1.05</v>
      </c>
      <c r="R3227" s="117" t="n"/>
      <c r="T3227" s="117" t="n"/>
    </row>
    <row r="3228">
      <c r="A3228" s="68" t="inlineStr">
        <is>
          <t>10240922</t>
        </is>
      </c>
      <c r="B3228" s="246" t="inlineStr">
        <is>
          <t>TAVERNITI JEAN</t>
        </is>
      </c>
      <c r="C3228" s="88" t="n">
        <v>81000</v>
      </c>
      <c r="D3228" s="219" t="n"/>
      <c r="E3228" s="219" t="n"/>
      <c r="F3228" s="219" t="n"/>
      <c r="G3228" s="219" t="n"/>
      <c r="H3228" s="180" t="n"/>
      <c r="I3228" s="219" t="n"/>
      <c r="J3228" s="219" t="n"/>
      <c r="K3228" s="219" t="n"/>
      <c r="L3228" s="219">
        <f>ROUND((Q3228*C3228)/100,0)*100</f>
        <v/>
      </c>
      <c r="M3228" s="219" t="n"/>
      <c r="P3228" s="117" t="n"/>
      <c r="Q3228" s="118" t="n">
        <v>1.05</v>
      </c>
      <c r="R3228" s="117" t="n"/>
      <c r="T3228" s="117" t="n"/>
    </row>
    <row r="3229">
      <c r="A3229" s="68" t="inlineStr">
        <is>
          <t>10244525</t>
        </is>
      </c>
      <c r="B3229" s="246" t="inlineStr">
        <is>
          <t>TAVERNITI JEAN</t>
        </is>
      </c>
      <c r="C3229" s="88" t="n">
        <v>81000</v>
      </c>
      <c r="D3229" s="219" t="n"/>
      <c r="E3229" s="219" t="n"/>
      <c r="F3229" s="219" t="n"/>
      <c r="G3229" s="219" t="n"/>
      <c r="H3229" s="180" t="n"/>
      <c r="I3229" s="219" t="n"/>
      <c r="J3229" s="219" t="n"/>
      <c r="K3229" s="219" t="n"/>
      <c r="L3229" s="219">
        <f>ROUND((Q3229*C3229)/100,0)*100</f>
        <v/>
      </c>
      <c r="M3229" s="219" t="n"/>
      <c r="P3229" s="117" t="n"/>
      <c r="Q3229" s="118" t="n">
        <v>1.05</v>
      </c>
      <c r="R3229" s="117" t="n"/>
      <c r="T3229" s="117" t="n"/>
    </row>
    <row r="3230">
      <c r="A3230" s="68" t="inlineStr">
        <is>
          <t>10244917</t>
        </is>
      </c>
      <c r="B3230" s="246" t="inlineStr">
        <is>
          <t>TAVERNITI JEAN</t>
        </is>
      </c>
      <c r="C3230" s="88" t="n">
        <v>81000</v>
      </c>
      <c r="D3230" s="219" t="n"/>
      <c r="E3230" s="219" t="n"/>
      <c r="F3230" s="219" t="n"/>
      <c r="G3230" s="219" t="n"/>
      <c r="H3230" s="180" t="n"/>
      <c r="I3230" s="219" t="n"/>
      <c r="J3230" s="219" t="n"/>
      <c r="K3230" s="219" t="n"/>
      <c r="L3230" s="219">
        <f>ROUND((Q3230*C3230)/100,0)*100</f>
        <v/>
      </c>
      <c r="M3230" s="219" t="n"/>
      <c r="P3230" s="117" t="n"/>
      <c r="Q3230" s="118" t="n">
        <v>1.05</v>
      </c>
      <c r="R3230" s="117" t="n"/>
      <c r="T3230" s="117" t="n"/>
    </row>
    <row r="3231">
      <c r="A3231" s="68" t="inlineStr">
        <is>
          <t>10240XXX</t>
        </is>
      </c>
      <c r="B3231" s="246" t="inlineStr">
        <is>
          <t>TAVERNITI JEAN</t>
        </is>
      </c>
      <c r="C3231" s="88" t="n">
        <v>81000</v>
      </c>
      <c r="D3231" s="219" t="n"/>
      <c r="E3231" s="219" t="n"/>
      <c r="F3231" s="219" t="n"/>
      <c r="G3231" s="219" t="n"/>
      <c r="H3231" s="180" t="n"/>
      <c r="I3231" s="219" t="n"/>
      <c r="J3231" s="219" t="n"/>
      <c r="K3231" s="219" t="n"/>
      <c r="L3231" s="219">
        <f>ROUND((Q3231*C3231)/100,0)*100</f>
        <v/>
      </c>
      <c r="M3231" s="219" t="n"/>
      <c r="P3231" s="117" t="n"/>
      <c r="Q3231" s="118" t="n">
        <v>1.05</v>
      </c>
      <c r="R3231" s="117" t="n"/>
      <c r="T3231" s="117" t="n"/>
    </row>
    <row r="3232">
      <c r="A3232" s="68" t="inlineStr">
        <is>
          <t>10250XXX</t>
        </is>
      </c>
      <c r="B3232" s="246" t="inlineStr">
        <is>
          <t>TAVERNITI JEAN</t>
        </is>
      </c>
      <c r="C3232" s="88" t="n">
        <v>81000</v>
      </c>
      <c r="D3232" s="219" t="n"/>
      <c r="E3232" s="219" t="n"/>
      <c r="F3232" s="219" t="n"/>
      <c r="G3232" s="219" t="n"/>
      <c r="H3232" s="180" t="n"/>
      <c r="I3232" s="219" t="n"/>
      <c r="J3232" s="219" t="n"/>
      <c r="K3232" s="219" t="n"/>
      <c r="L3232" s="219">
        <f>ROUND((Q3232*C3232)/100,0)*100</f>
        <v/>
      </c>
      <c r="M3232" s="219" t="n"/>
      <c r="P3232" s="117" t="n"/>
      <c r="Q3232" s="118" t="n">
        <v>1.05</v>
      </c>
      <c r="R3232" s="117" t="n"/>
      <c r="T3232" s="117" t="n"/>
    </row>
    <row r="3233">
      <c r="A3233" s="68" t="inlineStr">
        <is>
          <t>10252XXX</t>
        </is>
      </c>
      <c r="B3233" s="246" t="inlineStr">
        <is>
          <t>TAVERNITI JEAN</t>
        </is>
      </c>
      <c r="C3233" s="88" t="n">
        <v>81000</v>
      </c>
      <c r="D3233" s="219" t="n"/>
      <c r="E3233" s="219" t="n"/>
      <c r="F3233" s="219" t="n"/>
      <c r="G3233" s="219" t="n"/>
      <c r="H3233" s="180" t="n"/>
      <c r="I3233" s="219" t="n"/>
      <c r="J3233" s="219" t="n"/>
      <c r="K3233" s="219" t="n"/>
      <c r="L3233" s="219">
        <f>ROUND((Q3233*C3233)/100,0)*100</f>
        <v/>
      </c>
      <c r="M3233" s="219" t="n"/>
      <c r="P3233" s="117" t="n"/>
      <c r="Q3233" s="118" t="n">
        <v>1.05</v>
      </c>
      <c r="R3233" s="117" t="n"/>
      <c r="T3233" s="117" t="n"/>
    </row>
    <row r="3234">
      <c r="A3234" s="68" t="inlineStr">
        <is>
          <t>10254XXX</t>
        </is>
      </c>
      <c r="B3234" s="246" t="inlineStr">
        <is>
          <t>TAVERNITI JEAN</t>
        </is>
      </c>
      <c r="C3234" s="88" t="n">
        <v>81000</v>
      </c>
      <c r="D3234" s="219" t="n"/>
      <c r="E3234" s="219" t="n"/>
      <c r="F3234" s="219" t="n"/>
      <c r="G3234" s="219" t="n"/>
      <c r="H3234" s="180" t="n"/>
      <c r="I3234" s="219" t="n"/>
      <c r="J3234" s="219" t="n"/>
      <c r="K3234" s="219" t="n"/>
      <c r="L3234" s="219">
        <f>ROUND((Q3234*C3234)/100,0)*100</f>
        <v/>
      </c>
      <c r="M3234" s="219" t="n"/>
      <c r="P3234" s="117" t="n"/>
      <c r="Q3234" s="118" t="n">
        <v>1.05</v>
      </c>
      <c r="R3234" s="117" t="n"/>
      <c r="T3234" s="117" t="n"/>
    </row>
    <row r="3235">
      <c r="A3235" s="68" t="inlineStr">
        <is>
          <t>10268710</t>
        </is>
      </c>
      <c r="B3235" s="246" t="inlineStr">
        <is>
          <t>TAVERNITI JEAN</t>
        </is>
      </c>
      <c r="C3235" s="88" t="n">
        <v>81000</v>
      </c>
      <c r="D3235" s="219" t="n"/>
      <c r="E3235" s="219" t="n"/>
      <c r="F3235" s="219" t="n"/>
      <c r="G3235" s="219" t="n"/>
      <c r="H3235" s="180" t="n"/>
      <c r="I3235" s="219" t="n"/>
      <c r="J3235" s="219" t="n"/>
      <c r="K3235" s="219" t="n"/>
      <c r="L3235" s="219">
        <f>ROUND((Q3235*C3235)/100,0)*100</f>
        <v/>
      </c>
      <c r="M3235" s="219" t="n"/>
      <c r="P3235" s="117" t="n"/>
      <c r="Q3235" s="118" t="n">
        <v>1.05</v>
      </c>
      <c r="R3235" s="117" t="n"/>
      <c r="T3235" s="117" t="n"/>
    </row>
    <row r="3236">
      <c r="A3236" s="68" t="inlineStr">
        <is>
          <t>10274710</t>
        </is>
      </c>
      <c r="B3236" s="246" t="inlineStr">
        <is>
          <t>TAVERNITI JEAN</t>
        </is>
      </c>
      <c r="C3236" s="88" t="n">
        <v>81000</v>
      </c>
      <c r="D3236" s="219" t="n"/>
      <c r="E3236" s="219" t="n"/>
      <c r="F3236" s="219" t="n"/>
      <c r="G3236" s="219" t="n"/>
      <c r="H3236" s="180" t="n"/>
      <c r="I3236" s="219" t="n"/>
      <c r="J3236" s="219" t="n"/>
      <c r="K3236" s="219" t="n"/>
      <c r="L3236" s="219">
        <f>ROUND((Q3236*C3236)/100,0)*100</f>
        <v/>
      </c>
      <c r="M3236" s="219" t="n"/>
      <c r="P3236" s="117" t="n"/>
      <c r="Q3236" s="118" t="n">
        <v>1.05</v>
      </c>
      <c r="R3236" s="117" t="n"/>
      <c r="T3236" s="117" t="n"/>
    </row>
    <row r="3237">
      <c r="A3237" s="128" t="inlineStr">
        <is>
          <t>10352602</t>
        </is>
      </c>
      <c r="B3237" s="246" t="inlineStr">
        <is>
          <t>TAVERNITI JEAN</t>
        </is>
      </c>
      <c r="C3237" s="88" t="n">
        <v>81000</v>
      </c>
      <c r="D3237" s="219" t="n"/>
      <c r="E3237" s="219" t="n"/>
      <c r="F3237" s="219" t="n"/>
      <c r="G3237" s="219" t="n"/>
      <c r="H3237" s="180" t="n"/>
      <c r="I3237" s="219" t="n"/>
      <c r="J3237" s="219" t="n"/>
      <c r="K3237" s="219" t="n"/>
      <c r="L3237" s="219">
        <f>ROUND((Q3237*C3237)/100,0)*100</f>
        <v/>
      </c>
      <c r="M3237" s="219" t="n"/>
      <c r="P3237" s="117" t="n"/>
      <c r="Q3237" s="118" t="n">
        <v>1.05</v>
      </c>
      <c r="R3237" s="117" t="n"/>
      <c r="T3237" s="117" t="n"/>
    </row>
    <row r="3238">
      <c r="A3238" s="128" t="inlineStr">
        <is>
          <t>10358920</t>
        </is>
      </c>
      <c r="B3238" s="246" t="inlineStr">
        <is>
          <t>TAVERNITI JEAN</t>
        </is>
      </c>
      <c r="C3238" s="88" t="n">
        <v>81000</v>
      </c>
      <c r="D3238" s="219" t="n"/>
      <c r="E3238" s="219" t="n"/>
      <c r="F3238" s="219" t="n"/>
      <c r="G3238" s="219" t="n"/>
      <c r="H3238" s="180" t="n"/>
      <c r="I3238" s="219" t="n"/>
      <c r="J3238" s="219" t="n"/>
      <c r="K3238" s="219" t="n"/>
      <c r="L3238" s="219">
        <f>ROUND((Q3238*C3238)/100,0)*100</f>
        <v/>
      </c>
      <c r="M3238" s="219" t="n"/>
      <c r="P3238" s="117" t="n"/>
      <c r="Q3238" s="118" t="n">
        <v>1.05</v>
      </c>
      <c r="R3238" s="117" t="n"/>
      <c r="T3238" s="117" t="n"/>
    </row>
    <row r="3239">
      <c r="A3239" s="128" t="inlineStr">
        <is>
          <t>10364921</t>
        </is>
      </c>
      <c r="B3239" s="246" t="inlineStr">
        <is>
          <t>TAVERNITI JEAN</t>
        </is>
      </c>
      <c r="C3239" s="88" t="n">
        <v>81000</v>
      </c>
      <c r="D3239" s="219" t="n"/>
      <c r="E3239" s="219" t="n"/>
      <c r="F3239" s="219" t="n"/>
      <c r="G3239" s="219" t="n"/>
      <c r="H3239" s="180" t="n"/>
      <c r="I3239" s="219" t="n"/>
      <c r="J3239" s="219" t="n"/>
      <c r="K3239" s="219" t="n"/>
      <c r="L3239" s="219">
        <f>ROUND((Q3239*C3239)/100,0)*100</f>
        <v/>
      </c>
      <c r="M3239" s="219" t="n"/>
      <c r="P3239" s="117" t="n"/>
      <c r="Q3239" s="118" t="n">
        <v>1.05</v>
      </c>
      <c r="R3239" s="117" t="n"/>
      <c r="T3239" s="117" t="n"/>
    </row>
    <row r="3240">
      <c r="A3240" s="128" t="inlineStr">
        <is>
          <t>10372712</t>
        </is>
      </c>
      <c r="B3240" s="246" t="inlineStr">
        <is>
          <t>TAVERNITI JEAN</t>
        </is>
      </c>
      <c r="C3240" s="88" t="n">
        <v>81000</v>
      </c>
      <c r="D3240" s="219" t="n"/>
      <c r="E3240" s="219" t="n"/>
      <c r="F3240" s="219" t="n"/>
      <c r="G3240" s="219" t="n"/>
      <c r="H3240" s="180" t="n"/>
      <c r="I3240" s="219" t="n"/>
      <c r="J3240" s="219" t="n"/>
      <c r="K3240" s="219" t="n"/>
      <c r="L3240" s="219">
        <f>ROUND((Q3240*C3240)/100,0)*100</f>
        <v/>
      </c>
      <c r="M3240" s="219" t="n"/>
      <c r="P3240" s="117" t="n"/>
      <c r="Q3240" s="118" t="n">
        <v>1.05</v>
      </c>
      <c r="R3240" s="117" t="n"/>
      <c r="T3240" s="117" t="n"/>
    </row>
    <row r="3241">
      <c r="A3241" s="128" t="inlineStr">
        <is>
          <t>10374204</t>
        </is>
      </c>
      <c r="B3241" s="246" t="inlineStr">
        <is>
          <t>TAVERNITI JEAN</t>
        </is>
      </c>
      <c r="C3241" s="88" t="n">
        <v>81000</v>
      </c>
      <c r="D3241" s="219" t="n"/>
      <c r="E3241" s="219" t="n"/>
      <c r="F3241" s="219" t="n"/>
      <c r="G3241" s="219" t="n"/>
      <c r="H3241" s="180" t="n"/>
      <c r="I3241" s="219" t="n"/>
      <c r="J3241" s="219" t="n"/>
      <c r="K3241" s="219" t="n"/>
      <c r="L3241" s="219">
        <f>ROUND((Q3241*C3241)/100,0)*100</f>
        <v/>
      </c>
      <c r="M3241" s="219" t="n"/>
      <c r="P3241" s="117" t="n"/>
      <c r="Q3241" s="118" t="n">
        <v>1.05</v>
      </c>
      <c r="R3241" s="117" t="n"/>
      <c r="T3241" s="117" t="n"/>
    </row>
    <row r="3242">
      <c r="A3242" s="128" t="inlineStr">
        <is>
          <t>10380205</t>
        </is>
      </c>
      <c r="B3242" s="246" t="inlineStr">
        <is>
          <t>TAVERNITI JEAN</t>
        </is>
      </c>
      <c r="C3242" s="88" t="n">
        <v>81000</v>
      </c>
      <c r="D3242" s="219" t="n"/>
      <c r="E3242" s="219" t="n"/>
      <c r="F3242" s="219" t="n"/>
      <c r="G3242" s="219" t="n"/>
      <c r="H3242" s="180" t="n"/>
      <c r="I3242" s="219" t="n"/>
      <c r="J3242" s="219" t="n"/>
      <c r="K3242" s="219" t="n"/>
      <c r="L3242" s="219">
        <f>ROUND((Q3242*C3242)/100,0)*100</f>
        <v/>
      </c>
      <c r="M3242" s="219" t="n"/>
      <c r="P3242" s="117" t="n"/>
      <c r="Q3242" s="118" t="n">
        <v>1.05</v>
      </c>
      <c r="R3242" s="117" t="n"/>
      <c r="T3242" s="117" t="n"/>
    </row>
    <row r="3243">
      <c r="A3243" s="128" t="inlineStr">
        <is>
          <t>10392235</t>
        </is>
      </c>
      <c r="B3243" s="246" t="inlineStr">
        <is>
          <t>TAVERNITI JEAN</t>
        </is>
      </c>
      <c r="C3243" s="88" t="n">
        <v>81000</v>
      </c>
      <c r="D3243" s="219" t="n"/>
      <c r="E3243" s="219" t="n"/>
      <c r="F3243" s="219" t="n"/>
      <c r="G3243" s="219" t="n"/>
      <c r="H3243" s="180" t="n"/>
      <c r="I3243" s="219" t="n"/>
      <c r="J3243" s="219" t="n"/>
      <c r="K3243" s="219" t="n"/>
      <c r="L3243" s="219">
        <f>ROUND((Q3243*C3243)/100,0)*100</f>
        <v/>
      </c>
      <c r="M3243" s="219" t="n"/>
      <c r="P3243" s="117" t="n"/>
      <c r="Q3243" s="118" t="n">
        <v>1.05</v>
      </c>
      <c r="R3243" s="117" t="n"/>
      <c r="T3243" s="117" t="n"/>
    </row>
    <row r="3244">
      <c r="A3244" s="128" t="inlineStr">
        <is>
          <t>10420206</t>
        </is>
      </c>
      <c r="B3244" s="246" t="inlineStr">
        <is>
          <t>TAVERNITI JEAN</t>
        </is>
      </c>
      <c r="C3244" s="88" t="n">
        <v>81000</v>
      </c>
      <c r="D3244" s="219" t="n"/>
      <c r="E3244" s="219" t="n"/>
      <c r="F3244" s="219" t="n"/>
      <c r="G3244" s="219" t="n"/>
      <c r="H3244" s="180" t="n"/>
      <c r="I3244" s="219" t="n"/>
      <c r="J3244" s="219" t="n"/>
      <c r="K3244" s="219" t="n"/>
      <c r="L3244" s="219">
        <f>ROUND((Q3244*C3244)/100,0)*100</f>
        <v/>
      </c>
      <c r="M3244" s="219" t="n"/>
      <c r="P3244" s="117" t="n"/>
      <c r="Q3244" s="118" t="n">
        <v>1.05</v>
      </c>
      <c r="R3244" s="117" t="n"/>
      <c r="T3244" s="117" t="n"/>
    </row>
    <row r="3245">
      <c r="A3245" s="128" t="inlineStr">
        <is>
          <t>10420238</t>
        </is>
      </c>
      <c r="B3245" s="246" t="inlineStr">
        <is>
          <t>TAVERNITI JEAN</t>
        </is>
      </c>
      <c r="C3245" s="88" t="n">
        <v>81000</v>
      </c>
      <c r="D3245" s="219" t="n"/>
      <c r="E3245" s="219" t="n"/>
      <c r="F3245" s="219" t="n"/>
      <c r="G3245" s="219" t="n"/>
      <c r="H3245" s="180" t="n"/>
      <c r="I3245" s="219" t="n"/>
      <c r="J3245" s="219" t="n"/>
      <c r="K3245" s="219" t="n"/>
      <c r="L3245" s="219">
        <f>ROUND((Q3245*C3245)/100,0)*100</f>
        <v/>
      </c>
      <c r="M3245" s="219" t="n"/>
      <c r="P3245" s="117" t="n"/>
      <c r="Q3245" s="118" t="n">
        <v>1.05</v>
      </c>
      <c r="R3245" s="117" t="n"/>
      <c r="T3245" s="117" t="n"/>
    </row>
    <row r="3246">
      <c r="A3246" s="128" t="inlineStr">
        <is>
          <t>10432237</t>
        </is>
      </c>
      <c r="B3246" s="246" t="inlineStr">
        <is>
          <t>TAVERNITI JEAN</t>
        </is>
      </c>
      <c r="C3246" s="88" t="n">
        <v>81000</v>
      </c>
      <c r="D3246" s="219" t="n"/>
      <c r="E3246" s="219" t="n"/>
      <c r="F3246" s="219" t="n"/>
      <c r="G3246" s="219" t="n"/>
      <c r="H3246" s="180" t="n"/>
      <c r="I3246" s="219" t="n"/>
      <c r="J3246" s="219" t="n"/>
      <c r="K3246" s="219" t="n"/>
      <c r="L3246" s="219">
        <f>ROUND((Q3246*C3246)/100,0)*100</f>
        <v/>
      </c>
      <c r="M3246" s="219" t="n"/>
      <c r="P3246" s="117" t="n"/>
      <c r="Q3246" s="118" t="n">
        <v>1.05</v>
      </c>
      <c r="R3246" s="117" t="n"/>
      <c r="T3246" s="117" t="n"/>
    </row>
    <row r="3247">
      <c r="A3247" s="128" t="inlineStr">
        <is>
          <t>10432510</t>
        </is>
      </c>
      <c r="B3247" s="246" t="inlineStr">
        <is>
          <t>TAVERNITI JEAN</t>
        </is>
      </c>
      <c r="C3247" s="88" t="n">
        <v>81000</v>
      </c>
      <c r="D3247" s="219" t="n"/>
      <c r="E3247" s="219" t="n"/>
      <c r="F3247" s="219" t="n"/>
      <c r="G3247" s="219" t="n"/>
      <c r="H3247" s="180" t="n"/>
      <c r="I3247" s="219" t="n"/>
      <c r="J3247" s="219" t="n"/>
      <c r="K3247" s="219" t="n"/>
      <c r="L3247" s="219">
        <f>ROUND((Q3247*C3247)/100,0)*100</f>
        <v/>
      </c>
      <c r="M3247" s="219" t="n"/>
      <c r="P3247" s="117" t="n"/>
      <c r="Q3247" s="118" t="n">
        <v>1.05</v>
      </c>
      <c r="R3247" s="117" t="n"/>
      <c r="T3247" s="117" t="n"/>
    </row>
    <row r="3248">
      <c r="A3248" s="128" t="inlineStr">
        <is>
          <t>10438XXX</t>
        </is>
      </c>
      <c r="B3248" s="246" t="inlineStr">
        <is>
          <t>TAVERNITI JEAN</t>
        </is>
      </c>
      <c r="C3248" s="88" t="n">
        <v>81000</v>
      </c>
      <c r="D3248" s="219" t="n"/>
      <c r="E3248" s="219" t="n"/>
      <c r="F3248" s="219" t="n"/>
      <c r="G3248" s="219" t="n"/>
      <c r="H3248" s="180" t="n"/>
      <c r="I3248" s="219" t="n"/>
      <c r="J3248" s="219" t="n"/>
      <c r="K3248" s="219" t="n"/>
      <c r="L3248" s="219">
        <f>ROUND((Q3248*C3248)/100,0)*100</f>
        <v/>
      </c>
      <c r="M3248" s="219" t="n"/>
      <c r="P3248" s="117" t="n"/>
      <c r="Q3248" s="118" t="n">
        <v>1.05</v>
      </c>
      <c r="R3248" s="117" t="n"/>
      <c r="T3248" s="117" t="n"/>
    </row>
    <row r="3249">
      <c r="A3249" s="68" t="inlineStr">
        <is>
          <t>10440XXX</t>
        </is>
      </c>
      <c r="B3249" s="246" t="inlineStr">
        <is>
          <t>TAVERNITI JEAN</t>
        </is>
      </c>
      <c r="C3249" s="88" t="n">
        <v>81000</v>
      </c>
      <c r="D3249" s="22" t="n"/>
      <c r="E3249" s="22" t="n"/>
      <c r="F3249" s="22" t="n"/>
      <c r="G3249" s="22" t="n"/>
      <c r="H3249" s="22" t="n"/>
      <c r="I3249" s="22" t="n"/>
      <c r="J3249" s="219" t="n"/>
      <c r="K3249" s="219" t="n"/>
      <c r="L3249" s="219">
        <f>ROUND((Q3249*C3249)/100,0)*100</f>
        <v/>
      </c>
      <c r="M3249" s="219" t="n"/>
      <c r="O3249" s="219" t="n"/>
      <c r="P3249" s="117" t="n"/>
      <c r="Q3249" s="118" t="n">
        <v>1.05</v>
      </c>
      <c r="R3249" s="117" t="n"/>
      <c r="T3249" s="117" t="n"/>
    </row>
    <row r="3250">
      <c r="A3250" s="134" t="inlineStr">
        <is>
          <t>10450XXX</t>
        </is>
      </c>
      <c r="B3250" s="246" t="inlineStr">
        <is>
          <t>TAVERNITI JEAN</t>
        </is>
      </c>
      <c r="C3250" s="88" t="n">
        <v>81000</v>
      </c>
      <c r="D3250" s="219" t="n"/>
      <c r="E3250" s="219" t="n"/>
      <c r="F3250" s="219" t="n"/>
      <c r="G3250" s="219" t="n"/>
      <c r="H3250" s="180" t="n"/>
      <c r="I3250" s="219" t="n"/>
      <c r="J3250" s="219" t="n"/>
      <c r="K3250" s="219" t="n"/>
      <c r="L3250" s="219">
        <f>ROUND((Q3250*C3250)/100,0)*100</f>
        <v/>
      </c>
      <c r="M3250" s="219" t="n"/>
      <c r="P3250" s="117" t="n"/>
      <c r="Q3250" s="118" t="n">
        <v>1.05</v>
      </c>
      <c r="R3250" s="117" t="n"/>
      <c r="T3250" s="117" t="n"/>
    </row>
    <row r="3251">
      <c r="A3251" s="128" t="inlineStr">
        <is>
          <t>10454712</t>
        </is>
      </c>
      <c r="B3251" s="246" t="inlineStr">
        <is>
          <t>TAVERNITI JEAN</t>
        </is>
      </c>
      <c r="C3251" s="88" t="n">
        <v>81000</v>
      </c>
      <c r="D3251" s="219" t="n"/>
      <c r="E3251" s="219" t="n"/>
      <c r="F3251" s="219" t="n"/>
      <c r="G3251" s="219" t="n"/>
      <c r="H3251" s="180" t="n"/>
      <c r="I3251" s="219" t="n"/>
      <c r="J3251" s="219" t="n"/>
      <c r="K3251" s="219" t="n"/>
      <c r="L3251" s="219">
        <f>ROUND((Q3251*C3251)/100,0)*100</f>
        <v/>
      </c>
      <c r="M3251" s="219" t="n"/>
      <c r="P3251" s="117" t="n"/>
      <c r="Q3251" s="118" t="n">
        <v>1.05</v>
      </c>
      <c r="R3251" s="117" t="n"/>
      <c r="T3251" s="117" t="n"/>
    </row>
    <row r="3252">
      <c r="A3252" s="128" t="inlineStr">
        <is>
          <t>10462XXX</t>
        </is>
      </c>
      <c r="B3252" s="246" t="inlineStr">
        <is>
          <t>TAVERNITI JEAN</t>
        </is>
      </c>
      <c r="C3252" s="88" t="n">
        <v>81000</v>
      </c>
      <c r="D3252" s="219" t="n"/>
      <c r="E3252" s="219" t="n"/>
      <c r="F3252" s="219" t="n"/>
      <c r="G3252" s="219" t="n"/>
      <c r="H3252" s="180" t="n"/>
      <c r="I3252" s="219" t="n"/>
      <c r="J3252" s="219" t="n"/>
      <c r="K3252" s="219" t="n"/>
      <c r="L3252" s="219">
        <f>ROUND((Q3252*C3252)/100,0)*100</f>
        <v/>
      </c>
      <c r="M3252" s="219" t="n"/>
      <c r="P3252" s="117" t="n"/>
      <c r="Q3252" s="118" t="n">
        <v>1.05</v>
      </c>
      <c r="R3252" s="117" t="n"/>
      <c r="T3252" s="117" t="n"/>
    </row>
    <row r="3253">
      <c r="A3253" s="128" t="inlineStr">
        <is>
          <t>10470XXX</t>
        </is>
      </c>
      <c r="B3253" s="246" t="inlineStr">
        <is>
          <t>TAVERNITI JEAN</t>
        </is>
      </c>
      <c r="C3253" s="88" t="n">
        <v>81000</v>
      </c>
      <c r="D3253" s="219" t="n"/>
      <c r="E3253" s="219" t="n"/>
      <c r="F3253" s="219" t="n"/>
      <c r="G3253" s="219" t="n"/>
      <c r="H3253" s="180" t="n"/>
      <c r="I3253" s="219" t="n"/>
      <c r="J3253" s="219" t="n"/>
      <c r="K3253" s="219" t="n"/>
      <c r="L3253" s="219">
        <f>ROUND((Q3253*C3253)/100,0)*100</f>
        <v/>
      </c>
      <c r="M3253" s="219" t="n"/>
      <c r="P3253" s="117" t="n"/>
      <c r="Q3253" s="118" t="n">
        <v>1.05</v>
      </c>
      <c r="R3253" s="117" t="n"/>
      <c r="T3253" s="117" t="n"/>
    </row>
    <row r="3254">
      <c r="A3254" s="128" t="inlineStr">
        <is>
          <t>10472XXX</t>
        </is>
      </c>
      <c r="B3254" s="246" t="inlineStr">
        <is>
          <t>TAVERNITI JEAN</t>
        </is>
      </c>
      <c r="C3254" s="88" t="n">
        <v>81000</v>
      </c>
      <c r="D3254" s="219" t="n"/>
      <c r="E3254" s="219" t="n"/>
      <c r="F3254" s="219" t="n"/>
      <c r="G3254" s="219" t="n"/>
      <c r="H3254" s="180" t="n"/>
      <c r="I3254" s="219" t="n"/>
      <c r="J3254" s="219" t="n"/>
      <c r="K3254" s="219" t="n"/>
      <c r="L3254" s="219">
        <f>ROUND((Q3254*C3254)/100,0)*100</f>
        <v/>
      </c>
      <c r="M3254" s="219" t="n"/>
      <c r="P3254" s="117" t="n"/>
      <c r="Q3254" s="118" t="n">
        <v>1.05</v>
      </c>
      <c r="R3254" s="117" t="n"/>
      <c r="T3254" s="117" t="n"/>
    </row>
    <row r="3255">
      <c r="A3255" s="128" t="inlineStr">
        <is>
          <t>10476XXX</t>
        </is>
      </c>
      <c r="B3255" s="246" t="inlineStr">
        <is>
          <t>TAVERNITI JEAN</t>
        </is>
      </c>
      <c r="C3255" s="88" t="n">
        <v>81000</v>
      </c>
      <c r="D3255" s="219" t="n"/>
      <c r="E3255" s="219" t="n"/>
      <c r="F3255" s="219" t="n"/>
      <c r="G3255" s="219" t="n"/>
      <c r="H3255" s="180" t="n"/>
      <c r="I3255" s="219" t="n"/>
      <c r="J3255" s="219" t="n"/>
      <c r="K3255" s="219" t="n"/>
      <c r="L3255" s="219">
        <f>ROUND((Q3255*C3255)/100,0)*100</f>
        <v/>
      </c>
      <c r="M3255" s="219" t="n"/>
      <c r="P3255" s="117" t="n"/>
      <c r="Q3255" s="118" t="n">
        <v>1.05</v>
      </c>
      <c r="R3255" s="117" t="n"/>
      <c r="T3255" s="117" t="n"/>
    </row>
    <row r="3256">
      <c r="A3256" s="128" t="inlineStr">
        <is>
          <t>10480XXX</t>
        </is>
      </c>
      <c r="B3256" s="246" t="inlineStr">
        <is>
          <t>TAVERNITI JEAN</t>
        </is>
      </c>
      <c r="C3256" s="88" t="n">
        <v>81000</v>
      </c>
      <c r="D3256" s="219" t="n"/>
      <c r="E3256" s="219" t="n"/>
      <c r="F3256" s="219" t="n"/>
      <c r="G3256" s="219" t="n"/>
      <c r="H3256" s="180" t="n"/>
      <c r="I3256" s="219" t="n"/>
      <c r="J3256" s="219" t="n"/>
      <c r="K3256" s="219" t="n"/>
      <c r="L3256" s="219">
        <f>ROUND((Q3256*C3256)/100,0)*100</f>
        <v/>
      </c>
      <c r="M3256" s="219" t="n"/>
      <c r="P3256" s="117" t="n"/>
      <c r="Q3256" s="118" t="n">
        <v>1.05</v>
      </c>
      <c r="R3256" s="117" t="n"/>
      <c r="T3256" s="117" t="n"/>
    </row>
    <row r="3257">
      <c r="A3257" s="128" t="inlineStr">
        <is>
          <t>10494XXX</t>
        </is>
      </c>
      <c r="B3257" s="246" t="inlineStr">
        <is>
          <t>TAVERNITI JEAN</t>
        </is>
      </c>
      <c r="C3257" s="88" t="n">
        <v>81000</v>
      </c>
      <c r="D3257" s="219" t="n"/>
      <c r="E3257" s="219" t="n"/>
      <c r="F3257" s="219" t="n"/>
      <c r="G3257" s="219" t="n"/>
      <c r="H3257" s="180" t="n"/>
      <c r="I3257" s="219" t="n"/>
      <c r="J3257" s="219" t="n"/>
      <c r="K3257" s="219" t="n"/>
      <c r="L3257" s="219">
        <f>ROUND((Q3257*C3257)/100,0)*100</f>
        <v/>
      </c>
      <c r="M3257" s="219" t="n"/>
      <c r="P3257" s="117" t="n"/>
      <c r="Q3257" s="118" t="n">
        <v>1.05</v>
      </c>
      <c r="R3257" s="117" t="n"/>
      <c r="T3257" s="117" t="n"/>
    </row>
    <row r="3258">
      <c r="A3258" s="128" t="inlineStr">
        <is>
          <t>10500XXX</t>
        </is>
      </c>
      <c r="B3258" s="246" t="inlineStr">
        <is>
          <t>TAVERNITI CORDEROY</t>
        </is>
      </c>
      <c r="C3258" s="88" t="n">
        <v>81000</v>
      </c>
      <c r="D3258" s="219" t="n"/>
      <c r="E3258" s="219" t="n"/>
      <c r="F3258" s="219" t="n"/>
      <c r="G3258" s="219" t="n"/>
      <c r="H3258" s="180" t="n"/>
      <c r="I3258" s="219" t="n"/>
      <c r="J3258" s="219" t="n"/>
      <c r="K3258" s="219" t="n"/>
      <c r="L3258" s="219">
        <f>ROUND((Q3258*C3258)/100,0)*100</f>
        <v/>
      </c>
      <c r="M3258" s="219" t="n"/>
      <c r="P3258" s="117" t="n"/>
      <c r="Q3258" s="118" t="n">
        <v>1.05</v>
      </c>
      <c r="R3258" s="117" t="n"/>
      <c r="T3258" s="117" t="n"/>
    </row>
    <row r="3259">
      <c r="A3259" s="128" t="inlineStr">
        <is>
          <t>10504XXX</t>
        </is>
      </c>
      <c r="B3259" s="246" t="inlineStr">
        <is>
          <t>TAVERNITI JEAN</t>
        </is>
      </c>
      <c r="C3259" s="88" t="n">
        <v>81000</v>
      </c>
      <c r="D3259" s="219" t="n"/>
      <c r="E3259" s="219" t="n"/>
      <c r="F3259" s="219" t="n"/>
      <c r="G3259" s="219" t="n"/>
      <c r="H3259" s="180" t="n"/>
      <c r="I3259" s="219" t="n"/>
      <c r="J3259" s="219" t="n"/>
      <c r="K3259" s="219" t="n"/>
      <c r="L3259" s="219">
        <f>ROUND((Q3259*C3259)/100,0)*100</f>
        <v/>
      </c>
      <c r="M3259" s="219" t="n"/>
      <c r="P3259" s="117" t="n"/>
      <c r="Q3259" s="118" t="n">
        <v>1.05</v>
      </c>
      <c r="R3259" s="117" t="n"/>
      <c r="T3259" s="117" t="n"/>
    </row>
    <row r="3260">
      <c r="A3260" s="128" t="inlineStr">
        <is>
          <t>10512XXX</t>
        </is>
      </c>
      <c r="B3260" s="246" t="inlineStr">
        <is>
          <t>TAVERNITI JEAN</t>
        </is>
      </c>
      <c r="C3260" s="88" t="n">
        <v>81000</v>
      </c>
      <c r="D3260" s="219" t="n"/>
      <c r="E3260" s="219" t="n"/>
      <c r="F3260" s="219" t="n"/>
      <c r="G3260" s="219" t="n"/>
      <c r="H3260" s="180" t="n"/>
      <c r="I3260" s="219" t="n"/>
      <c r="J3260" s="219" t="n"/>
      <c r="K3260" s="219" t="n"/>
      <c r="L3260" s="219">
        <f>ROUND((Q3260*C3260)/100,0)*100</f>
        <v/>
      </c>
      <c r="M3260" s="219" t="n"/>
      <c r="P3260" s="117" t="n"/>
      <c r="Q3260" s="118" t="n">
        <v>1.05</v>
      </c>
      <c r="R3260" s="117" t="n"/>
      <c r="T3260" s="117" t="n"/>
    </row>
    <row r="3261">
      <c r="A3261" s="128" t="inlineStr">
        <is>
          <t>10516XXX</t>
        </is>
      </c>
      <c r="B3261" s="246" t="inlineStr">
        <is>
          <t>TAVERNITI JEAN</t>
        </is>
      </c>
      <c r="C3261" s="88" t="n">
        <v>81000</v>
      </c>
      <c r="D3261" s="219" t="n"/>
      <c r="E3261" s="219" t="n"/>
      <c r="F3261" s="219" t="n"/>
      <c r="G3261" s="219" t="n"/>
      <c r="H3261" s="180" t="n"/>
      <c r="I3261" s="219" t="n"/>
      <c r="J3261" s="219" t="n"/>
      <c r="K3261" s="219" t="n"/>
      <c r="L3261" s="219">
        <f>ROUND((Q3261*C3261)/100,0)*100</f>
        <v/>
      </c>
      <c r="M3261" s="219" t="n"/>
      <c r="P3261" s="117" t="n"/>
      <c r="Q3261" s="118" t="n">
        <v>1.05</v>
      </c>
      <c r="R3261" s="117" t="n"/>
      <c r="T3261" s="117" t="n"/>
    </row>
    <row r="3262">
      <c r="A3262" s="128" t="inlineStr">
        <is>
          <t>10524XXX</t>
        </is>
      </c>
      <c r="B3262" s="246" t="inlineStr">
        <is>
          <t>TAVERNITI JEAN</t>
        </is>
      </c>
      <c r="C3262" s="88" t="n">
        <v>81000</v>
      </c>
      <c r="D3262" s="219" t="n"/>
      <c r="E3262" s="219" t="n"/>
      <c r="F3262" s="219" t="n"/>
      <c r="G3262" s="219" t="n"/>
      <c r="H3262" s="180" t="n"/>
      <c r="I3262" s="219" t="n"/>
      <c r="J3262" s="219" t="n"/>
      <c r="K3262" s="219" t="n"/>
      <c r="L3262" s="219">
        <f>ROUND((Q3262*C3262)/100,0)*100</f>
        <v/>
      </c>
      <c r="M3262" s="219" t="n"/>
      <c r="P3262" s="117" t="n"/>
      <c r="Q3262" s="118" t="n">
        <v>1.05</v>
      </c>
      <c r="R3262" s="117" t="n"/>
      <c r="T3262" s="117" t="n"/>
    </row>
    <row r="3263">
      <c r="A3263" s="128" t="inlineStr">
        <is>
          <t>10536XXX</t>
        </is>
      </c>
      <c r="B3263" s="246" t="inlineStr">
        <is>
          <t>TAVERNITI JEAN</t>
        </is>
      </c>
      <c r="C3263" s="88" t="n">
        <v>81000</v>
      </c>
      <c r="D3263" s="219" t="n"/>
      <c r="E3263" s="219" t="n"/>
      <c r="F3263" s="219" t="n"/>
      <c r="G3263" s="219" t="n"/>
      <c r="H3263" s="180" t="n"/>
      <c r="I3263" s="219" t="n"/>
      <c r="J3263" s="219" t="n"/>
      <c r="K3263" s="219" t="n"/>
      <c r="L3263" s="219">
        <f>ROUND((Q3263*C3263)/100,0)*100</f>
        <v/>
      </c>
      <c r="M3263" s="219" t="n"/>
      <c r="P3263" s="117" t="n"/>
      <c r="Q3263" s="118" t="n">
        <v>1.05</v>
      </c>
      <c r="R3263" s="117" t="n"/>
      <c r="T3263" s="117" t="n"/>
    </row>
    <row r="3264">
      <c r="A3264" s="128" t="inlineStr">
        <is>
          <t>10538XXX</t>
        </is>
      </c>
      <c r="B3264" s="246" t="inlineStr">
        <is>
          <t>TAVERNITI JEAN</t>
        </is>
      </c>
      <c r="C3264" s="88" t="n">
        <v>81000</v>
      </c>
      <c r="D3264" s="219" t="n"/>
      <c r="E3264" s="219" t="n"/>
      <c r="F3264" s="219" t="n"/>
      <c r="G3264" s="219" t="n"/>
      <c r="H3264" s="180" t="n"/>
      <c r="I3264" s="219" t="n"/>
      <c r="J3264" s="219" t="n"/>
      <c r="K3264" s="219" t="n"/>
      <c r="L3264" s="219">
        <f>ROUND((Q3264*C3264)/100,0)*100</f>
        <v/>
      </c>
      <c r="M3264" s="219" t="n"/>
      <c r="P3264" s="117" t="n"/>
      <c r="Q3264" s="118" t="n">
        <v>1.05</v>
      </c>
      <c r="R3264" s="117" t="n"/>
      <c r="T3264" s="117" t="n"/>
    </row>
    <row r="3265">
      <c r="A3265" s="128" t="inlineStr">
        <is>
          <t>10594237</t>
        </is>
      </c>
      <c r="B3265" s="246" t="inlineStr">
        <is>
          <t>TAVERNITI JEAN</t>
        </is>
      </c>
      <c r="C3265" s="88" t="n">
        <v>81000</v>
      </c>
      <c r="D3265" s="219" t="n"/>
      <c r="E3265" s="219" t="n"/>
      <c r="F3265" s="219" t="n"/>
      <c r="G3265" s="219" t="n"/>
      <c r="H3265" s="180" t="n"/>
      <c r="I3265" s="219" t="n"/>
      <c r="J3265" s="219" t="n"/>
      <c r="K3265" s="219" t="n"/>
      <c r="L3265" s="219">
        <f>ROUND((Q3265*C3265)/100,0)*100</f>
        <v/>
      </c>
      <c r="M3265" s="219" t="n"/>
      <c r="P3265" s="117" t="n"/>
      <c r="Q3265" s="118" t="n">
        <v>1.05</v>
      </c>
      <c r="R3265" s="117" t="n"/>
      <c r="T3265" s="117" t="n"/>
    </row>
    <row r="3266">
      <c r="A3266" s="128" t="inlineStr">
        <is>
          <t>10600711</t>
        </is>
      </c>
      <c r="B3266" s="246" t="inlineStr">
        <is>
          <t>TAVERNITI JEAN</t>
        </is>
      </c>
      <c r="C3266" s="88" t="n">
        <v>81000</v>
      </c>
      <c r="D3266" s="219" t="n"/>
      <c r="E3266" s="219" t="n"/>
      <c r="F3266" s="219" t="n"/>
      <c r="G3266" s="219" t="n"/>
      <c r="H3266" s="180" t="n"/>
      <c r="I3266" s="219" t="n"/>
      <c r="J3266" s="219" t="n"/>
      <c r="K3266" s="219" t="n"/>
      <c r="L3266" s="219">
        <f>ROUND((Q3266*C3266)/100,0)*100</f>
        <v/>
      </c>
      <c r="M3266" s="219" t="n"/>
      <c r="P3266" s="117" t="n"/>
      <c r="Q3266" s="118" t="n">
        <v>1.05</v>
      </c>
      <c r="R3266" s="117" t="n"/>
      <c r="T3266" s="117" t="n"/>
    </row>
    <row r="3267">
      <c r="A3267" s="128" t="inlineStr">
        <is>
          <t>10602XXX</t>
        </is>
      </c>
      <c r="B3267" s="246" t="inlineStr">
        <is>
          <t>TAVERNITI JEAN</t>
        </is>
      </c>
      <c r="C3267" s="88" t="n">
        <v>81000</v>
      </c>
      <c r="D3267" s="219" t="n"/>
      <c r="E3267" s="219" t="n"/>
      <c r="F3267" s="219" t="n"/>
      <c r="G3267" s="219" t="n"/>
      <c r="H3267" s="180" t="n"/>
      <c r="I3267" s="219" t="n"/>
      <c r="J3267" s="219" t="n"/>
      <c r="K3267" s="219" t="n"/>
      <c r="L3267" s="219">
        <f>ROUND((Q3267*C3267)/100,0)*100</f>
        <v/>
      </c>
      <c r="M3267" s="219" t="n"/>
      <c r="P3267" s="117" t="n"/>
      <c r="Q3267" s="118" t="n">
        <v>1.05</v>
      </c>
      <c r="R3267" s="117" t="n"/>
      <c r="T3267" s="117" t="n"/>
    </row>
    <row r="3268">
      <c r="A3268" s="128" t="inlineStr">
        <is>
          <t>10604450</t>
        </is>
      </c>
      <c r="B3268" s="246" t="inlineStr">
        <is>
          <t>TAVERNITI JEAN</t>
        </is>
      </c>
      <c r="C3268" s="88" t="n">
        <v>81000</v>
      </c>
      <c r="D3268" s="219" t="n"/>
      <c r="E3268" s="219" t="n"/>
      <c r="F3268" s="219" t="n"/>
      <c r="G3268" s="219" t="n"/>
      <c r="H3268" s="180" t="n"/>
      <c r="I3268" s="219" t="n"/>
      <c r="J3268" s="219" t="n"/>
      <c r="K3268" s="219" t="n"/>
      <c r="L3268" s="219">
        <f>ROUND((Q3268*C3268)/100,0)*100</f>
        <v/>
      </c>
      <c r="M3268" s="219" t="n"/>
      <c r="P3268" s="117" t="n"/>
      <c r="Q3268" s="118" t="n">
        <v>1.05</v>
      </c>
      <c r="R3268" s="117" t="n"/>
      <c r="T3268" s="117" t="n"/>
    </row>
    <row r="3269">
      <c r="A3269" s="128" t="inlineStr">
        <is>
          <t>10614XXX</t>
        </is>
      </c>
      <c r="B3269" s="246" t="inlineStr">
        <is>
          <t>TAVERNITI JEAN</t>
        </is>
      </c>
      <c r="C3269" s="88" t="n">
        <v>81000</v>
      </c>
      <c r="D3269" s="219" t="n"/>
      <c r="E3269" s="219" t="n"/>
      <c r="F3269" s="219" t="n"/>
      <c r="G3269" s="219" t="n"/>
      <c r="H3269" s="180" t="n"/>
      <c r="I3269" s="219" t="n"/>
      <c r="J3269" s="219" t="n"/>
      <c r="K3269" s="219" t="n"/>
      <c r="L3269" s="219">
        <f>ROUND((Q3269*C3269)/100,0)*100</f>
        <v/>
      </c>
      <c r="M3269" s="219" t="n"/>
      <c r="P3269" s="117" t="n"/>
      <c r="Q3269" s="118" t="n">
        <v>1.05</v>
      </c>
      <c r="R3269" s="117" t="n"/>
      <c r="T3269" s="117" t="n"/>
    </row>
    <row r="3270">
      <c r="A3270" s="128" t="inlineStr">
        <is>
          <t>10620XXX</t>
        </is>
      </c>
      <c r="B3270" s="246" t="inlineStr">
        <is>
          <t>TAVERNITI JEAN</t>
        </is>
      </c>
      <c r="C3270" s="88" t="n">
        <v>81000</v>
      </c>
      <c r="D3270" s="219" t="n"/>
      <c r="E3270" s="219" t="n"/>
      <c r="F3270" s="219" t="n"/>
      <c r="G3270" s="219" t="n"/>
      <c r="H3270" s="180" t="n"/>
      <c r="I3270" s="219" t="n"/>
      <c r="J3270" s="219" t="n"/>
      <c r="K3270" s="219" t="n"/>
      <c r="L3270" s="219">
        <f>ROUND((Q3270*C3270)/100,0)*100</f>
        <v/>
      </c>
      <c r="M3270" s="219" t="n"/>
      <c r="P3270" s="117" t="n"/>
      <c r="Q3270" s="118" t="n">
        <v>1.05</v>
      </c>
      <c r="R3270" s="117" t="n"/>
      <c r="T3270" s="117" t="n"/>
    </row>
    <row r="3271">
      <c r="A3271" s="128" t="inlineStr">
        <is>
          <t>10630XXX</t>
        </is>
      </c>
      <c r="B3271" s="246" t="inlineStr">
        <is>
          <t>TAVERNITI PANTALON</t>
        </is>
      </c>
      <c r="C3271" s="88" t="n">
        <v>81000</v>
      </c>
      <c r="D3271" s="219" t="n"/>
      <c r="E3271" s="219" t="n"/>
      <c r="F3271" s="219" t="n"/>
      <c r="G3271" s="219" t="n"/>
      <c r="H3271" s="180" t="n"/>
      <c r="I3271" s="219" t="n"/>
      <c r="J3271" s="219" t="n"/>
      <c r="K3271" s="219" t="n"/>
      <c r="L3271" s="219">
        <f>ROUND((Q3271*C3271)/100,0)*100</f>
        <v/>
      </c>
      <c r="M3271" s="219" t="n"/>
      <c r="P3271" s="117" t="n"/>
      <c r="Q3271" s="118" t="n">
        <v>1.05</v>
      </c>
      <c r="R3271" s="117" t="n"/>
      <c r="T3271" s="117" t="n"/>
    </row>
    <row r="3272">
      <c r="A3272" s="68" t="inlineStr">
        <is>
          <t>10632XXX</t>
        </is>
      </c>
      <c r="B3272" s="246" t="inlineStr">
        <is>
          <t>TAVERNITI JEAN</t>
        </is>
      </c>
      <c r="C3272" s="88" t="n">
        <v>81000</v>
      </c>
      <c r="D3272" s="219" t="n"/>
      <c r="E3272" s="219" t="n"/>
      <c r="F3272" s="219" t="n"/>
      <c r="G3272" s="219" t="n"/>
      <c r="H3272" s="180" t="n"/>
      <c r="I3272" s="219" t="n"/>
      <c r="J3272" s="219" t="n"/>
      <c r="K3272" s="219" t="n"/>
      <c r="L3272" s="219">
        <f>ROUND((Q3272*C3272)/100,0)*100</f>
        <v/>
      </c>
      <c r="M3272" s="219" t="n"/>
      <c r="P3272" s="117" t="n"/>
      <c r="Q3272" s="118" t="n">
        <v>1.05</v>
      </c>
      <c r="R3272" s="117" t="n"/>
      <c r="T3272" s="117" t="n"/>
    </row>
    <row r="3273">
      <c r="A3273" s="128" t="inlineStr">
        <is>
          <t>10646XXX</t>
        </is>
      </c>
      <c r="B3273" s="246" t="inlineStr">
        <is>
          <t>TAVERNITI JEAN</t>
        </is>
      </c>
      <c r="C3273" s="88" t="n">
        <v>81000</v>
      </c>
      <c r="D3273" s="219" t="n"/>
      <c r="E3273" s="219" t="n"/>
      <c r="F3273" s="219" t="n"/>
      <c r="G3273" s="219" t="n"/>
      <c r="H3273" s="180" t="n"/>
      <c r="I3273" s="219" t="n"/>
      <c r="J3273" s="219" t="n"/>
      <c r="K3273" s="219" t="n"/>
      <c r="L3273" s="219">
        <f>ROUND((Q3273*C3273)/100,0)*100</f>
        <v/>
      </c>
      <c r="M3273" s="219" t="n"/>
      <c r="P3273" s="117" t="n"/>
      <c r="Q3273" s="118" t="n">
        <v>1.05</v>
      </c>
      <c r="R3273" s="117" t="n"/>
      <c r="T3273" s="117" t="n"/>
    </row>
    <row r="3274">
      <c r="A3274" s="128" t="inlineStr">
        <is>
          <t>10650XXX</t>
        </is>
      </c>
      <c r="B3274" s="246" t="inlineStr">
        <is>
          <t>TAVERNITI JEAN</t>
        </is>
      </c>
      <c r="C3274" s="88" t="n">
        <v>81000</v>
      </c>
      <c r="D3274" s="219" t="n"/>
      <c r="E3274" s="219" t="n"/>
      <c r="F3274" s="219" t="n"/>
      <c r="G3274" s="219" t="n"/>
      <c r="H3274" s="180" t="n"/>
      <c r="I3274" s="219" t="n"/>
      <c r="J3274" s="219" t="n"/>
      <c r="K3274" s="219" t="n"/>
      <c r="L3274" s="219">
        <f>ROUND((Q3274*C3274)/100,0)*100</f>
        <v/>
      </c>
      <c r="M3274" s="219" t="n"/>
      <c r="P3274" s="117" t="n"/>
      <c r="Q3274" s="118" t="n">
        <v>1.05</v>
      </c>
      <c r="R3274" s="117" t="n"/>
      <c r="T3274" s="117" t="n"/>
    </row>
    <row r="3275">
      <c r="A3275" s="128" t="inlineStr">
        <is>
          <t>1068860X</t>
        </is>
      </c>
      <c r="B3275" s="246" t="inlineStr">
        <is>
          <t>TAVERNITI JEAN</t>
        </is>
      </c>
      <c r="C3275" s="88" t="n">
        <v>81000</v>
      </c>
      <c r="D3275" s="219" t="n"/>
      <c r="E3275" s="219" t="n"/>
      <c r="F3275" s="219" t="n"/>
      <c r="G3275" s="219" t="n"/>
      <c r="H3275" s="180" t="n"/>
      <c r="I3275" s="219" t="n"/>
      <c r="J3275" s="219" t="n"/>
      <c r="K3275" s="219" t="n"/>
      <c r="L3275" s="219">
        <f>ROUND((Q3275*C3275)/100,0)*100</f>
        <v/>
      </c>
      <c r="M3275" s="219" t="n"/>
      <c r="P3275" s="117" t="n"/>
      <c r="Q3275" s="118" t="n">
        <v>1.05</v>
      </c>
      <c r="R3275" s="117" t="n"/>
      <c r="T3275" s="117" t="n"/>
    </row>
    <row r="3276">
      <c r="A3276" s="128" t="inlineStr">
        <is>
          <t>10690XXX</t>
        </is>
      </c>
      <c r="B3276" s="246" t="inlineStr">
        <is>
          <t>TAVERNITI JEAN</t>
        </is>
      </c>
      <c r="C3276" s="88" t="n">
        <v>81000</v>
      </c>
      <c r="D3276" s="219" t="n"/>
      <c r="E3276" s="219" t="n"/>
      <c r="F3276" s="219" t="n"/>
      <c r="G3276" s="219" t="n"/>
      <c r="H3276" s="180" t="n"/>
      <c r="I3276" s="219" t="n"/>
      <c r="J3276" s="219" t="n"/>
      <c r="K3276" s="219" t="n"/>
      <c r="L3276" s="219">
        <f>ROUND((Q3276*C3276)/100,0)*100</f>
        <v/>
      </c>
      <c r="M3276" s="219" t="n"/>
      <c r="P3276" s="117" t="n"/>
      <c r="Q3276" s="118" t="n">
        <v>1.05</v>
      </c>
      <c r="R3276" s="117" t="n"/>
      <c r="T3276" s="117" t="n"/>
    </row>
    <row r="3277">
      <c r="A3277" s="134" t="inlineStr">
        <is>
          <t>10692XXX</t>
        </is>
      </c>
      <c r="B3277" s="246" t="inlineStr">
        <is>
          <t>TAVERNITI JEAN</t>
        </is>
      </c>
      <c r="C3277" s="88" t="n">
        <v>81000</v>
      </c>
      <c r="D3277" s="219" t="n"/>
      <c r="E3277" s="219" t="n"/>
      <c r="F3277" s="219" t="n"/>
      <c r="G3277" s="219" t="n"/>
      <c r="H3277" s="180" t="n"/>
      <c r="I3277" s="219" t="n"/>
      <c r="J3277" s="219" t="n"/>
      <c r="K3277" s="219" t="n"/>
      <c r="L3277" s="219">
        <f>ROUND((Q3277*C3277)/100,0)*100</f>
        <v/>
      </c>
      <c r="M3277" s="219" t="n"/>
      <c r="P3277" s="117" t="n"/>
      <c r="Q3277" s="118" t="n">
        <v>1.05</v>
      </c>
      <c r="R3277" s="117" t="n"/>
      <c r="T3277" s="117" t="n"/>
    </row>
    <row r="3278">
      <c r="A3278" s="128" t="inlineStr">
        <is>
          <t>10694XXX</t>
        </is>
      </c>
      <c r="B3278" s="246" t="inlineStr">
        <is>
          <t>TAVERNITI JEAN</t>
        </is>
      </c>
      <c r="C3278" s="88" t="n">
        <v>81000</v>
      </c>
      <c r="D3278" s="219" t="n"/>
      <c r="E3278" s="219" t="n"/>
      <c r="F3278" s="219" t="n"/>
      <c r="G3278" s="219" t="n"/>
      <c r="H3278" s="180" t="n"/>
      <c r="I3278" s="219" t="n"/>
      <c r="J3278" s="219" t="n"/>
      <c r="K3278" s="219" t="n"/>
      <c r="L3278" s="219">
        <f>ROUND((Q3278*C3278)/100,0)*100</f>
        <v/>
      </c>
      <c r="M3278" s="219" t="n"/>
      <c r="P3278" s="117" t="n"/>
      <c r="Q3278" s="118" t="n">
        <v>1.05</v>
      </c>
      <c r="R3278" s="117" t="n"/>
      <c r="T3278" s="117" t="n"/>
    </row>
    <row r="3279">
      <c r="A3279" s="134" t="inlineStr">
        <is>
          <t>10692XXX</t>
        </is>
      </c>
      <c r="B3279" s="246" t="inlineStr">
        <is>
          <t>TAVERNITI JEAN</t>
        </is>
      </c>
      <c r="C3279" s="88" t="n">
        <v>81000</v>
      </c>
      <c r="D3279" s="219" t="n"/>
      <c r="E3279" s="219" t="n"/>
      <c r="F3279" s="219" t="n"/>
      <c r="G3279" s="219" t="n"/>
      <c r="H3279" s="180" t="n"/>
      <c r="I3279" s="219" t="n"/>
      <c r="J3279" s="219" t="n"/>
      <c r="K3279" s="219" t="n"/>
      <c r="L3279" s="219">
        <f>ROUND((Q3279*C3279)/100,0)*100</f>
        <v/>
      </c>
      <c r="M3279" s="219" t="n"/>
      <c r="P3279" s="117" t="n"/>
      <c r="Q3279" s="118" t="n">
        <v>1.05</v>
      </c>
      <c r="R3279" s="117" t="n"/>
      <c r="T3279" s="117" t="n"/>
    </row>
    <row r="3280">
      <c r="A3280" s="128" t="inlineStr">
        <is>
          <t>10710XXX</t>
        </is>
      </c>
      <c r="B3280" s="246" t="inlineStr">
        <is>
          <t>TAVERNITI JEAN</t>
        </is>
      </c>
      <c r="C3280" s="88" t="n">
        <v>81000</v>
      </c>
      <c r="D3280" s="219" t="n"/>
      <c r="E3280" s="219" t="n"/>
      <c r="F3280" s="219" t="n"/>
      <c r="G3280" s="219" t="n"/>
      <c r="H3280" s="180" t="n"/>
      <c r="I3280" s="219" t="n"/>
      <c r="J3280" s="219" t="n"/>
      <c r="K3280" s="219" t="n"/>
      <c r="L3280" s="219">
        <f>ROUND((Q3280*C3280)/100,0)*100</f>
        <v/>
      </c>
      <c r="M3280" s="219" t="n"/>
      <c r="P3280" s="117" t="n"/>
      <c r="Q3280" s="118" t="n">
        <v>1.05</v>
      </c>
      <c r="R3280" s="117" t="n"/>
      <c r="T3280" s="117" t="n"/>
    </row>
    <row r="3281">
      <c r="A3281" s="128" t="inlineStr">
        <is>
          <t>10712XXX</t>
        </is>
      </c>
      <c r="B3281" s="246" t="inlineStr">
        <is>
          <t>TAVERNITI JEAN</t>
        </is>
      </c>
      <c r="C3281" s="88" t="n">
        <v>81000</v>
      </c>
      <c r="D3281" s="219" t="n"/>
      <c r="E3281" s="219" t="n"/>
      <c r="F3281" s="219" t="n"/>
      <c r="G3281" s="219" t="n"/>
      <c r="H3281" s="180" t="n"/>
      <c r="I3281" s="219" t="n"/>
      <c r="J3281" s="219" t="n"/>
      <c r="K3281" s="219" t="n"/>
      <c r="L3281" s="219">
        <f>ROUND((Q3281*C3281)/100,0)*100</f>
        <v/>
      </c>
      <c r="M3281" s="219" t="n"/>
      <c r="P3281" s="117" t="n"/>
      <c r="Q3281" s="118" t="n">
        <v>1.05</v>
      </c>
      <c r="R3281" s="117" t="n"/>
      <c r="T3281" s="117" t="n"/>
    </row>
    <row r="3282">
      <c r="A3282" s="128" t="inlineStr">
        <is>
          <t>10720XXX</t>
        </is>
      </c>
      <c r="B3282" s="246" t="inlineStr">
        <is>
          <t>TAVERNITI JEAN</t>
        </is>
      </c>
      <c r="C3282" s="88" t="n">
        <v>81000</v>
      </c>
      <c r="D3282" s="219" t="n"/>
      <c r="E3282" s="219" t="n"/>
      <c r="F3282" s="219" t="n"/>
      <c r="G3282" s="219" t="n"/>
      <c r="H3282" s="180" t="n"/>
      <c r="I3282" s="219" t="n"/>
      <c r="J3282" s="219" t="n"/>
      <c r="K3282" s="219" t="n"/>
      <c r="L3282" s="219">
        <f>ROUND((Q3282*C3282)/100,0)*100</f>
        <v/>
      </c>
      <c r="M3282" s="219" t="n"/>
      <c r="P3282" s="117" t="n"/>
      <c r="Q3282" s="118" t="n">
        <v>1.05</v>
      </c>
      <c r="R3282" s="117" t="n"/>
      <c r="T3282" s="117" t="n"/>
    </row>
    <row r="3283">
      <c r="A3283" s="134" t="inlineStr">
        <is>
          <t>10730XXX</t>
        </is>
      </c>
      <c r="B3283" s="135" t="inlineStr">
        <is>
          <t>TAVERNITI JEAN</t>
        </is>
      </c>
      <c r="C3283" s="88" t="n">
        <v>81000</v>
      </c>
      <c r="D3283" s="170" t="n"/>
      <c r="E3283" s="170" t="n"/>
      <c r="F3283" s="170" t="n"/>
      <c r="G3283" s="170" t="n"/>
      <c r="H3283" s="105" t="n"/>
      <c r="I3283" s="170" t="n"/>
      <c r="J3283" s="170" t="n"/>
      <c r="K3283" s="170" t="n"/>
      <c r="L3283" s="170">
        <f>ROUND((Q3283*C3283)/100,0)*100</f>
        <v/>
      </c>
      <c r="M3283" s="170" t="n"/>
      <c r="N3283" s="30" t="n"/>
      <c r="O3283" s="30" t="n"/>
      <c r="P3283" s="170" t="n"/>
      <c r="Q3283" s="118" t="n">
        <v>1.05</v>
      </c>
      <c r="R3283" s="170" t="n"/>
      <c r="S3283" s="30" t="n"/>
      <c r="T3283" s="170" t="n"/>
      <c r="U3283" s="30" t="n"/>
      <c r="V3283" s="30" t="n"/>
      <c r="W3283" s="30" t="n"/>
      <c r="X3283" s="30" t="n"/>
      <c r="Y3283" s="30" t="n"/>
      <c r="Z3283" s="30" t="n"/>
      <c r="AA3283" s="30" t="n"/>
      <c r="AB3283" s="30" t="n"/>
      <c r="AC3283" s="30" t="n"/>
      <c r="AD3283" s="30" t="n"/>
      <c r="AE3283" s="30" t="n"/>
      <c r="AF3283" s="30" t="n"/>
      <c r="AG3283" s="30" t="n"/>
      <c r="AH3283" s="30" t="n"/>
      <c r="AI3283" s="30" t="n"/>
      <c r="AJ3283" s="30" t="n"/>
      <c r="AK3283" s="30" t="n"/>
      <c r="AL3283" s="30" t="n"/>
      <c r="AM3283" s="30" t="n"/>
      <c r="AN3283" s="30" t="n"/>
    </row>
    <row r="3284">
      <c r="A3284" s="128" t="inlineStr">
        <is>
          <t>10734XXX</t>
        </is>
      </c>
      <c r="B3284" s="246" t="inlineStr">
        <is>
          <t>TAVERNITI JEAN</t>
        </is>
      </c>
      <c r="C3284" s="88" t="n">
        <v>81000</v>
      </c>
      <c r="D3284" s="219" t="n"/>
      <c r="E3284" s="219" t="n"/>
      <c r="F3284" s="219" t="n"/>
      <c r="G3284" s="219" t="n"/>
      <c r="H3284" s="180" t="n"/>
      <c r="I3284" s="219" t="n"/>
      <c r="J3284" s="219" t="n"/>
      <c r="K3284" s="219" t="n"/>
      <c r="L3284" s="219">
        <f>ROUND((Q3284*C3284)/100,0)*100</f>
        <v/>
      </c>
      <c r="M3284" s="219" t="n"/>
      <c r="P3284" s="117" t="n"/>
      <c r="Q3284" s="118" t="n">
        <v>1.05</v>
      </c>
      <c r="R3284" s="117" t="n"/>
      <c r="T3284" s="117" t="n"/>
    </row>
    <row r="3285">
      <c r="A3285" s="128" t="inlineStr">
        <is>
          <t>10740XXX</t>
        </is>
      </c>
      <c r="B3285" s="246" t="inlineStr">
        <is>
          <t>TAVERNITI JEAN</t>
        </is>
      </c>
      <c r="C3285" s="88" t="n">
        <v>81000</v>
      </c>
      <c r="D3285" s="219" t="n"/>
      <c r="E3285" s="219" t="n"/>
      <c r="F3285" s="219" t="n"/>
      <c r="G3285" s="219" t="n"/>
      <c r="H3285" s="180" t="n"/>
      <c r="I3285" s="219" t="n"/>
      <c r="J3285" s="219" t="n"/>
      <c r="K3285" s="219" t="n"/>
      <c r="L3285" s="219">
        <f>ROUND((Q3285*C3285)/100,0)*100</f>
        <v/>
      </c>
      <c r="M3285" s="219" t="n"/>
      <c r="P3285" s="117" t="n"/>
      <c r="Q3285" s="118" t="n">
        <v>1.05</v>
      </c>
      <c r="R3285" s="117" t="n"/>
      <c r="T3285" s="117" t="n"/>
    </row>
    <row r="3286">
      <c r="A3286" s="128" t="inlineStr">
        <is>
          <t>10748XXX</t>
        </is>
      </c>
      <c r="B3286" s="246" t="inlineStr">
        <is>
          <t>TAVERNITI JEAN</t>
        </is>
      </c>
      <c r="C3286" s="88" t="n">
        <v>81000</v>
      </c>
      <c r="D3286" s="219" t="n"/>
      <c r="E3286" s="219" t="n"/>
      <c r="F3286" s="219" t="n"/>
      <c r="G3286" s="219" t="n"/>
      <c r="H3286" s="180" t="n"/>
      <c r="I3286" s="219" t="n"/>
      <c r="J3286" s="219" t="n"/>
      <c r="K3286" s="219" t="n"/>
      <c r="L3286" s="219">
        <f>ROUND((Q3286*C3286)/100,0)*100</f>
        <v/>
      </c>
      <c r="M3286" s="219" t="n"/>
      <c r="P3286" s="117" t="n"/>
      <c r="Q3286" s="118" t="n">
        <v>1.05</v>
      </c>
      <c r="R3286" s="117" t="n"/>
      <c r="T3286" s="117" t="n"/>
    </row>
    <row r="3287">
      <c r="A3287" s="128" t="inlineStr">
        <is>
          <t>10750XXX</t>
        </is>
      </c>
      <c r="B3287" s="246" t="inlineStr">
        <is>
          <t>TAVERNITI JEAN</t>
        </is>
      </c>
      <c r="C3287" s="88" t="n">
        <v>81000</v>
      </c>
      <c r="D3287" s="219" t="n"/>
      <c r="E3287" s="219" t="n"/>
      <c r="F3287" s="219" t="n"/>
      <c r="G3287" s="219" t="n"/>
      <c r="H3287" s="180" t="n"/>
      <c r="I3287" s="219" t="n"/>
      <c r="J3287" s="219" t="n"/>
      <c r="K3287" s="219" t="n"/>
      <c r="L3287" s="219">
        <f>ROUND((Q3287*C3287)/100,0)*100</f>
        <v/>
      </c>
      <c r="M3287" s="219" t="n"/>
      <c r="P3287" s="117" t="n"/>
      <c r="Q3287" s="118" t="n">
        <v>1.05</v>
      </c>
      <c r="R3287" s="117" t="n"/>
      <c r="T3287" s="117" t="n"/>
    </row>
    <row r="3288">
      <c r="A3288" s="128" t="inlineStr">
        <is>
          <t>10752XXX</t>
        </is>
      </c>
      <c r="B3288" s="246" t="inlineStr">
        <is>
          <t>TAVERNITI JEAN</t>
        </is>
      </c>
      <c r="C3288" s="88" t="n">
        <v>81000</v>
      </c>
      <c r="D3288" s="219" t="n"/>
      <c r="E3288" s="219" t="n"/>
      <c r="F3288" s="219" t="n"/>
      <c r="G3288" s="219" t="n"/>
      <c r="H3288" s="180" t="n"/>
      <c r="I3288" s="219" t="n"/>
      <c r="J3288" s="219" t="n"/>
      <c r="K3288" s="219" t="n"/>
      <c r="L3288" s="219">
        <f>ROUND((Q3288*C3288)/100,0)*100</f>
        <v/>
      </c>
      <c r="M3288" s="219" t="n"/>
      <c r="P3288" s="117" t="n"/>
      <c r="Q3288" s="118" t="n">
        <v>1.05</v>
      </c>
      <c r="R3288" s="117" t="n"/>
      <c r="T3288" s="117" t="n"/>
    </row>
    <row r="3289">
      <c r="A3289" s="128" t="inlineStr">
        <is>
          <t>10754XXX</t>
        </is>
      </c>
      <c r="B3289" s="246" t="inlineStr">
        <is>
          <t>TAVERNITI JEAN</t>
        </is>
      </c>
      <c r="C3289" s="88" t="n">
        <v>81000</v>
      </c>
      <c r="D3289" s="219" t="n"/>
      <c r="E3289" s="219" t="n"/>
      <c r="F3289" s="219" t="n"/>
      <c r="G3289" s="219" t="n"/>
      <c r="H3289" s="180" t="n"/>
      <c r="I3289" s="219" t="n"/>
      <c r="J3289" s="219" t="n"/>
      <c r="K3289" s="219" t="n"/>
      <c r="L3289" s="219">
        <f>ROUND((Q3289*C3289)/100,0)*100</f>
        <v/>
      </c>
      <c r="M3289" s="219" t="n"/>
      <c r="P3289" s="117" t="n"/>
      <c r="Q3289" s="118" t="n">
        <v>1.05</v>
      </c>
      <c r="R3289" s="117" t="n"/>
      <c r="T3289" s="117" t="n"/>
    </row>
    <row r="3290">
      <c r="A3290" s="128" t="inlineStr">
        <is>
          <t>10768XXX</t>
        </is>
      </c>
      <c r="B3290" s="246" t="inlineStr">
        <is>
          <t>TAVERNITI JEAN</t>
        </is>
      </c>
      <c r="C3290" s="88" t="n">
        <v>81000</v>
      </c>
      <c r="D3290" s="219" t="n"/>
      <c r="E3290" s="219" t="n"/>
      <c r="F3290" s="219" t="n"/>
      <c r="G3290" s="219" t="n"/>
      <c r="H3290" s="180" t="n"/>
      <c r="I3290" s="219" t="n"/>
      <c r="J3290" s="219" t="n"/>
      <c r="K3290" s="219" t="n"/>
      <c r="L3290" s="219">
        <f>ROUND((Q3290*C3290)/100,0)*100</f>
        <v/>
      </c>
      <c r="M3290" s="219" t="n"/>
      <c r="P3290" s="117" t="n"/>
      <c r="Q3290" s="118" t="n">
        <v>1.05</v>
      </c>
      <c r="R3290" s="117" t="n"/>
      <c r="T3290" s="117" t="n"/>
    </row>
    <row r="3291">
      <c r="A3291" s="128" t="inlineStr">
        <is>
          <t>10772XXX</t>
        </is>
      </c>
      <c r="B3291" s="246" t="inlineStr">
        <is>
          <t>TAVERNITI JEAN</t>
        </is>
      </c>
      <c r="C3291" s="88" t="n">
        <v>81000</v>
      </c>
      <c r="D3291" s="219" t="n"/>
      <c r="E3291" s="219" t="n"/>
      <c r="F3291" s="219" t="n"/>
      <c r="G3291" s="219" t="n"/>
      <c r="H3291" s="180" t="n"/>
      <c r="I3291" s="219" t="n"/>
      <c r="J3291" s="219" t="n"/>
      <c r="K3291" s="219" t="n"/>
      <c r="L3291" s="219">
        <f>ROUND((Q3291*C3291)/100,0)*100</f>
        <v/>
      </c>
      <c r="M3291" s="219" t="n"/>
      <c r="P3291" s="117" t="n"/>
      <c r="Q3291" s="118" t="n">
        <v>1.05</v>
      </c>
      <c r="R3291" s="117" t="n"/>
      <c r="T3291" s="117" t="n"/>
    </row>
    <row r="3292">
      <c r="A3292" s="128" t="inlineStr">
        <is>
          <t>10784XXX</t>
        </is>
      </c>
      <c r="B3292" s="246" t="inlineStr">
        <is>
          <t>TAVERNITI JEAN</t>
        </is>
      </c>
      <c r="C3292" s="88" t="n">
        <v>81000</v>
      </c>
      <c r="D3292" s="219" t="n"/>
      <c r="E3292" s="219" t="n"/>
      <c r="F3292" s="219" t="n"/>
      <c r="G3292" s="219" t="n"/>
      <c r="H3292" s="180" t="n"/>
      <c r="I3292" s="219" t="n"/>
      <c r="J3292" s="219" t="n"/>
      <c r="K3292" s="219" t="n"/>
      <c r="L3292" s="219">
        <f>ROUND((Q3292*C3292)/100,0)*100</f>
        <v/>
      </c>
      <c r="M3292" s="219" t="n"/>
      <c r="P3292" s="117" t="n"/>
      <c r="Q3292" s="118" t="n">
        <v>1.05</v>
      </c>
      <c r="R3292" s="117" t="n"/>
      <c r="T3292" s="117" t="n"/>
    </row>
    <row r="3293">
      <c r="A3293" s="128" t="inlineStr">
        <is>
          <t>10790XXX</t>
        </is>
      </c>
      <c r="B3293" s="246" t="inlineStr">
        <is>
          <t>TAVERNITI JEAN</t>
        </is>
      </c>
      <c r="C3293" s="88" t="n">
        <v>81000</v>
      </c>
      <c r="D3293" s="219" t="n"/>
      <c r="E3293" s="219" t="n"/>
      <c r="F3293" s="219" t="n"/>
      <c r="G3293" s="219" t="n"/>
      <c r="H3293" s="180" t="n"/>
      <c r="I3293" s="219" t="n"/>
      <c r="J3293" s="219" t="n"/>
      <c r="K3293" s="219" t="n"/>
      <c r="L3293" s="219">
        <f>ROUND((Q3293*C3293)/100,0)*100</f>
        <v/>
      </c>
      <c r="M3293" s="219" t="n"/>
      <c r="P3293" s="117" t="n"/>
      <c r="Q3293" s="118" t="n">
        <v>1.05</v>
      </c>
      <c r="R3293" s="117" t="n"/>
      <c r="T3293" s="117" t="n"/>
    </row>
    <row r="3294">
      <c r="A3294" s="68" t="inlineStr">
        <is>
          <t>10814XXX</t>
        </is>
      </c>
      <c r="B3294" s="246" t="inlineStr">
        <is>
          <t>TAVERNITI JEAN</t>
        </is>
      </c>
      <c r="C3294" s="88" t="n">
        <v>81000</v>
      </c>
      <c r="D3294" s="68" t="n"/>
      <c r="E3294" s="110" t="n"/>
      <c r="F3294" s="88" t="n"/>
      <c r="G3294" s="68" t="n"/>
      <c r="H3294" s="110" t="n"/>
      <c r="I3294" s="88" t="n"/>
      <c r="J3294" s="68" t="n"/>
      <c r="K3294" s="110" t="n"/>
      <c r="L3294" s="219">
        <f>ROUND((Q3294*C3294)/100,0)*100</f>
        <v/>
      </c>
      <c r="M3294" s="219" t="n"/>
      <c r="P3294" s="117" t="n"/>
      <c r="Q3294" s="118" t="n">
        <v>1.05</v>
      </c>
      <c r="R3294" s="88" t="n"/>
      <c r="S3294" s="68" t="n"/>
      <c r="T3294" s="182" t="n"/>
      <c r="U3294" s="88" t="n"/>
      <c r="V3294" s="68" t="n"/>
      <c r="W3294" s="110" t="n"/>
      <c r="X3294" s="88" t="n"/>
      <c r="Y3294" s="68" t="n"/>
      <c r="Z3294" s="110" t="n"/>
      <c r="AA3294" s="88" t="n"/>
      <c r="AB3294" s="68" t="n"/>
      <c r="AC3294" s="68" t="n"/>
      <c r="AD3294" s="110" t="n"/>
      <c r="AE3294" s="88" t="n"/>
      <c r="AF3294" s="68" t="n"/>
      <c r="AG3294" s="110" t="n"/>
      <c r="AH3294" s="88" t="n"/>
      <c r="AI3294" s="68" t="n"/>
      <c r="AJ3294" s="110" t="n"/>
      <c r="AK3294" s="88" t="n"/>
    </row>
    <row r="3295">
      <c r="A3295" s="68" t="inlineStr">
        <is>
          <t>10816XXX</t>
        </is>
      </c>
      <c r="B3295" s="246" t="inlineStr">
        <is>
          <t>TAVERNITI JEAN</t>
        </is>
      </c>
      <c r="C3295" s="88" t="n">
        <v>81000</v>
      </c>
      <c r="D3295" s="68" t="n"/>
      <c r="E3295" s="110" t="n"/>
      <c r="F3295" s="88" t="n"/>
      <c r="G3295" s="68" t="n"/>
      <c r="H3295" s="110" t="n"/>
      <c r="I3295" s="88" t="n"/>
      <c r="J3295" s="68" t="n"/>
      <c r="K3295" s="110" t="n"/>
      <c r="L3295" s="219">
        <f>ROUND((Q3295*C3295)/100,0)*100</f>
        <v/>
      </c>
      <c r="M3295" s="219" t="n"/>
      <c r="P3295" s="117" t="n"/>
      <c r="Q3295" s="118" t="n">
        <v>1.05</v>
      </c>
      <c r="R3295" s="88" t="n"/>
      <c r="S3295" s="68" t="n"/>
      <c r="T3295" s="182" t="n"/>
      <c r="U3295" s="88" t="n"/>
      <c r="V3295" s="68" t="n"/>
      <c r="W3295" s="110" t="n"/>
      <c r="X3295" s="88" t="n"/>
      <c r="Y3295" s="68" t="n"/>
      <c r="Z3295" s="110" t="n"/>
      <c r="AA3295" s="88" t="n"/>
      <c r="AB3295" s="68" t="n"/>
      <c r="AC3295" s="68" t="n"/>
      <c r="AD3295" s="110" t="n"/>
      <c r="AE3295" s="88" t="n"/>
      <c r="AF3295" s="68" t="n"/>
      <c r="AG3295" s="110" t="n"/>
      <c r="AH3295" s="88" t="n"/>
      <c r="AI3295" s="68" t="n"/>
      <c r="AJ3295" s="110" t="n"/>
      <c r="AK3295" s="88" t="n"/>
    </row>
    <row r="3296">
      <c r="A3296" s="68" t="inlineStr">
        <is>
          <t>10824XXX</t>
        </is>
      </c>
      <c r="B3296" s="246" t="inlineStr">
        <is>
          <t>TAVERNITI JEAN</t>
        </is>
      </c>
      <c r="C3296" s="88" t="n">
        <v>81000</v>
      </c>
      <c r="D3296" s="68" t="n"/>
      <c r="E3296" s="110" t="n"/>
      <c r="F3296" s="88" t="n"/>
      <c r="G3296" s="68" t="n"/>
      <c r="H3296" s="110" t="n"/>
      <c r="I3296" s="88" t="n"/>
      <c r="J3296" s="68" t="n"/>
      <c r="K3296" s="110" t="n"/>
      <c r="L3296" s="219">
        <f>ROUND((Q3296*C3296)/100,0)*100</f>
        <v/>
      </c>
      <c r="M3296" s="219" t="n"/>
      <c r="P3296" s="117" t="n"/>
      <c r="Q3296" s="118" t="n">
        <v>1.05</v>
      </c>
      <c r="R3296" s="88" t="n"/>
      <c r="S3296" s="68" t="n"/>
      <c r="T3296" s="182" t="n"/>
      <c r="U3296" s="88" t="n"/>
      <c r="V3296" s="68" t="n"/>
      <c r="W3296" s="110" t="n"/>
      <c r="X3296" s="88" t="n"/>
      <c r="Y3296" s="68" t="n"/>
      <c r="Z3296" s="110" t="n"/>
      <c r="AA3296" s="88" t="n"/>
      <c r="AB3296" s="68" t="n"/>
      <c r="AC3296" s="68" t="n"/>
      <c r="AD3296" s="110" t="n"/>
      <c r="AE3296" s="88" t="n"/>
      <c r="AF3296" s="68" t="n"/>
      <c r="AG3296" s="110" t="n"/>
      <c r="AH3296" s="88" t="n"/>
      <c r="AI3296" s="68" t="n"/>
      <c r="AJ3296" s="110" t="n"/>
      <c r="AK3296" s="88" t="n"/>
    </row>
    <row r="3297">
      <c r="A3297" s="68" t="inlineStr">
        <is>
          <t>10838XXX</t>
        </is>
      </c>
      <c r="B3297" s="246" t="inlineStr">
        <is>
          <t>TAVERNITI DESMONTABLE</t>
        </is>
      </c>
      <c r="C3297" s="22" t="n">
        <v>85300</v>
      </c>
      <c r="D3297" s="22" t="n"/>
      <c r="E3297" s="22" t="n"/>
      <c r="F3297" s="22" t="n"/>
      <c r="G3297" s="22" t="n"/>
      <c r="H3297" s="22" t="n"/>
      <c r="I3297" s="219" t="n"/>
      <c r="J3297" s="219" t="n"/>
      <c r="K3297" s="219" t="n"/>
      <c r="L3297" s="219">
        <f>ROUND((Q3297*C3297)/100,0)*100</f>
        <v/>
      </c>
      <c r="M3297" s="219" t="n"/>
      <c r="P3297" s="117" t="n"/>
      <c r="Q3297" s="118" t="n">
        <v>1.05</v>
      </c>
      <c r="R3297" s="117" t="n"/>
      <c r="T3297" s="117" t="n"/>
    </row>
    <row r="3298">
      <c r="A3298" s="128" t="inlineStr">
        <is>
          <t>10852XXX</t>
        </is>
      </c>
      <c r="B3298" s="246" t="inlineStr">
        <is>
          <t>TAVERNITI CORDEROY</t>
        </is>
      </c>
      <c r="C3298" s="22" t="n">
        <v>87600</v>
      </c>
      <c r="D3298" s="219" t="n"/>
      <c r="E3298" s="219" t="n"/>
      <c r="F3298" s="219" t="n"/>
      <c r="G3298" s="219" t="n"/>
      <c r="H3298" s="180" t="n"/>
      <c r="I3298" s="219" t="n"/>
      <c r="J3298" s="219" t="n"/>
      <c r="K3298" s="219" t="n"/>
      <c r="L3298" s="219">
        <f>ROUND((Q3298*C3298)/100,0)*100</f>
        <v/>
      </c>
      <c r="M3298" s="219" t="n"/>
      <c r="P3298" s="117" t="n"/>
      <c r="Q3298" s="118" t="n">
        <v>1.05</v>
      </c>
      <c r="R3298" s="117" t="n"/>
      <c r="T3298" s="117" t="n"/>
    </row>
    <row r="3299">
      <c r="A3299" s="128" t="inlineStr">
        <is>
          <t>10856XXX</t>
        </is>
      </c>
      <c r="B3299" s="246" t="inlineStr">
        <is>
          <t>TAVERNITI JEAN</t>
        </is>
      </c>
      <c r="C3299" s="88" t="n">
        <v>81000</v>
      </c>
      <c r="D3299" s="219" t="n"/>
      <c r="E3299" s="219" t="n"/>
      <c r="F3299" s="219" t="n"/>
      <c r="G3299" s="219" t="n"/>
      <c r="H3299" s="180" t="n"/>
      <c r="I3299" s="219" t="n"/>
      <c r="J3299" s="219" t="n"/>
      <c r="K3299" s="219" t="n"/>
      <c r="L3299" s="219">
        <f>ROUND((Q3299*C3299)/100,0)*100</f>
        <v/>
      </c>
      <c r="M3299" s="219" t="n"/>
      <c r="P3299" s="117" t="n"/>
      <c r="Q3299" s="118" t="n">
        <v>1.05</v>
      </c>
      <c r="R3299" s="117" t="n"/>
      <c r="T3299" s="117" t="n"/>
    </row>
    <row r="3300">
      <c r="A3300" s="128" t="inlineStr">
        <is>
          <t>10862XXX</t>
        </is>
      </c>
      <c r="B3300" s="246" t="inlineStr">
        <is>
          <t>TAVERNITI JEAN</t>
        </is>
      </c>
      <c r="C3300" s="88" t="n">
        <v>81000</v>
      </c>
      <c r="D3300" s="219" t="n"/>
      <c r="E3300" s="219" t="n"/>
      <c r="F3300" s="219" t="n"/>
      <c r="G3300" s="219" t="n"/>
      <c r="H3300" s="180" t="n"/>
      <c r="I3300" s="219" t="n"/>
      <c r="J3300" s="219" t="n"/>
      <c r="K3300" s="219" t="n"/>
      <c r="L3300" s="219">
        <f>ROUND((Q3300*C3300)/100,0)*100</f>
        <v/>
      </c>
      <c r="M3300" s="219" t="n"/>
      <c r="P3300" s="117" t="n"/>
      <c r="Q3300" s="118" t="n">
        <v>1.05</v>
      </c>
      <c r="R3300" s="117" t="n"/>
      <c r="T3300" s="117" t="n"/>
    </row>
    <row r="3301">
      <c r="A3301" s="128" t="inlineStr">
        <is>
          <t>10868536</t>
        </is>
      </c>
      <c r="B3301" s="246" t="inlineStr">
        <is>
          <t>TAVERNITI JEAN</t>
        </is>
      </c>
      <c r="C3301" s="88" t="n">
        <v>81000</v>
      </c>
      <c r="D3301" s="219" t="n"/>
      <c r="E3301" s="219" t="n"/>
      <c r="F3301" s="219" t="n"/>
      <c r="G3301" s="219" t="n"/>
      <c r="H3301" s="180" t="n"/>
      <c r="I3301" s="219" t="n"/>
      <c r="J3301" s="219" t="n"/>
      <c r="K3301" s="219" t="n"/>
      <c r="L3301" s="219">
        <f>ROUND((Q3301*C3301)/100,0)*100</f>
        <v/>
      </c>
      <c r="M3301" s="219" t="n"/>
      <c r="P3301" s="117" t="n"/>
      <c r="Q3301" s="118" t="n">
        <v>1.05</v>
      </c>
      <c r="R3301" s="117" t="n"/>
      <c r="T3301" s="117" t="n"/>
    </row>
    <row r="3302">
      <c r="A3302" s="128" t="inlineStr">
        <is>
          <t>10876204</t>
        </is>
      </c>
      <c r="B3302" s="246" t="inlineStr">
        <is>
          <t>TAVERNITI JEAN</t>
        </is>
      </c>
      <c r="C3302" s="88" t="n">
        <v>81000</v>
      </c>
      <c r="D3302" s="219" t="n"/>
      <c r="E3302" s="219" t="n"/>
      <c r="F3302" s="219" t="n"/>
      <c r="G3302" s="219" t="n"/>
      <c r="H3302" s="180" t="n"/>
      <c r="I3302" s="219" t="n"/>
      <c r="J3302" s="219" t="n"/>
      <c r="K3302" s="219" t="n"/>
      <c r="L3302" s="219">
        <f>ROUND((Q3302*C3302)/100,0)*100</f>
        <v/>
      </c>
      <c r="M3302" s="219" t="n"/>
      <c r="P3302" s="117" t="n"/>
      <c r="Q3302" s="118" t="n">
        <v>1.05</v>
      </c>
      <c r="R3302" s="117" t="n"/>
      <c r="T3302" s="117" t="n"/>
    </row>
    <row r="3303">
      <c r="A3303" s="128" t="inlineStr">
        <is>
          <t>10882XXX</t>
        </is>
      </c>
      <c r="B3303" s="246" t="inlineStr">
        <is>
          <t>TAVERNITI JEAN</t>
        </is>
      </c>
      <c r="C3303" s="88" t="n">
        <v>81000</v>
      </c>
      <c r="D3303" s="219" t="n"/>
      <c r="E3303" s="219" t="n"/>
      <c r="F3303" s="219" t="n"/>
      <c r="G3303" s="219" t="n"/>
      <c r="H3303" s="180" t="n"/>
      <c r="I3303" s="219" t="n"/>
      <c r="J3303" s="219" t="n"/>
      <c r="K3303" s="219" t="n"/>
      <c r="L3303" s="219">
        <f>ROUND((Q3303*C3303)/100,0)*100</f>
        <v/>
      </c>
      <c r="M3303" s="219" t="n"/>
      <c r="P3303" s="117" t="n"/>
      <c r="Q3303" s="118" t="n">
        <v>1.05</v>
      </c>
      <c r="R3303" s="117" t="n"/>
      <c r="T3303" s="117" t="n"/>
    </row>
    <row r="3304">
      <c r="A3304" s="128" t="inlineStr">
        <is>
          <t>10884XXX</t>
        </is>
      </c>
      <c r="B3304" s="246" t="inlineStr">
        <is>
          <t>TAVERNITI JEAN</t>
        </is>
      </c>
      <c r="C3304" s="88" t="n">
        <v>81000</v>
      </c>
      <c r="D3304" s="219" t="n"/>
      <c r="E3304" s="219" t="n"/>
      <c r="F3304" s="219" t="n"/>
      <c r="G3304" s="219" t="n"/>
      <c r="H3304" s="180" t="n"/>
      <c r="I3304" s="219" t="n"/>
      <c r="J3304" s="219" t="n"/>
      <c r="K3304" s="219" t="n"/>
      <c r="L3304" s="219">
        <f>ROUND((Q3304*C3304)/100,0)*100</f>
        <v/>
      </c>
      <c r="M3304" s="219" t="n"/>
      <c r="P3304" s="117" t="n"/>
      <c r="Q3304" s="118" t="n">
        <v>1.05</v>
      </c>
      <c r="R3304" s="117" t="n"/>
      <c r="T3304" s="117" t="n"/>
    </row>
    <row r="3305">
      <c r="A3305" s="128" t="inlineStr">
        <is>
          <t>10885XXX</t>
        </is>
      </c>
      <c r="B3305" s="246" t="inlineStr">
        <is>
          <t>TAVERNITI JEAN</t>
        </is>
      </c>
      <c r="C3305" s="88" t="n">
        <v>81000</v>
      </c>
      <c r="D3305" s="219" t="n"/>
      <c r="E3305" s="219" t="n"/>
      <c r="F3305" s="219" t="n"/>
      <c r="G3305" s="219" t="n"/>
      <c r="H3305" s="180" t="n"/>
      <c r="I3305" s="219" t="n"/>
      <c r="J3305" s="219" t="n"/>
      <c r="K3305" s="219" t="n"/>
      <c r="L3305" s="219">
        <f>ROUND((Q3305*C3305)/100,0)*100</f>
        <v/>
      </c>
      <c r="M3305" s="219" t="n"/>
      <c r="P3305" s="117" t="n"/>
      <c r="Q3305" s="118" t="n">
        <v>1.05</v>
      </c>
      <c r="R3305" s="117" t="n"/>
      <c r="T3305" s="117" t="n"/>
    </row>
    <row r="3306">
      <c r="A3306" s="128" t="inlineStr">
        <is>
          <t>10886XXX</t>
        </is>
      </c>
      <c r="B3306" s="246" t="inlineStr">
        <is>
          <t>TAVERNITI JEAN</t>
        </is>
      </c>
      <c r="C3306" s="88" t="n">
        <v>81000</v>
      </c>
      <c r="D3306" s="219" t="n"/>
      <c r="E3306" s="219" t="n"/>
      <c r="F3306" s="219" t="n"/>
      <c r="G3306" s="219" t="n"/>
      <c r="H3306" s="180" t="n"/>
      <c r="I3306" s="219" t="n"/>
      <c r="J3306" s="219" t="n"/>
      <c r="K3306" s="219" t="n"/>
      <c r="L3306" s="219">
        <f>ROUND((Q3306*C3306)/100,0)*100</f>
        <v/>
      </c>
      <c r="M3306" s="219" t="n"/>
      <c r="P3306" s="117" t="n"/>
      <c r="Q3306" s="118" t="n">
        <v>1.05</v>
      </c>
      <c r="R3306" s="117" t="n"/>
      <c r="T3306" s="117" t="n"/>
    </row>
    <row r="3307">
      <c r="A3307" s="128" t="inlineStr">
        <is>
          <t>10890XXX</t>
        </is>
      </c>
      <c r="B3307" s="246" t="inlineStr">
        <is>
          <t>TAVERNITI JEAN</t>
        </is>
      </c>
      <c r="C3307" s="88" t="n">
        <v>81000</v>
      </c>
      <c r="D3307" s="219" t="n"/>
      <c r="E3307" s="219" t="n"/>
      <c r="F3307" s="219" t="n"/>
      <c r="G3307" s="219" t="n"/>
      <c r="H3307" s="180" t="n"/>
      <c r="I3307" s="219" t="n"/>
      <c r="J3307" s="219" t="n"/>
      <c r="K3307" s="219" t="n"/>
      <c r="L3307" s="219">
        <f>ROUND((Q3307*C3307)/100,0)*100</f>
        <v/>
      </c>
      <c r="M3307" s="219" t="n"/>
      <c r="P3307" s="117" t="n"/>
      <c r="Q3307" s="118" t="n">
        <v>1.05</v>
      </c>
      <c r="R3307" s="117" t="n"/>
      <c r="T3307" s="117" t="n"/>
    </row>
    <row r="3308">
      <c r="A3308" s="134" t="inlineStr">
        <is>
          <t>10900XXX</t>
        </is>
      </c>
      <c r="B3308" s="246" t="inlineStr">
        <is>
          <t>TAVERNITI JEAN</t>
        </is>
      </c>
      <c r="C3308" s="88" t="n">
        <v>81000</v>
      </c>
      <c r="D3308" s="219" t="n"/>
      <c r="E3308" s="219" t="n"/>
      <c r="F3308" s="219" t="n"/>
      <c r="G3308" s="219" t="n"/>
      <c r="H3308" s="180" t="n"/>
      <c r="I3308" s="219" t="n"/>
      <c r="J3308" s="219" t="n"/>
      <c r="K3308" s="219" t="n"/>
      <c r="L3308" s="219">
        <f>ROUND((Q3308*C3308)/100,0)*100</f>
        <v/>
      </c>
      <c r="M3308" s="219" t="n"/>
      <c r="P3308" s="117" t="n"/>
      <c r="Q3308" s="118" t="n">
        <v>1.05</v>
      </c>
      <c r="R3308" s="117" t="n"/>
      <c r="T3308" s="117" t="n"/>
    </row>
    <row r="3309">
      <c r="A3309" s="134" t="inlineStr">
        <is>
          <t>10902XXX</t>
        </is>
      </c>
      <c r="B3309" s="246" t="inlineStr">
        <is>
          <t>TAVERNITI JEAN</t>
        </is>
      </c>
      <c r="C3309" s="88" t="n">
        <v>81000</v>
      </c>
      <c r="D3309" s="219" t="n"/>
      <c r="E3309" s="219" t="n"/>
      <c r="F3309" s="219" t="n"/>
      <c r="G3309" s="219" t="n"/>
      <c r="H3309" s="180" t="n"/>
      <c r="I3309" s="219" t="n"/>
      <c r="J3309" s="219" t="n"/>
      <c r="K3309" s="219" t="n"/>
      <c r="L3309" s="219">
        <f>ROUND((Q3309*C3309)/100,0)*100</f>
        <v/>
      </c>
      <c r="M3309" s="219" t="n"/>
      <c r="P3309" s="117" t="n"/>
      <c r="Q3309" s="118" t="n">
        <v>1.05</v>
      </c>
      <c r="R3309" s="117" t="n"/>
      <c r="T3309" s="117" t="n"/>
    </row>
    <row r="3310">
      <c r="A3310" s="134" t="inlineStr">
        <is>
          <t>10904XXX</t>
        </is>
      </c>
      <c r="B3310" s="246" t="inlineStr">
        <is>
          <t>TAVERNITI JEAN</t>
        </is>
      </c>
      <c r="C3310" s="88" t="n">
        <v>81000</v>
      </c>
      <c r="D3310" s="219" t="n"/>
      <c r="E3310" s="219" t="n"/>
      <c r="F3310" s="219" t="n"/>
      <c r="G3310" s="219" t="n"/>
      <c r="H3310" s="180" t="n"/>
      <c r="I3310" s="219" t="n"/>
      <c r="J3310" s="219" t="n"/>
      <c r="K3310" s="219" t="n"/>
      <c r="L3310" s="219">
        <f>ROUND((Q3310*C3310)/100,0)*100</f>
        <v/>
      </c>
      <c r="M3310" s="219" t="n"/>
      <c r="P3310" s="117" t="n"/>
      <c r="Q3310" s="118" t="n">
        <v>1.05</v>
      </c>
      <c r="R3310" s="117" t="n"/>
      <c r="T3310" s="117" t="n"/>
    </row>
    <row r="3311">
      <c r="A3311" s="134" t="inlineStr">
        <is>
          <t>10906XXX</t>
        </is>
      </c>
      <c r="B3311" s="246" t="inlineStr">
        <is>
          <t>TAVERNITI JEAN</t>
        </is>
      </c>
      <c r="C3311" s="88" t="n">
        <v>81000</v>
      </c>
      <c r="D3311" s="219" t="n"/>
      <c r="E3311" s="219" t="n"/>
      <c r="F3311" s="219" t="n"/>
      <c r="G3311" s="219" t="n"/>
      <c r="H3311" s="180" t="n"/>
      <c r="I3311" s="219" t="n"/>
      <c r="J3311" s="219" t="n"/>
      <c r="K3311" s="219" t="n"/>
      <c r="L3311" s="219">
        <f>ROUND((Q3311*C3311)/100,0)*100</f>
        <v/>
      </c>
      <c r="M3311" s="219" t="n"/>
      <c r="P3311" s="117" t="n"/>
      <c r="Q3311" s="118" t="n">
        <v>1.05</v>
      </c>
      <c r="R3311" s="117" t="n"/>
      <c r="T3311" s="117" t="n"/>
    </row>
    <row r="3312">
      <c r="A3312" s="134" t="inlineStr">
        <is>
          <t>10910XXX</t>
        </is>
      </c>
      <c r="B3312" s="246" t="inlineStr">
        <is>
          <t>TAVERNITI JEAN</t>
        </is>
      </c>
      <c r="C3312" s="88" t="n">
        <v>81000</v>
      </c>
      <c r="D3312" s="219" t="n"/>
      <c r="E3312" s="219" t="n"/>
      <c r="F3312" s="219" t="n"/>
      <c r="G3312" s="219" t="n"/>
      <c r="H3312" s="180" t="n"/>
      <c r="I3312" s="219" t="n"/>
      <c r="J3312" s="219" t="n"/>
      <c r="K3312" s="219" t="n"/>
      <c r="L3312" s="219">
        <f>ROUND((Q3312*C3312)/100,0)*100</f>
        <v/>
      </c>
      <c r="M3312" s="219" t="n"/>
      <c r="P3312" s="117" t="n"/>
      <c r="Q3312" s="118" t="n">
        <v>1.05</v>
      </c>
      <c r="R3312" s="117" t="n"/>
      <c r="T3312" s="117" t="n"/>
    </row>
    <row r="3313">
      <c r="A3313" s="134" t="inlineStr">
        <is>
          <t>10912XXX</t>
        </is>
      </c>
      <c r="B3313" s="246" t="inlineStr">
        <is>
          <t>TAVERNITI JEAN</t>
        </is>
      </c>
      <c r="C3313" s="88" t="n">
        <v>81000</v>
      </c>
      <c r="D3313" s="219" t="n"/>
      <c r="E3313" s="219" t="n"/>
      <c r="F3313" s="219" t="n"/>
      <c r="G3313" s="219" t="n"/>
      <c r="H3313" s="180" t="n"/>
      <c r="I3313" s="219" t="n"/>
      <c r="J3313" s="219" t="n"/>
      <c r="K3313" s="219" t="n"/>
      <c r="L3313" s="219">
        <f>ROUND((Q3313*C3313)/100,0)*100</f>
        <v/>
      </c>
      <c r="M3313" s="219" t="n"/>
      <c r="P3313" s="117" t="n"/>
      <c r="Q3313" s="118" t="n">
        <v>1.05</v>
      </c>
      <c r="R3313" s="117" t="n"/>
      <c r="T3313" s="117" t="n"/>
    </row>
    <row r="3314">
      <c r="A3314" s="128" t="inlineStr">
        <is>
          <t>10916XXX</t>
        </is>
      </c>
      <c r="B3314" s="246" t="inlineStr">
        <is>
          <t>TAVERNITI JEAN</t>
        </is>
      </c>
      <c r="C3314" s="88" t="n">
        <v>81000</v>
      </c>
      <c r="D3314" s="219" t="n"/>
      <c r="E3314" s="219" t="n"/>
      <c r="F3314" s="219" t="n"/>
      <c r="G3314" s="219" t="n"/>
      <c r="H3314" s="180" t="n"/>
      <c r="I3314" s="219" t="n"/>
      <c r="J3314" s="219" t="n"/>
      <c r="K3314" s="219" t="n"/>
      <c r="L3314" s="219">
        <f>ROUND((Q3314*C3314)/100,0)*100</f>
        <v/>
      </c>
      <c r="M3314" s="219" t="n"/>
      <c r="P3314" s="117" t="n"/>
      <c r="Q3314" s="118" t="n">
        <v>1.05</v>
      </c>
      <c r="R3314" s="117" t="n"/>
      <c r="T3314" s="117" t="n"/>
    </row>
    <row r="3315">
      <c r="A3315" s="128" t="inlineStr">
        <is>
          <t>10918XXX</t>
        </is>
      </c>
      <c r="B3315" s="246" t="inlineStr">
        <is>
          <t>TAVERNITI JEAN</t>
        </is>
      </c>
      <c r="C3315" s="88" t="n">
        <v>81000</v>
      </c>
      <c r="D3315" s="219" t="n"/>
      <c r="E3315" s="219" t="n"/>
      <c r="F3315" s="219" t="n"/>
      <c r="G3315" s="219" t="n"/>
      <c r="H3315" s="180" t="n"/>
      <c r="I3315" s="219" t="n"/>
      <c r="J3315" s="219" t="n"/>
      <c r="K3315" s="219" t="n"/>
      <c r="L3315" s="219">
        <f>ROUND((Q3315*C3315)/100,0)*100</f>
        <v/>
      </c>
      <c r="M3315" s="219" t="n"/>
      <c r="P3315" s="117" t="n"/>
      <c r="Q3315" s="118" t="n">
        <v>1.05</v>
      </c>
      <c r="R3315" s="117" t="n"/>
      <c r="T3315" s="117" t="n"/>
    </row>
    <row r="3316">
      <c r="A3316" s="128" t="inlineStr">
        <is>
          <t>10946570</t>
        </is>
      </c>
      <c r="B3316" s="246" t="inlineStr">
        <is>
          <t>TAVERNITI JEAN</t>
        </is>
      </c>
      <c r="C3316" s="88" t="n">
        <v>81000</v>
      </c>
      <c r="D3316" s="183" t="n"/>
      <c r="E3316" s="219" t="n"/>
      <c r="F3316" s="219" t="n"/>
      <c r="G3316" s="219" t="n"/>
      <c r="H3316" s="180" t="n"/>
      <c r="I3316" s="219" t="n"/>
      <c r="J3316" s="219" t="n"/>
      <c r="K3316" s="219" t="n"/>
      <c r="L3316" s="219">
        <f>ROUND((Q3316*C3316)/100,0)*100</f>
        <v/>
      </c>
      <c r="M3316" s="219" t="n"/>
      <c r="P3316" s="117" t="n"/>
      <c r="Q3316" s="118" t="n">
        <v>1.05</v>
      </c>
      <c r="R3316" s="117" t="n"/>
      <c r="T3316" s="117" t="n"/>
    </row>
    <row r="3317">
      <c r="A3317" s="128" t="inlineStr">
        <is>
          <t>10948206</t>
        </is>
      </c>
      <c r="B3317" s="246" t="inlineStr">
        <is>
          <t>TAVERNITI JEAN</t>
        </is>
      </c>
      <c r="C3317" s="88" t="n">
        <v>81000</v>
      </c>
      <c r="D3317" s="183" t="n"/>
      <c r="E3317" s="219" t="n"/>
      <c r="F3317" s="219" t="n"/>
      <c r="G3317" s="219" t="n"/>
      <c r="H3317" s="180" t="n"/>
      <c r="I3317" s="219" t="n"/>
      <c r="J3317" s="219" t="n"/>
      <c r="K3317" s="219" t="n"/>
      <c r="L3317" s="219">
        <f>ROUND((Q3317*C3317)/100,0)*100</f>
        <v/>
      </c>
      <c r="M3317" s="219" t="n"/>
      <c r="P3317" s="117" t="n"/>
      <c r="Q3317" s="118" t="n">
        <v>1.05</v>
      </c>
      <c r="R3317" s="117" t="n"/>
      <c r="T3317" s="117" t="n"/>
    </row>
    <row r="3318">
      <c r="A3318" s="134" t="inlineStr">
        <is>
          <t>10956XXX</t>
        </is>
      </c>
      <c r="B3318" s="246" t="inlineStr">
        <is>
          <t>TAVERNITI JEAN</t>
        </is>
      </c>
      <c r="C3318" s="88" t="n">
        <v>81000</v>
      </c>
      <c r="D3318" s="219" t="n"/>
      <c r="E3318" s="219" t="n"/>
      <c r="F3318" s="219" t="n"/>
      <c r="G3318" s="219" t="n"/>
      <c r="H3318" s="180" t="n"/>
      <c r="I3318" s="219" t="n"/>
      <c r="J3318" s="219" t="n"/>
      <c r="K3318" s="219" t="n"/>
      <c r="L3318" s="219">
        <f>ROUND((Q3318*C3318)/100,0)*100</f>
        <v/>
      </c>
      <c r="M3318" s="219" t="n"/>
      <c r="P3318" s="117" t="n"/>
      <c r="Q3318" s="118" t="n">
        <v>1.05</v>
      </c>
      <c r="R3318" s="117" t="n"/>
      <c r="T3318" s="117" t="n"/>
    </row>
    <row r="3319">
      <c r="A3319" s="134" t="inlineStr">
        <is>
          <t>10958XXX</t>
        </is>
      </c>
      <c r="B3319" s="246" t="inlineStr">
        <is>
          <t>TAVERNITI JEAN</t>
        </is>
      </c>
      <c r="C3319" s="88" t="n">
        <v>81000</v>
      </c>
      <c r="D3319" s="219" t="n"/>
      <c r="E3319" s="219" t="n"/>
      <c r="F3319" s="219" t="n"/>
      <c r="G3319" s="219" t="n"/>
      <c r="H3319" s="180" t="n"/>
      <c r="I3319" s="219" t="n"/>
      <c r="J3319" s="219" t="n"/>
      <c r="K3319" s="219" t="n"/>
      <c r="L3319" s="219">
        <f>ROUND((Q3319*C3319)/100,0)*100</f>
        <v/>
      </c>
      <c r="M3319" s="219" t="n"/>
      <c r="P3319" s="117" t="n"/>
      <c r="Q3319" s="118" t="n">
        <v>1.05</v>
      </c>
      <c r="R3319" s="117" t="n"/>
      <c r="T3319" s="117" t="n"/>
    </row>
    <row r="3320">
      <c r="A3320" s="134" t="inlineStr">
        <is>
          <t>10978XXX</t>
        </is>
      </c>
      <c r="B3320" s="135" t="inlineStr">
        <is>
          <t>TAVERNITI JEAN</t>
        </is>
      </c>
      <c r="C3320" s="88" t="n">
        <v>81000</v>
      </c>
      <c r="D3320" s="170" t="n"/>
      <c r="E3320" s="170" t="n"/>
      <c r="F3320" s="170" t="n"/>
      <c r="G3320" s="170" t="n"/>
      <c r="H3320" s="105" t="n"/>
      <c r="I3320" s="170" t="n"/>
      <c r="J3320" s="170" t="n"/>
      <c r="K3320" s="170" t="n"/>
      <c r="L3320" s="170">
        <f>ROUND((Q3320*C3320)/100,0)*100</f>
        <v/>
      </c>
      <c r="M3320" s="170" t="n"/>
      <c r="N3320" s="30" t="n"/>
      <c r="O3320" s="30" t="n"/>
      <c r="P3320" s="170" t="n"/>
      <c r="Q3320" s="118" t="n">
        <v>1.05</v>
      </c>
      <c r="R3320" s="170" t="n"/>
      <c r="S3320" s="30" t="n"/>
      <c r="T3320" s="170" t="n"/>
      <c r="U3320" s="30" t="n"/>
      <c r="V3320" s="30" t="n"/>
      <c r="W3320" s="30" t="n"/>
      <c r="X3320" s="30" t="n"/>
      <c r="Y3320" s="30" t="n"/>
      <c r="Z3320" s="30" t="n"/>
      <c r="AA3320" s="30" t="n"/>
      <c r="AB3320" s="30" t="n"/>
      <c r="AC3320" s="30" t="n"/>
      <c r="AD3320" s="30" t="n"/>
      <c r="AE3320" s="30" t="n"/>
      <c r="AF3320" s="30" t="n"/>
      <c r="AG3320" s="30" t="n"/>
      <c r="AH3320" s="30" t="n"/>
      <c r="AI3320" s="30" t="n"/>
      <c r="AJ3320" s="30" t="n"/>
      <c r="AK3320" s="30" t="n"/>
      <c r="AL3320" s="30" t="n"/>
      <c r="AM3320" s="30" t="n"/>
      <c r="AN3320" s="30" t="n"/>
    </row>
    <row r="3321">
      <c r="A3321" s="128" t="inlineStr">
        <is>
          <t>10980XXX</t>
        </is>
      </c>
      <c r="B3321" s="246" t="inlineStr">
        <is>
          <t>TAVERNITI JEAN</t>
        </is>
      </c>
      <c r="C3321" s="88" t="n">
        <v>81000</v>
      </c>
      <c r="D3321" s="183" t="n"/>
      <c r="E3321" s="219" t="n"/>
      <c r="F3321" s="219" t="n"/>
      <c r="G3321" s="219" t="n"/>
      <c r="H3321" s="180" t="n"/>
      <c r="I3321" s="219" t="n"/>
      <c r="J3321" s="219" t="n"/>
      <c r="K3321" s="219" t="n"/>
      <c r="L3321" s="219">
        <f>ROUND((Q3321*C3321)/100,0)*100</f>
        <v/>
      </c>
      <c r="M3321" s="219" t="n"/>
      <c r="P3321" s="117" t="n"/>
      <c r="Q3321" s="118" t="n">
        <v>1.05</v>
      </c>
      <c r="R3321" s="117" t="n"/>
      <c r="T3321" s="117" t="n"/>
    </row>
    <row r="3322">
      <c r="A3322" s="128" t="inlineStr">
        <is>
          <t>10982XXX</t>
        </is>
      </c>
      <c r="B3322" s="246" t="inlineStr">
        <is>
          <t>TAVERNITI JEAN</t>
        </is>
      </c>
      <c r="C3322" s="88" t="n">
        <v>81000</v>
      </c>
      <c r="D3322" s="183" t="n"/>
      <c r="E3322" s="219" t="n"/>
      <c r="F3322" s="219" t="n"/>
      <c r="G3322" s="219" t="n"/>
      <c r="H3322" s="180" t="n"/>
      <c r="I3322" s="219" t="n"/>
      <c r="J3322" s="219" t="n"/>
      <c r="K3322" s="219" t="n"/>
      <c r="L3322" s="219">
        <f>ROUND((Q3322*C3322)/100,0)*100</f>
        <v/>
      </c>
      <c r="M3322" s="219" t="n"/>
      <c r="P3322" s="117" t="n"/>
      <c r="Q3322" s="118" t="n">
        <v>1.05</v>
      </c>
      <c r="R3322" s="117" t="n"/>
      <c r="T3322" s="117" t="n"/>
    </row>
    <row r="3323">
      <c r="A3323" s="134" t="inlineStr">
        <is>
          <t>10992XXX</t>
        </is>
      </c>
      <c r="B3323" s="246" t="inlineStr">
        <is>
          <t>TAVERNITI JEAN</t>
        </is>
      </c>
      <c r="C3323" s="88" t="n">
        <v>81000</v>
      </c>
      <c r="D3323" s="219" t="n"/>
      <c r="E3323" s="219" t="n"/>
      <c r="F3323" s="219" t="n"/>
      <c r="G3323" s="219" t="n"/>
      <c r="H3323" s="180" t="n"/>
      <c r="I3323" s="219" t="n"/>
      <c r="J3323" s="219" t="n"/>
      <c r="K3323" s="219" t="n"/>
      <c r="L3323" s="219">
        <f>ROUND((Q3323*C3323)/100,0)*100</f>
        <v/>
      </c>
      <c r="M3323" s="219" t="n"/>
      <c r="P3323" s="117" t="n"/>
      <c r="Q3323" s="118" t="n">
        <v>1.05</v>
      </c>
      <c r="R3323" s="117" t="n"/>
      <c r="T3323" s="117" t="n"/>
    </row>
    <row r="3324">
      <c r="A3324" s="128" t="inlineStr">
        <is>
          <t>11006XXX</t>
        </is>
      </c>
      <c r="B3324" s="246" t="inlineStr">
        <is>
          <t>TAVERNITI JEAN</t>
        </is>
      </c>
      <c r="C3324" s="88" t="n">
        <v>81000</v>
      </c>
      <c r="D3324" s="219" t="n"/>
      <c r="E3324" s="219" t="n"/>
      <c r="F3324" s="219" t="n"/>
      <c r="G3324" s="219" t="n"/>
      <c r="H3324" s="180" t="n"/>
      <c r="I3324" s="219" t="n"/>
      <c r="J3324" s="219" t="n"/>
      <c r="K3324" s="219" t="n"/>
      <c r="L3324" s="219">
        <f>ROUND((Q3324*C3324)/100,0)*100</f>
        <v/>
      </c>
      <c r="M3324" s="219" t="n"/>
      <c r="P3324" s="117" t="n"/>
      <c r="Q3324" s="118" t="n">
        <v>1.05</v>
      </c>
      <c r="R3324" s="117" t="n"/>
      <c r="T3324" s="117" t="n"/>
    </row>
    <row r="3325">
      <c r="A3325" s="128" t="inlineStr">
        <is>
          <t>11008XXX</t>
        </is>
      </c>
      <c r="B3325" s="246" t="inlineStr">
        <is>
          <t>TAVERNITI JEAN</t>
        </is>
      </c>
      <c r="C3325" s="88" t="n">
        <v>81000</v>
      </c>
      <c r="D3325" s="219" t="n"/>
      <c r="E3325" s="219" t="n"/>
      <c r="F3325" s="219" t="n"/>
      <c r="G3325" s="219" t="n"/>
      <c r="H3325" s="180" t="n"/>
      <c r="I3325" s="219" t="n"/>
      <c r="J3325" s="219" t="n"/>
      <c r="K3325" s="219" t="n"/>
      <c r="L3325" s="219">
        <f>ROUND((Q3325*C3325)/100,0)*100</f>
        <v/>
      </c>
      <c r="M3325" s="219" t="n"/>
      <c r="P3325" s="117" t="n"/>
      <c r="Q3325" s="118" t="n">
        <v>1.05</v>
      </c>
      <c r="R3325" s="117" t="n"/>
      <c r="T3325" s="117" t="n"/>
    </row>
    <row r="3326">
      <c r="A3326" s="68" t="inlineStr">
        <is>
          <t>11012XXX</t>
        </is>
      </c>
      <c r="B3326" s="246" t="inlineStr">
        <is>
          <t>TAVERNITI JEAN</t>
        </is>
      </c>
      <c r="C3326" s="88" t="n">
        <v>81000</v>
      </c>
      <c r="D3326" s="22" t="n"/>
      <c r="E3326" s="22" t="n"/>
      <c r="F3326" s="22" t="n"/>
      <c r="G3326" s="22" t="n"/>
      <c r="H3326" s="22" t="n"/>
      <c r="I3326" s="22" t="n"/>
      <c r="J3326" s="219" t="n"/>
      <c r="K3326" s="219" t="n"/>
      <c r="L3326" s="219">
        <f>ROUND((Q3326*C3326)/100,0)*100</f>
        <v/>
      </c>
      <c r="M3326" s="219" t="n"/>
      <c r="P3326" s="117" t="n"/>
      <c r="Q3326" s="118" t="n">
        <v>1.05</v>
      </c>
      <c r="R3326" s="117" t="n"/>
      <c r="T3326" s="117" t="n"/>
    </row>
    <row r="3327">
      <c r="A3327" s="128" t="inlineStr">
        <is>
          <t>11016XXX</t>
        </is>
      </c>
      <c r="B3327" s="246" t="inlineStr">
        <is>
          <t>TAVERNITI JEAN</t>
        </is>
      </c>
      <c r="C3327" s="88" t="n">
        <v>81000</v>
      </c>
      <c r="D3327" s="219" t="n"/>
      <c r="E3327" s="219" t="n"/>
      <c r="F3327" s="219" t="n"/>
      <c r="G3327" s="219" t="n"/>
      <c r="H3327" s="180" t="n"/>
      <c r="I3327" s="219" t="n"/>
      <c r="J3327" s="219" t="n"/>
      <c r="K3327" s="219" t="n"/>
      <c r="L3327" s="219">
        <f>ROUND((Q3327*C3327)/100,0)*100</f>
        <v/>
      </c>
      <c r="M3327" s="219" t="n"/>
      <c r="P3327" s="117" t="n"/>
      <c r="Q3327" s="118" t="n">
        <v>1.05</v>
      </c>
      <c r="R3327" s="117" t="n"/>
      <c r="T3327" s="117" t="n"/>
    </row>
    <row r="3328">
      <c r="A3328" s="128" t="inlineStr">
        <is>
          <t>11028XXX</t>
        </is>
      </c>
      <c r="B3328" s="246" t="inlineStr">
        <is>
          <t>TAVERNITI JEAN</t>
        </is>
      </c>
      <c r="C3328" s="88" t="n">
        <v>81000</v>
      </c>
      <c r="D3328" s="219" t="n"/>
      <c r="E3328" s="219" t="n"/>
      <c r="F3328" s="219" t="n"/>
      <c r="G3328" s="219" t="n"/>
      <c r="H3328" s="180" t="n"/>
      <c r="I3328" s="219" t="n"/>
      <c r="J3328" s="219" t="n"/>
      <c r="K3328" s="219" t="n"/>
      <c r="L3328" s="219">
        <f>ROUND((Q3328*C3328)/100,0)*100</f>
        <v/>
      </c>
      <c r="M3328" s="219" t="n"/>
      <c r="P3328" s="117" t="n"/>
      <c r="Q3328" s="118" t="n">
        <v>1.05</v>
      </c>
      <c r="R3328" s="117" t="n"/>
      <c r="T3328" s="117" t="n"/>
    </row>
    <row r="3329">
      <c r="A3329" s="134" t="inlineStr">
        <is>
          <t>11032XXX</t>
        </is>
      </c>
      <c r="B3329" s="246" t="inlineStr">
        <is>
          <t>TAVERNITI JEAN</t>
        </is>
      </c>
      <c r="C3329" s="88" t="n">
        <v>81000</v>
      </c>
      <c r="D3329" s="219" t="n"/>
      <c r="E3329" s="219" t="n"/>
      <c r="F3329" s="219" t="n"/>
      <c r="G3329" s="219" t="n"/>
      <c r="H3329" s="180" t="n"/>
      <c r="I3329" s="219" t="n"/>
      <c r="J3329" s="219" t="n"/>
      <c r="K3329" s="219" t="n"/>
      <c r="L3329" s="219">
        <f>ROUND((Q3329*C3329)/100,0)*100</f>
        <v/>
      </c>
      <c r="M3329" s="219" t="n"/>
      <c r="P3329" s="117" t="n"/>
      <c r="Q3329" s="118" t="n">
        <v>1.05</v>
      </c>
      <c r="R3329" s="117" t="n"/>
      <c r="T3329" s="117" t="n"/>
    </row>
    <row r="3330">
      <c r="A3330" s="134" t="inlineStr">
        <is>
          <t>11040XXX</t>
        </is>
      </c>
      <c r="B3330" s="246" t="inlineStr">
        <is>
          <t>TAVERNITI JEAN</t>
        </is>
      </c>
      <c r="C3330" s="88" t="n">
        <v>81000</v>
      </c>
      <c r="D3330" s="219" t="n"/>
      <c r="E3330" s="219" t="n"/>
      <c r="F3330" s="219" t="n"/>
      <c r="G3330" s="219" t="n"/>
      <c r="H3330" s="180" t="n"/>
      <c r="I3330" s="219" t="n"/>
      <c r="J3330" s="219" t="n"/>
      <c r="K3330" s="219" t="n"/>
      <c r="L3330" s="219">
        <f>ROUND((Q3330*C3330)/100,0)*100</f>
        <v/>
      </c>
      <c r="M3330" s="219" t="n"/>
      <c r="P3330" s="117" t="n"/>
      <c r="Q3330" s="118" t="n">
        <v>1.05</v>
      </c>
      <c r="R3330" s="117" t="n"/>
      <c r="T3330" s="117" t="n"/>
    </row>
    <row r="3331">
      <c r="A3331" s="134" t="inlineStr">
        <is>
          <t>11048XXX</t>
        </is>
      </c>
      <c r="B3331" s="246" t="inlineStr">
        <is>
          <t>TAVERNITI JEAN</t>
        </is>
      </c>
      <c r="C3331" s="88" t="n">
        <v>81000</v>
      </c>
      <c r="D3331" s="219" t="n"/>
      <c r="E3331" s="219" t="n"/>
      <c r="F3331" s="219" t="n"/>
      <c r="G3331" s="219" t="n"/>
      <c r="H3331" s="180" t="n"/>
      <c r="I3331" s="219" t="n"/>
      <c r="J3331" s="219" t="n"/>
      <c r="K3331" s="219" t="n"/>
      <c r="L3331" s="219">
        <f>ROUND((Q3331*C3331)/100,0)*100</f>
        <v/>
      </c>
      <c r="M3331" s="219" t="n"/>
      <c r="P3331" s="117" t="n"/>
      <c r="Q3331" s="118" t="n">
        <v>1.05</v>
      </c>
      <c r="R3331" s="117" t="n"/>
      <c r="T3331" s="117" t="n"/>
    </row>
    <row r="3332">
      <c r="A3332" s="134" t="inlineStr">
        <is>
          <t>11052XXX</t>
        </is>
      </c>
      <c r="B3332" s="246" t="inlineStr">
        <is>
          <t>TAVERNITI JEAN</t>
        </is>
      </c>
      <c r="C3332" s="88" t="n">
        <v>81000</v>
      </c>
      <c r="D3332" s="219" t="n"/>
      <c r="E3332" s="219" t="n"/>
      <c r="F3332" s="219" t="n"/>
      <c r="G3332" s="219" t="n"/>
      <c r="H3332" s="180" t="n"/>
      <c r="I3332" s="219" t="n"/>
      <c r="J3332" s="219" t="n"/>
      <c r="K3332" s="219" t="n"/>
      <c r="L3332" s="219">
        <f>ROUND((Q3332*C3332)/100,0)*100</f>
        <v/>
      </c>
      <c r="M3332" s="219" t="n"/>
      <c r="P3332" s="117" t="n"/>
      <c r="Q3332" s="118" t="n">
        <v>1.05</v>
      </c>
      <c r="R3332" s="117" t="n"/>
      <c r="T3332" s="117" t="n"/>
    </row>
    <row r="3333">
      <c r="A3333" s="134" t="inlineStr">
        <is>
          <t>11056XXX</t>
        </is>
      </c>
      <c r="B3333" s="246" t="inlineStr">
        <is>
          <t>TAVERNITI JEAN</t>
        </is>
      </c>
      <c r="C3333" s="88" t="n">
        <v>81000</v>
      </c>
      <c r="D3333" s="219" t="n"/>
      <c r="E3333" s="219" t="n"/>
      <c r="F3333" s="219" t="n"/>
      <c r="G3333" s="219" t="n"/>
      <c r="H3333" s="180" t="n"/>
      <c r="I3333" s="219" t="n"/>
      <c r="J3333" s="219" t="n"/>
      <c r="K3333" s="219" t="n"/>
      <c r="L3333" s="219">
        <f>ROUND((Q3333*C3333)/100,0)*100</f>
        <v/>
      </c>
      <c r="M3333" s="219" t="n"/>
      <c r="P3333" s="117" t="n"/>
      <c r="Q3333" s="118" t="n">
        <v>1.05</v>
      </c>
      <c r="R3333" s="117" t="n"/>
      <c r="T3333" s="117" t="n"/>
    </row>
    <row r="3334">
      <c r="A3334" s="134" t="inlineStr">
        <is>
          <t>11058XXX</t>
        </is>
      </c>
      <c r="B3334" s="246" t="inlineStr">
        <is>
          <t>TAVERNITI JEAN</t>
        </is>
      </c>
      <c r="C3334" s="88" t="n">
        <v>81000</v>
      </c>
      <c r="D3334" s="219" t="n"/>
      <c r="E3334" s="219" t="n"/>
      <c r="F3334" s="219" t="n"/>
      <c r="G3334" s="219" t="n"/>
      <c r="H3334" s="180" t="n"/>
      <c r="I3334" s="219" t="n"/>
      <c r="J3334" s="219" t="n"/>
      <c r="K3334" s="219" t="n"/>
      <c r="L3334" s="219">
        <f>ROUND((Q3334*C3334)/100,0)*100</f>
        <v/>
      </c>
      <c r="M3334" s="219" t="n"/>
      <c r="P3334" s="117" t="n"/>
      <c r="Q3334" s="118" t="n">
        <v>1.05</v>
      </c>
      <c r="R3334" s="117" t="n"/>
      <c r="T3334" s="117" t="n"/>
    </row>
    <row r="3335">
      <c r="A3335" s="89" t="inlineStr">
        <is>
          <t>11060XXX</t>
        </is>
      </c>
      <c r="B3335" s="135" t="inlineStr">
        <is>
          <t>TAVERNITI JEAN</t>
        </is>
      </c>
      <c r="C3335" s="88" t="n">
        <v>81000</v>
      </c>
      <c r="D3335" s="170" t="n"/>
      <c r="E3335" s="170" t="n"/>
      <c r="F3335" s="170" t="n"/>
      <c r="G3335" s="170" t="n"/>
      <c r="H3335" s="227" t="n"/>
      <c r="I3335" s="170" t="n"/>
      <c r="J3335" s="170" t="n"/>
      <c r="K3335" s="170" t="n"/>
      <c r="L3335" s="170">
        <f>ROUND((Q3335*C3335)/100,0)*100</f>
        <v/>
      </c>
      <c r="M3335" s="170" t="n"/>
      <c r="N3335" s="30" t="n"/>
      <c r="O3335" s="30" t="n"/>
      <c r="P3335" s="170" t="n"/>
      <c r="Q3335" s="118" t="n">
        <v>1.05</v>
      </c>
      <c r="R3335" s="170" t="n"/>
      <c r="S3335" s="30" t="n"/>
      <c r="T3335" s="170" t="n"/>
      <c r="U3335" s="30" t="n"/>
      <c r="V3335" s="30" t="n"/>
      <c r="W3335" s="30" t="n"/>
      <c r="X3335" s="30" t="n"/>
      <c r="Y3335" s="30" t="n"/>
      <c r="Z3335" s="30" t="n"/>
      <c r="AA3335" s="30" t="n"/>
      <c r="AB3335" s="30" t="n"/>
      <c r="AC3335" s="30" t="n"/>
      <c r="AD3335" s="30" t="n"/>
      <c r="AE3335" s="30" t="n"/>
      <c r="AF3335" s="30" t="n"/>
      <c r="AG3335" s="30" t="n"/>
      <c r="AH3335" s="30" t="n"/>
      <c r="AI3335" s="30" t="n"/>
      <c r="AJ3335" s="30" t="n"/>
      <c r="AK3335" s="30" t="n"/>
      <c r="AL3335" s="30" t="n"/>
      <c r="AM3335" s="30" t="n"/>
      <c r="AN3335" s="30" t="n"/>
    </row>
    <row r="3336">
      <c r="A3336" s="89" t="inlineStr">
        <is>
          <t>11080XXX</t>
        </is>
      </c>
      <c r="B3336" s="135" t="inlineStr">
        <is>
          <t>TAVERNITI JEAN</t>
        </is>
      </c>
      <c r="C3336" s="88" t="n">
        <v>89000</v>
      </c>
      <c r="D3336" s="170" t="n"/>
      <c r="E3336" s="170" t="n"/>
      <c r="F3336" s="170" t="n"/>
      <c r="G3336" s="170" t="n"/>
      <c r="H3336" s="227" t="n"/>
      <c r="I3336" s="170" t="n"/>
      <c r="J3336" s="170" t="n"/>
      <c r="K3336" s="170" t="n"/>
      <c r="L3336" s="170">
        <f>ROUND((Q3336*C3336)/100,0)*100</f>
        <v/>
      </c>
      <c r="M3336" s="170" t="n"/>
      <c r="N3336" s="30" t="n"/>
      <c r="O3336" s="30" t="n"/>
      <c r="P3336" s="170" t="n"/>
      <c r="Q3336" s="118" t="n">
        <v>1.05</v>
      </c>
      <c r="R3336" s="170" t="n"/>
      <c r="S3336" s="30" t="n"/>
      <c r="T3336" s="170" t="n"/>
      <c r="U3336" s="30" t="n"/>
      <c r="V3336" s="30" t="n"/>
      <c r="W3336" s="30" t="n"/>
      <c r="X3336" s="30" t="n"/>
      <c r="Y3336" s="30" t="n"/>
      <c r="Z3336" s="30" t="n"/>
      <c r="AA3336" s="30" t="n"/>
      <c r="AB3336" s="30" t="n"/>
      <c r="AC3336" s="30" t="n"/>
      <c r="AD3336" s="30" t="n"/>
      <c r="AE3336" s="30" t="n"/>
      <c r="AF3336" s="30" t="n"/>
      <c r="AG3336" s="30" t="n"/>
      <c r="AH3336" s="30" t="n"/>
      <c r="AI3336" s="30" t="n"/>
      <c r="AJ3336" s="30" t="n"/>
      <c r="AK3336" s="30" t="n"/>
      <c r="AL3336" s="30" t="n"/>
      <c r="AM3336" s="30" t="n"/>
      <c r="AN3336" s="30" t="n"/>
    </row>
    <row r="3337">
      <c r="A3337" s="134" t="inlineStr">
        <is>
          <t>11082XXX</t>
        </is>
      </c>
      <c r="B3337" s="246" t="inlineStr">
        <is>
          <t>TAVERNITI JEAN</t>
        </is>
      </c>
      <c r="C3337" s="88" t="n">
        <v>81000</v>
      </c>
      <c r="D3337" s="219" t="n"/>
      <c r="E3337" s="219" t="n"/>
      <c r="F3337" s="219" t="n"/>
      <c r="G3337" s="219" t="n"/>
      <c r="H3337" s="180" t="n"/>
      <c r="I3337" s="219" t="n"/>
      <c r="J3337" s="219" t="n"/>
      <c r="K3337" s="219" t="n"/>
      <c r="L3337" s="219">
        <f>ROUND((Q3337*C3337)/100,0)*100</f>
        <v/>
      </c>
      <c r="M3337" s="219" t="n"/>
      <c r="P3337" s="117" t="n"/>
      <c r="Q3337" s="118" t="n">
        <v>1.05</v>
      </c>
      <c r="R3337" s="117" t="n"/>
      <c r="T3337" s="117" t="n"/>
    </row>
    <row r="3338">
      <c r="A3338" s="89" t="inlineStr">
        <is>
          <t>11092XXX</t>
        </is>
      </c>
      <c r="B3338" s="135" t="inlineStr">
        <is>
          <t>TAVERNITI JEAN</t>
        </is>
      </c>
      <c r="C3338" s="88" t="n">
        <v>81000</v>
      </c>
      <c r="D3338" s="170" t="n"/>
      <c r="E3338" s="170" t="n"/>
      <c r="F3338" s="170" t="n"/>
      <c r="G3338" s="170" t="n"/>
      <c r="H3338" s="227" t="n"/>
      <c r="I3338" s="170" t="n"/>
      <c r="J3338" s="170" t="n"/>
      <c r="K3338" s="170" t="n"/>
      <c r="L3338" s="170">
        <f>ROUND((Q3338*C3338)/100,0)*100</f>
        <v/>
      </c>
      <c r="M3338" s="170" t="n"/>
      <c r="N3338" s="30" t="n"/>
      <c r="O3338" s="30" t="n"/>
      <c r="P3338" s="170" t="n"/>
      <c r="Q3338" s="118" t="n">
        <v>1.05</v>
      </c>
      <c r="R3338" s="170" t="n"/>
      <c r="S3338" s="30" t="n"/>
      <c r="T3338" s="170" t="n"/>
      <c r="U3338" s="30" t="n"/>
      <c r="V3338" s="30" t="n"/>
      <c r="W3338" s="30" t="n"/>
      <c r="X3338" s="30" t="n"/>
      <c r="Y3338" s="30" t="n"/>
      <c r="Z3338" s="30" t="n"/>
      <c r="AA3338" s="30" t="n"/>
      <c r="AB3338" s="30" t="n"/>
      <c r="AC3338" s="30" t="n"/>
      <c r="AD3338" s="30" t="n"/>
      <c r="AE3338" s="30" t="n"/>
      <c r="AF3338" s="30" t="n"/>
      <c r="AG3338" s="30" t="n"/>
      <c r="AH3338" s="30" t="n"/>
      <c r="AI3338" s="30" t="n"/>
      <c r="AJ3338" s="30" t="n"/>
      <c r="AK3338" s="30" t="n"/>
      <c r="AL3338" s="30" t="n"/>
      <c r="AM3338" s="30" t="n"/>
      <c r="AN3338" s="30" t="n"/>
    </row>
    <row r="3339">
      <c r="A3339" s="134" t="inlineStr">
        <is>
          <t>11094XXX</t>
        </is>
      </c>
      <c r="B3339" s="246" t="inlineStr">
        <is>
          <t>TAVERNITI JEAN</t>
        </is>
      </c>
      <c r="C3339" s="88" t="n">
        <v>81000</v>
      </c>
      <c r="D3339" s="219" t="n"/>
      <c r="E3339" s="219" t="n"/>
      <c r="F3339" s="219" t="n"/>
      <c r="G3339" s="219" t="n"/>
      <c r="H3339" s="180" t="n"/>
      <c r="I3339" s="219" t="n"/>
      <c r="J3339" s="219" t="n"/>
      <c r="K3339" s="219" t="n"/>
      <c r="L3339" s="219">
        <f>ROUND((Q3339*C3339)/100,0)*100</f>
        <v/>
      </c>
      <c r="M3339" s="219" t="n"/>
      <c r="P3339" s="117" t="n"/>
      <c r="Q3339" s="118" t="n">
        <v>1.05</v>
      </c>
      <c r="R3339" s="117" t="n"/>
      <c r="T3339" s="117" t="n"/>
    </row>
    <row r="3340">
      <c r="A3340" s="134" t="inlineStr">
        <is>
          <t>11096XXX</t>
        </is>
      </c>
      <c r="B3340" s="246" t="inlineStr">
        <is>
          <t>TAVERNITI JEAN</t>
        </is>
      </c>
      <c r="C3340" s="88" t="n">
        <v>81000</v>
      </c>
      <c r="D3340" s="219" t="n"/>
      <c r="E3340" s="219" t="n"/>
      <c r="F3340" s="219" t="n"/>
      <c r="G3340" s="219" t="n"/>
      <c r="H3340" s="180" t="n"/>
      <c r="I3340" s="219" t="n"/>
      <c r="J3340" s="219" t="n"/>
      <c r="K3340" s="219" t="n"/>
      <c r="L3340" s="219">
        <f>ROUND((Q3340*C3340)/100,0)*100</f>
        <v/>
      </c>
      <c r="M3340" s="219" t="n"/>
      <c r="P3340" s="117" t="n"/>
      <c r="Q3340" s="118" t="n">
        <v>1.05</v>
      </c>
      <c r="R3340" s="117" t="n"/>
      <c r="T3340" s="117" t="n"/>
    </row>
    <row r="3341">
      <c r="A3341" s="128" t="inlineStr">
        <is>
          <t>11100XXX</t>
        </is>
      </c>
      <c r="B3341" s="246" t="inlineStr">
        <is>
          <t>TAVERNITI GABARDINA</t>
        </is>
      </c>
      <c r="C3341" s="88" t="n">
        <v>89900</v>
      </c>
      <c r="D3341" s="219" t="n"/>
      <c r="E3341" s="219" t="n"/>
      <c r="F3341" s="219" t="n"/>
      <c r="G3341" s="219" t="n"/>
      <c r="H3341" s="180" t="n"/>
      <c r="I3341" s="219" t="n"/>
      <c r="J3341" s="219" t="n"/>
      <c r="K3341" s="219" t="n"/>
      <c r="L3341" s="219">
        <f>ROUND((Q3341*C3341)/100,0)*100</f>
        <v/>
      </c>
      <c r="M3341" s="219" t="n"/>
      <c r="P3341" s="117" t="n"/>
      <c r="Q3341" s="118" t="n">
        <v>1.05</v>
      </c>
      <c r="R3341" s="117" t="n"/>
      <c r="T3341" s="117" t="n"/>
    </row>
    <row r="3342">
      <c r="A3342" s="128" t="inlineStr">
        <is>
          <t>11106XXX</t>
        </is>
      </c>
      <c r="B3342" s="246" t="inlineStr">
        <is>
          <t>TAVERNITI GABARDINA</t>
        </is>
      </c>
      <c r="C3342" s="88" t="n">
        <v>81000</v>
      </c>
      <c r="D3342" s="219" t="n"/>
      <c r="E3342" s="219" t="n"/>
      <c r="F3342" s="219" t="n"/>
      <c r="G3342" s="219" t="n"/>
      <c r="H3342" s="180" t="n"/>
      <c r="I3342" s="219" t="n"/>
      <c r="J3342" s="219" t="n"/>
      <c r="K3342" s="219" t="n"/>
      <c r="L3342" s="219">
        <f>ROUND((Q3342*C3342)/100,0)*100</f>
        <v/>
      </c>
      <c r="M3342" s="219" t="n"/>
      <c r="P3342" s="117" t="n"/>
      <c r="Q3342" s="118" t="n">
        <v>1.05</v>
      </c>
      <c r="R3342" s="117" t="n"/>
      <c r="T3342" s="117" t="n"/>
    </row>
    <row r="3343">
      <c r="A3343" s="128" t="inlineStr">
        <is>
          <t>11112XXX</t>
        </is>
      </c>
      <c r="B3343" s="246" t="inlineStr">
        <is>
          <t>TAVERNITI GABARDINA</t>
        </is>
      </c>
      <c r="C3343" s="88" t="n">
        <v>81000</v>
      </c>
      <c r="D3343" s="219" t="n"/>
      <c r="E3343" s="219" t="n"/>
      <c r="F3343" s="219" t="n"/>
      <c r="G3343" s="219" t="n"/>
      <c r="H3343" s="180" t="n"/>
      <c r="I3343" s="219" t="n"/>
      <c r="J3343" s="219" t="n"/>
      <c r="K3343" s="219" t="n"/>
      <c r="L3343" s="219">
        <f>ROUND((Q3343*C3343)/100,0)*100</f>
        <v/>
      </c>
      <c r="M3343" s="219" t="n"/>
      <c r="P3343" s="117" t="n"/>
      <c r="Q3343" s="118" t="n">
        <v>1.05</v>
      </c>
      <c r="R3343" s="117" t="n"/>
      <c r="T3343" s="117" t="n"/>
    </row>
    <row r="3344">
      <c r="A3344" s="128" t="inlineStr">
        <is>
          <t>11122XXX</t>
        </is>
      </c>
      <c r="B3344" s="246" t="inlineStr">
        <is>
          <t>TAVERNITI JEAN</t>
        </is>
      </c>
      <c r="C3344" s="88" t="n">
        <v>81000</v>
      </c>
      <c r="D3344" s="219" t="n"/>
      <c r="E3344" s="219" t="n"/>
      <c r="F3344" s="219" t="n"/>
      <c r="G3344" s="219" t="n"/>
      <c r="H3344" s="180" t="n"/>
      <c r="I3344" s="219" t="n"/>
      <c r="J3344" s="219" t="n"/>
      <c r="K3344" s="219" t="n"/>
      <c r="L3344" s="219">
        <f>ROUND((Q3344*C3344)/100,0)*100</f>
        <v/>
      </c>
      <c r="M3344" s="219" t="n"/>
      <c r="P3344" s="117" t="n"/>
      <c r="Q3344" s="118" t="n">
        <v>1.05</v>
      </c>
      <c r="R3344" s="117" t="n"/>
      <c r="T3344" s="117" t="n"/>
      <c r="AB3344" s="30" t="n"/>
    </row>
    <row r="3345">
      <c r="A3345" s="128" t="inlineStr">
        <is>
          <t>11128XXX</t>
        </is>
      </c>
      <c r="B3345" s="246" t="inlineStr">
        <is>
          <t>TAVERNITI JEAN</t>
        </is>
      </c>
      <c r="C3345" s="88" t="n">
        <v>81000</v>
      </c>
      <c r="D3345" s="219" t="n"/>
      <c r="E3345" s="219" t="n"/>
      <c r="F3345" s="219" t="n"/>
      <c r="G3345" s="219" t="n"/>
      <c r="H3345" s="180" t="n"/>
      <c r="I3345" s="219" t="n"/>
      <c r="J3345" s="219" t="n"/>
      <c r="K3345" s="219" t="n"/>
      <c r="L3345" s="219">
        <f>ROUND((Q3345*C3345)/100,0)*100</f>
        <v/>
      </c>
      <c r="M3345" s="219" t="n"/>
      <c r="P3345" s="117" t="n"/>
      <c r="Q3345" s="118" t="n">
        <v>1.05</v>
      </c>
      <c r="R3345" s="117" t="n"/>
      <c r="T3345" s="117" t="n"/>
    </row>
    <row r="3346">
      <c r="A3346" s="134" t="inlineStr">
        <is>
          <t>11140XXX</t>
        </is>
      </c>
      <c r="B3346" s="246" t="inlineStr">
        <is>
          <t>TAVERNITI JEAN</t>
        </is>
      </c>
      <c r="C3346" s="88" t="n">
        <v>81000</v>
      </c>
      <c r="D3346" s="170" t="n"/>
      <c r="E3346" s="170" t="n"/>
      <c r="F3346" s="170" t="n"/>
      <c r="G3346" s="170" t="n"/>
      <c r="H3346" s="227" t="n"/>
      <c r="I3346" s="170" t="n"/>
      <c r="J3346" s="170" t="n"/>
      <c r="K3346" s="170" t="n"/>
      <c r="L3346" s="170">
        <f>ROUND((Q3346*C3346)/100,0)*100</f>
        <v/>
      </c>
      <c r="M3346" s="170" t="n"/>
      <c r="N3346" s="30" t="n"/>
      <c r="O3346" s="30" t="n"/>
      <c r="P3346" s="170" t="n"/>
      <c r="Q3346" s="118" t="n">
        <v>1.05</v>
      </c>
      <c r="R3346" s="170" t="n"/>
      <c r="S3346" s="30" t="n"/>
      <c r="T3346" s="170" t="n"/>
      <c r="U3346" s="30" t="n"/>
      <c r="V3346" s="30" t="n"/>
      <c r="W3346" s="30" t="n"/>
      <c r="X3346" s="30" t="n"/>
      <c r="Y3346" s="30" t="n"/>
      <c r="Z3346" s="30" t="n"/>
      <c r="AA3346" s="30" t="n"/>
      <c r="AC3346" s="30" t="n"/>
      <c r="AD3346" s="30" t="n"/>
      <c r="AE3346" s="30" t="n"/>
      <c r="AF3346" s="30" t="n"/>
      <c r="AG3346" s="30" t="n"/>
      <c r="AH3346" s="30" t="n"/>
      <c r="AI3346" s="30" t="n"/>
      <c r="AJ3346" s="30" t="n"/>
      <c r="AK3346" s="30" t="n"/>
      <c r="AL3346" s="30" t="n"/>
      <c r="AM3346" s="30" t="n"/>
      <c r="AN3346" s="30" t="n"/>
    </row>
    <row r="3347">
      <c r="A3347" s="128" t="inlineStr">
        <is>
          <t>11144XXX</t>
        </is>
      </c>
      <c r="B3347" s="246" t="inlineStr">
        <is>
          <t>TAVERNITI GABARDINA</t>
        </is>
      </c>
      <c r="C3347" s="88" t="n">
        <v>81000</v>
      </c>
      <c r="D3347" s="219" t="n"/>
      <c r="E3347" s="219" t="n"/>
      <c r="F3347" s="219" t="n"/>
      <c r="G3347" s="219" t="n"/>
      <c r="H3347" s="180" t="n"/>
      <c r="I3347" s="219" t="n"/>
      <c r="J3347" s="219" t="n"/>
      <c r="K3347" s="219" t="n"/>
      <c r="L3347" s="219">
        <f>ROUND((Q3347*C3347)/100,0)*100</f>
        <v/>
      </c>
      <c r="M3347" s="219" t="n"/>
      <c r="P3347" s="117" t="n"/>
      <c r="Q3347" s="118" t="n">
        <v>1.05</v>
      </c>
      <c r="R3347" s="117" t="n"/>
      <c r="T3347" s="117" t="n"/>
    </row>
    <row r="3348">
      <c r="A3348" s="128" t="inlineStr">
        <is>
          <t>11148XXX</t>
        </is>
      </c>
      <c r="B3348" s="246" t="inlineStr">
        <is>
          <t>TAVERNITI GABARDINA</t>
        </is>
      </c>
      <c r="C3348" s="88" t="n">
        <v>81000</v>
      </c>
      <c r="D3348" s="219" t="n"/>
      <c r="E3348" s="219" t="n"/>
      <c r="F3348" s="219" t="n"/>
      <c r="G3348" s="219" t="n"/>
      <c r="H3348" s="180" t="n"/>
      <c r="I3348" s="219" t="n"/>
      <c r="J3348" s="219" t="n"/>
      <c r="K3348" s="219" t="n"/>
      <c r="L3348" s="219">
        <f>ROUND((Q3348*C3348)/100,0)*100</f>
        <v/>
      </c>
      <c r="M3348" s="219" t="n"/>
      <c r="P3348" s="117" t="n"/>
      <c r="Q3348" s="118" t="n">
        <v>1.05</v>
      </c>
      <c r="R3348" s="117" t="n"/>
      <c r="T3348" s="117" t="n"/>
    </row>
    <row r="3349">
      <c r="A3349" s="128" t="inlineStr">
        <is>
          <t>11156XXX</t>
        </is>
      </c>
      <c r="B3349" s="246" t="inlineStr">
        <is>
          <t>TAVERNITI JEAN</t>
        </is>
      </c>
      <c r="C3349" s="88" t="n">
        <v>81000</v>
      </c>
      <c r="D3349" s="219" t="n"/>
      <c r="E3349" s="219" t="n"/>
      <c r="F3349" s="219" t="n"/>
      <c r="G3349" s="219" t="n"/>
      <c r="H3349" s="180" t="n"/>
      <c r="I3349" s="219" t="n"/>
      <c r="J3349" s="219" t="n"/>
      <c r="K3349" s="219" t="n"/>
      <c r="L3349" s="219">
        <f>ROUND((Q3349*C3349)/100,0)*100</f>
        <v/>
      </c>
      <c r="M3349" s="219" t="n"/>
      <c r="P3349" s="117" t="n"/>
      <c r="Q3349" s="118" t="n">
        <v>1.05</v>
      </c>
      <c r="R3349" s="117" t="n"/>
      <c r="T3349" s="117" t="n"/>
    </row>
    <row r="3350">
      <c r="A3350" s="128" t="inlineStr">
        <is>
          <t>11190XXX</t>
        </is>
      </c>
      <c r="B3350" s="246" t="inlineStr">
        <is>
          <t>TAVERNITI JEAN</t>
        </is>
      </c>
      <c r="C3350" s="88" t="n">
        <v>81000</v>
      </c>
      <c r="D3350" s="219" t="n"/>
      <c r="E3350" s="219" t="n"/>
      <c r="F3350" s="219" t="n"/>
      <c r="G3350" s="219" t="n"/>
      <c r="H3350" s="180" t="n"/>
      <c r="I3350" s="219" t="n"/>
      <c r="J3350" s="219" t="n"/>
      <c r="K3350" s="219" t="n"/>
      <c r="L3350" s="219">
        <f>ROUND((Q3350*C3350)/100,0)*100</f>
        <v/>
      </c>
      <c r="M3350" s="219" t="n"/>
      <c r="P3350" s="117" t="n"/>
      <c r="Q3350" s="118" t="n">
        <v>1.05</v>
      </c>
      <c r="R3350" s="117" t="n"/>
      <c r="T3350" s="117" t="n"/>
    </row>
    <row r="3351">
      <c r="A3351" s="128" t="inlineStr">
        <is>
          <t>11194XXX</t>
        </is>
      </c>
      <c r="B3351" s="246" t="inlineStr">
        <is>
          <t>TAVERNITI JEAN</t>
        </is>
      </c>
      <c r="C3351" s="88" t="n">
        <v>81000</v>
      </c>
      <c r="D3351" s="219" t="n"/>
      <c r="E3351" s="219" t="n"/>
      <c r="F3351" s="219" t="n"/>
      <c r="G3351" s="219" t="n"/>
      <c r="H3351" s="180" t="n"/>
      <c r="I3351" s="219" t="n"/>
      <c r="J3351" s="219" t="n"/>
      <c r="K3351" s="219" t="n"/>
      <c r="L3351" s="219">
        <f>ROUND((Q3351*C3351)/100,0)*100</f>
        <v/>
      </c>
      <c r="M3351" s="219" t="n"/>
      <c r="P3351" s="117" t="n"/>
      <c r="Q3351" s="118" t="n">
        <v>1.05</v>
      </c>
      <c r="R3351" s="117" t="n"/>
      <c r="T3351" s="117" t="n"/>
    </row>
    <row r="3352">
      <c r="A3352" s="128" t="inlineStr">
        <is>
          <t>11214XXX</t>
        </is>
      </c>
      <c r="B3352" s="246" t="inlineStr">
        <is>
          <t>TAVERNITI JEAN</t>
        </is>
      </c>
      <c r="C3352" s="88" t="n">
        <v>81000</v>
      </c>
      <c r="D3352" s="219" t="n"/>
      <c r="E3352" s="219" t="n"/>
      <c r="F3352" s="219" t="n"/>
      <c r="G3352" s="219" t="n"/>
      <c r="H3352" s="180" t="n"/>
      <c r="I3352" s="219" t="n"/>
      <c r="J3352" s="219" t="n"/>
      <c r="K3352" s="219" t="n"/>
      <c r="L3352" s="219">
        <f>ROUND((Q3352*C3352)/100,0)*100</f>
        <v/>
      </c>
      <c r="M3352" s="219" t="n"/>
      <c r="P3352" s="117" t="n"/>
      <c r="Q3352" s="118" t="n">
        <v>1.05</v>
      </c>
      <c r="R3352" s="117" t="n"/>
      <c r="T3352" s="117" t="n"/>
    </row>
    <row r="3353">
      <c r="A3353" s="128" t="inlineStr">
        <is>
          <t>11216XXX</t>
        </is>
      </c>
      <c r="B3353" s="246" t="inlineStr">
        <is>
          <t>TAVERNITI JEAN</t>
        </is>
      </c>
      <c r="C3353" s="88" t="n">
        <v>81000</v>
      </c>
      <c r="D3353" s="219" t="n"/>
      <c r="E3353" s="219" t="n"/>
      <c r="F3353" s="219" t="n"/>
      <c r="G3353" s="219" t="n"/>
      <c r="H3353" s="180" t="n"/>
      <c r="I3353" s="219" t="n"/>
      <c r="J3353" s="219" t="n"/>
      <c r="K3353" s="219" t="n"/>
      <c r="L3353" s="219">
        <f>ROUND((Q3353*C3353)/100,0)*100</f>
        <v/>
      </c>
      <c r="M3353" s="219" t="n"/>
      <c r="P3353" s="117" t="n"/>
      <c r="Q3353" s="118" t="n">
        <v>1.05</v>
      </c>
      <c r="R3353" s="117" t="n"/>
      <c r="T3353" s="117" t="n"/>
    </row>
    <row r="3354">
      <c r="A3354" s="128" t="inlineStr">
        <is>
          <t>11220XXX</t>
        </is>
      </c>
      <c r="B3354" s="246" t="inlineStr">
        <is>
          <t>TAVERNITI JEAN</t>
        </is>
      </c>
      <c r="C3354" s="88" t="n">
        <v>102400</v>
      </c>
      <c r="D3354" s="219" t="n"/>
      <c r="E3354" s="219" t="n"/>
      <c r="F3354" s="219" t="n"/>
      <c r="G3354" s="219" t="n"/>
      <c r="H3354" s="180" t="n"/>
      <c r="I3354" s="219" t="n"/>
      <c r="J3354" s="219" t="n"/>
      <c r="K3354" s="219" t="n"/>
      <c r="L3354" s="219">
        <f>ROUND((Q3354*C3354)/100,0)*100</f>
        <v/>
      </c>
      <c r="M3354" s="219" t="n"/>
      <c r="P3354" s="117" t="n"/>
      <c r="Q3354" s="118" t="n">
        <v>1.05</v>
      </c>
      <c r="R3354" s="117" t="n"/>
      <c r="T3354" s="117" t="n"/>
    </row>
    <row r="3355">
      <c r="A3355" s="128" t="inlineStr">
        <is>
          <t>11228XXX</t>
        </is>
      </c>
      <c r="B3355" s="246" t="inlineStr">
        <is>
          <t>TAVERNITI JEAN</t>
        </is>
      </c>
      <c r="C3355" s="88" t="n">
        <v>81000</v>
      </c>
      <c r="D3355" s="219" t="n"/>
      <c r="E3355" s="219" t="n"/>
      <c r="F3355" s="219" t="n"/>
      <c r="G3355" s="219" t="n"/>
      <c r="H3355" s="180" t="n"/>
      <c r="I3355" s="219" t="n"/>
      <c r="J3355" s="219" t="n"/>
      <c r="K3355" s="219" t="n"/>
      <c r="L3355" s="219">
        <f>ROUND((Q3355*C3355)/100,0)*100</f>
        <v/>
      </c>
      <c r="M3355" s="219" t="n"/>
      <c r="P3355" s="117" t="n"/>
      <c r="Q3355" s="118" t="n">
        <v>1.05</v>
      </c>
      <c r="R3355" s="117" t="n"/>
      <c r="T3355" s="117" t="n"/>
      <c r="AB3355" s="30" t="n"/>
    </row>
    <row r="3356">
      <c r="A3356" s="128" t="inlineStr">
        <is>
          <t>11232XXX</t>
        </is>
      </c>
      <c r="B3356" s="246" t="inlineStr">
        <is>
          <t>TAVERNITI GABARDINA</t>
        </is>
      </c>
      <c r="C3356" s="88" t="n">
        <v>81000</v>
      </c>
      <c r="D3356" s="219" t="n"/>
      <c r="E3356" s="219" t="n"/>
      <c r="F3356" s="219" t="n"/>
      <c r="G3356" s="219" t="n"/>
      <c r="H3356" s="180" t="n"/>
      <c r="I3356" s="219" t="n"/>
      <c r="J3356" s="219" t="n"/>
      <c r="K3356" s="219" t="n"/>
      <c r="L3356" s="219">
        <f>ROUND((Q3356*C3356)/100,0)*100</f>
        <v/>
      </c>
      <c r="M3356" s="219" t="n"/>
      <c r="P3356" s="117" t="n"/>
      <c r="Q3356" s="118" t="n">
        <v>1.05</v>
      </c>
      <c r="R3356" s="117" t="n"/>
      <c r="T3356" s="117" t="n"/>
    </row>
    <row r="3357">
      <c r="A3357" s="89" t="inlineStr">
        <is>
          <t>11242XXX</t>
        </is>
      </c>
      <c r="B3357" s="135" t="inlineStr">
        <is>
          <t>TAVERNITI JEAN</t>
        </is>
      </c>
      <c r="C3357" s="88" t="n">
        <v>81000</v>
      </c>
      <c r="D3357" s="170" t="n"/>
      <c r="E3357" s="170" t="n"/>
      <c r="F3357" s="170" t="n"/>
      <c r="G3357" s="170" t="n"/>
      <c r="H3357" s="227" t="n"/>
      <c r="I3357" s="170" t="n"/>
      <c r="J3357" s="170" t="n"/>
      <c r="K3357" s="170" t="n"/>
      <c r="L3357" s="170">
        <f>ROUND((Q3357*C3357)/100,0)*100</f>
        <v/>
      </c>
      <c r="M3357" s="170" t="n"/>
      <c r="N3357" s="30" t="n"/>
      <c r="O3357" s="30" t="n"/>
      <c r="P3357" s="170" t="n"/>
      <c r="Q3357" s="118" t="n">
        <v>1.05</v>
      </c>
      <c r="R3357" s="170" t="n"/>
      <c r="S3357" s="30" t="n"/>
      <c r="T3357" s="170" t="n"/>
      <c r="U3357" s="30" t="n"/>
      <c r="V3357" s="30" t="n"/>
      <c r="W3357" s="30" t="n"/>
      <c r="X3357" s="30" t="n"/>
      <c r="Y3357" s="30" t="n"/>
      <c r="Z3357" s="30" t="n"/>
      <c r="AA3357" s="30" t="n"/>
      <c r="AC3357" s="30" t="n"/>
      <c r="AD3357" s="30" t="n"/>
      <c r="AE3357" s="30" t="n"/>
      <c r="AF3357" s="30" t="n"/>
      <c r="AG3357" s="30" t="n"/>
      <c r="AH3357" s="30" t="n"/>
      <c r="AI3357" s="30" t="n"/>
      <c r="AJ3357" s="30" t="n"/>
      <c r="AK3357" s="30" t="n"/>
      <c r="AL3357" s="30" t="n"/>
      <c r="AM3357" s="30" t="n"/>
      <c r="AN3357" s="30" t="n"/>
    </row>
    <row r="3358">
      <c r="A3358" s="134" t="inlineStr">
        <is>
          <t>11244XXX</t>
        </is>
      </c>
      <c r="B3358" s="135" t="inlineStr">
        <is>
          <t>TAVERNITI JEAN</t>
        </is>
      </c>
      <c r="C3358" s="88" t="n">
        <v>81000</v>
      </c>
      <c r="D3358" s="219" t="n"/>
      <c r="E3358" s="219" t="n"/>
      <c r="F3358" s="219" t="n"/>
      <c r="G3358" s="219" t="n"/>
      <c r="H3358" s="180" t="n"/>
      <c r="I3358" s="219" t="n"/>
      <c r="J3358" s="219" t="n"/>
      <c r="K3358" s="219" t="n"/>
      <c r="L3358" s="219">
        <f>ROUND((Q3358*C3358)/100,0)*100</f>
        <v/>
      </c>
      <c r="M3358" s="219" t="n"/>
      <c r="P3358" s="117" t="n"/>
      <c r="Q3358" s="118" t="n">
        <v>1.05</v>
      </c>
      <c r="R3358" s="117" t="n"/>
      <c r="T3358" s="117" t="n"/>
      <c r="AB3358" s="30" t="n"/>
    </row>
    <row r="3359">
      <c r="A3359" s="128" t="inlineStr">
        <is>
          <t>11246XXX</t>
        </is>
      </c>
      <c r="B3359" s="135" t="inlineStr">
        <is>
          <t>TAVERNITI JEAN</t>
        </is>
      </c>
      <c r="C3359" s="88" t="n">
        <v>81000</v>
      </c>
      <c r="D3359" s="219" t="n"/>
      <c r="E3359" s="219" t="n"/>
      <c r="F3359" s="219" t="n"/>
      <c r="G3359" s="219" t="n"/>
      <c r="H3359" s="180" t="n"/>
      <c r="I3359" s="219" t="n"/>
      <c r="J3359" s="219" t="n"/>
      <c r="K3359" s="219" t="n"/>
      <c r="L3359" s="219">
        <f>ROUND((Q3359*C3359)/100,0)*100</f>
        <v/>
      </c>
      <c r="M3359" s="219" t="n"/>
      <c r="P3359" s="117" t="n"/>
      <c r="Q3359" s="118" t="n">
        <v>1.05</v>
      </c>
      <c r="R3359" s="117" t="n"/>
      <c r="T3359" s="117" t="n"/>
    </row>
    <row r="3360">
      <c r="A3360" s="134" t="inlineStr">
        <is>
          <t>11254XXX</t>
        </is>
      </c>
      <c r="B3360" s="135" t="inlineStr">
        <is>
          <t>TAVERNITI JEAN</t>
        </is>
      </c>
      <c r="C3360" s="88" t="n">
        <v>81000</v>
      </c>
      <c r="D3360" s="170" t="n"/>
      <c r="E3360" s="170" t="n"/>
      <c r="F3360" s="170" t="n"/>
      <c r="G3360" s="170" t="n"/>
      <c r="H3360" s="227" t="n"/>
      <c r="I3360" s="170" t="n"/>
      <c r="J3360" s="170" t="n"/>
      <c r="K3360" s="170" t="n"/>
      <c r="L3360" s="170">
        <f>ROUND((Q3360*C3360)/100,0)*100</f>
        <v/>
      </c>
      <c r="M3360" s="170" t="n"/>
      <c r="N3360" s="30" t="n"/>
      <c r="O3360" s="30" t="n"/>
      <c r="P3360" s="170" t="n"/>
      <c r="Q3360" s="118" t="n">
        <v>1.05</v>
      </c>
      <c r="R3360" s="170" t="n"/>
      <c r="S3360" s="30" t="n"/>
      <c r="T3360" s="170" t="n"/>
      <c r="U3360" s="30" t="n"/>
      <c r="V3360" s="30" t="n"/>
      <c r="W3360" s="30" t="n"/>
      <c r="X3360" s="30" t="n"/>
      <c r="Y3360" s="30" t="n"/>
      <c r="Z3360" s="30" t="n"/>
      <c r="AA3360" s="30" t="n"/>
      <c r="AB3360" s="30" t="n"/>
      <c r="AC3360" s="30" t="n"/>
      <c r="AD3360" s="30" t="n"/>
      <c r="AE3360" s="30" t="n"/>
      <c r="AF3360" s="30" t="n"/>
      <c r="AG3360" s="30" t="n"/>
      <c r="AH3360" s="30" t="n"/>
      <c r="AI3360" s="30" t="n"/>
      <c r="AJ3360" s="30" t="n"/>
      <c r="AK3360" s="30" t="n"/>
      <c r="AL3360" s="30" t="n"/>
      <c r="AM3360" s="30" t="n"/>
      <c r="AN3360" s="30" t="n"/>
    </row>
    <row r="3361">
      <c r="A3361" s="128" t="inlineStr">
        <is>
          <t>11258XXX</t>
        </is>
      </c>
      <c r="B3361" s="246" t="inlineStr">
        <is>
          <t>TAVERNITI JEAN</t>
        </is>
      </c>
      <c r="C3361" s="88" t="n">
        <v>81000</v>
      </c>
      <c r="D3361" s="219" t="n"/>
      <c r="E3361" s="219" t="n"/>
      <c r="F3361" s="219" t="n"/>
      <c r="G3361" s="219" t="n"/>
      <c r="H3361" s="180" t="n"/>
      <c r="I3361" s="219" t="n"/>
      <c r="J3361" s="219" t="n"/>
      <c r="K3361" s="219" t="n"/>
      <c r="L3361" s="219">
        <f>ROUND((Q3361*C3361)/100,0)*100</f>
        <v/>
      </c>
      <c r="M3361" s="219" t="n"/>
      <c r="P3361" s="117" t="n"/>
      <c r="Q3361" s="118" t="n">
        <v>1.05</v>
      </c>
      <c r="R3361" s="117" t="n"/>
      <c r="T3361" s="117" t="n"/>
    </row>
    <row r="3362">
      <c r="A3362" s="134" t="inlineStr">
        <is>
          <t>11262XXX</t>
        </is>
      </c>
      <c r="B3362" s="135" t="inlineStr">
        <is>
          <t>TAVERNITI JEAN</t>
        </is>
      </c>
      <c r="C3362" s="88" t="n">
        <v>81000</v>
      </c>
      <c r="D3362" s="170" t="n"/>
      <c r="E3362" s="170" t="n"/>
      <c r="F3362" s="170" t="n"/>
      <c r="G3362" s="170" t="n"/>
      <c r="H3362" s="227" t="n"/>
      <c r="I3362" s="170" t="n"/>
      <c r="J3362" s="170" t="n"/>
      <c r="K3362" s="170" t="n"/>
      <c r="L3362" s="170">
        <f>ROUND((Q3362*C3362)/100,0)*100</f>
        <v/>
      </c>
      <c r="M3362" s="170" t="n"/>
      <c r="N3362" s="30" t="n"/>
      <c r="O3362" s="30" t="n"/>
      <c r="P3362" s="170" t="n"/>
      <c r="Q3362" s="118" t="n">
        <v>1.05</v>
      </c>
      <c r="R3362" s="170" t="n"/>
      <c r="S3362" s="30" t="n"/>
      <c r="T3362" s="170" t="n"/>
      <c r="U3362" s="30" t="n"/>
      <c r="V3362" s="30" t="n"/>
      <c r="W3362" s="30" t="n"/>
      <c r="X3362" s="30" t="n"/>
      <c r="Y3362" s="30" t="n"/>
      <c r="Z3362" s="30" t="n"/>
      <c r="AA3362" s="30" t="n"/>
      <c r="AB3362" s="30" t="n"/>
      <c r="AC3362" s="30" t="n"/>
      <c r="AD3362" s="30" t="n"/>
      <c r="AE3362" s="30" t="n"/>
      <c r="AF3362" s="30" t="n"/>
      <c r="AG3362" s="30" t="n"/>
      <c r="AH3362" s="30" t="n"/>
      <c r="AI3362" s="30" t="n"/>
      <c r="AJ3362" s="30" t="n"/>
      <c r="AK3362" s="30" t="n"/>
      <c r="AL3362" s="30" t="n"/>
      <c r="AM3362" s="30" t="n"/>
      <c r="AN3362" s="30" t="n"/>
    </row>
    <row r="3363">
      <c r="A3363" s="128" t="inlineStr">
        <is>
          <t>11264XXX</t>
        </is>
      </c>
      <c r="B3363" s="246" t="inlineStr">
        <is>
          <t>TAVERNITI JEAN</t>
        </is>
      </c>
      <c r="C3363" s="88" t="n">
        <v>81000</v>
      </c>
      <c r="D3363" s="219" t="n"/>
      <c r="E3363" s="219" t="n"/>
      <c r="F3363" s="219" t="n"/>
      <c r="G3363" s="219" t="n"/>
      <c r="H3363" s="180" t="n"/>
      <c r="I3363" s="219" t="n"/>
      <c r="J3363" s="219" t="n"/>
      <c r="K3363" s="219" t="n"/>
      <c r="L3363" s="219">
        <f>ROUND((Q3363*C3363)/100,0)*100</f>
        <v/>
      </c>
      <c r="M3363" s="219" t="n"/>
      <c r="P3363" s="117" t="n"/>
      <c r="Q3363" s="118" t="n">
        <v>1.05</v>
      </c>
      <c r="R3363" s="117" t="n"/>
      <c r="T3363" s="117" t="n"/>
      <c r="AB3363" s="30" t="n"/>
    </row>
    <row r="3364">
      <c r="A3364" s="134" t="inlineStr">
        <is>
          <t>11268XXX</t>
        </is>
      </c>
      <c r="B3364" s="135" t="inlineStr">
        <is>
          <t>TAVERNITI JEAN</t>
        </is>
      </c>
      <c r="C3364" s="88" t="n">
        <v>81000</v>
      </c>
      <c r="D3364" s="170" t="n"/>
      <c r="E3364" s="170" t="n"/>
      <c r="F3364" s="170" t="n"/>
      <c r="G3364" s="170" t="n"/>
      <c r="H3364" s="227" t="n"/>
      <c r="I3364" s="170" t="n"/>
      <c r="J3364" s="170" t="n"/>
      <c r="K3364" s="170" t="n"/>
      <c r="L3364" s="170">
        <f>ROUND((Q3364*C3364)/100,0)*100</f>
        <v/>
      </c>
      <c r="M3364" s="170" t="n"/>
      <c r="N3364" s="30" t="n"/>
      <c r="O3364" s="30" t="n"/>
      <c r="P3364" s="170" t="n"/>
      <c r="Q3364" s="118" t="n">
        <v>1.05</v>
      </c>
      <c r="R3364" s="170" t="n"/>
      <c r="S3364" s="30" t="n"/>
      <c r="T3364" s="170" t="n"/>
      <c r="U3364" s="30" t="n"/>
      <c r="V3364" s="30" t="n"/>
      <c r="W3364" s="30" t="n"/>
      <c r="X3364" s="30" t="n"/>
      <c r="Y3364" s="30" t="n"/>
      <c r="Z3364" s="30" t="n"/>
      <c r="AA3364" s="30" t="n"/>
      <c r="AB3364" s="30" t="n"/>
      <c r="AC3364" s="30" t="n"/>
      <c r="AD3364" s="30" t="n"/>
      <c r="AE3364" s="30" t="n"/>
      <c r="AF3364" s="30" t="n"/>
      <c r="AG3364" s="30" t="n"/>
      <c r="AH3364" s="30" t="n"/>
      <c r="AI3364" s="30" t="n"/>
      <c r="AJ3364" s="30" t="n"/>
      <c r="AK3364" s="30" t="n"/>
      <c r="AL3364" s="30" t="n"/>
      <c r="AM3364" s="30" t="n"/>
      <c r="AN3364" s="30" t="n"/>
    </row>
    <row r="3365">
      <c r="A3365" s="134" t="inlineStr">
        <is>
          <t>11270XXX</t>
        </is>
      </c>
      <c r="B3365" s="135" t="inlineStr">
        <is>
          <t>TAVERNITI JEAN</t>
        </is>
      </c>
      <c r="C3365" s="88" t="n">
        <v>81000</v>
      </c>
      <c r="D3365" s="170" t="n"/>
      <c r="E3365" s="170" t="n"/>
      <c r="F3365" s="170" t="n"/>
      <c r="G3365" s="170" t="n"/>
      <c r="H3365" s="227" t="n"/>
      <c r="I3365" s="170" t="n"/>
      <c r="J3365" s="170" t="n"/>
      <c r="K3365" s="170" t="n"/>
      <c r="L3365" s="170">
        <f>ROUND((Q3365*C3365)/100,0)*100</f>
        <v/>
      </c>
      <c r="M3365" s="170" t="n"/>
      <c r="N3365" s="30" t="n"/>
      <c r="O3365" s="30" t="n"/>
      <c r="P3365" s="170" t="n"/>
      <c r="Q3365" s="118" t="n">
        <v>1.05</v>
      </c>
      <c r="R3365" s="170" t="n"/>
      <c r="S3365" s="30" t="n"/>
      <c r="T3365" s="170" t="n"/>
      <c r="U3365" s="30" t="n"/>
      <c r="V3365" s="30" t="n"/>
      <c r="W3365" s="30" t="n"/>
      <c r="X3365" s="30" t="n"/>
      <c r="Y3365" s="30" t="n"/>
      <c r="Z3365" s="30" t="n"/>
      <c r="AA3365" s="30" t="n"/>
      <c r="AC3365" s="30" t="n"/>
      <c r="AD3365" s="30" t="n"/>
      <c r="AE3365" s="30" t="n"/>
      <c r="AF3365" s="30" t="n"/>
      <c r="AG3365" s="30" t="n"/>
      <c r="AH3365" s="30" t="n"/>
      <c r="AI3365" s="30" t="n"/>
      <c r="AJ3365" s="30" t="n"/>
      <c r="AK3365" s="30" t="n"/>
      <c r="AL3365" s="30" t="n"/>
      <c r="AM3365" s="30" t="n"/>
      <c r="AN3365" s="30" t="n"/>
    </row>
    <row r="3366">
      <c r="A3366" s="89" t="inlineStr">
        <is>
          <t>11274XXX</t>
        </is>
      </c>
      <c r="B3366" s="135" t="inlineStr">
        <is>
          <t>TAVERNITI JEAN</t>
        </is>
      </c>
      <c r="C3366" s="88" t="n">
        <v>81000</v>
      </c>
      <c r="D3366" s="170" t="n"/>
      <c r="E3366" s="170" t="n"/>
      <c r="F3366" s="170" t="n"/>
      <c r="G3366" s="170" t="n"/>
      <c r="H3366" s="227" t="n"/>
      <c r="I3366" s="170" t="n"/>
      <c r="J3366" s="170" t="n"/>
      <c r="K3366" s="170" t="n"/>
      <c r="L3366" s="170">
        <f>ROUND((Q3366*C3366)/100,0)*100</f>
        <v/>
      </c>
      <c r="M3366" s="170" t="n"/>
      <c r="N3366" s="30" t="n"/>
      <c r="O3366" s="30" t="n"/>
      <c r="P3366" s="170" t="n"/>
      <c r="Q3366" s="118" t="n">
        <v>1.05</v>
      </c>
      <c r="R3366" s="170" t="n"/>
      <c r="S3366" s="30" t="n"/>
      <c r="T3366" s="170" t="n"/>
      <c r="U3366" s="30" t="n"/>
      <c r="V3366" s="30" t="n"/>
      <c r="W3366" s="30" t="n"/>
      <c r="X3366" s="30" t="n"/>
      <c r="Y3366" s="30" t="n"/>
      <c r="Z3366" s="30" t="n"/>
      <c r="AA3366" s="30" t="n"/>
      <c r="AC3366" s="30" t="n"/>
      <c r="AD3366" s="30" t="n"/>
      <c r="AE3366" s="30" t="n"/>
      <c r="AF3366" s="30" t="n"/>
      <c r="AG3366" s="30" t="n"/>
      <c r="AH3366" s="30" t="n"/>
      <c r="AI3366" s="30" t="n"/>
      <c r="AJ3366" s="30" t="n"/>
      <c r="AK3366" s="30" t="n"/>
      <c r="AL3366" s="30" t="n"/>
      <c r="AM3366" s="30" t="n"/>
      <c r="AN3366" s="30" t="n"/>
    </row>
    <row r="3367">
      <c r="A3367" s="128" t="inlineStr">
        <is>
          <t>11278XXX</t>
        </is>
      </c>
      <c r="B3367" s="135" t="inlineStr">
        <is>
          <t>TAVERNITI JEAN</t>
        </is>
      </c>
      <c r="C3367" s="88" t="n">
        <v>81000</v>
      </c>
      <c r="D3367" s="219" t="n"/>
      <c r="E3367" s="219" t="n"/>
      <c r="F3367" s="219" t="n"/>
      <c r="G3367" s="219" t="n"/>
      <c r="H3367" s="180" t="n"/>
      <c r="I3367" s="219" t="n"/>
      <c r="J3367" s="219" t="n"/>
      <c r="K3367" s="219" t="n"/>
      <c r="L3367" s="219">
        <f>ROUND((Q3367*C3367)/100,0)*100</f>
        <v/>
      </c>
      <c r="M3367" s="219" t="n"/>
      <c r="P3367" s="117" t="n"/>
      <c r="Q3367" s="118" t="n">
        <v>1.05</v>
      </c>
      <c r="R3367" s="117" t="n"/>
      <c r="T3367" s="117" t="n"/>
      <c r="AB3367" s="30" t="n"/>
    </row>
    <row r="3368">
      <c r="A3368" s="128" t="inlineStr">
        <is>
          <t>11284XXX</t>
        </is>
      </c>
      <c r="B3368" s="246" t="inlineStr">
        <is>
          <t>TAVERNITI JEAN</t>
        </is>
      </c>
      <c r="C3368" s="88" t="n">
        <v>81000</v>
      </c>
      <c r="D3368" s="219" t="n"/>
      <c r="E3368" s="219" t="n"/>
      <c r="F3368" s="219" t="n"/>
      <c r="G3368" s="219" t="n"/>
      <c r="H3368" s="180" t="n"/>
      <c r="I3368" s="219" t="n"/>
      <c r="J3368" s="219" t="n"/>
      <c r="K3368" s="219" t="n"/>
      <c r="L3368" s="219">
        <f>ROUND((Q3368*C3368)/100,0)*100</f>
        <v/>
      </c>
      <c r="M3368" s="219" t="n"/>
      <c r="P3368" s="117" t="n"/>
      <c r="Q3368" s="118" t="n">
        <v>1.05</v>
      </c>
      <c r="R3368" s="117" t="n"/>
      <c r="T3368" s="117" t="n"/>
    </row>
    <row r="3369">
      <c r="A3369" s="134" t="inlineStr">
        <is>
          <t>11290XXX</t>
        </is>
      </c>
      <c r="B3369" s="135" t="inlineStr">
        <is>
          <t>TAVERNITI JEAN</t>
        </is>
      </c>
      <c r="C3369" s="88" t="n">
        <v>81000</v>
      </c>
      <c r="D3369" s="170" t="n"/>
      <c r="E3369" s="170" t="n"/>
      <c r="F3369" s="170" t="n"/>
      <c r="G3369" s="170" t="n"/>
      <c r="H3369" s="227" t="n"/>
      <c r="I3369" s="170" t="n"/>
      <c r="J3369" s="170" t="n"/>
      <c r="K3369" s="170" t="n"/>
      <c r="L3369" s="170">
        <f>ROUND((Q3369*C3369)/100,0)*100</f>
        <v/>
      </c>
      <c r="M3369" s="170" t="n"/>
      <c r="N3369" s="30" t="n"/>
      <c r="O3369" s="30" t="n"/>
      <c r="P3369" s="170" t="n"/>
      <c r="Q3369" s="118" t="n">
        <v>1.05</v>
      </c>
      <c r="R3369" s="170" t="n"/>
      <c r="S3369" s="30" t="n"/>
      <c r="T3369" s="170" t="n"/>
      <c r="U3369" s="30" t="n"/>
      <c r="V3369" s="30" t="n"/>
      <c r="W3369" s="30" t="n"/>
      <c r="X3369" s="30" t="n"/>
      <c r="Y3369" s="30" t="n"/>
      <c r="Z3369" s="30" t="n"/>
      <c r="AA3369" s="30" t="n"/>
      <c r="AB3369" s="30" t="n"/>
      <c r="AC3369" s="30" t="n"/>
      <c r="AD3369" s="30" t="n"/>
      <c r="AE3369" s="30" t="n"/>
      <c r="AF3369" s="30" t="n"/>
      <c r="AG3369" s="30" t="n"/>
      <c r="AH3369" s="30" t="n"/>
      <c r="AI3369" s="30" t="n"/>
      <c r="AJ3369" s="30" t="n"/>
      <c r="AK3369" s="30" t="n"/>
      <c r="AL3369" s="30" t="n"/>
      <c r="AM3369" s="30" t="n"/>
      <c r="AN3369" s="30" t="n"/>
    </row>
    <row r="3370">
      <c r="A3370" s="128" t="inlineStr">
        <is>
          <t>11292XXX</t>
        </is>
      </c>
      <c r="B3370" s="246" t="inlineStr">
        <is>
          <t>TAVERNITI JEAN</t>
        </is>
      </c>
      <c r="C3370" s="88" t="n">
        <v>81000</v>
      </c>
      <c r="D3370" s="219" t="n"/>
      <c r="E3370" s="219" t="n"/>
      <c r="F3370" s="219" t="n"/>
      <c r="G3370" s="219" t="n"/>
      <c r="H3370" s="180" t="n"/>
      <c r="I3370" s="219" t="n"/>
      <c r="J3370" s="219" t="n"/>
      <c r="K3370" s="219" t="n"/>
      <c r="L3370" s="219">
        <f>ROUND((Q3370*C3370)/100,0)*100</f>
        <v/>
      </c>
      <c r="M3370" s="219" t="n"/>
      <c r="P3370" s="117" t="n"/>
      <c r="Q3370" s="118" t="n">
        <v>1.05</v>
      </c>
      <c r="R3370" s="117" t="n"/>
      <c r="T3370" s="117" t="n"/>
      <c r="AB3370" s="30" t="n"/>
    </row>
    <row r="3371">
      <c r="A3371" s="134" t="inlineStr">
        <is>
          <t>11294XXX</t>
        </is>
      </c>
      <c r="B3371" s="135" t="inlineStr">
        <is>
          <t>TAVERNITI JEAN</t>
        </is>
      </c>
      <c r="C3371" s="88" t="n">
        <v>81000</v>
      </c>
      <c r="D3371" s="170" t="n"/>
      <c r="E3371" s="170" t="n"/>
      <c r="F3371" s="170" t="n"/>
      <c r="G3371" s="170" t="n"/>
      <c r="H3371" s="227" t="n"/>
      <c r="I3371" s="170" t="n"/>
      <c r="J3371" s="170" t="n"/>
      <c r="K3371" s="170" t="n"/>
      <c r="L3371" s="170">
        <f>ROUND((Q3371*C3371)/100,0)*100</f>
        <v/>
      </c>
      <c r="M3371" s="170" t="n"/>
      <c r="N3371" s="30" t="n"/>
      <c r="O3371" s="30" t="n"/>
      <c r="P3371" s="170" t="n"/>
      <c r="Q3371" s="118" t="n">
        <v>1.05</v>
      </c>
      <c r="R3371" s="170" t="n"/>
      <c r="S3371" s="30" t="n"/>
      <c r="T3371" s="170" t="n"/>
      <c r="U3371" s="30" t="n"/>
      <c r="V3371" s="30" t="n"/>
      <c r="W3371" s="30" t="n"/>
      <c r="X3371" s="30" t="n"/>
      <c r="Y3371" s="30" t="n"/>
      <c r="Z3371" s="30" t="n"/>
      <c r="AA3371" s="30" t="n"/>
      <c r="AB3371" s="30" t="n"/>
      <c r="AC3371" s="30" t="n"/>
      <c r="AD3371" s="30" t="n"/>
      <c r="AE3371" s="30" t="n"/>
      <c r="AF3371" s="30" t="n"/>
      <c r="AG3371" s="30" t="n"/>
      <c r="AH3371" s="30" t="n"/>
      <c r="AI3371" s="30" t="n"/>
      <c r="AJ3371" s="30" t="n"/>
      <c r="AK3371" s="30" t="n"/>
      <c r="AL3371" s="30" t="n"/>
      <c r="AM3371" s="30" t="n"/>
      <c r="AN3371" s="30" t="n"/>
    </row>
    <row r="3372">
      <c r="A3372" s="134" t="inlineStr">
        <is>
          <t>11296XXX</t>
        </is>
      </c>
      <c r="B3372" s="135" t="inlineStr">
        <is>
          <t>TAVERNITI JEAN</t>
        </is>
      </c>
      <c r="C3372" s="88" t="n">
        <v>81000</v>
      </c>
      <c r="D3372" s="170" t="n"/>
      <c r="E3372" s="170" t="n"/>
      <c r="F3372" s="170" t="n"/>
      <c r="G3372" s="170" t="n"/>
      <c r="H3372" s="227" t="n"/>
      <c r="I3372" s="170" t="n"/>
      <c r="J3372" s="170" t="n"/>
      <c r="K3372" s="170" t="n"/>
      <c r="L3372" s="170">
        <f>ROUND((Q3372*C3372)/100,0)*100</f>
        <v/>
      </c>
      <c r="M3372" s="170" t="n"/>
      <c r="N3372" s="30" t="n"/>
      <c r="O3372" s="30" t="n"/>
      <c r="P3372" s="170" t="n"/>
      <c r="Q3372" s="118" t="n">
        <v>1.05</v>
      </c>
      <c r="R3372" s="170" t="n"/>
      <c r="S3372" s="30" t="n"/>
      <c r="T3372" s="170" t="n"/>
      <c r="U3372" s="30" t="n"/>
      <c r="V3372" s="30" t="n"/>
      <c r="W3372" s="30" t="n"/>
      <c r="X3372" s="30" t="n"/>
      <c r="Y3372" s="30" t="n"/>
      <c r="Z3372" s="30" t="n"/>
      <c r="AA3372" s="30" t="n"/>
      <c r="AB3372" s="30" t="n"/>
      <c r="AC3372" s="30" t="n"/>
      <c r="AD3372" s="30" t="n"/>
      <c r="AE3372" s="30" t="n"/>
      <c r="AF3372" s="30" t="n"/>
      <c r="AG3372" s="30" t="n"/>
      <c r="AH3372" s="30" t="n"/>
      <c r="AI3372" s="30" t="n"/>
      <c r="AJ3372" s="30" t="n"/>
      <c r="AK3372" s="30" t="n"/>
      <c r="AL3372" s="30" t="n"/>
      <c r="AM3372" s="30" t="n"/>
      <c r="AN3372" s="30" t="n"/>
    </row>
    <row r="3373">
      <c r="A3373" s="134" t="inlineStr">
        <is>
          <t>11298XXX</t>
        </is>
      </c>
      <c r="B3373" s="135" t="inlineStr">
        <is>
          <t>TAVERNITI JEAN</t>
        </is>
      </c>
      <c r="C3373" s="88" t="n">
        <v>81000</v>
      </c>
      <c r="D3373" s="170" t="n"/>
      <c r="E3373" s="170" t="n"/>
      <c r="F3373" s="170" t="n"/>
      <c r="G3373" s="170" t="n"/>
      <c r="H3373" s="227" t="n"/>
      <c r="I3373" s="170" t="n"/>
      <c r="J3373" s="170" t="n"/>
      <c r="K3373" s="170" t="n"/>
      <c r="L3373" s="170">
        <f>ROUND((Q3373*C3373)/100,0)*100</f>
        <v/>
      </c>
      <c r="M3373" s="170" t="n"/>
      <c r="N3373" s="30" t="n"/>
      <c r="O3373" s="30" t="n"/>
      <c r="P3373" s="170" t="n"/>
      <c r="Q3373" s="118" t="n">
        <v>1.05</v>
      </c>
      <c r="R3373" s="170" t="n"/>
      <c r="S3373" s="30" t="n"/>
      <c r="T3373" s="170" t="n"/>
      <c r="U3373" s="30" t="n"/>
      <c r="V3373" s="30" t="n"/>
      <c r="W3373" s="30" t="n"/>
      <c r="X3373" s="30" t="n"/>
      <c r="Y3373" s="30" t="n"/>
      <c r="Z3373" s="30" t="n"/>
      <c r="AA3373" s="30" t="n"/>
      <c r="AB3373" s="30" t="n"/>
      <c r="AC3373" s="30" t="n"/>
      <c r="AD3373" s="30" t="n"/>
      <c r="AE3373" s="30" t="n"/>
      <c r="AF3373" s="30" t="n"/>
      <c r="AG3373" s="30" t="n"/>
      <c r="AH3373" s="30" t="n"/>
      <c r="AI3373" s="30" t="n"/>
      <c r="AJ3373" s="30" t="n"/>
      <c r="AK3373" s="30" t="n"/>
      <c r="AL3373" s="30" t="n"/>
      <c r="AM3373" s="30" t="n"/>
      <c r="AN3373" s="30" t="n"/>
    </row>
    <row r="3374">
      <c r="A3374" s="89" t="inlineStr">
        <is>
          <t>11300XXX</t>
        </is>
      </c>
      <c r="B3374" s="135" t="inlineStr">
        <is>
          <t>TAVERNITI JEAN</t>
        </is>
      </c>
      <c r="C3374" s="88" t="n">
        <v>81000</v>
      </c>
      <c r="D3374" s="170" t="n"/>
      <c r="E3374" s="170" t="n"/>
      <c r="F3374" s="170" t="n"/>
      <c r="G3374" s="170" t="n"/>
      <c r="H3374" s="227" t="n"/>
      <c r="I3374" s="170" t="n"/>
      <c r="J3374" s="170" t="n"/>
      <c r="K3374" s="170" t="n"/>
      <c r="L3374" s="150">
        <f>ROUND((Q3374*C3374)/100,0)*100</f>
        <v/>
      </c>
      <c r="M3374" s="170" t="n"/>
      <c r="N3374" s="30" t="n"/>
      <c r="O3374" s="30" t="n"/>
      <c r="P3374" s="170" t="n"/>
      <c r="Q3374" s="118" t="n">
        <v>1.05</v>
      </c>
      <c r="R3374" s="170" t="n"/>
      <c r="S3374" s="30" t="n"/>
      <c r="T3374" s="170" t="n"/>
      <c r="U3374" s="30" t="n"/>
      <c r="V3374" s="30" t="n"/>
      <c r="W3374" s="30" t="n"/>
      <c r="X3374" s="30" t="n"/>
      <c r="Y3374" s="30" t="n"/>
      <c r="Z3374" s="30" t="n"/>
      <c r="AA3374" s="30" t="n"/>
      <c r="AB3374" s="30" t="n"/>
      <c r="AC3374" s="30" t="n"/>
      <c r="AD3374" s="30" t="n"/>
      <c r="AE3374" s="30" t="n"/>
      <c r="AF3374" s="30" t="n"/>
      <c r="AG3374" s="30" t="n"/>
      <c r="AH3374" s="30" t="n"/>
      <c r="AI3374" s="30" t="n"/>
      <c r="AJ3374" s="30" t="n"/>
      <c r="AK3374" s="30" t="n"/>
      <c r="AL3374" s="30" t="n"/>
      <c r="AM3374" s="30" t="n"/>
      <c r="AN3374" s="30" t="n"/>
      <c r="AO3374" s="30" t="n"/>
    </row>
    <row r="3375">
      <c r="A3375" s="89" t="inlineStr">
        <is>
          <t>11312XXX</t>
        </is>
      </c>
      <c r="B3375" s="135" t="inlineStr">
        <is>
          <t>TAVERNITI JEAN</t>
        </is>
      </c>
      <c r="C3375" s="88" t="n">
        <v>81000</v>
      </c>
      <c r="D3375" s="170" t="n"/>
      <c r="E3375" s="170" t="n"/>
      <c r="F3375" s="170" t="n"/>
      <c r="G3375" s="170" t="n"/>
      <c r="H3375" s="227" t="n"/>
      <c r="I3375" s="170" t="n"/>
      <c r="J3375" s="170" t="n"/>
      <c r="K3375" s="170" t="n"/>
      <c r="L3375" s="150">
        <f>ROUND((Q3375*C3375)/100,0)*100</f>
        <v/>
      </c>
      <c r="M3375" s="170" t="n"/>
      <c r="N3375" s="30" t="n"/>
      <c r="O3375" s="30" t="n"/>
      <c r="P3375" s="170" t="n"/>
      <c r="Q3375" s="118" t="n">
        <v>1.05</v>
      </c>
      <c r="R3375" s="170" t="n"/>
      <c r="S3375" s="30" t="n"/>
      <c r="T3375" s="170" t="n"/>
      <c r="U3375" s="30" t="n"/>
      <c r="V3375" s="30" t="n"/>
      <c r="W3375" s="30" t="n"/>
      <c r="X3375" s="30" t="n"/>
      <c r="Y3375" s="30" t="n"/>
      <c r="Z3375" s="30" t="n"/>
      <c r="AA3375" s="30" t="n"/>
      <c r="AB3375" s="30" t="n"/>
      <c r="AC3375" s="30" t="n"/>
      <c r="AD3375" s="30" t="n"/>
      <c r="AE3375" s="30" t="n"/>
      <c r="AF3375" s="30" t="n"/>
      <c r="AG3375" s="30" t="n"/>
      <c r="AH3375" s="30" t="n"/>
      <c r="AI3375" s="30" t="n"/>
      <c r="AJ3375" s="30" t="n"/>
      <c r="AK3375" s="30" t="n"/>
      <c r="AL3375" s="30" t="n"/>
      <c r="AM3375" s="30" t="n"/>
      <c r="AN3375" s="30" t="n"/>
    </row>
    <row r="3376">
      <c r="A3376" s="89" t="inlineStr">
        <is>
          <t>11314XXX</t>
        </is>
      </c>
      <c r="B3376" s="135" t="inlineStr">
        <is>
          <t>TAVERNITI JEAN</t>
        </is>
      </c>
      <c r="C3376" s="88" t="n">
        <v>81000</v>
      </c>
      <c r="D3376" s="170" t="n"/>
      <c r="E3376" s="170" t="n"/>
      <c r="F3376" s="170" t="n"/>
      <c r="G3376" s="170" t="n"/>
      <c r="H3376" s="227" t="n"/>
      <c r="I3376" s="170" t="n"/>
      <c r="J3376" s="170" t="n"/>
      <c r="K3376" s="170" t="n"/>
      <c r="L3376" s="150">
        <f>ROUND((Q3376*C3376)/100,0)*100</f>
        <v/>
      </c>
      <c r="M3376" s="170" t="n"/>
      <c r="N3376" s="30" t="n"/>
      <c r="O3376" s="30" t="n"/>
      <c r="P3376" s="170" t="n"/>
      <c r="Q3376" s="118" t="n">
        <v>1.05</v>
      </c>
      <c r="R3376" s="170" t="n"/>
      <c r="S3376" s="30" t="n"/>
      <c r="T3376" s="170" t="n"/>
      <c r="U3376" s="30" t="n"/>
      <c r="V3376" s="30" t="n"/>
      <c r="W3376" s="30" t="n"/>
      <c r="X3376" s="30" t="n"/>
      <c r="Y3376" s="30" t="n"/>
      <c r="Z3376" s="30" t="n"/>
      <c r="AA3376" s="30" t="n"/>
      <c r="AB3376" s="30" t="n"/>
      <c r="AC3376" s="30" t="n"/>
      <c r="AD3376" s="30" t="n"/>
      <c r="AE3376" s="30" t="n"/>
      <c r="AF3376" s="30" t="n"/>
      <c r="AG3376" s="30" t="n"/>
      <c r="AH3376" s="30" t="n"/>
      <c r="AI3376" s="30" t="n"/>
      <c r="AJ3376" s="30" t="n"/>
      <c r="AK3376" s="30" t="n"/>
      <c r="AL3376" s="30" t="n"/>
      <c r="AM3376" s="30" t="n"/>
      <c r="AN3376" s="30" t="n"/>
    </row>
    <row r="3377">
      <c r="A3377" s="89" t="inlineStr">
        <is>
          <t>11324XXX</t>
        </is>
      </c>
      <c r="B3377" s="135" t="inlineStr">
        <is>
          <t>TAVERNITI JEAN</t>
        </is>
      </c>
      <c r="C3377" s="88" t="n">
        <v>81000</v>
      </c>
      <c r="D3377" s="170" t="n"/>
      <c r="E3377" s="170" t="n"/>
      <c r="F3377" s="170" t="n"/>
      <c r="G3377" s="170" t="n"/>
      <c r="H3377" s="227" t="n"/>
      <c r="I3377" s="170" t="n"/>
      <c r="J3377" s="170" t="n"/>
      <c r="K3377" s="170" t="n"/>
      <c r="L3377" s="150">
        <f>ROUND((Q3377*C3377)/100,0)*100</f>
        <v/>
      </c>
      <c r="M3377" s="170" t="n"/>
      <c r="N3377" s="30" t="n"/>
      <c r="O3377" s="30" t="n"/>
      <c r="P3377" s="170" t="n"/>
      <c r="Q3377" s="118" t="n">
        <v>1.05</v>
      </c>
      <c r="R3377" s="170" t="n"/>
      <c r="S3377" s="30" t="n"/>
      <c r="T3377" s="170" t="n"/>
      <c r="U3377" s="30" t="n"/>
      <c r="V3377" s="30" t="n"/>
      <c r="W3377" s="30" t="n"/>
      <c r="X3377" s="30" t="n"/>
      <c r="Y3377" s="30" t="n"/>
      <c r="Z3377" s="30" t="n"/>
      <c r="AA3377" s="30" t="n"/>
      <c r="AB3377" s="30" t="n"/>
      <c r="AC3377" s="30" t="n"/>
      <c r="AD3377" s="30" t="n"/>
      <c r="AE3377" s="30" t="n"/>
      <c r="AF3377" s="30" t="n"/>
      <c r="AG3377" s="30" t="n"/>
      <c r="AH3377" s="30" t="n"/>
      <c r="AI3377" s="30" t="n"/>
      <c r="AJ3377" s="30" t="n"/>
      <c r="AK3377" s="30" t="n"/>
      <c r="AL3377" s="30" t="n"/>
      <c r="AM3377" s="30" t="n"/>
      <c r="AN3377" s="30" t="n"/>
    </row>
    <row r="3378">
      <c r="A3378" s="89" t="inlineStr">
        <is>
          <t>11330XXX</t>
        </is>
      </c>
      <c r="B3378" s="135" t="inlineStr">
        <is>
          <t>TAVERNITI JEAN</t>
        </is>
      </c>
      <c r="C3378" s="88" t="n">
        <v>81000</v>
      </c>
      <c r="D3378" s="170" t="n"/>
      <c r="E3378" s="170" t="n"/>
      <c r="F3378" s="170" t="n"/>
      <c r="G3378" s="170" t="n"/>
      <c r="H3378" s="227" t="n"/>
      <c r="I3378" s="170" t="n"/>
      <c r="J3378" s="170" t="n"/>
      <c r="K3378" s="170" t="n"/>
      <c r="L3378" s="150">
        <f>ROUND((Q3378*C3378)/100,0)*100</f>
        <v/>
      </c>
      <c r="M3378" s="170" t="n"/>
      <c r="N3378" s="30" t="n"/>
      <c r="O3378" s="30" t="n"/>
      <c r="P3378" s="170" t="n"/>
      <c r="Q3378" s="118" t="n">
        <v>1.05</v>
      </c>
      <c r="R3378" s="170" t="n"/>
      <c r="S3378" s="30" t="n"/>
      <c r="T3378" s="170" t="n"/>
      <c r="U3378" s="30" t="n"/>
      <c r="V3378" s="30" t="n"/>
      <c r="W3378" s="30" t="n"/>
      <c r="X3378" s="30" t="n"/>
      <c r="Y3378" s="30" t="n"/>
      <c r="Z3378" s="30" t="n"/>
      <c r="AA3378" s="30" t="n"/>
      <c r="AB3378" s="30" t="n"/>
      <c r="AC3378" s="30" t="n"/>
      <c r="AD3378" s="30" t="n"/>
      <c r="AE3378" s="30" t="n"/>
      <c r="AF3378" s="30" t="n"/>
      <c r="AG3378" s="30" t="n"/>
      <c r="AH3378" s="30" t="n"/>
      <c r="AI3378" s="30" t="n"/>
      <c r="AJ3378" s="30" t="n"/>
      <c r="AK3378" s="30" t="n"/>
      <c r="AL3378" s="30" t="n"/>
      <c r="AM3378" s="30" t="n"/>
      <c r="AN3378" s="30" t="n"/>
    </row>
    <row r="3379">
      <c r="A3379" s="134" t="inlineStr">
        <is>
          <t>11332XXX</t>
        </is>
      </c>
      <c r="B3379" s="135" t="inlineStr">
        <is>
          <t>TAVERNITI JEAN</t>
        </is>
      </c>
      <c r="C3379" s="88" t="n">
        <v>81000</v>
      </c>
      <c r="D3379" s="170" t="n"/>
      <c r="E3379" s="170" t="n"/>
      <c r="F3379" s="170" t="n"/>
      <c r="G3379" s="170" t="n"/>
      <c r="H3379" s="227" t="n"/>
      <c r="I3379" s="170" t="n"/>
      <c r="J3379" s="170" t="n"/>
      <c r="K3379" s="170" t="n"/>
      <c r="L3379" s="170">
        <f>ROUND((Q3379*C3379)/100,0)*100</f>
        <v/>
      </c>
      <c r="M3379" s="170" t="n"/>
      <c r="N3379" s="30" t="n"/>
      <c r="O3379" s="30" t="n"/>
      <c r="P3379" s="170" t="n"/>
      <c r="Q3379" s="118" t="n">
        <v>1.05</v>
      </c>
      <c r="R3379" s="170" t="n"/>
      <c r="S3379" s="30" t="n"/>
      <c r="T3379" s="170" t="n"/>
      <c r="U3379" s="30" t="n"/>
      <c r="V3379" s="30" t="n"/>
      <c r="W3379" s="30" t="n"/>
      <c r="X3379" s="30" t="n"/>
      <c r="Y3379" s="30" t="n"/>
      <c r="Z3379" s="30" t="n"/>
      <c r="AA3379" s="30" t="n"/>
      <c r="AC3379" s="30" t="n"/>
      <c r="AD3379" s="30" t="n"/>
      <c r="AE3379" s="30" t="n"/>
      <c r="AF3379" s="30" t="n"/>
      <c r="AG3379" s="30" t="n"/>
      <c r="AH3379" s="30" t="n"/>
      <c r="AI3379" s="30" t="n"/>
      <c r="AJ3379" s="30" t="n"/>
      <c r="AK3379" s="30" t="n"/>
      <c r="AL3379" s="30" t="n"/>
      <c r="AM3379" s="30" t="n"/>
      <c r="AN3379" s="30" t="n"/>
    </row>
    <row r="3380">
      <c r="A3380" s="134" t="inlineStr">
        <is>
          <t>11336XXX</t>
        </is>
      </c>
      <c r="B3380" s="135" t="inlineStr">
        <is>
          <t>TAVERNITI JEAN</t>
        </is>
      </c>
      <c r="C3380" s="88" t="n">
        <v>81000</v>
      </c>
      <c r="D3380" s="170" t="n"/>
      <c r="E3380" s="170" t="n"/>
      <c r="F3380" s="170" t="n"/>
      <c r="G3380" s="170" t="n"/>
      <c r="H3380" s="227" t="n"/>
      <c r="I3380" s="170" t="n"/>
      <c r="J3380" s="170" t="n"/>
      <c r="K3380" s="170" t="n"/>
      <c r="L3380" s="170">
        <f>ROUND((Q3380*C3380)/100,0)*100</f>
        <v/>
      </c>
      <c r="M3380" s="170" t="n"/>
      <c r="N3380" s="30" t="n"/>
      <c r="O3380" s="30" t="n"/>
      <c r="P3380" s="170" t="n"/>
      <c r="Q3380" s="118" t="n">
        <v>1.05</v>
      </c>
      <c r="R3380" s="170" t="n"/>
      <c r="S3380" s="30" t="n"/>
      <c r="T3380" s="170" t="n"/>
      <c r="U3380" s="30" t="n"/>
      <c r="V3380" s="30" t="n"/>
      <c r="W3380" s="30" t="n"/>
      <c r="X3380" s="30" t="n"/>
      <c r="Y3380" s="30" t="n"/>
      <c r="Z3380" s="30" t="n"/>
      <c r="AA3380" s="30" t="n"/>
      <c r="AC3380" s="30" t="n"/>
      <c r="AD3380" s="30" t="n"/>
      <c r="AE3380" s="30" t="n"/>
      <c r="AF3380" s="30" t="n"/>
      <c r="AG3380" s="30" t="n"/>
      <c r="AH3380" s="30" t="n"/>
      <c r="AI3380" s="30" t="n"/>
      <c r="AJ3380" s="30" t="n"/>
      <c r="AK3380" s="30" t="n"/>
      <c r="AL3380" s="30" t="n"/>
      <c r="AM3380" s="30" t="n"/>
      <c r="AN3380" s="30" t="n"/>
    </row>
    <row r="3381">
      <c r="A3381" s="128" t="inlineStr">
        <is>
          <t>11342912</t>
        </is>
      </c>
      <c r="B3381" s="246" t="inlineStr">
        <is>
          <t>TAVERNITI JEAN</t>
        </is>
      </c>
      <c r="C3381" s="88" t="n">
        <v>81000</v>
      </c>
      <c r="D3381" s="219" t="n"/>
      <c r="E3381" s="219" t="n"/>
      <c r="F3381" s="219" t="n"/>
      <c r="G3381" s="219" t="n"/>
      <c r="H3381" s="180" t="n"/>
      <c r="I3381" s="219" t="n"/>
      <c r="J3381" s="219" t="n"/>
      <c r="K3381" s="219" t="n"/>
      <c r="L3381" s="219">
        <f>ROUND((Q3381*C3381)/100,0)*100</f>
        <v/>
      </c>
      <c r="M3381" s="219" t="n"/>
      <c r="P3381" s="117" t="n"/>
      <c r="Q3381" s="118" t="n">
        <v>1.05</v>
      </c>
      <c r="R3381" s="117" t="n"/>
      <c r="T3381" s="117" t="n"/>
    </row>
    <row r="3382">
      <c r="A3382" s="128" t="inlineStr">
        <is>
          <t>11344XXX</t>
        </is>
      </c>
      <c r="B3382" s="246" t="inlineStr">
        <is>
          <t>TAVERNITI JEAN</t>
        </is>
      </c>
      <c r="C3382" s="88" t="n">
        <v>81000</v>
      </c>
      <c r="D3382" s="219" t="n"/>
      <c r="E3382" s="219" t="n"/>
      <c r="F3382" s="219" t="n"/>
      <c r="G3382" s="219" t="n"/>
      <c r="H3382" s="180" t="n"/>
      <c r="I3382" s="219" t="n"/>
      <c r="J3382" s="219" t="n"/>
      <c r="K3382" s="219" t="n"/>
      <c r="L3382" s="219">
        <f>ROUND((Q3382*C3382)/100,0)*100</f>
        <v/>
      </c>
      <c r="M3382" s="219" t="n"/>
      <c r="P3382" s="117" t="n"/>
      <c r="Q3382" s="118" t="n">
        <v>1.05</v>
      </c>
      <c r="R3382" s="117" t="n"/>
      <c r="T3382" s="117" t="n"/>
    </row>
    <row r="3383">
      <c r="A3383" s="128" t="inlineStr">
        <is>
          <t>11354XXX</t>
        </is>
      </c>
      <c r="B3383" s="246" t="inlineStr">
        <is>
          <t>TAVERNITI JEAN</t>
        </is>
      </c>
      <c r="C3383" s="88" t="n">
        <v>81000</v>
      </c>
      <c r="D3383" s="219" t="n"/>
      <c r="E3383" s="219" t="n"/>
      <c r="F3383" s="219" t="n"/>
      <c r="G3383" s="219" t="n"/>
      <c r="H3383" s="180" t="n"/>
      <c r="I3383" s="219" t="n"/>
      <c r="J3383" s="219" t="n"/>
      <c r="K3383" s="219" t="n"/>
      <c r="L3383" s="219">
        <f>ROUND((Q3383*C3383)/100,0)*100</f>
        <v/>
      </c>
      <c r="M3383" s="219" t="n"/>
      <c r="P3383" s="117" t="n"/>
      <c r="Q3383" s="118" t="n">
        <v>1.05</v>
      </c>
      <c r="R3383" s="117" t="n"/>
      <c r="T3383" s="117" t="n"/>
    </row>
    <row r="3384">
      <c r="A3384" s="134" t="inlineStr">
        <is>
          <t>11358XXX</t>
        </is>
      </c>
      <c r="B3384" s="135" t="inlineStr">
        <is>
          <t>TAVERNITI JEAN</t>
        </is>
      </c>
      <c r="C3384" s="88" t="n">
        <v>81000</v>
      </c>
      <c r="D3384" s="170" t="n"/>
      <c r="E3384" s="170" t="n"/>
      <c r="F3384" s="170" t="n"/>
      <c r="G3384" s="170" t="n"/>
      <c r="H3384" s="227" t="n"/>
      <c r="I3384" s="170" t="n"/>
      <c r="J3384" s="170" t="n"/>
      <c r="K3384" s="170" t="n"/>
      <c r="L3384" s="170">
        <f>ROUND((Q3384*C3384)/100,0)*100</f>
        <v/>
      </c>
      <c r="M3384" s="170" t="n"/>
      <c r="N3384" s="30" t="n"/>
      <c r="O3384" s="30" t="n"/>
      <c r="P3384" s="170" t="n"/>
      <c r="Q3384" s="118" t="n">
        <v>1.05</v>
      </c>
      <c r="R3384" s="170" t="n"/>
      <c r="S3384" s="30" t="n"/>
      <c r="T3384" s="170" t="n"/>
      <c r="U3384" s="30" t="n"/>
      <c r="V3384" s="30" t="n"/>
      <c r="W3384" s="30" t="n"/>
      <c r="X3384" s="30" t="n"/>
      <c r="Y3384" s="30" t="n"/>
      <c r="Z3384" s="30" t="n"/>
      <c r="AA3384" s="30" t="n"/>
      <c r="AB3384" s="30" t="n"/>
      <c r="AC3384" s="30" t="n"/>
      <c r="AD3384" s="30" t="n"/>
      <c r="AE3384" s="30" t="n"/>
      <c r="AF3384" s="30" t="n"/>
      <c r="AG3384" s="30" t="n"/>
      <c r="AH3384" s="30" t="n"/>
      <c r="AI3384" s="30" t="n"/>
      <c r="AJ3384" s="30" t="n"/>
      <c r="AK3384" s="30" t="n"/>
      <c r="AL3384" s="30" t="n"/>
      <c r="AM3384" s="30" t="n"/>
      <c r="AN3384" s="30" t="n"/>
    </row>
    <row r="3385">
      <c r="A3385" s="128" t="inlineStr">
        <is>
          <t>11360570</t>
        </is>
      </c>
      <c r="B3385" s="246" t="inlineStr">
        <is>
          <t>TAVERNITI JEAN</t>
        </is>
      </c>
      <c r="C3385" s="88" t="n">
        <v>81000</v>
      </c>
      <c r="D3385" s="219" t="n"/>
      <c r="E3385" s="219" t="n"/>
      <c r="F3385" s="219" t="n"/>
      <c r="G3385" s="219" t="n"/>
      <c r="H3385" s="180" t="n"/>
      <c r="I3385" s="219" t="n"/>
      <c r="J3385" s="219" t="n"/>
      <c r="K3385" s="219" t="n"/>
      <c r="L3385" s="219">
        <f>ROUND((Q3385*C3385)/100,0)*100</f>
        <v/>
      </c>
      <c r="M3385" s="219" t="n"/>
      <c r="P3385" s="117" t="n"/>
      <c r="Q3385" s="118" t="n">
        <v>1.05</v>
      </c>
      <c r="R3385" s="117" t="n"/>
      <c r="T3385" s="117" t="n"/>
    </row>
    <row r="3386">
      <c r="A3386" s="128" t="inlineStr">
        <is>
          <t>11364XXX</t>
        </is>
      </c>
      <c r="B3386" s="246" t="inlineStr">
        <is>
          <t>TAVERNITI JEAN</t>
        </is>
      </c>
      <c r="C3386" s="88" t="n">
        <v>81000</v>
      </c>
      <c r="D3386" s="219" t="n"/>
      <c r="E3386" s="219" t="n"/>
      <c r="F3386" s="219" t="n"/>
      <c r="G3386" s="219" t="n"/>
      <c r="H3386" s="180" t="n"/>
      <c r="I3386" s="219" t="n"/>
      <c r="J3386" s="219" t="n"/>
      <c r="K3386" s="219" t="n"/>
      <c r="L3386" s="219">
        <f>ROUND((Q3386*C3386)/100,0)*100</f>
        <v/>
      </c>
      <c r="M3386" s="219" t="n"/>
      <c r="P3386" s="117" t="n"/>
      <c r="Q3386" s="118" t="n">
        <v>1.05</v>
      </c>
      <c r="R3386" s="117" t="n"/>
      <c r="T3386" s="117" t="n"/>
    </row>
    <row r="3387">
      <c r="A3387" s="128" t="inlineStr">
        <is>
          <t>11382912</t>
        </is>
      </c>
      <c r="B3387" s="246" t="inlineStr">
        <is>
          <t>TAVERNITI JEAN</t>
        </is>
      </c>
      <c r="C3387" s="88" t="n">
        <v>81000</v>
      </c>
      <c r="D3387" s="219" t="n"/>
      <c r="E3387" s="219" t="n"/>
      <c r="F3387" s="219" t="n"/>
      <c r="G3387" s="219" t="n"/>
      <c r="H3387" s="180" t="n"/>
      <c r="I3387" s="219" t="n"/>
      <c r="J3387" s="219" t="n"/>
      <c r="K3387" s="219" t="n"/>
      <c r="L3387" s="219">
        <f>ROUND((Q3387*C3387)/100,0)*100</f>
        <v/>
      </c>
      <c r="M3387" s="219" t="n"/>
      <c r="P3387" s="117" t="n"/>
      <c r="Q3387" s="118" t="n">
        <v>1.05</v>
      </c>
      <c r="R3387" s="117" t="n"/>
      <c r="T3387" s="117" t="n"/>
    </row>
    <row r="3388">
      <c r="A3388" s="128" t="inlineStr">
        <is>
          <t>11384450</t>
        </is>
      </c>
      <c r="B3388" s="246" t="inlineStr">
        <is>
          <t>TAVERNITI JEAN</t>
        </is>
      </c>
      <c r="C3388" s="88" t="n">
        <v>81000</v>
      </c>
      <c r="D3388" s="219" t="n"/>
      <c r="E3388" s="219" t="n"/>
      <c r="F3388" s="219" t="n"/>
      <c r="G3388" s="219" t="n"/>
      <c r="H3388" s="180" t="n"/>
      <c r="I3388" s="219" t="n"/>
      <c r="J3388" s="219" t="n"/>
      <c r="K3388" s="219" t="n"/>
      <c r="L3388" s="219">
        <f>ROUND((Q3388*C3388)/100,0)*100</f>
        <v/>
      </c>
      <c r="M3388" s="219" t="n"/>
      <c r="P3388" s="117" t="n"/>
      <c r="Q3388" s="118" t="n">
        <v>1.05</v>
      </c>
      <c r="R3388" s="117" t="n"/>
      <c r="T3388" s="117" t="n"/>
    </row>
    <row r="3389">
      <c r="A3389" s="128" t="inlineStr">
        <is>
          <t>11396XXX</t>
        </is>
      </c>
      <c r="B3389" s="246" t="inlineStr">
        <is>
          <t>TAVERNITI JEAN</t>
        </is>
      </c>
      <c r="C3389" s="88" t="n">
        <v>81000</v>
      </c>
      <c r="D3389" s="219" t="n"/>
      <c r="E3389" s="219" t="n"/>
      <c r="F3389" s="219" t="n"/>
      <c r="G3389" s="219" t="n"/>
      <c r="H3389" s="180" t="n"/>
      <c r="I3389" s="219" t="n"/>
      <c r="J3389" s="219" t="n"/>
      <c r="K3389" s="219" t="n"/>
      <c r="L3389" s="219">
        <f>ROUND((Q3389*C3389)/100,0)*100</f>
        <v/>
      </c>
      <c r="M3389" s="219" t="n"/>
      <c r="P3389" s="117" t="n"/>
      <c r="Q3389" s="118" t="n">
        <v>1.05</v>
      </c>
      <c r="R3389" s="117" t="n"/>
      <c r="T3389" s="117" t="n"/>
    </row>
    <row r="3390">
      <c r="A3390" s="128" t="inlineStr">
        <is>
          <t>11418XXX</t>
        </is>
      </c>
      <c r="B3390" s="246" t="inlineStr">
        <is>
          <t>TAVERNITI DESMONTABLE</t>
        </is>
      </c>
      <c r="C3390" s="88" t="n">
        <v>85700</v>
      </c>
      <c r="D3390" s="219" t="n"/>
      <c r="E3390" s="219" t="n"/>
      <c r="F3390" s="219" t="n"/>
      <c r="G3390" s="219" t="n"/>
      <c r="H3390" s="180" t="n"/>
      <c r="I3390" s="219" t="n"/>
      <c r="J3390" s="219" t="n"/>
      <c r="K3390" s="219" t="n"/>
      <c r="L3390" s="219">
        <f>ROUND((Q3390*C3390)/100,0)*100</f>
        <v/>
      </c>
      <c r="M3390" s="219" t="n"/>
      <c r="P3390" s="117" t="n"/>
      <c r="Q3390" s="118" t="n">
        <v>1.05</v>
      </c>
      <c r="R3390" s="117" t="n"/>
      <c r="T3390" s="117" t="n"/>
    </row>
    <row r="3391">
      <c r="A3391" s="128" t="inlineStr">
        <is>
          <t>11420XXX</t>
        </is>
      </c>
      <c r="B3391" s="246" t="inlineStr">
        <is>
          <t>TAVERNITI DESMONTABLE</t>
        </is>
      </c>
      <c r="C3391" s="88" t="n">
        <v>85700</v>
      </c>
      <c r="D3391" s="219" t="n"/>
      <c r="E3391" s="219" t="n"/>
      <c r="F3391" s="219" t="n"/>
      <c r="G3391" s="219" t="n"/>
      <c r="H3391" s="180" t="n"/>
      <c r="I3391" s="219" t="n"/>
      <c r="J3391" s="219" t="n"/>
      <c r="K3391" s="219" t="n"/>
      <c r="L3391" s="219">
        <f>ROUND((Q3391*C3391)/100,0)*100</f>
        <v/>
      </c>
      <c r="M3391" s="219" t="n"/>
      <c r="P3391" s="117" t="n"/>
      <c r="Q3391" s="118" t="n">
        <v>1.05</v>
      </c>
      <c r="R3391" s="117" t="n"/>
      <c r="T3391" s="117" t="n"/>
    </row>
    <row r="3392">
      <c r="A3392" s="134" t="inlineStr">
        <is>
          <t>11432XXX</t>
        </is>
      </c>
      <c r="B3392" s="135" t="inlineStr">
        <is>
          <t>TAVERNITI JEAN</t>
        </is>
      </c>
      <c r="C3392" s="88" t="n">
        <v>81000</v>
      </c>
      <c r="D3392" s="170" t="n"/>
      <c r="E3392" s="170" t="n"/>
      <c r="F3392" s="170" t="n"/>
      <c r="G3392" s="170" t="n"/>
      <c r="H3392" s="227" t="n"/>
      <c r="I3392" s="170" t="n"/>
      <c r="J3392" s="170" t="n"/>
      <c r="K3392" s="170" t="n"/>
      <c r="L3392" s="170">
        <f>ROUND((Q3392*C3392)/100,0)*100</f>
        <v/>
      </c>
      <c r="M3392" s="170" t="n"/>
      <c r="N3392" s="30" t="n"/>
      <c r="O3392" s="30" t="n"/>
      <c r="P3392" s="170" t="n"/>
      <c r="Q3392" s="118" t="n">
        <v>1.05</v>
      </c>
      <c r="R3392" s="170" t="n"/>
      <c r="S3392" s="30" t="n"/>
      <c r="T3392" s="170" t="n"/>
      <c r="U3392" s="30" t="n"/>
      <c r="V3392" s="30" t="n"/>
      <c r="W3392" s="30" t="n"/>
      <c r="X3392" s="30" t="n"/>
      <c r="Y3392" s="30" t="n"/>
      <c r="Z3392" s="30" t="n"/>
      <c r="AA3392" s="30" t="n"/>
      <c r="AB3392" s="30" t="n"/>
      <c r="AC3392" s="30" t="n"/>
      <c r="AD3392" s="30" t="n"/>
      <c r="AE3392" s="30" t="n"/>
      <c r="AF3392" s="30" t="n"/>
      <c r="AG3392" s="30" t="n"/>
      <c r="AH3392" s="30" t="n"/>
      <c r="AI3392" s="30" t="n"/>
      <c r="AJ3392" s="30" t="n"/>
      <c r="AK3392" s="30" t="n"/>
      <c r="AL3392" s="30" t="n"/>
      <c r="AM3392" s="30" t="n"/>
      <c r="AN3392" s="30" t="n"/>
    </row>
    <row r="3393">
      <c r="A3393" s="128" t="inlineStr">
        <is>
          <t>11434711</t>
        </is>
      </c>
      <c r="B3393" s="246" t="inlineStr">
        <is>
          <t>TAVERNITI JEAN</t>
        </is>
      </c>
      <c r="C3393" s="88" t="n">
        <v>81000</v>
      </c>
      <c r="D3393" s="219" t="n"/>
      <c r="E3393" s="219" t="n"/>
      <c r="F3393" s="219" t="n"/>
      <c r="G3393" s="219" t="n"/>
      <c r="H3393" s="180" t="n"/>
      <c r="I3393" s="219" t="n"/>
      <c r="J3393" s="219" t="n"/>
      <c r="K3393" s="219" t="n"/>
      <c r="L3393" s="219">
        <f>ROUND((Q3393*C3393)/100,0)*100</f>
        <v/>
      </c>
      <c r="M3393" s="219" t="n"/>
      <c r="P3393" s="117" t="n"/>
      <c r="Q3393" s="118" t="n">
        <v>1.05</v>
      </c>
      <c r="R3393" s="117" t="n"/>
      <c r="T3393" s="117" t="n"/>
    </row>
    <row r="3394">
      <c r="A3394" s="134" t="inlineStr">
        <is>
          <t>11458XXX</t>
        </is>
      </c>
      <c r="B3394" s="246" t="inlineStr">
        <is>
          <t>TAVERNITI JEAN</t>
        </is>
      </c>
      <c r="C3394" s="88" t="n">
        <v>81000</v>
      </c>
      <c r="D3394" s="219" t="n"/>
      <c r="E3394" s="219" t="n"/>
      <c r="F3394" s="219" t="n"/>
      <c r="G3394" s="219" t="n"/>
      <c r="H3394" s="180" t="n"/>
      <c r="I3394" s="219" t="n"/>
      <c r="J3394" s="219" t="n"/>
      <c r="K3394" s="219" t="n"/>
      <c r="L3394" s="219">
        <f>ROUND((Q3394*C3394)/100,0)*100</f>
        <v/>
      </c>
      <c r="M3394" s="219" t="n"/>
      <c r="P3394" s="117" t="n"/>
      <c r="Q3394" s="118" t="n">
        <v>1.05</v>
      </c>
      <c r="R3394" s="117" t="n"/>
      <c r="T3394" s="117" t="n"/>
    </row>
    <row r="3395">
      <c r="A3395" s="134" t="inlineStr">
        <is>
          <t>11460XXX</t>
        </is>
      </c>
      <c r="B3395" s="246" t="inlineStr">
        <is>
          <t>TAVERNITI JEAN</t>
        </is>
      </c>
      <c r="C3395" s="88" t="n">
        <v>81000</v>
      </c>
      <c r="D3395" s="219" t="n"/>
      <c r="E3395" s="219" t="n"/>
      <c r="F3395" s="219" t="n"/>
      <c r="G3395" s="219" t="n"/>
      <c r="H3395" s="180" t="n"/>
      <c r="I3395" s="219" t="n"/>
      <c r="J3395" s="219" t="n"/>
      <c r="K3395" s="219" t="n"/>
      <c r="L3395" s="219">
        <f>ROUND((Q3395*C3395)/100,0)*100</f>
        <v/>
      </c>
      <c r="M3395" s="219" t="n"/>
      <c r="P3395" s="117" t="n"/>
      <c r="Q3395" s="118" t="n">
        <v>1.05</v>
      </c>
      <c r="R3395" s="117" t="n"/>
      <c r="T3395" s="117" t="n"/>
    </row>
    <row r="3396">
      <c r="A3396" s="134" t="inlineStr">
        <is>
          <t>11464XXX</t>
        </is>
      </c>
      <c r="B3396" s="246" t="inlineStr">
        <is>
          <t>TAVERNITI JEAN</t>
        </is>
      </c>
      <c r="C3396" s="88" t="n">
        <v>81000</v>
      </c>
      <c r="D3396" s="219" t="n"/>
      <c r="E3396" s="219" t="n"/>
      <c r="F3396" s="219" t="n"/>
      <c r="G3396" s="219" t="n"/>
      <c r="H3396" s="180" t="n"/>
      <c r="I3396" s="219" t="n"/>
      <c r="J3396" s="219" t="n"/>
      <c r="K3396" s="219" t="n"/>
      <c r="L3396" s="219">
        <f>ROUND((Q3396*C3396)/100,0)*100</f>
        <v/>
      </c>
      <c r="M3396" s="219" t="n"/>
      <c r="P3396" s="117" t="n"/>
      <c r="Q3396" s="118" t="n">
        <v>1.05</v>
      </c>
      <c r="R3396" s="117" t="n"/>
      <c r="T3396" s="117" t="n"/>
    </row>
    <row r="3397">
      <c r="A3397" s="134" t="inlineStr">
        <is>
          <t>11478XXX</t>
        </is>
      </c>
      <c r="B3397" s="246" t="inlineStr">
        <is>
          <t>TAVERNITI JEAN</t>
        </is>
      </c>
      <c r="C3397" s="88" t="n">
        <v>81000</v>
      </c>
      <c r="D3397" s="219" t="n"/>
      <c r="E3397" s="219" t="n"/>
      <c r="F3397" s="219" t="n"/>
      <c r="G3397" s="219" t="n"/>
      <c r="H3397" s="180" t="n"/>
      <c r="I3397" s="219" t="n"/>
      <c r="J3397" s="219" t="n"/>
      <c r="K3397" s="219" t="n"/>
      <c r="L3397" s="219">
        <f>ROUND((Q3397*C3397)/100,0)*100</f>
        <v/>
      </c>
      <c r="M3397" s="219" t="n"/>
      <c r="P3397" s="117" t="n"/>
      <c r="Q3397" s="118" t="n">
        <v>1.05</v>
      </c>
      <c r="R3397" s="117" t="n"/>
      <c r="T3397" s="117" t="n"/>
    </row>
    <row r="3398">
      <c r="A3398" s="89" t="inlineStr">
        <is>
          <t>11478XXX</t>
        </is>
      </c>
      <c r="B3398" s="135" t="inlineStr">
        <is>
          <t>TAVERNITI JEAN</t>
        </is>
      </c>
      <c r="C3398" s="88" t="n">
        <v>81000</v>
      </c>
      <c r="D3398" s="170" t="n"/>
      <c r="E3398" s="170" t="n"/>
      <c r="F3398" s="170" t="n"/>
      <c r="G3398" s="170" t="n"/>
      <c r="H3398" s="227" t="n"/>
      <c r="I3398" s="170" t="n"/>
      <c r="J3398" s="170" t="n"/>
      <c r="K3398" s="170" t="n"/>
      <c r="L3398" s="170">
        <f>ROUND((Q3398*C3398)/100,0)*100</f>
        <v/>
      </c>
      <c r="M3398" s="170" t="n"/>
      <c r="N3398" s="30" t="n"/>
      <c r="O3398" s="30" t="n"/>
      <c r="P3398" s="170" t="n"/>
      <c r="Q3398" s="118" t="n">
        <v>1.05</v>
      </c>
      <c r="R3398" s="170" t="n"/>
      <c r="S3398" s="30" t="n"/>
      <c r="T3398" s="170" t="n"/>
      <c r="U3398" s="30" t="n"/>
      <c r="V3398" s="30" t="n"/>
      <c r="W3398" s="30" t="n"/>
      <c r="X3398" s="30" t="n"/>
      <c r="Y3398" s="30" t="n"/>
      <c r="Z3398" s="30" t="n"/>
      <c r="AA3398" s="30" t="n"/>
      <c r="AB3398" s="30" t="n"/>
      <c r="AC3398" s="30" t="n"/>
      <c r="AD3398" s="30" t="n"/>
      <c r="AE3398" s="30" t="n"/>
      <c r="AF3398" s="30" t="n"/>
      <c r="AG3398" s="30" t="n"/>
      <c r="AH3398" s="30" t="n"/>
      <c r="AI3398" s="30" t="n"/>
      <c r="AJ3398" s="30" t="n"/>
      <c r="AK3398" s="30" t="n"/>
      <c r="AL3398" s="30" t="n"/>
      <c r="AM3398" s="30" t="n"/>
      <c r="AN3398" s="30" t="n"/>
    </row>
    <row r="3399">
      <c r="A3399" s="134" t="inlineStr">
        <is>
          <t>11482XXX</t>
        </is>
      </c>
      <c r="B3399" s="246" t="inlineStr">
        <is>
          <t>TAVERNITI JEAN</t>
        </is>
      </c>
      <c r="C3399" s="88" t="n">
        <v>81000</v>
      </c>
      <c r="D3399" s="219" t="n"/>
      <c r="E3399" s="219" t="n"/>
      <c r="F3399" s="219" t="n"/>
      <c r="G3399" s="219" t="n"/>
      <c r="H3399" s="180" t="n"/>
      <c r="I3399" s="219" t="n"/>
      <c r="J3399" s="219" t="n"/>
      <c r="K3399" s="219" t="n"/>
      <c r="L3399" s="219">
        <f>ROUND((Q3399*C3399)/100,0)*100</f>
        <v/>
      </c>
      <c r="M3399" s="219" t="n"/>
      <c r="P3399" s="117" t="n"/>
      <c r="Q3399" s="118" t="n">
        <v>1.05</v>
      </c>
      <c r="R3399" s="117" t="n"/>
      <c r="T3399" s="117" t="n"/>
    </row>
    <row r="3400">
      <c r="A3400" s="134" t="inlineStr">
        <is>
          <t>11486XXX</t>
        </is>
      </c>
      <c r="B3400" s="246" t="inlineStr">
        <is>
          <t>TAVERNITI JEAN</t>
        </is>
      </c>
      <c r="C3400" s="88" t="n">
        <v>81000</v>
      </c>
      <c r="D3400" s="219" t="n"/>
      <c r="E3400" s="219" t="n"/>
      <c r="F3400" s="219" t="n"/>
      <c r="G3400" s="219" t="n"/>
      <c r="H3400" s="180" t="n"/>
      <c r="I3400" s="219" t="n"/>
      <c r="J3400" s="219" t="n"/>
      <c r="K3400" s="219" t="n"/>
      <c r="L3400" s="219">
        <f>ROUND((Q3400*C3400)/100,0)*100</f>
        <v/>
      </c>
      <c r="M3400" s="219" t="n"/>
      <c r="P3400" s="117" t="n"/>
      <c r="Q3400" s="118" t="n">
        <v>1.05</v>
      </c>
      <c r="R3400" s="117" t="n"/>
      <c r="T3400" s="117" t="n"/>
    </row>
    <row r="3401">
      <c r="A3401" s="134" t="inlineStr">
        <is>
          <t>11492XXX</t>
        </is>
      </c>
      <c r="B3401" s="246" t="inlineStr">
        <is>
          <t>TAVERNITI JEAN</t>
        </is>
      </c>
      <c r="C3401" s="88" t="n">
        <v>81000</v>
      </c>
      <c r="D3401" s="219" t="n"/>
      <c r="E3401" s="219" t="n"/>
      <c r="F3401" s="219" t="n"/>
      <c r="G3401" s="219" t="n"/>
      <c r="H3401" s="180" t="n"/>
      <c r="I3401" s="219" t="n"/>
      <c r="J3401" s="219" t="n"/>
      <c r="K3401" s="219" t="n"/>
      <c r="L3401" s="219">
        <f>ROUND((Q3401*C3401)/100,0)*100</f>
        <v/>
      </c>
      <c r="M3401" s="219" t="n"/>
      <c r="P3401" s="117" t="n"/>
      <c r="Q3401" s="118" t="n">
        <v>1.05</v>
      </c>
      <c r="R3401" s="117" t="n"/>
      <c r="T3401" s="117" t="n"/>
    </row>
    <row r="3402">
      <c r="A3402" s="134" t="inlineStr">
        <is>
          <t>11496XXX</t>
        </is>
      </c>
      <c r="B3402" s="246" t="inlineStr">
        <is>
          <t>TAVERNITI JEAN</t>
        </is>
      </c>
      <c r="C3402" s="88" t="n">
        <v>81000</v>
      </c>
      <c r="D3402" s="219" t="n"/>
      <c r="E3402" s="219" t="n"/>
      <c r="F3402" s="219" t="n"/>
      <c r="G3402" s="219" t="n"/>
      <c r="H3402" s="180" t="n"/>
      <c r="I3402" s="219" t="n"/>
      <c r="J3402" s="219" t="n"/>
      <c r="K3402" s="219" t="n"/>
      <c r="L3402" s="219">
        <f>ROUND((Q3402*C3402)/100,0)*100</f>
        <v/>
      </c>
      <c r="M3402" s="219" t="n"/>
      <c r="P3402" s="117" t="n"/>
      <c r="Q3402" s="118" t="n">
        <v>1.05</v>
      </c>
      <c r="R3402" s="117" t="n"/>
      <c r="T3402" s="117" t="n"/>
    </row>
    <row r="3403">
      <c r="A3403" s="89" t="inlineStr">
        <is>
          <t>11544XXX</t>
        </is>
      </c>
      <c r="B3403" s="135" t="inlineStr">
        <is>
          <t>TAVERNITI JEAN</t>
        </is>
      </c>
      <c r="C3403" s="88" t="n">
        <v>103400</v>
      </c>
      <c r="D3403" s="170" t="n"/>
      <c r="E3403" s="170" t="n"/>
      <c r="F3403" s="170" t="n"/>
      <c r="G3403" s="170" t="n"/>
      <c r="H3403" s="105" t="n"/>
      <c r="I3403" s="170" t="n"/>
      <c r="J3403" s="170" t="n"/>
      <c r="K3403" s="170" t="n"/>
      <c r="L3403" s="150">
        <f>ROUND((Q3403*C3403)/100,0)*100</f>
        <v/>
      </c>
      <c r="M3403" s="170" t="n"/>
      <c r="N3403" s="30" t="n"/>
      <c r="O3403" s="30" t="n"/>
      <c r="P3403" s="170" t="n"/>
      <c r="Q3403" s="96" t="n">
        <v>1.05</v>
      </c>
      <c r="R3403" s="170" t="n"/>
      <c r="S3403" s="30" t="n"/>
      <c r="T3403" s="170" t="n"/>
      <c r="U3403" s="30" t="n"/>
      <c r="V3403" s="30" t="n"/>
      <c r="W3403" s="30" t="n"/>
      <c r="X3403" s="30" t="n"/>
      <c r="Y3403" s="30" t="n"/>
      <c r="Z3403" s="30" t="n"/>
      <c r="AA3403" s="30" t="n"/>
      <c r="AB3403" s="30" t="n"/>
      <c r="AC3403" s="30" t="n"/>
      <c r="AD3403" s="30" t="n"/>
      <c r="AE3403" s="30" t="n"/>
      <c r="AF3403" s="30" t="n"/>
      <c r="AG3403" s="30" t="n"/>
      <c r="AH3403" s="30" t="n"/>
      <c r="AI3403" s="30" t="n"/>
      <c r="AJ3403" s="30" t="n"/>
      <c r="AK3403" s="30" t="n"/>
      <c r="AL3403" s="30" t="n"/>
      <c r="AM3403" s="30" t="n"/>
      <c r="AN3403" s="30" t="n"/>
      <c r="AO3403" s="30" t="n"/>
    </row>
    <row r="3404">
      <c r="A3404" s="89" t="inlineStr">
        <is>
          <t>11546XXX</t>
        </is>
      </c>
      <c r="B3404" s="135" t="inlineStr">
        <is>
          <t>TAVERNITI JEAN</t>
        </is>
      </c>
      <c r="C3404" s="88" t="n">
        <v>103400</v>
      </c>
      <c r="D3404" s="170" t="n"/>
      <c r="E3404" s="170" t="n"/>
      <c r="F3404" s="170" t="n"/>
      <c r="G3404" s="170" t="n"/>
      <c r="H3404" s="105" t="n"/>
      <c r="I3404" s="170" t="n"/>
      <c r="J3404" s="170" t="n"/>
      <c r="K3404" s="170" t="n"/>
      <c r="L3404" s="150">
        <f>ROUND((Q3404*C3404)/100,0)*100</f>
        <v/>
      </c>
      <c r="M3404" s="170" t="n"/>
      <c r="N3404" s="30" t="n"/>
      <c r="O3404" s="30" t="n"/>
      <c r="P3404" s="170" t="n"/>
      <c r="Q3404" s="96" t="n">
        <v>1.05</v>
      </c>
      <c r="R3404" s="170" t="n"/>
      <c r="S3404" s="30" t="n"/>
      <c r="T3404" s="170" t="n"/>
      <c r="U3404" s="30" t="n"/>
      <c r="V3404" s="30" t="n"/>
      <c r="W3404" s="30" t="n"/>
      <c r="X3404" s="30" t="n"/>
      <c r="Y3404" s="30" t="n"/>
      <c r="Z3404" s="30" t="n"/>
      <c r="AA3404" s="30" t="n"/>
      <c r="AB3404" s="30" t="n"/>
      <c r="AC3404" s="30" t="n"/>
      <c r="AD3404" s="30" t="n"/>
      <c r="AE3404" s="30" t="n"/>
      <c r="AF3404" s="30" t="n"/>
      <c r="AG3404" s="30" t="n"/>
      <c r="AH3404" s="30" t="n"/>
      <c r="AI3404" s="30" t="n"/>
      <c r="AJ3404" s="30" t="n"/>
      <c r="AK3404" s="30" t="n"/>
      <c r="AL3404" s="30" t="n"/>
      <c r="AM3404" s="30" t="n"/>
      <c r="AN3404" s="30" t="n"/>
      <c r="AO3404" s="30" t="n"/>
    </row>
    <row r="3405">
      <c r="A3405" s="89" t="inlineStr">
        <is>
          <t>11550XXX</t>
        </is>
      </c>
      <c r="B3405" s="135" t="inlineStr">
        <is>
          <t>TAVERNITI JEAN</t>
        </is>
      </c>
      <c r="C3405" s="88" t="n">
        <v>81000</v>
      </c>
      <c r="D3405" s="170" t="n"/>
      <c r="E3405" s="170" t="n"/>
      <c r="F3405" s="170" t="n"/>
      <c r="G3405" s="170" t="n"/>
      <c r="H3405" s="227" t="n"/>
      <c r="I3405" s="170" t="n"/>
      <c r="J3405" s="170" t="n"/>
      <c r="K3405" s="170" t="n"/>
      <c r="L3405" s="170">
        <f>ROUND((Q3405*C3405)/100,0)*100</f>
        <v/>
      </c>
      <c r="M3405" s="170" t="n"/>
      <c r="N3405" s="30" t="n"/>
      <c r="O3405" s="30" t="n"/>
      <c r="P3405" s="170" t="n"/>
      <c r="Q3405" s="118" t="n">
        <v>1.05</v>
      </c>
      <c r="R3405" s="170" t="n"/>
      <c r="S3405" s="30" t="n"/>
      <c r="T3405" s="170" t="n"/>
      <c r="U3405" s="30" t="n"/>
      <c r="V3405" s="30" t="n"/>
      <c r="W3405" s="30" t="n"/>
      <c r="X3405" s="30" t="n"/>
      <c r="Y3405" s="30" t="n"/>
      <c r="Z3405" s="30" t="n"/>
      <c r="AA3405" s="30" t="n"/>
      <c r="AB3405" s="30" t="n"/>
      <c r="AC3405" s="30" t="n"/>
      <c r="AD3405" s="30" t="n"/>
      <c r="AE3405" s="30" t="n"/>
      <c r="AF3405" s="30" t="n"/>
      <c r="AG3405" s="30" t="n"/>
      <c r="AH3405" s="30" t="n"/>
      <c r="AI3405" s="30" t="n"/>
      <c r="AJ3405" s="30" t="n"/>
      <c r="AK3405" s="30" t="n"/>
      <c r="AL3405" s="30" t="n"/>
      <c r="AM3405" s="30" t="n"/>
      <c r="AN3405" s="30" t="n"/>
    </row>
    <row r="3406">
      <c r="A3406" s="89" t="inlineStr">
        <is>
          <t>11552XXX</t>
        </is>
      </c>
      <c r="B3406" s="135" t="inlineStr">
        <is>
          <t>TAVERNITI JEAN</t>
        </is>
      </c>
      <c r="C3406" s="88" t="n">
        <v>81000</v>
      </c>
      <c r="D3406" s="170" t="n"/>
      <c r="E3406" s="170" t="n"/>
      <c r="F3406" s="170" t="n"/>
      <c r="G3406" s="170" t="n"/>
      <c r="H3406" s="227" t="n"/>
      <c r="I3406" s="170" t="n"/>
      <c r="J3406" s="170" t="n"/>
      <c r="K3406" s="170" t="n"/>
      <c r="L3406" s="150">
        <f>ROUND((Q3406*C3406)/100,0)*100</f>
        <v/>
      </c>
      <c r="M3406" s="170" t="n"/>
      <c r="N3406" s="30" t="n"/>
      <c r="O3406" s="30" t="n"/>
      <c r="P3406" s="170" t="n"/>
      <c r="Q3406" s="118" t="n">
        <v>1.05</v>
      </c>
      <c r="R3406" s="170" t="n"/>
      <c r="S3406" s="30" t="n"/>
      <c r="T3406" s="170" t="n"/>
      <c r="U3406" s="30" t="n"/>
      <c r="V3406" s="30" t="n"/>
      <c r="W3406" s="30" t="n"/>
      <c r="X3406" s="30" t="n"/>
      <c r="Y3406" s="30" t="n"/>
      <c r="Z3406" s="30" t="n"/>
      <c r="AA3406" s="30" t="n"/>
      <c r="AB3406" s="30" t="n"/>
      <c r="AC3406" s="30" t="n"/>
      <c r="AD3406" s="30" t="n"/>
      <c r="AE3406" s="30" t="n"/>
      <c r="AF3406" s="30" t="n"/>
      <c r="AG3406" s="30" t="n"/>
      <c r="AH3406" s="30" t="n"/>
      <c r="AI3406" s="30" t="n"/>
      <c r="AJ3406" s="30" t="n"/>
      <c r="AK3406" s="30" t="n"/>
      <c r="AL3406" s="30" t="n"/>
      <c r="AM3406" s="30" t="n"/>
      <c r="AN3406" s="30" t="n"/>
    </row>
    <row r="3407">
      <c r="A3407" s="89" t="inlineStr">
        <is>
          <t>11554XXX</t>
        </is>
      </c>
      <c r="B3407" s="135" t="inlineStr">
        <is>
          <t>TAVERNITI JEAN</t>
        </is>
      </c>
      <c r="C3407" s="88" t="n">
        <v>81000</v>
      </c>
      <c r="D3407" s="170" t="n"/>
      <c r="E3407" s="170" t="n"/>
      <c r="F3407" s="170" t="n"/>
      <c r="G3407" s="170" t="n"/>
      <c r="H3407" s="227" t="n"/>
      <c r="I3407" s="170" t="n"/>
      <c r="J3407" s="170" t="n"/>
      <c r="K3407" s="170" t="n"/>
      <c r="L3407" s="170">
        <f>ROUND((Q3407*C3407)/100,0)*100</f>
        <v/>
      </c>
      <c r="M3407" s="170" t="n"/>
      <c r="N3407" s="30" t="n"/>
      <c r="O3407" s="30" t="n"/>
      <c r="P3407" s="170" t="n"/>
      <c r="Q3407" s="118" t="n">
        <v>1.05</v>
      </c>
      <c r="R3407" s="170" t="n"/>
      <c r="S3407" s="30" t="n"/>
      <c r="T3407" s="170" t="n"/>
      <c r="U3407" s="30" t="n"/>
      <c r="V3407" s="30" t="n"/>
      <c r="W3407" s="30" t="n"/>
      <c r="X3407" s="30" t="n"/>
      <c r="Y3407" s="30" t="n"/>
      <c r="Z3407" s="30" t="n"/>
      <c r="AA3407" s="30" t="n"/>
      <c r="AB3407" s="30" t="n"/>
      <c r="AC3407" s="30" t="n"/>
      <c r="AD3407" s="30" t="n"/>
      <c r="AE3407" s="30" t="n"/>
      <c r="AF3407" s="30" t="n"/>
      <c r="AG3407" s="30" t="n"/>
      <c r="AH3407" s="30" t="n"/>
      <c r="AI3407" s="30" t="n"/>
      <c r="AJ3407" s="30" t="n"/>
      <c r="AK3407" s="30" t="n"/>
      <c r="AL3407" s="30" t="n"/>
      <c r="AM3407" s="30" t="n"/>
      <c r="AN3407" s="30" t="n"/>
    </row>
    <row r="3408">
      <c r="A3408" s="89" t="inlineStr">
        <is>
          <t>11558XXX</t>
        </is>
      </c>
      <c r="B3408" s="135" t="inlineStr">
        <is>
          <t>TAVERNITI JEAN</t>
        </is>
      </c>
      <c r="C3408" s="88" t="n">
        <v>81000</v>
      </c>
      <c r="D3408" s="170" t="n"/>
      <c r="E3408" s="170" t="n"/>
      <c r="F3408" s="170" t="n"/>
      <c r="G3408" s="170" t="n"/>
      <c r="H3408" s="227" t="n"/>
      <c r="I3408" s="170" t="n"/>
      <c r="J3408" s="170" t="n"/>
      <c r="K3408" s="170" t="n"/>
      <c r="L3408" s="170">
        <f>ROUND((Q3408*C3408)/100,0)*100</f>
        <v/>
      </c>
      <c r="M3408" s="170" t="n"/>
      <c r="N3408" s="30" t="n"/>
      <c r="O3408" s="30" t="n"/>
      <c r="P3408" s="170" t="n"/>
      <c r="Q3408" s="118" t="n">
        <v>1.05</v>
      </c>
      <c r="R3408" s="170" t="n"/>
      <c r="S3408" s="30" t="n"/>
      <c r="T3408" s="170" t="n"/>
      <c r="U3408" s="30" t="n"/>
      <c r="V3408" s="30" t="n"/>
      <c r="W3408" s="30" t="n"/>
      <c r="X3408" s="30" t="n"/>
      <c r="Y3408" s="30" t="n"/>
      <c r="Z3408" s="30" t="n"/>
      <c r="AA3408" s="30" t="n"/>
      <c r="AB3408" s="30" t="n"/>
      <c r="AC3408" s="30" t="n"/>
      <c r="AD3408" s="30" t="n"/>
      <c r="AE3408" s="30" t="n"/>
      <c r="AF3408" s="30" t="n"/>
      <c r="AG3408" s="30" t="n"/>
      <c r="AH3408" s="30" t="n"/>
      <c r="AI3408" s="30" t="n"/>
      <c r="AJ3408" s="30" t="n"/>
      <c r="AK3408" s="30" t="n"/>
      <c r="AL3408" s="30" t="n"/>
      <c r="AM3408" s="30" t="n"/>
      <c r="AN3408" s="30" t="n"/>
    </row>
    <row r="3409">
      <c r="A3409" s="89" t="inlineStr">
        <is>
          <t>11560XXX</t>
        </is>
      </c>
      <c r="B3409" s="135" t="inlineStr">
        <is>
          <t>TAVERNITI JEAN</t>
        </is>
      </c>
      <c r="C3409" s="88" t="n">
        <v>81000</v>
      </c>
      <c r="D3409" s="170" t="n"/>
      <c r="E3409" s="170" t="n"/>
      <c r="F3409" s="170" t="n"/>
      <c r="G3409" s="170" t="n"/>
      <c r="H3409" s="227" t="n"/>
      <c r="I3409" s="170" t="n"/>
      <c r="J3409" s="170" t="n"/>
      <c r="K3409" s="170" t="n"/>
      <c r="L3409" s="170">
        <f>ROUND((Q3409*C3409)/100,0)*100</f>
        <v/>
      </c>
      <c r="M3409" s="170" t="n"/>
      <c r="N3409" s="30" t="n"/>
      <c r="O3409" s="30" t="n"/>
      <c r="P3409" s="170" t="n"/>
      <c r="Q3409" s="118" t="n">
        <v>1.05</v>
      </c>
      <c r="R3409" s="170" t="n"/>
      <c r="S3409" s="30" t="n"/>
      <c r="T3409" s="170" t="n"/>
      <c r="U3409" s="30" t="n"/>
      <c r="V3409" s="30" t="n"/>
      <c r="W3409" s="30" t="n"/>
      <c r="X3409" s="30" t="n"/>
      <c r="Y3409" s="30" t="n"/>
      <c r="Z3409" s="30" t="n"/>
      <c r="AA3409" s="30" t="n"/>
      <c r="AB3409" s="30" t="n"/>
      <c r="AC3409" s="30" t="n"/>
      <c r="AD3409" s="30" t="n"/>
      <c r="AE3409" s="30" t="n"/>
      <c r="AF3409" s="30" t="n"/>
      <c r="AG3409" s="30" t="n"/>
      <c r="AH3409" s="30" t="n"/>
      <c r="AI3409" s="30" t="n"/>
      <c r="AJ3409" s="30" t="n"/>
      <c r="AK3409" s="30" t="n"/>
      <c r="AL3409" s="30" t="n"/>
      <c r="AM3409" s="30" t="n"/>
      <c r="AN3409" s="30" t="n"/>
    </row>
    <row r="3410">
      <c r="A3410" s="89" t="inlineStr">
        <is>
          <t>11562XXX</t>
        </is>
      </c>
      <c r="B3410" s="135" t="inlineStr">
        <is>
          <t>TAVERNITI JEAN</t>
        </is>
      </c>
      <c r="C3410" s="88" t="n">
        <v>81000</v>
      </c>
      <c r="D3410" s="170" t="n"/>
      <c r="E3410" s="170" t="n"/>
      <c r="F3410" s="170" t="n"/>
      <c r="G3410" s="170" t="n"/>
      <c r="H3410" s="227" t="n"/>
      <c r="I3410" s="170" t="n"/>
      <c r="J3410" s="170" t="n"/>
      <c r="K3410" s="170" t="n"/>
      <c r="L3410" s="170">
        <f>ROUND((Q3410*C3410)/100,0)*100</f>
        <v/>
      </c>
      <c r="M3410" s="170" t="n"/>
      <c r="N3410" s="30" t="n"/>
      <c r="O3410" s="30" t="n"/>
      <c r="P3410" s="170" t="n"/>
      <c r="Q3410" s="118" t="n">
        <v>1.05</v>
      </c>
      <c r="R3410" s="170" t="n"/>
      <c r="S3410" s="30" t="n"/>
      <c r="T3410" s="170" t="n"/>
      <c r="U3410" s="30" t="n"/>
      <c r="V3410" s="30" t="n"/>
      <c r="W3410" s="30" t="n"/>
      <c r="X3410" s="30" t="n"/>
      <c r="Y3410" s="30" t="n"/>
      <c r="Z3410" s="30" t="n"/>
      <c r="AA3410" s="30" t="n"/>
      <c r="AB3410" s="30" t="n"/>
      <c r="AC3410" s="30" t="n"/>
      <c r="AD3410" s="30" t="n"/>
      <c r="AE3410" s="30" t="n"/>
      <c r="AF3410" s="30" t="n"/>
      <c r="AG3410" s="30" t="n"/>
      <c r="AH3410" s="30" t="n"/>
      <c r="AI3410" s="30" t="n"/>
      <c r="AJ3410" s="30" t="n"/>
      <c r="AK3410" s="30" t="n"/>
      <c r="AL3410" s="30" t="n"/>
      <c r="AM3410" s="30" t="n"/>
      <c r="AN3410" s="30" t="n"/>
    </row>
    <row r="3411">
      <c r="A3411" s="89" t="inlineStr">
        <is>
          <t>11566XXX</t>
        </is>
      </c>
      <c r="B3411" s="135" t="inlineStr">
        <is>
          <t>TAVERNITI JEAN</t>
        </is>
      </c>
      <c r="C3411" s="88" t="n">
        <v>81000</v>
      </c>
      <c r="D3411" s="170" t="n"/>
      <c r="E3411" s="170" t="n"/>
      <c r="F3411" s="170" t="n"/>
      <c r="G3411" s="170" t="n"/>
      <c r="H3411" s="227" t="n"/>
      <c r="I3411" s="170" t="n"/>
      <c r="J3411" s="170" t="n"/>
      <c r="K3411" s="170" t="n"/>
      <c r="L3411" s="170">
        <f>ROUND((Q3411*C3411)/100,0)*100</f>
        <v/>
      </c>
      <c r="M3411" s="170" t="n"/>
      <c r="N3411" s="30" t="n"/>
      <c r="O3411" s="30" t="n"/>
      <c r="P3411" s="170" t="n"/>
      <c r="Q3411" s="118" t="n">
        <v>1.05</v>
      </c>
      <c r="R3411" s="170" t="n"/>
      <c r="S3411" s="30" t="n"/>
      <c r="T3411" s="170" t="n"/>
      <c r="U3411" s="30" t="n"/>
      <c r="V3411" s="30" t="n"/>
      <c r="W3411" s="30" t="n"/>
      <c r="X3411" s="30" t="n"/>
      <c r="Y3411" s="30" t="n"/>
      <c r="Z3411" s="30" t="n"/>
      <c r="AA3411" s="30" t="n"/>
      <c r="AB3411" s="30" t="n"/>
      <c r="AC3411" s="30" t="n"/>
      <c r="AD3411" s="30" t="n"/>
      <c r="AE3411" s="30" t="n"/>
      <c r="AF3411" s="30" t="n"/>
      <c r="AG3411" s="30" t="n"/>
      <c r="AH3411" s="30" t="n"/>
      <c r="AI3411" s="30" t="n"/>
      <c r="AJ3411" s="30" t="n"/>
      <c r="AK3411" s="30" t="n"/>
      <c r="AL3411" s="30" t="n"/>
      <c r="AM3411" s="30" t="n"/>
      <c r="AN3411" s="30" t="n"/>
    </row>
    <row r="3412">
      <c r="A3412" s="89" t="inlineStr">
        <is>
          <t>11500XXX</t>
        </is>
      </c>
      <c r="B3412" s="135" t="inlineStr">
        <is>
          <t>TAVERNITI JEAN</t>
        </is>
      </c>
      <c r="C3412" s="88" t="n">
        <v>81000</v>
      </c>
      <c r="D3412" s="170" t="n"/>
      <c r="E3412" s="170" t="n"/>
      <c r="F3412" s="170" t="n"/>
      <c r="G3412" s="170" t="n"/>
      <c r="H3412" s="227" t="n"/>
      <c r="I3412" s="170" t="n"/>
      <c r="J3412" s="170" t="n"/>
      <c r="K3412" s="170" t="n"/>
      <c r="L3412" s="150">
        <f>ROUND((Q3412*C3412)/100,0)*100</f>
        <v/>
      </c>
      <c r="M3412" s="170" t="n"/>
      <c r="N3412" s="30" t="n"/>
      <c r="O3412" s="30" t="n"/>
      <c r="P3412" s="170" t="n"/>
      <c r="Q3412" s="118" t="n">
        <v>1.05</v>
      </c>
      <c r="R3412" s="170" t="n"/>
      <c r="S3412" s="30" t="n"/>
      <c r="T3412" s="170" t="n"/>
      <c r="U3412" s="30" t="n"/>
      <c r="V3412" s="30" t="n"/>
      <c r="W3412" s="30" t="n"/>
      <c r="X3412" s="30" t="n"/>
      <c r="Y3412" s="30" t="n"/>
      <c r="Z3412" s="30" t="n"/>
      <c r="AA3412" s="30" t="n"/>
      <c r="AB3412" s="30" t="n"/>
      <c r="AC3412" s="30" t="n"/>
      <c r="AD3412" s="30" t="n"/>
      <c r="AE3412" s="30" t="n"/>
      <c r="AF3412" s="30" t="n"/>
      <c r="AG3412" s="30" t="n"/>
      <c r="AH3412" s="30" t="n"/>
      <c r="AI3412" s="30" t="n"/>
      <c r="AJ3412" s="30" t="n"/>
      <c r="AK3412" s="30" t="n"/>
      <c r="AL3412" s="30" t="n"/>
      <c r="AM3412" s="30" t="n"/>
      <c r="AN3412" s="30" t="n"/>
    </row>
    <row r="3413">
      <c r="A3413" s="89" t="inlineStr">
        <is>
          <t>11570XXX</t>
        </is>
      </c>
      <c r="B3413" s="135" t="inlineStr">
        <is>
          <t>TAVERNITI JEAN</t>
        </is>
      </c>
      <c r="C3413" s="88" t="n">
        <v>81000</v>
      </c>
      <c r="D3413" s="170" t="n"/>
      <c r="E3413" s="170" t="n"/>
      <c r="F3413" s="170" t="n"/>
      <c r="G3413" s="170" t="n"/>
      <c r="H3413" s="227" t="n"/>
      <c r="I3413" s="170" t="n"/>
      <c r="J3413" s="170" t="n"/>
      <c r="K3413" s="170" t="n"/>
      <c r="L3413" s="170">
        <f>ROUND((Q3413*C3413)/100,0)*100</f>
        <v/>
      </c>
      <c r="M3413" s="170" t="n"/>
      <c r="N3413" s="30" t="n"/>
      <c r="O3413" s="30" t="n"/>
      <c r="P3413" s="170" t="n"/>
      <c r="Q3413" s="118" t="n">
        <v>1.05</v>
      </c>
      <c r="R3413" s="170" t="n"/>
      <c r="S3413" s="30" t="n"/>
      <c r="T3413" s="170" t="n"/>
      <c r="U3413" s="30" t="n"/>
      <c r="V3413" s="30" t="n"/>
      <c r="W3413" s="30" t="n"/>
      <c r="X3413" s="30" t="n"/>
      <c r="Y3413" s="30" t="n"/>
      <c r="Z3413" s="30" t="n"/>
      <c r="AA3413" s="30" t="n"/>
      <c r="AB3413" s="30" t="n"/>
      <c r="AC3413" s="30" t="n"/>
      <c r="AD3413" s="30" t="n"/>
      <c r="AE3413" s="30" t="n"/>
      <c r="AF3413" s="30" t="n"/>
      <c r="AG3413" s="30" t="n"/>
      <c r="AH3413" s="30" t="n"/>
      <c r="AI3413" s="30" t="n"/>
      <c r="AJ3413" s="30" t="n"/>
      <c r="AK3413" s="30" t="n"/>
      <c r="AL3413" s="30" t="n"/>
      <c r="AM3413" s="30" t="n"/>
      <c r="AN3413" s="30" t="n"/>
    </row>
    <row r="3414">
      <c r="A3414" s="89" t="inlineStr">
        <is>
          <t>11574XXX</t>
        </is>
      </c>
      <c r="B3414" s="135" t="inlineStr">
        <is>
          <t>TAVERNITI JEAN</t>
        </is>
      </c>
      <c r="C3414" s="88" t="n">
        <v>81000</v>
      </c>
      <c r="D3414" s="170" t="n"/>
      <c r="E3414" s="170" t="n"/>
      <c r="F3414" s="170" t="n"/>
      <c r="G3414" s="170" t="n"/>
      <c r="H3414" s="227" t="n"/>
      <c r="I3414" s="170" t="n"/>
      <c r="J3414" s="170" t="n"/>
      <c r="K3414" s="170" t="n"/>
      <c r="L3414" s="150">
        <f>ROUND((Q3414*C3414)/100,0)*100</f>
        <v/>
      </c>
      <c r="M3414" s="170" t="n"/>
      <c r="N3414" s="30" t="n"/>
      <c r="O3414" s="30" t="n"/>
      <c r="P3414" s="170" t="n"/>
      <c r="Q3414" s="118" t="n">
        <v>1.05</v>
      </c>
      <c r="R3414" s="170" t="n"/>
      <c r="S3414" s="30" t="n"/>
      <c r="T3414" s="170" t="n"/>
      <c r="U3414" s="30" t="n"/>
      <c r="V3414" s="30" t="n"/>
      <c r="W3414" s="30" t="n"/>
      <c r="X3414" s="30" t="n"/>
      <c r="Y3414" s="30" t="n"/>
      <c r="Z3414" s="30" t="n"/>
      <c r="AA3414" s="30" t="n"/>
      <c r="AB3414" s="30" t="n"/>
      <c r="AC3414" s="30" t="n"/>
      <c r="AD3414" s="30" t="n"/>
      <c r="AE3414" s="30" t="n"/>
      <c r="AF3414" s="30" t="n"/>
      <c r="AG3414" s="30" t="n"/>
      <c r="AH3414" s="30" t="n"/>
      <c r="AI3414" s="30" t="n"/>
      <c r="AJ3414" s="30" t="n"/>
      <c r="AK3414" s="30" t="n"/>
      <c r="AL3414" s="30" t="n"/>
      <c r="AM3414" s="30" t="n"/>
      <c r="AN3414" s="30" t="n"/>
    </row>
    <row r="3415">
      <c r="A3415" s="89" t="inlineStr">
        <is>
          <t>11576XXX</t>
        </is>
      </c>
      <c r="B3415" s="135" t="inlineStr">
        <is>
          <t>TAVERNITI JEAN</t>
        </is>
      </c>
      <c r="C3415" s="88" t="n">
        <v>82600</v>
      </c>
      <c r="D3415" s="170" t="n"/>
      <c r="E3415" s="170" t="n"/>
      <c r="F3415" s="170" t="n"/>
      <c r="G3415" s="170" t="n"/>
      <c r="H3415" s="227" t="n"/>
      <c r="I3415" s="170" t="n"/>
      <c r="J3415" s="170" t="n"/>
      <c r="K3415" s="170" t="n"/>
      <c r="L3415" s="170">
        <f>ROUND((Q3415*C3415)/100,0)*100</f>
        <v/>
      </c>
      <c r="M3415" s="170" t="n"/>
      <c r="N3415" s="30" t="n"/>
      <c r="O3415" s="30" t="n"/>
      <c r="P3415" s="170" t="n"/>
      <c r="Q3415" s="118" t="n">
        <v>1.05</v>
      </c>
      <c r="R3415" s="170" t="n"/>
      <c r="S3415" s="30" t="n"/>
      <c r="T3415" s="170" t="n"/>
      <c r="U3415" s="30" t="n"/>
      <c r="V3415" s="30" t="n"/>
      <c r="W3415" s="30" t="n"/>
      <c r="X3415" s="30" t="n"/>
      <c r="Y3415" s="30" t="n"/>
      <c r="Z3415" s="30" t="n"/>
      <c r="AA3415" s="30" t="n"/>
      <c r="AB3415" s="30" t="n"/>
      <c r="AC3415" s="30" t="n"/>
      <c r="AD3415" s="30" t="n"/>
      <c r="AE3415" s="30" t="n"/>
      <c r="AF3415" s="30" t="n"/>
      <c r="AG3415" s="30" t="n"/>
      <c r="AH3415" s="30" t="n"/>
      <c r="AI3415" s="30" t="n"/>
      <c r="AJ3415" s="30" t="n"/>
      <c r="AK3415" s="30" t="n"/>
      <c r="AL3415" s="30" t="n"/>
      <c r="AM3415" s="30" t="n"/>
      <c r="AN3415" s="30" t="n"/>
    </row>
    <row r="3416">
      <c r="A3416" s="89" t="inlineStr">
        <is>
          <t>11578XXX</t>
        </is>
      </c>
      <c r="B3416" s="135" t="inlineStr">
        <is>
          <t>TAVERNITI JEAN</t>
        </is>
      </c>
      <c r="C3416" s="88" t="n">
        <v>81000</v>
      </c>
      <c r="D3416" s="170" t="n"/>
      <c r="E3416" s="170" t="n"/>
      <c r="F3416" s="170" t="n"/>
      <c r="G3416" s="170" t="n"/>
      <c r="H3416" s="227" t="n"/>
      <c r="I3416" s="170" t="n"/>
      <c r="J3416" s="170" t="n"/>
      <c r="K3416" s="170" t="n"/>
      <c r="L3416" s="170">
        <f>ROUND((Q3416*C3416)/100,0)*100</f>
        <v/>
      </c>
      <c r="M3416" s="170" t="n"/>
      <c r="N3416" s="30" t="n"/>
      <c r="O3416" s="30" t="n"/>
      <c r="P3416" s="170" t="n"/>
      <c r="Q3416" s="118" t="n">
        <v>1.05</v>
      </c>
      <c r="R3416" s="170" t="n"/>
      <c r="S3416" s="30" t="n"/>
      <c r="T3416" s="170" t="n"/>
      <c r="U3416" s="30" t="n"/>
      <c r="V3416" s="30" t="n"/>
      <c r="W3416" s="30" t="n"/>
      <c r="X3416" s="30" t="n"/>
      <c r="Y3416" s="30" t="n"/>
      <c r="Z3416" s="30" t="n"/>
      <c r="AA3416" s="30" t="n"/>
      <c r="AB3416" s="30" t="n"/>
      <c r="AC3416" s="30" t="n"/>
      <c r="AD3416" s="30" t="n"/>
      <c r="AE3416" s="30" t="n"/>
      <c r="AF3416" s="30" t="n"/>
      <c r="AG3416" s="30" t="n"/>
      <c r="AH3416" s="30" t="n"/>
      <c r="AI3416" s="30" t="n"/>
      <c r="AJ3416" s="30" t="n"/>
      <c r="AK3416" s="30" t="n"/>
      <c r="AL3416" s="30" t="n"/>
      <c r="AM3416" s="30" t="n"/>
      <c r="AN3416" s="30" t="n"/>
    </row>
    <row r="3417">
      <c r="A3417" s="89" t="inlineStr">
        <is>
          <t>11582XXX</t>
        </is>
      </c>
      <c r="B3417" s="135" t="inlineStr">
        <is>
          <t>TAVERNITI JEAN</t>
        </is>
      </c>
      <c r="C3417" s="88" t="n">
        <v>92400</v>
      </c>
      <c r="D3417" s="170" t="n"/>
      <c r="E3417" s="170" t="n"/>
      <c r="F3417" s="170" t="n"/>
      <c r="G3417" s="170" t="n"/>
      <c r="H3417" s="105" t="n"/>
      <c r="I3417" s="170" t="n"/>
      <c r="J3417" s="170" t="n"/>
      <c r="K3417" s="170" t="n"/>
      <c r="L3417" s="150">
        <f>ROUND((Q3417*C3417)/100,0)*100</f>
        <v/>
      </c>
      <c r="M3417" s="170" t="n"/>
      <c r="N3417" s="30" t="n"/>
      <c r="O3417" s="30" t="n"/>
      <c r="P3417" s="170" t="n"/>
      <c r="Q3417" s="118" t="n">
        <v>1.05</v>
      </c>
      <c r="R3417" s="170" t="n"/>
      <c r="S3417" s="30" t="n"/>
      <c r="T3417" s="170" t="n"/>
      <c r="U3417" s="30" t="n"/>
      <c r="V3417" s="30" t="n"/>
      <c r="W3417" s="30" t="n"/>
      <c r="X3417" s="30" t="n"/>
      <c r="Y3417" s="30" t="n"/>
      <c r="Z3417" s="30" t="n"/>
      <c r="AA3417" s="30" t="n"/>
      <c r="AB3417" s="30" t="n"/>
      <c r="AC3417" s="30" t="n"/>
      <c r="AD3417" s="30" t="n"/>
      <c r="AE3417" s="30" t="n"/>
      <c r="AF3417" s="30" t="n"/>
      <c r="AG3417" s="30" t="n"/>
      <c r="AH3417" s="30" t="n"/>
      <c r="AI3417" s="30" t="n"/>
      <c r="AJ3417" s="30" t="n"/>
      <c r="AK3417" s="30" t="n"/>
      <c r="AL3417" s="30" t="n"/>
      <c r="AM3417" s="30" t="n"/>
      <c r="AN3417" s="30" t="n"/>
      <c r="AO3417" s="30" t="n"/>
    </row>
    <row r="3418">
      <c r="A3418" s="89" t="inlineStr">
        <is>
          <t>11586XXX</t>
        </is>
      </c>
      <c r="B3418" s="135" t="inlineStr">
        <is>
          <t>TAVERNITI JEAN</t>
        </is>
      </c>
      <c r="C3418" s="88" t="n">
        <v>81000</v>
      </c>
      <c r="D3418" s="170" t="n"/>
      <c r="E3418" s="170" t="n"/>
      <c r="F3418" s="170" t="n"/>
      <c r="G3418" s="170" t="n"/>
      <c r="H3418" s="227" t="n"/>
      <c r="I3418" s="170" t="n"/>
      <c r="J3418" s="170" t="n"/>
      <c r="K3418" s="170" t="n"/>
      <c r="L3418" s="170">
        <f>ROUND((Q3418*C3418)/100,0)*100</f>
        <v/>
      </c>
      <c r="M3418" s="170" t="n"/>
      <c r="N3418" s="30" t="n"/>
      <c r="O3418" s="30" t="n"/>
      <c r="P3418" s="170" t="n"/>
      <c r="Q3418" s="118" t="n">
        <v>1.05</v>
      </c>
      <c r="R3418" s="170" t="n"/>
      <c r="S3418" s="30" t="n"/>
      <c r="T3418" s="170" t="n"/>
      <c r="U3418" s="30" t="n"/>
      <c r="V3418" s="30" t="n"/>
      <c r="W3418" s="30" t="n"/>
      <c r="X3418" s="30" t="n"/>
      <c r="Y3418" s="30" t="n"/>
      <c r="Z3418" s="30" t="n"/>
      <c r="AA3418" s="30" t="n"/>
      <c r="AB3418" s="30" t="n"/>
      <c r="AC3418" s="30" t="n"/>
      <c r="AD3418" s="30" t="n"/>
      <c r="AE3418" s="30" t="n"/>
      <c r="AF3418" s="30" t="n"/>
      <c r="AG3418" s="30" t="n"/>
      <c r="AH3418" s="30" t="n"/>
      <c r="AI3418" s="30" t="n"/>
      <c r="AJ3418" s="30" t="n"/>
      <c r="AK3418" s="30" t="n"/>
      <c r="AL3418" s="30" t="n"/>
      <c r="AM3418" s="30" t="n"/>
      <c r="AN3418" s="30" t="n"/>
    </row>
    <row r="3419">
      <c r="A3419" s="134" t="inlineStr">
        <is>
          <t>11592XXX</t>
        </is>
      </c>
      <c r="B3419" s="246" t="inlineStr">
        <is>
          <t>TAVERNITI JEAN</t>
        </is>
      </c>
      <c r="C3419" s="88" t="n">
        <v>81000</v>
      </c>
      <c r="D3419" s="219" t="n"/>
      <c r="E3419" s="219" t="n"/>
      <c r="F3419" s="219" t="n"/>
      <c r="G3419" s="219" t="n"/>
      <c r="H3419" s="180" t="n"/>
      <c r="I3419" s="219" t="n"/>
      <c r="J3419" s="219" t="n"/>
      <c r="K3419" s="219" t="n"/>
      <c r="L3419" s="219">
        <f>ROUND((Q3419*C3419)/100,0)*100</f>
        <v/>
      </c>
      <c r="M3419" s="219" t="n"/>
      <c r="P3419" s="117" t="n"/>
      <c r="Q3419" s="118" t="n">
        <v>1.05</v>
      </c>
      <c r="R3419" s="117" t="n"/>
      <c r="T3419" s="117" t="n"/>
    </row>
    <row r="3420">
      <c r="A3420" s="134" t="inlineStr">
        <is>
          <t>11594XXX</t>
        </is>
      </c>
      <c r="B3420" s="246" t="inlineStr">
        <is>
          <t>TAVERNITI JEAN</t>
        </is>
      </c>
      <c r="C3420" s="88" t="n">
        <v>87000</v>
      </c>
      <c r="D3420" s="219" t="n"/>
      <c r="E3420" s="219" t="n"/>
      <c r="F3420" s="219" t="n"/>
      <c r="G3420" s="219" t="n"/>
      <c r="H3420" s="180" t="n"/>
      <c r="I3420" s="219" t="n"/>
      <c r="J3420" s="219" t="n"/>
      <c r="K3420" s="219" t="n"/>
      <c r="L3420" s="219">
        <f>ROUND((Q3420*C3420)/100,0)*100</f>
        <v/>
      </c>
      <c r="M3420" s="219" t="n"/>
      <c r="P3420" s="117" t="n"/>
      <c r="Q3420" s="118" t="n">
        <v>1.05</v>
      </c>
      <c r="R3420" s="117" t="n"/>
      <c r="T3420" s="117" t="n"/>
    </row>
    <row r="3421">
      <c r="A3421" s="89" t="inlineStr">
        <is>
          <t>11590XXX</t>
        </is>
      </c>
      <c r="B3421" s="135" t="inlineStr">
        <is>
          <t>TAVERNITI JEAN</t>
        </is>
      </c>
      <c r="C3421" s="88" t="n">
        <v>81000</v>
      </c>
      <c r="D3421" s="170" t="n"/>
      <c r="E3421" s="170" t="n"/>
      <c r="F3421" s="170" t="n"/>
      <c r="G3421" s="170" t="n"/>
      <c r="H3421" s="227" t="n"/>
      <c r="I3421" s="170" t="n"/>
      <c r="J3421" s="170" t="n"/>
      <c r="K3421" s="170" t="n"/>
      <c r="L3421" s="170">
        <f>ROUND((Q3421*C3421)/100,0)*100</f>
        <v/>
      </c>
      <c r="M3421" s="170" t="n"/>
      <c r="N3421" s="30" t="n"/>
      <c r="O3421" s="30" t="n"/>
      <c r="P3421" s="170" t="n"/>
      <c r="Q3421" s="118" t="n">
        <v>1.05</v>
      </c>
      <c r="R3421" s="170" t="n"/>
      <c r="S3421" s="30" t="n"/>
      <c r="T3421" s="170" t="n"/>
      <c r="U3421" s="30" t="n"/>
      <c r="V3421" s="30" t="n"/>
      <c r="W3421" s="30" t="n"/>
      <c r="X3421" s="30" t="n"/>
      <c r="Y3421" s="30" t="n"/>
      <c r="Z3421" s="30" t="n"/>
      <c r="AA3421" s="30" t="n"/>
      <c r="AB3421" s="30" t="n"/>
      <c r="AC3421" s="30" t="n"/>
      <c r="AD3421" s="30" t="n"/>
      <c r="AE3421" s="30" t="n"/>
      <c r="AF3421" s="30" t="n"/>
      <c r="AG3421" s="30" t="n"/>
      <c r="AH3421" s="30" t="n"/>
      <c r="AI3421" s="30" t="n"/>
      <c r="AJ3421" s="30" t="n"/>
      <c r="AK3421" s="30" t="n"/>
      <c r="AL3421" s="30" t="n"/>
      <c r="AM3421" s="30" t="n"/>
      <c r="AN3421" s="30" t="n"/>
    </row>
    <row r="3422">
      <c r="A3422" s="134" t="inlineStr">
        <is>
          <t>11594XXX</t>
        </is>
      </c>
      <c r="B3422" s="246" t="inlineStr">
        <is>
          <t>TAVERNITI JEAN</t>
        </is>
      </c>
      <c r="C3422" s="88" t="n">
        <v>88700</v>
      </c>
      <c r="D3422" s="219" t="n"/>
      <c r="E3422" s="219" t="n"/>
      <c r="F3422" s="219" t="n"/>
      <c r="G3422" s="219" t="n"/>
      <c r="H3422" s="180" t="n"/>
      <c r="I3422" s="219" t="n"/>
      <c r="J3422" s="219" t="n"/>
      <c r="K3422" s="219" t="n"/>
      <c r="L3422" s="219">
        <f>ROUND((Q3422*C3422)/100,0)*100</f>
        <v/>
      </c>
      <c r="M3422" s="219" t="n"/>
      <c r="P3422" s="117" t="n"/>
      <c r="Q3422" s="118" t="n">
        <v>1.05</v>
      </c>
      <c r="R3422" s="117" t="n"/>
      <c r="T3422" s="117" t="n"/>
    </row>
    <row r="3423">
      <c r="A3423" s="89" t="inlineStr">
        <is>
          <t>11596XXX</t>
        </is>
      </c>
      <c r="B3423" s="135" t="inlineStr">
        <is>
          <t>TAVERNITI JEAN</t>
        </is>
      </c>
      <c r="C3423" s="88" t="n">
        <v>90000</v>
      </c>
      <c r="D3423" s="170" t="n"/>
      <c r="E3423" s="170" t="n"/>
      <c r="F3423" s="170" t="n"/>
      <c r="G3423" s="170" t="n"/>
      <c r="H3423" s="105" t="n"/>
      <c r="I3423" s="170" t="n"/>
      <c r="J3423" s="170" t="n"/>
      <c r="K3423" s="170" t="n"/>
      <c r="L3423" s="88">
        <f>ROUND((Q3423*C3423)/100,0)*100</f>
        <v/>
      </c>
      <c r="M3423" s="170" t="n"/>
      <c r="N3423" s="30" t="n"/>
      <c r="O3423" s="30" t="n"/>
      <c r="P3423" s="170" t="n"/>
      <c r="Q3423" s="118" t="n">
        <v>1.05</v>
      </c>
      <c r="R3423" s="170" t="n"/>
      <c r="S3423" s="30" t="n"/>
      <c r="T3423" s="170" t="n"/>
      <c r="U3423" s="30" t="n"/>
      <c r="V3423" s="30" t="n"/>
      <c r="W3423" s="30" t="n"/>
      <c r="X3423" s="30" t="n"/>
      <c r="Y3423" s="30" t="n"/>
      <c r="Z3423" s="30" t="n"/>
      <c r="AA3423" s="30" t="n"/>
      <c r="AB3423" s="30" t="n"/>
      <c r="AC3423" s="30" t="n"/>
      <c r="AD3423" s="30" t="n"/>
      <c r="AE3423" s="30" t="n"/>
      <c r="AF3423" s="30" t="n"/>
      <c r="AG3423" s="30" t="n"/>
      <c r="AH3423" s="30" t="n"/>
      <c r="AI3423" s="30" t="n"/>
      <c r="AJ3423" s="30" t="n"/>
      <c r="AK3423" s="30" t="n"/>
      <c r="AL3423" s="30" t="n"/>
      <c r="AM3423" s="30" t="n"/>
      <c r="AN3423" s="30" t="n"/>
      <c r="AO3423" s="30" t="n"/>
    </row>
    <row r="3424">
      <c r="A3424" s="134" t="inlineStr">
        <is>
          <t>11598XXX</t>
        </is>
      </c>
      <c r="B3424" s="246" t="inlineStr">
        <is>
          <t>TAVERNITI JEAN</t>
        </is>
      </c>
      <c r="C3424" s="88" t="n">
        <v>81000</v>
      </c>
      <c r="D3424" s="219" t="n"/>
      <c r="E3424" s="219" t="n"/>
      <c r="F3424" s="219" t="n"/>
      <c r="G3424" s="219" t="n"/>
      <c r="H3424" s="180" t="n"/>
      <c r="I3424" s="219" t="n"/>
      <c r="J3424" s="219" t="n"/>
      <c r="K3424" s="219" t="n"/>
      <c r="L3424" s="219">
        <f>ROUND((Q3424*C3424)/100,0)*100</f>
        <v/>
      </c>
      <c r="M3424" s="219" t="n"/>
      <c r="P3424" s="117" t="n"/>
      <c r="Q3424" s="118" t="n">
        <v>1.05</v>
      </c>
      <c r="R3424" s="117" t="n"/>
      <c r="T3424" s="117" t="n"/>
    </row>
    <row r="3425">
      <c r="A3425" s="134" t="inlineStr">
        <is>
          <t>11610XXX</t>
        </is>
      </c>
      <c r="B3425" s="246" t="inlineStr">
        <is>
          <t>TAVERNITI JEAN</t>
        </is>
      </c>
      <c r="C3425" s="88" t="n">
        <v>81000</v>
      </c>
      <c r="D3425" s="219" t="n"/>
      <c r="E3425" s="219" t="n"/>
      <c r="F3425" s="219" t="n"/>
      <c r="G3425" s="219" t="n"/>
      <c r="H3425" s="180" t="n"/>
      <c r="I3425" s="219" t="n"/>
      <c r="J3425" s="219" t="n"/>
      <c r="K3425" s="219" t="n"/>
      <c r="L3425" s="219">
        <f>ROUND((Q3425*C3425)/100,0)*100</f>
        <v/>
      </c>
      <c r="M3425" s="219" t="n"/>
      <c r="P3425" s="117" t="n"/>
      <c r="Q3425" s="118" t="n">
        <v>1.05</v>
      </c>
      <c r="R3425" s="117" t="n"/>
      <c r="T3425" s="117" t="n"/>
    </row>
    <row r="3426">
      <c r="A3426" s="89" t="inlineStr">
        <is>
          <t>11614XXX</t>
        </is>
      </c>
      <c r="B3426" s="135" t="inlineStr">
        <is>
          <t>TAVERNITI JEAN</t>
        </is>
      </c>
      <c r="C3426" s="88" t="n">
        <v>81000</v>
      </c>
      <c r="D3426" s="170" t="n"/>
      <c r="E3426" s="170" t="n"/>
      <c r="F3426" s="170" t="n"/>
      <c r="G3426" s="170" t="n"/>
      <c r="H3426" s="227" t="n"/>
      <c r="I3426" s="170" t="n"/>
      <c r="J3426" s="170" t="n"/>
      <c r="K3426" s="170" t="n"/>
      <c r="L3426" s="170">
        <f>ROUND((Q3426*C3426)/100,0)*100</f>
        <v/>
      </c>
      <c r="M3426" s="170" t="n"/>
      <c r="N3426" s="30" t="n"/>
      <c r="O3426" s="30" t="n"/>
      <c r="P3426" s="170" t="n"/>
      <c r="Q3426" s="118" t="n">
        <v>1.05</v>
      </c>
      <c r="R3426" s="170" t="n"/>
      <c r="S3426" s="30" t="n"/>
      <c r="T3426" s="170" t="n"/>
      <c r="U3426" s="30" t="n"/>
      <c r="V3426" s="30" t="n"/>
      <c r="W3426" s="30" t="n"/>
      <c r="X3426" s="30" t="n"/>
      <c r="Y3426" s="30" t="n"/>
      <c r="Z3426" s="30" t="n"/>
      <c r="AA3426" s="30" t="n"/>
      <c r="AB3426" s="30" t="n"/>
      <c r="AC3426" s="30" t="n"/>
      <c r="AD3426" s="30" t="n"/>
      <c r="AE3426" s="30" t="n"/>
      <c r="AF3426" s="30" t="n"/>
      <c r="AG3426" s="30" t="n"/>
      <c r="AH3426" s="30" t="n"/>
      <c r="AI3426" s="30" t="n"/>
      <c r="AJ3426" s="30" t="n"/>
      <c r="AK3426" s="30" t="n"/>
      <c r="AL3426" s="30" t="n"/>
      <c r="AM3426" s="30" t="n"/>
      <c r="AN3426" s="30" t="n"/>
    </row>
    <row r="3427">
      <c r="A3427" s="134" t="inlineStr">
        <is>
          <t>11616XXX</t>
        </is>
      </c>
      <c r="B3427" s="246" t="inlineStr">
        <is>
          <t>TAVERNITI JEAN</t>
        </is>
      </c>
      <c r="C3427" s="88" t="n">
        <v>81000</v>
      </c>
      <c r="D3427" s="219" t="n"/>
      <c r="E3427" s="219" t="n"/>
      <c r="F3427" s="219" t="n"/>
      <c r="G3427" s="219" t="n"/>
      <c r="H3427" s="180" t="n"/>
      <c r="I3427" s="219" t="n"/>
      <c r="J3427" s="219" t="n"/>
      <c r="K3427" s="219" t="n"/>
      <c r="L3427" s="219">
        <f>ROUND((Q3427*C3427)/100,0)*100</f>
        <v/>
      </c>
      <c r="M3427" s="219" t="n"/>
      <c r="P3427" s="117" t="n"/>
      <c r="Q3427" s="118" t="n">
        <v>1.05</v>
      </c>
      <c r="R3427" s="117" t="n"/>
      <c r="T3427" s="117" t="n"/>
    </row>
    <row r="3428">
      <c r="A3428" s="134" t="inlineStr">
        <is>
          <t>11618XXX</t>
        </is>
      </c>
      <c r="B3428" s="246" t="inlineStr">
        <is>
          <t>TAVERNITI JEAN</t>
        </is>
      </c>
      <c r="C3428" s="88" t="n">
        <v>87000</v>
      </c>
      <c r="D3428" s="219" t="n"/>
      <c r="E3428" s="219" t="n"/>
      <c r="F3428" s="219" t="n"/>
      <c r="G3428" s="219" t="n"/>
      <c r="H3428" s="180" t="n"/>
      <c r="I3428" s="219" t="n"/>
      <c r="J3428" s="219" t="n"/>
      <c r="K3428" s="219" t="n"/>
      <c r="L3428" s="219">
        <f>ROUND((Q3428*C3428)/100,0)*100</f>
        <v/>
      </c>
      <c r="M3428" s="219" t="n"/>
      <c r="P3428" s="117" t="n"/>
      <c r="Q3428" s="118" t="n">
        <v>1.05</v>
      </c>
      <c r="R3428" s="117" t="n"/>
      <c r="T3428" s="117" t="n"/>
    </row>
    <row r="3429">
      <c r="A3429" s="134" t="inlineStr">
        <is>
          <t>11620XXX</t>
        </is>
      </c>
      <c r="B3429" s="246" t="inlineStr">
        <is>
          <t>TAVERNITI JEAN</t>
        </is>
      </c>
      <c r="C3429" s="88" t="n">
        <v>83000</v>
      </c>
      <c r="D3429" s="219" t="n"/>
      <c r="E3429" s="219" t="n"/>
      <c r="F3429" s="219" t="n"/>
      <c r="G3429" s="219" t="n"/>
      <c r="H3429" s="180" t="n"/>
      <c r="I3429" s="219" t="n"/>
      <c r="J3429" s="219" t="n"/>
      <c r="K3429" s="219" t="n"/>
      <c r="L3429" s="219">
        <f>ROUND((Q3429*C3429)/100,0)*100</f>
        <v/>
      </c>
      <c r="M3429" s="219" t="n"/>
      <c r="P3429" s="117" t="n"/>
      <c r="Q3429" s="118" t="n">
        <v>1.05</v>
      </c>
      <c r="R3429" s="117" t="n"/>
      <c r="T3429" s="117" t="n"/>
    </row>
    <row r="3430">
      <c r="A3430" s="89" t="inlineStr">
        <is>
          <t>11622XXX</t>
        </is>
      </c>
      <c r="B3430" s="135" t="inlineStr">
        <is>
          <t>TAVERNITI JEAN</t>
        </is>
      </c>
      <c r="C3430" s="88" t="n">
        <v>81000</v>
      </c>
      <c r="D3430" s="170" t="n"/>
      <c r="E3430" s="170" t="n"/>
      <c r="F3430" s="170" t="n"/>
      <c r="G3430" s="170" t="n"/>
      <c r="H3430" s="227" t="n"/>
      <c r="I3430" s="170" t="n"/>
      <c r="J3430" s="170" t="n"/>
      <c r="K3430" s="170" t="n"/>
      <c r="L3430" s="150">
        <f>ROUND((Q3430*C3430)/100,0)*100</f>
        <v/>
      </c>
      <c r="M3430" s="170" t="n"/>
      <c r="N3430" s="30" t="n"/>
      <c r="O3430" s="30" t="n"/>
      <c r="P3430" s="170" t="n"/>
      <c r="Q3430" s="118" t="n">
        <v>1.05</v>
      </c>
      <c r="R3430" s="170" t="n"/>
      <c r="S3430" s="30" t="n"/>
      <c r="T3430" s="170" t="n"/>
      <c r="U3430" s="30" t="n"/>
      <c r="V3430" s="30" t="n"/>
      <c r="W3430" s="30" t="n"/>
      <c r="X3430" s="30" t="n"/>
      <c r="Y3430" s="30" t="n"/>
      <c r="Z3430" s="30" t="n"/>
      <c r="AA3430" s="30" t="n"/>
      <c r="AB3430" s="30" t="n"/>
      <c r="AC3430" s="30" t="n"/>
      <c r="AD3430" s="30" t="n"/>
      <c r="AE3430" s="30" t="n"/>
      <c r="AF3430" s="30" t="n"/>
      <c r="AG3430" s="30" t="n"/>
      <c r="AH3430" s="30" t="n"/>
      <c r="AI3430" s="30" t="n"/>
      <c r="AJ3430" s="30" t="n"/>
      <c r="AK3430" s="30" t="n"/>
      <c r="AL3430" s="30" t="n"/>
      <c r="AM3430" s="30" t="n"/>
      <c r="AN3430" s="30" t="n"/>
    </row>
    <row r="3431">
      <c r="A3431" s="89" t="inlineStr">
        <is>
          <t>11626XXX</t>
        </is>
      </c>
      <c r="B3431" s="135" t="inlineStr">
        <is>
          <t>TAVERNITI JEAN</t>
        </is>
      </c>
      <c r="C3431" s="88" t="n">
        <v>81000</v>
      </c>
      <c r="D3431" s="170" t="n"/>
      <c r="E3431" s="170" t="n"/>
      <c r="F3431" s="170" t="n"/>
      <c r="G3431" s="170" t="n"/>
      <c r="H3431" s="227" t="n"/>
      <c r="I3431" s="170" t="n"/>
      <c r="J3431" s="170" t="n"/>
      <c r="K3431" s="170" t="n"/>
      <c r="L3431" s="170">
        <f>ROUND((Q3431*C3431)/100,0)*100</f>
        <v/>
      </c>
      <c r="M3431" s="170" t="n"/>
      <c r="N3431" s="30" t="n"/>
      <c r="O3431" s="30" t="n"/>
      <c r="P3431" s="170" t="n"/>
      <c r="Q3431" s="118" t="n">
        <v>1.05</v>
      </c>
      <c r="R3431" s="170" t="n"/>
      <c r="S3431" s="30" t="n"/>
      <c r="T3431" s="170" t="n"/>
      <c r="U3431" s="30" t="n"/>
      <c r="V3431" s="30" t="n"/>
      <c r="W3431" s="30" t="n"/>
      <c r="X3431" s="30" t="n"/>
      <c r="Y3431" s="30" t="n"/>
      <c r="Z3431" s="30" t="n"/>
      <c r="AA3431" s="30" t="n"/>
      <c r="AB3431" s="30" t="n"/>
      <c r="AC3431" s="30" t="n"/>
      <c r="AD3431" s="30" t="n"/>
      <c r="AE3431" s="30" t="n"/>
      <c r="AF3431" s="30" t="n"/>
      <c r="AG3431" s="30" t="n"/>
      <c r="AH3431" s="30" t="n"/>
      <c r="AI3431" s="30" t="n"/>
      <c r="AJ3431" s="30" t="n"/>
      <c r="AK3431" s="30" t="n"/>
      <c r="AL3431" s="30" t="n"/>
      <c r="AM3431" s="30" t="n"/>
      <c r="AN3431" s="30" t="n"/>
    </row>
    <row r="3432">
      <c r="A3432" s="134" t="inlineStr">
        <is>
          <t>11628XXX</t>
        </is>
      </c>
      <c r="B3432" s="246" t="inlineStr">
        <is>
          <t>TAVERNITI JEAN</t>
        </is>
      </c>
      <c r="C3432" s="88" t="n">
        <v>81000</v>
      </c>
      <c r="D3432" s="219" t="n"/>
      <c r="E3432" s="219" t="n"/>
      <c r="F3432" s="219" t="n"/>
      <c r="G3432" s="219" t="n"/>
      <c r="H3432" s="180" t="n"/>
      <c r="I3432" s="219" t="n"/>
      <c r="J3432" s="219" t="n"/>
      <c r="K3432" s="219" t="n"/>
      <c r="L3432" s="219">
        <f>ROUND((Q3432*C3432)/100,0)*100</f>
        <v/>
      </c>
      <c r="M3432" s="219" t="n"/>
      <c r="P3432" s="117" t="n"/>
      <c r="Q3432" s="118" t="n">
        <v>1.05</v>
      </c>
      <c r="R3432" s="117" t="n"/>
      <c r="T3432" s="117" t="n"/>
    </row>
    <row r="3433">
      <c r="A3433" s="134" t="inlineStr">
        <is>
          <t>11636XXX</t>
        </is>
      </c>
      <c r="B3433" s="246" t="inlineStr">
        <is>
          <t>TAVERNITI JEAN</t>
        </is>
      </c>
      <c r="C3433" s="88" t="n">
        <v>81000</v>
      </c>
      <c r="D3433" s="219" t="n"/>
      <c r="E3433" s="219" t="n"/>
      <c r="F3433" s="219" t="n"/>
      <c r="G3433" s="219" t="n"/>
      <c r="H3433" s="180" t="n"/>
      <c r="I3433" s="219" t="n"/>
      <c r="J3433" s="219" t="n"/>
      <c r="K3433" s="219" t="n"/>
      <c r="L3433" s="219">
        <f>ROUND((Q3433*C3433)/100,0)*100</f>
        <v/>
      </c>
      <c r="M3433" s="219" t="n"/>
      <c r="P3433" s="117" t="n"/>
      <c r="Q3433" s="118" t="n">
        <v>1.05</v>
      </c>
      <c r="R3433" s="117" t="n"/>
      <c r="T3433" s="117" t="n"/>
    </row>
    <row r="3434">
      <c r="A3434" s="134" t="inlineStr">
        <is>
          <t>11638XXX</t>
        </is>
      </c>
      <c r="B3434" s="246" t="inlineStr">
        <is>
          <t>TAVERNITI JEAN</t>
        </is>
      </c>
      <c r="C3434" s="88" t="n">
        <v>81000</v>
      </c>
      <c r="D3434" s="219" t="n"/>
      <c r="E3434" s="219" t="n"/>
      <c r="F3434" s="219" t="n"/>
      <c r="G3434" s="219" t="n"/>
      <c r="H3434" s="180" t="n"/>
      <c r="I3434" s="219" t="n"/>
      <c r="J3434" s="219" t="n"/>
      <c r="K3434" s="219" t="n"/>
      <c r="L3434" s="219">
        <f>ROUND((Q3434*C3434)/100,0)*100</f>
        <v/>
      </c>
      <c r="M3434" s="219" t="n"/>
      <c r="P3434" s="117" t="n"/>
      <c r="Q3434" s="118" t="n">
        <v>1.05</v>
      </c>
      <c r="R3434" s="117" t="n"/>
      <c r="T3434" s="117" t="n"/>
    </row>
    <row r="3435">
      <c r="A3435" s="89" t="inlineStr">
        <is>
          <t>11648XXX</t>
        </is>
      </c>
      <c r="B3435" s="135" t="inlineStr">
        <is>
          <t>TAVERNITI JEAN</t>
        </is>
      </c>
      <c r="C3435" s="88" t="n">
        <v>81000</v>
      </c>
      <c r="D3435" s="170" t="n"/>
      <c r="E3435" s="170" t="n"/>
      <c r="F3435" s="170" t="n"/>
      <c r="G3435" s="170" t="n"/>
      <c r="H3435" s="227" t="n"/>
      <c r="I3435" s="170" t="n"/>
      <c r="J3435" s="170" t="n"/>
      <c r="K3435" s="170" t="n"/>
      <c r="L3435" s="150">
        <f>ROUND((Q3435*C3435)/100,0)*100</f>
        <v/>
      </c>
      <c r="M3435" s="170" t="n"/>
      <c r="N3435" s="30" t="n"/>
      <c r="O3435" s="30" t="n"/>
      <c r="P3435" s="170" t="n"/>
      <c r="Q3435" s="118" t="n">
        <v>1.05</v>
      </c>
      <c r="R3435" s="170" t="n"/>
      <c r="S3435" s="30" t="n"/>
      <c r="T3435" s="170" t="n"/>
      <c r="U3435" s="30" t="n"/>
      <c r="V3435" s="30" t="n"/>
      <c r="W3435" s="30" t="n"/>
      <c r="X3435" s="30" t="n"/>
      <c r="Y3435" s="30" t="n"/>
      <c r="Z3435" s="30" t="n"/>
      <c r="AA3435" s="30" t="n"/>
      <c r="AB3435" s="30" t="n"/>
      <c r="AC3435" s="30" t="n"/>
      <c r="AD3435" s="30" t="n"/>
      <c r="AE3435" s="30" t="n"/>
      <c r="AF3435" s="30" t="n"/>
      <c r="AG3435" s="30" t="n"/>
      <c r="AH3435" s="30" t="n"/>
      <c r="AI3435" s="30" t="n"/>
      <c r="AJ3435" s="30" t="n"/>
      <c r="AK3435" s="30" t="n"/>
      <c r="AL3435" s="30" t="n"/>
      <c r="AM3435" s="30" t="n"/>
      <c r="AN3435" s="30" t="n"/>
    </row>
    <row r="3436">
      <c r="A3436" s="89" t="inlineStr">
        <is>
          <t>11660XXX</t>
        </is>
      </c>
      <c r="B3436" s="135" t="inlineStr">
        <is>
          <t>TAVERNITI JEAN</t>
        </is>
      </c>
      <c r="C3436" s="88" t="n">
        <v>81000</v>
      </c>
      <c r="D3436" s="170" t="n"/>
      <c r="E3436" s="170" t="n"/>
      <c r="F3436" s="170" t="n"/>
      <c r="G3436" s="170" t="n"/>
      <c r="H3436" s="227" t="n"/>
      <c r="I3436" s="170" t="n"/>
      <c r="J3436" s="170" t="n"/>
      <c r="K3436" s="170" t="n"/>
      <c r="L3436" s="170">
        <f>ROUND((Q3436*C3436)/100,0)*100</f>
        <v/>
      </c>
      <c r="M3436" s="170" t="n"/>
      <c r="N3436" s="30" t="n"/>
      <c r="O3436" s="30" t="n"/>
      <c r="P3436" s="170" t="n"/>
      <c r="Q3436" s="118" t="n">
        <v>1.05</v>
      </c>
      <c r="R3436" s="170" t="n"/>
      <c r="S3436" s="30" t="n"/>
      <c r="T3436" s="170" t="n"/>
      <c r="U3436" s="30" t="n"/>
      <c r="V3436" s="30" t="n"/>
      <c r="W3436" s="30" t="n"/>
      <c r="X3436" s="30" t="n"/>
      <c r="Y3436" s="30" t="n"/>
      <c r="Z3436" s="30" t="n"/>
      <c r="AA3436" s="30" t="n"/>
      <c r="AB3436" s="30" t="n"/>
      <c r="AC3436" s="30" t="n"/>
      <c r="AD3436" s="30" t="n"/>
      <c r="AE3436" s="30" t="n"/>
      <c r="AF3436" s="30" t="n"/>
      <c r="AG3436" s="30" t="n"/>
      <c r="AH3436" s="30" t="n"/>
      <c r="AI3436" s="30" t="n"/>
      <c r="AJ3436" s="30" t="n"/>
      <c r="AK3436" s="30" t="n"/>
      <c r="AL3436" s="30" t="n"/>
      <c r="AM3436" s="30" t="n"/>
      <c r="AN3436" s="30" t="n"/>
    </row>
    <row r="3437">
      <c r="A3437" s="89" t="inlineStr">
        <is>
          <t>11666XXX</t>
        </is>
      </c>
      <c r="B3437" s="135" t="inlineStr">
        <is>
          <t>TAVERNITI JEAN</t>
        </is>
      </c>
      <c r="C3437" s="88" t="n">
        <v>81000</v>
      </c>
      <c r="D3437" s="170" t="n"/>
      <c r="E3437" s="170" t="n"/>
      <c r="F3437" s="170" t="n"/>
      <c r="G3437" s="170" t="n"/>
      <c r="H3437" s="227" t="n"/>
      <c r="I3437" s="170" t="n"/>
      <c r="J3437" s="170" t="n"/>
      <c r="K3437" s="170" t="n"/>
      <c r="L3437" s="170">
        <f>ROUND((Q3437*C3437)/100,0)*100</f>
        <v/>
      </c>
      <c r="M3437" s="170" t="n"/>
      <c r="N3437" s="30" t="n"/>
      <c r="O3437" s="30" t="n"/>
      <c r="P3437" s="170" t="n"/>
      <c r="Q3437" s="118" t="n">
        <v>1.05</v>
      </c>
      <c r="R3437" s="170" t="n"/>
      <c r="S3437" s="30" t="n"/>
      <c r="T3437" s="170" t="n"/>
      <c r="U3437" s="30" t="n"/>
      <c r="V3437" s="30" t="n"/>
      <c r="W3437" s="30" t="n"/>
      <c r="X3437" s="30" t="n"/>
      <c r="Y3437" s="30" t="n"/>
      <c r="Z3437" s="30" t="n"/>
      <c r="AA3437" s="30" t="n"/>
      <c r="AB3437" s="30" t="n"/>
      <c r="AC3437" s="30" t="n"/>
      <c r="AD3437" s="30" t="n"/>
      <c r="AE3437" s="30" t="n"/>
      <c r="AF3437" s="30" t="n"/>
      <c r="AG3437" s="30" t="n"/>
      <c r="AH3437" s="30" t="n"/>
      <c r="AI3437" s="30" t="n"/>
      <c r="AJ3437" s="30" t="n"/>
      <c r="AK3437" s="30" t="n"/>
      <c r="AL3437" s="30" t="n"/>
      <c r="AM3437" s="30" t="n"/>
      <c r="AN3437" s="30" t="n"/>
    </row>
    <row r="3438">
      <c r="A3438" s="134" t="inlineStr">
        <is>
          <t>11672XXX</t>
        </is>
      </c>
      <c r="B3438" s="246" t="inlineStr">
        <is>
          <t>TAVERNITI JEAN</t>
        </is>
      </c>
      <c r="C3438" s="88" t="n">
        <v>81000</v>
      </c>
      <c r="D3438" s="219" t="n"/>
      <c r="E3438" s="219" t="n"/>
      <c r="F3438" s="219" t="n"/>
      <c r="G3438" s="219" t="n"/>
      <c r="H3438" s="180" t="n"/>
      <c r="I3438" s="219" t="n"/>
      <c r="J3438" s="219" t="n"/>
      <c r="K3438" s="219" t="n"/>
      <c r="L3438" s="219">
        <f>ROUND((Q3438*C3438)/100,0)*100</f>
        <v/>
      </c>
      <c r="M3438" s="219" t="n"/>
      <c r="P3438" s="117" t="n"/>
      <c r="Q3438" s="118" t="n">
        <v>1.05</v>
      </c>
      <c r="R3438" s="117" t="n"/>
      <c r="T3438" s="117" t="n"/>
    </row>
    <row r="3439">
      <c r="A3439" s="89" t="inlineStr">
        <is>
          <t>11700XXX</t>
        </is>
      </c>
      <c r="B3439" s="135" t="inlineStr">
        <is>
          <t>TAVERNITI JEAN</t>
        </is>
      </c>
      <c r="C3439" s="88" t="n">
        <v>98700</v>
      </c>
      <c r="D3439" s="170" t="n"/>
      <c r="E3439" s="170" t="n"/>
      <c r="F3439" s="170" t="n"/>
      <c r="G3439" s="170" t="n"/>
      <c r="H3439" s="227" t="n"/>
      <c r="I3439" s="170" t="n"/>
      <c r="J3439" s="170" t="n"/>
      <c r="K3439" s="170" t="n"/>
      <c r="L3439" s="150">
        <f>ROUND((Q3439*C3439)/100,0)*100</f>
        <v/>
      </c>
      <c r="M3439" s="170" t="n"/>
      <c r="N3439" s="30" t="n"/>
      <c r="O3439" s="30" t="n"/>
      <c r="P3439" s="170" t="n"/>
      <c r="Q3439" s="118" t="n">
        <v>1.05</v>
      </c>
      <c r="R3439" s="170" t="n"/>
      <c r="S3439" s="30" t="n"/>
      <c r="T3439" s="170" t="n"/>
      <c r="U3439" s="30" t="n"/>
      <c r="V3439" s="30" t="n"/>
      <c r="W3439" s="30" t="n"/>
      <c r="X3439" s="30" t="n"/>
      <c r="Y3439" s="30" t="n"/>
      <c r="Z3439" s="30" t="n"/>
      <c r="AA3439" s="30" t="n"/>
      <c r="AB3439" s="30" t="n"/>
      <c r="AC3439" s="30" t="n"/>
      <c r="AD3439" s="30" t="n"/>
      <c r="AE3439" s="30" t="n"/>
      <c r="AF3439" s="30" t="n"/>
      <c r="AG3439" s="30" t="n"/>
      <c r="AH3439" s="30" t="n"/>
      <c r="AI3439" s="30" t="n"/>
      <c r="AJ3439" s="30" t="n"/>
      <c r="AK3439" s="30" t="n"/>
      <c r="AL3439" s="30" t="n"/>
      <c r="AM3439" s="30" t="n"/>
      <c r="AN3439" s="30" t="n"/>
    </row>
    <row r="3440">
      <c r="A3440" s="134" t="inlineStr">
        <is>
          <t>11708XXX</t>
        </is>
      </c>
      <c r="B3440" s="246" t="inlineStr">
        <is>
          <t>TAVERNITI JEAN</t>
        </is>
      </c>
      <c r="C3440" s="88" t="n">
        <v>81000</v>
      </c>
      <c r="D3440" s="219" t="n"/>
      <c r="E3440" s="219" t="n"/>
      <c r="F3440" s="219" t="n"/>
      <c r="G3440" s="219" t="n"/>
      <c r="H3440" s="180" t="n"/>
      <c r="I3440" s="219" t="n"/>
      <c r="J3440" s="219" t="n"/>
      <c r="K3440" s="219" t="n"/>
      <c r="L3440" s="219">
        <f>ROUND((Q3440*C3440)/100,0)*100</f>
        <v/>
      </c>
      <c r="M3440" s="219" t="n"/>
      <c r="P3440" s="117" t="n"/>
      <c r="Q3440" s="118" t="n">
        <v>1.05</v>
      </c>
      <c r="R3440" s="117" t="n"/>
      <c r="T3440" s="117" t="n"/>
    </row>
    <row r="3441">
      <c r="A3441" s="134" t="inlineStr">
        <is>
          <t>11710XXX</t>
        </is>
      </c>
      <c r="B3441" s="246" t="inlineStr">
        <is>
          <t>TAVERNITI JEAN</t>
        </is>
      </c>
      <c r="C3441" s="88" t="n">
        <v>81000</v>
      </c>
      <c r="D3441" s="219" t="n"/>
      <c r="E3441" s="219" t="n"/>
      <c r="F3441" s="219" t="n"/>
      <c r="G3441" s="219" t="n"/>
      <c r="H3441" s="180" t="n"/>
      <c r="I3441" s="219" t="n"/>
      <c r="J3441" s="219" t="n"/>
      <c r="K3441" s="219" t="n"/>
      <c r="L3441" s="219">
        <f>ROUND((Q3441*C3441)/100,0)*100</f>
        <v/>
      </c>
      <c r="M3441" s="219" t="n"/>
      <c r="P3441" s="117" t="n"/>
      <c r="Q3441" s="118" t="n">
        <v>1.05</v>
      </c>
      <c r="R3441" s="117" t="n"/>
      <c r="T3441" s="117" t="n"/>
    </row>
    <row r="3442">
      <c r="A3442" s="89" t="inlineStr">
        <is>
          <t>11712XXX</t>
        </is>
      </c>
      <c r="B3442" s="135" t="inlineStr">
        <is>
          <t>TAVERNITI CARGO</t>
        </is>
      </c>
      <c r="C3442" s="88" t="n">
        <v>81000</v>
      </c>
      <c r="D3442" s="170" t="n"/>
      <c r="E3442" s="170" t="n"/>
      <c r="F3442" s="170" t="n"/>
      <c r="G3442" s="170" t="n"/>
      <c r="H3442" s="227" t="n"/>
      <c r="I3442" s="170" t="n"/>
      <c r="J3442" s="170" t="n"/>
      <c r="K3442" s="170" t="n"/>
      <c r="L3442" s="170">
        <f>ROUND((Q3442*C3442)/100,0)*100</f>
        <v/>
      </c>
      <c r="M3442" s="170" t="n"/>
      <c r="N3442" s="30" t="n"/>
      <c r="O3442" s="30" t="n"/>
      <c r="P3442" s="170" t="n"/>
      <c r="Q3442" s="118" t="n">
        <v>1.05</v>
      </c>
      <c r="R3442" s="170" t="n"/>
      <c r="S3442" s="30" t="n"/>
      <c r="T3442" s="170" t="n"/>
      <c r="U3442" s="30" t="n"/>
      <c r="V3442" s="30" t="n"/>
      <c r="W3442" s="30" t="n"/>
      <c r="X3442" s="30" t="n"/>
      <c r="Y3442" s="30" t="n"/>
      <c r="Z3442" s="30" t="n"/>
      <c r="AA3442" s="30" t="n"/>
      <c r="AB3442" s="30" t="n"/>
      <c r="AC3442" s="30" t="n"/>
      <c r="AD3442" s="30" t="n"/>
      <c r="AE3442" s="30" t="n"/>
      <c r="AF3442" s="30" t="n"/>
      <c r="AG3442" s="30" t="n"/>
      <c r="AH3442" s="30" t="n"/>
      <c r="AI3442" s="30" t="n"/>
      <c r="AJ3442" s="30" t="n"/>
      <c r="AK3442" s="30" t="n"/>
      <c r="AL3442" s="30" t="n"/>
      <c r="AM3442" s="30" t="n"/>
      <c r="AN3442" s="30" t="n"/>
    </row>
    <row r="3443">
      <c r="A3443" s="89" t="inlineStr">
        <is>
          <t>11714XXX</t>
        </is>
      </c>
      <c r="B3443" s="135" t="inlineStr">
        <is>
          <t>TAVERNITI CARGO</t>
        </is>
      </c>
      <c r="C3443" s="88" t="n">
        <v>81000</v>
      </c>
      <c r="D3443" s="170" t="n"/>
      <c r="E3443" s="170" t="n"/>
      <c r="F3443" s="170" t="n"/>
      <c r="G3443" s="170" t="n"/>
      <c r="H3443" s="227" t="n"/>
      <c r="I3443" s="170" t="n"/>
      <c r="J3443" s="170" t="n"/>
      <c r="K3443" s="170" t="n"/>
      <c r="L3443" s="170">
        <f>ROUND((Q3443*C3443)/100,0)*100</f>
        <v/>
      </c>
      <c r="M3443" s="170" t="n"/>
      <c r="N3443" s="30" t="n"/>
      <c r="O3443" s="30" t="n"/>
      <c r="P3443" s="170" t="n"/>
      <c r="Q3443" s="118" t="n">
        <v>1.05</v>
      </c>
      <c r="R3443" s="170" t="n"/>
      <c r="S3443" s="30" t="n"/>
      <c r="T3443" s="170" t="n"/>
      <c r="U3443" s="30" t="n"/>
      <c r="V3443" s="30" t="n"/>
      <c r="W3443" s="30" t="n"/>
      <c r="X3443" s="30" t="n"/>
      <c r="Y3443" s="30" t="n"/>
      <c r="Z3443" s="30" t="n"/>
      <c r="AA3443" s="30" t="n"/>
      <c r="AB3443" s="30" t="n"/>
      <c r="AC3443" s="30" t="n"/>
      <c r="AD3443" s="30" t="n"/>
      <c r="AE3443" s="30" t="n"/>
      <c r="AF3443" s="30" t="n"/>
      <c r="AG3443" s="30" t="n"/>
      <c r="AH3443" s="30" t="n"/>
      <c r="AI3443" s="30" t="n"/>
      <c r="AJ3443" s="30" t="n"/>
      <c r="AK3443" s="30" t="n"/>
      <c r="AL3443" s="30" t="n"/>
      <c r="AM3443" s="30" t="n"/>
      <c r="AN3443" s="30" t="n"/>
    </row>
    <row r="3444">
      <c r="A3444" s="134" t="inlineStr">
        <is>
          <t>11716XXX</t>
        </is>
      </c>
      <c r="B3444" s="246" t="inlineStr">
        <is>
          <t>TAVERNITI CARGO</t>
        </is>
      </c>
      <c r="C3444" s="88" t="n">
        <v>82900</v>
      </c>
      <c r="D3444" s="219" t="n"/>
      <c r="E3444" s="219" t="n"/>
      <c r="F3444" s="219" t="n"/>
      <c r="G3444" s="219" t="n"/>
      <c r="H3444" s="180" t="n"/>
      <c r="I3444" s="219" t="n"/>
      <c r="J3444" s="219" t="n"/>
      <c r="K3444" s="219" t="n"/>
      <c r="L3444" s="219">
        <f>ROUND((Q3444*C3444)/100,0)*100</f>
        <v/>
      </c>
      <c r="M3444" s="219" t="n"/>
      <c r="P3444" s="117" t="n"/>
      <c r="Q3444" s="118" t="n">
        <v>1.05</v>
      </c>
      <c r="R3444" s="117" t="n"/>
      <c r="T3444" s="117" t="n"/>
    </row>
    <row r="3445">
      <c r="A3445" s="134" t="inlineStr">
        <is>
          <t>11718XXX</t>
        </is>
      </c>
      <c r="B3445" s="246" t="inlineStr">
        <is>
          <t>TAVERNITI CARGO</t>
        </is>
      </c>
      <c r="C3445" s="88" t="n">
        <v>82900</v>
      </c>
      <c r="D3445" s="219" t="n"/>
      <c r="E3445" s="219" t="n"/>
      <c r="F3445" s="219" t="n"/>
      <c r="G3445" s="219" t="n"/>
      <c r="H3445" s="180" t="n"/>
      <c r="I3445" s="219" t="n"/>
      <c r="J3445" s="219" t="n"/>
      <c r="K3445" s="219" t="n"/>
      <c r="L3445" s="219">
        <f>ROUND((Q3445*C3445)/100,0)*100</f>
        <v/>
      </c>
      <c r="M3445" s="219" t="n"/>
      <c r="P3445" s="117" t="n"/>
      <c r="Q3445" s="118" t="n">
        <v>1.05</v>
      </c>
      <c r="R3445" s="117" t="n"/>
      <c r="T3445" s="117" t="n"/>
    </row>
    <row r="3446">
      <c r="A3446" s="134" t="inlineStr">
        <is>
          <t>11720XXX</t>
        </is>
      </c>
      <c r="B3446" s="246" t="inlineStr">
        <is>
          <t>TAVERNITI JEAN</t>
        </is>
      </c>
      <c r="C3446" s="88" t="n">
        <v>81000</v>
      </c>
      <c r="D3446" s="219" t="n"/>
      <c r="E3446" s="219" t="n"/>
      <c r="F3446" s="219" t="n"/>
      <c r="G3446" s="219" t="n"/>
      <c r="H3446" s="180" t="n"/>
      <c r="I3446" s="219" t="n"/>
      <c r="J3446" s="219" t="n"/>
      <c r="K3446" s="219" t="n"/>
      <c r="L3446" s="219">
        <f>ROUND((Q3446*C3446)/100,0)*100</f>
        <v/>
      </c>
      <c r="M3446" s="219" t="n"/>
      <c r="P3446" s="117" t="n"/>
      <c r="Q3446" s="118" t="n">
        <v>1.05</v>
      </c>
      <c r="R3446" s="117" t="n"/>
      <c r="T3446" s="117" t="n"/>
    </row>
    <row r="3447">
      <c r="A3447" s="134" t="inlineStr">
        <is>
          <t>11724XXX</t>
        </is>
      </c>
      <c r="B3447" s="246" t="inlineStr">
        <is>
          <t>TAVERNITI JEAN</t>
        </is>
      </c>
      <c r="C3447" s="88" t="n">
        <v>81000</v>
      </c>
      <c r="D3447" s="219" t="n"/>
      <c r="E3447" s="219" t="n"/>
      <c r="F3447" s="219" t="n"/>
      <c r="G3447" s="219" t="n"/>
      <c r="H3447" s="180" t="n"/>
      <c r="I3447" s="219" t="n"/>
      <c r="J3447" s="219" t="n"/>
      <c r="K3447" s="219" t="n"/>
      <c r="L3447" s="219">
        <f>ROUND((Q3447*C3447)/100,0)*100</f>
        <v/>
      </c>
      <c r="M3447" s="219" t="n"/>
      <c r="P3447" s="117" t="n"/>
      <c r="Q3447" s="118" t="n">
        <v>1.05</v>
      </c>
      <c r="R3447" s="117" t="n"/>
      <c r="T3447" s="117" t="n"/>
    </row>
    <row r="3448">
      <c r="A3448" s="89" t="inlineStr">
        <is>
          <t>11730XXX</t>
        </is>
      </c>
      <c r="B3448" s="135" t="inlineStr">
        <is>
          <t>TAVERNITI JEAN</t>
        </is>
      </c>
      <c r="C3448" s="88" t="n">
        <v>81000</v>
      </c>
      <c r="D3448" s="170" t="n"/>
      <c r="E3448" s="170" t="n"/>
      <c r="F3448" s="170" t="n"/>
      <c r="G3448" s="170" t="n"/>
      <c r="H3448" s="227" t="n"/>
      <c r="I3448" s="170" t="n"/>
      <c r="J3448" s="170" t="n"/>
      <c r="K3448" s="170" t="n"/>
      <c r="L3448" s="170">
        <f>ROUND((Q3448*C3448)/100,0)*100</f>
        <v/>
      </c>
      <c r="M3448" s="170" t="n"/>
      <c r="N3448" s="30" t="n"/>
      <c r="O3448" s="30" t="n"/>
      <c r="P3448" s="170" t="n"/>
      <c r="Q3448" s="118" t="n">
        <v>1.05</v>
      </c>
      <c r="R3448" s="170" t="n"/>
      <c r="S3448" s="30" t="n"/>
      <c r="T3448" s="170" t="n"/>
      <c r="U3448" s="30" t="n"/>
      <c r="V3448" s="30" t="n"/>
      <c r="W3448" s="30" t="n"/>
      <c r="X3448" s="30" t="n"/>
      <c r="Y3448" s="30" t="n"/>
      <c r="Z3448" s="30" t="n"/>
      <c r="AA3448" s="30" t="n"/>
      <c r="AB3448" s="30" t="n"/>
      <c r="AC3448" s="30" t="n"/>
      <c r="AD3448" s="30" t="n"/>
      <c r="AE3448" s="30" t="n"/>
      <c r="AF3448" s="30" t="n"/>
      <c r="AG3448" s="30" t="n"/>
      <c r="AH3448" s="30" t="n"/>
      <c r="AI3448" s="30" t="n"/>
      <c r="AJ3448" s="30" t="n"/>
      <c r="AK3448" s="30" t="n"/>
      <c r="AL3448" s="30" t="n"/>
      <c r="AM3448" s="30" t="n"/>
      <c r="AN3448" s="30" t="n"/>
    </row>
    <row r="3449">
      <c r="A3449" s="134" t="inlineStr">
        <is>
          <t>11738XXX</t>
        </is>
      </c>
      <c r="B3449" s="246" t="inlineStr">
        <is>
          <t>TAVERNITI JEAN</t>
        </is>
      </c>
      <c r="C3449" s="88" t="n">
        <v>82600</v>
      </c>
      <c r="D3449" s="219" t="n"/>
      <c r="E3449" s="219" t="n"/>
      <c r="F3449" s="219" t="n"/>
      <c r="G3449" s="219" t="n"/>
      <c r="H3449" s="180" t="n"/>
      <c r="I3449" s="219" t="n"/>
      <c r="J3449" s="219" t="n"/>
      <c r="K3449" s="219" t="n"/>
      <c r="L3449" s="219">
        <f>ROUND((Q3449*C3449)/100,0)*100</f>
        <v/>
      </c>
      <c r="M3449" s="219" t="n"/>
      <c r="P3449" s="117" t="n"/>
      <c r="Q3449" s="118" t="n">
        <v>1.05</v>
      </c>
      <c r="R3449" s="117" t="n"/>
      <c r="T3449" s="117" t="n"/>
    </row>
    <row r="3450">
      <c r="A3450" s="89" t="inlineStr">
        <is>
          <t>11740XXX</t>
        </is>
      </c>
      <c r="B3450" s="135" t="inlineStr">
        <is>
          <t>TAVERNITI JEAN</t>
        </is>
      </c>
      <c r="C3450" s="88" t="n">
        <v>81000</v>
      </c>
      <c r="D3450" s="170" t="n"/>
      <c r="E3450" s="170" t="n"/>
      <c r="F3450" s="170" t="n"/>
      <c r="G3450" s="170" t="n"/>
      <c r="H3450" s="105" t="n"/>
      <c r="I3450" s="170" t="n"/>
      <c r="J3450" s="170" t="n"/>
      <c r="K3450" s="170" t="n"/>
      <c r="L3450" s="88">
        <f>ROUND((Q3450*C3450)/100,0)*100</f>
        <v/>
      </c>
      <c r="M3450" s="170" t="n"/>
      <c r="N3450" s="30" t="n"/>
      <c r="O3450" s="30" t="n"/>
      <c r="P3450" s="170" t="n"/>
      <c r="Q3450" s="118" t="n">
        <v>1.05</v>
      </c>
      <c r="R3450" s="170" t="n"/>
      <c r="S3450" s="30" t="n"/>
      <c r="T3450" s="170" t="n"/>
      <c r="U3450" s="30" t="n"/>
      <c r="V3450" s="30" t="n"/>
      <c r="W3450" s="30" t="n"/>
      <c r="X3450" s="30" t="n"/>
      <c r="Y3450" s="30" t="n"/>
      <c r="Z3450" s="30" t="n"/>
      <c r="AA3450" s="30" t="n"/>
      <c r="AB3450" s="30" t="n"/>
      <c r="AC3450" s="30" t="n"/>
      <c r="AD3450" s="30" t="n"/>
      <c r="AE3450" s="30" t="n"/>
      <c r="AF3450" s="30" t="n"/>
      <c r="AG3450" s="30" t="n"/>
      <c r="AH3450" s="30" t="n"/>
      <c r="AI3450" s="30" t="n"/>
      <c r="AJ3450" s="30" t="n"/>
      <c r="AK3450" s="30" t="n"/>
      <c r="AL3450" s="30" t="n"/>
      <c r="AM3450" s="30" t="n"/>
      <c r="AN3450" s="30" t="n"/>
      <c r="AO3450" s="30" t="n"/>
    </row>
    <row r="3451">
      <c r="A3451" s="134" t="inlineStr">
        <is>
          <t>11748XXX</t>
        </is>
      </c>
      <c r="B3451" s="246" t="inlineStr">
        <is>
          <t>TAVERNITI JEAN</t>
        </is>
      </c>
      <c r="C3451" s="88" t="n">
        <v>81000</v>
      </c>
      <c r="D3451" s="219" t="n"/>
      <c r="E3451" s="219" t="n"/>
      <c r="F3451" s="219" t="n"/>
      <c r="G3451" s="219" t="n"/>
      <c r="H3451" s="180" t="n"/>
      <c r="I3451" s="219" t="n"/>
      <c r="J3451" s="219" t="n"/>
      <c r="K3451" s="219" t="n"/>
      <c r="L3451" s="219">
        <f>ROUND((Q3451*C3451)/100,0)*100</f>
        <v/>
      </c>
      <c r="M3451" s="219" t="n"/>
      <c r="P3451" s="117" t="n"/>
      <c r="Q3451" s="118" t="n">
        <v>1.05</v>
      </c>
      <c r="R3451" s="117" t="n"/>
      <c r="T3451" s="117" t="n"/>
    </row>
    <row r="3452">
      <c r="A3452" s="89" t="inlineStr">
        <is>
          <t>11752XXX</t>
        </is>
      </c>
      <c r="B3452" s="135" t="inlineStr">
        <is>
          <t>TAVERNITI JEAN</t>
        </is>
      </c>
      <c r="C3452" s="88" t="n">
        <v>100300</v>
      </c>
      <c r="D3452" s="170" t="n"/>
      <c r="E3452" s="170" t="n"/>
      <c r="F3452" s="170" t="n"/>
      <c r="G3452" s="170" t="n"/>
      <c r="H3452" s="227" t="n"/>
      <c r="I3452" s="170" t="n"/>
      <c r="J3452" s="170" t="n"/>
      <c r="K3452" s="170" t="n"/>
      <c r="L3452" s="170">
        <f>ROUND((Q3452*C3452)/100,0)*100</f>
        <v/>
      </c>
      <c r="M3452" s="170" t="n"/>
      <c r="N3452" s="30" t="n"/>
      <c r="O3452" s="30" t="n"/>
      <c r="P3452" s="170" t="n"/>
      <c r="Q3452" s="118" t="n">
        <v>1.05</v>
      </c>
      <c r="R3452" s="170" t="n"/>
      <c r="S3452" s="30" t="n"/>
      <c r="T3452" s="170" t="n"/>
      <c r="U3452" s="30" t="n"/>
      <c r="V3452" s="30" t="n"/>
      <c r="W3452" s="30" t="n"/>
      <c r="X3452" s="30" t="n"/>
      <c r="Y3452" s="30" t="n"/>
      <c r="Z3452" s="30" t="n"/>
      <c r="AA3452" s="30" t="n"/>
      <c r="AB3452" s="30" t="n"/>
      <c r="AC3452" s="30" t="n"/>
      <c r="AD3452" s="30" t="n"/>
      <c r="AE3452" s="30" t="n"/>
      <c r="AF3452" s="30" t="n"/>
      <c r="AG3452" s="30" t="n"/>
      <c r="AH3452" s="30" t="n"/>
      <c r="AI3452" s="30" t="n"/>
      <c r="AJ3452" s="30" t="n"/>
      <c r="AK3452" s="30" t="n"/>
      <c r="AL3452" s="30" t="n"/>
      <c r="AM3452" s="30" t="n"/>
      <c r="AN3452" s="30" t="n"/>
      <c r="AO3452" s="30" t="n"/>
    </row>
    <row r="3453">
      <c r="A3453" s="134" t="inlineStr">
        <is>
          <t>11756XXX</t>
        </is>
      </c>
      <c r="B3453" s="246" t="inlineStr">
        <is>
          <t>TAVERNITI JEAN</t>
        </is>
      </c>
      <c r="C3453" s="88" t="n">
        <v>81000</v>
      </c>
      <c r="D3453" s="219" t="n"/>
      <c r="E3453" s="219" t="n"/>
      <c r="F3453" s="219" t="n"/>
      <c r="G3453" s="219" t="n"/>
      <c r="H3453" s="180" t="n"/>
      <c r="I3453" s="219" t="n"/>
      <c r="J3453" s="219" t="n"/>
      <c r="K3453" s="219" t="n"/>
      <c r="L3453" s="219">
        <f>ROUND((Q3453*C3453)/100,0)*100</f>
        <v/>
      </c>
      <c r="M3453" s="219" t="n"/>
      <c r="P3453" s="117" t="n"/>
      <c r="Q3453" s="118" t="n">
        <v>1.05</v>
      </c>
      <c r="R3453" s="117" t="n"/>
      <c r="T3453" s="117" t="n"/>
    </row>
    <row r="3454">
      <c r="A3454" s="89" t="inlineStr">
        <is>
          <t>11758XXX</t>
        </is>
      </c>
      <c r="B3454" s="135" t="inlineStr">
        <is>
          <t>TAVERNITI JEAN</t>
        </is>
      </c>
      <c r="C3454" s="88" t="n">
        <v>81000</v>
      </c>
      <c r="D3454" s="170" t="n"/>
      <c r="E3454" s="170" t="n"/>
      <c r="F3454" s="170" t="n"/>
      <c r="G3454" s="170" t="n"/>
      <c r="H3454" s="227" t="n"/>
      <c r="I3454" s="170" t="n"/>
      <c r="J3454" s="170" t="n"/>
      <c r="K3454" s="170" t="n"/>
      <c r="L3454" s="170">
        <f>ROUND((Q3454*C3454)/100,0)*100</f>
        <v/>
      </c>
      <c r="M3454" s="170" t="n"/>
      <c r="N3454" s="30" t="n"/>
      <c r="O3454" s="30" t="n"/>
      <c r="P3454" s="170" t="n"/>
      <c r="Q3454" s="118" t="n">
        <v>1.05</v>
      </c>
      <c r="R3454" s="170" t="n"/>
      <c r="S3454" s="30" t="n"/>
      <c r="T3454" s="170" t="n"/>
      <c r="U3454" s="30" t="n"/>
      <c r="V3454" s="30" t="n"/>
      <c r="W3454" s="30" t="n"/>
      <c r="X3454" s="30" t="n"/>
      <c r="Y3454" s="30" t="n"/>
      <c r="Z3454" s="30" t="n"/>
      <c r="AA3454" s="30" t="n"/>
      <c r="AB3454" s="30" t="n"/>
      <c r="AC3454" s="30" t="n"/>
      <c r="AD3454" s="30" t="n"/>
      <c r="AE3454" s="30" t="n"/>
      <c r="AF3454" s="30" t="n"/>
      <c r="AG3454" s="30" t="n"/>
      <c r="AH3454" s="30" t="n"/>
      <c r="AI3454" s="30" t="n"/>
      <c r="AJ3454" s="30" t="n"/>
      <c r="AK3454" s="30" t="n"/>
      <c r="AL3454" s="30" t="n"/>
      <c r="AM3454" s="30" t="n"/>
      <c r="AN3454" s="30" t="n"/>
    </row>
    <row r="3455">
      <c r="A3455" s="134" t="inlineStr">
        <is>
          <t>11766XXX</t>
        </is>
      </c>
      <c r="B3455" s="246" t="inlineStr">
        <is>
          <t>TAVERNITI JEAN</t>
        </is>
      </c>
      <c r="C3455" s="88" t="n">
        <v>81000</v>
      </c>
      <c r="D3455" s="219" t="n"/>
      <c r="E3455" s="219" t="n"/>
      <c r="F3455" s="219" t="n"/>
      <c r="G3455" s="219" t="n"/>
      <c r="H3455" s="180" t="n"/>
      <c r="I3455" s="219" t="n"/>
      <c r="J3455" s="219" t="n"/>
      <c r="K3455" s="219" t="n"/>
      <c r="L3455" s="219">
        <f>ROUND((Q3455*C3455)/100,0)*100</f>
        <v/>
      </c>
      <c r="M3455" s="219" t="n"/>
      <c r="P3455" s="117" t="n"/>
      <c r="Q3455" s="118" t="n">
        <v>1.05</v>
      </c>
      <c r="R3455" s="117" t="n"/>
      <c r="T3455" s="117" t="n"/>
    </row>
    <row r="3456">
      <c r="A3456" s="89" t="inlineStr">
        <is>
          <t>11770XXX</t>
        </is>
      </c>
      <c r="B3456" s="135" t="inlineStr">
        <is>
          <t>TAVERNITI JEAN</t>
        </is>
      </c>
      <c r="C3456" s="88" t="n">
        <v>81000</v>
      </c>
      <c r="D3456" s="170" t="n"/>
      <c r="E3456" s="170" t="n"/>
      <c r="F3456" s="170" t="n"/>
      <c r="G3456" s="170" t="n"/>
      <c r="H3456" s="227" t="n"/>
      <c r="I3456" s="170" t="n"/>
      <c r="J3456" s="170" t="n"/>
      <c r="K3456" s="170" t="n"/>
      <c r="L3456" s="170">
        <f>ROUND((Q3456*C3456)/100,0)*100</f>
        <v/>
      </c>
      <c r="M3456" s="170" t="n"/>
      <c r="N3456" s="30" t="n"/>
      <c r="O3456" s="30" t="n"/>
      <c r="P3456" s="170" t="n"/>
      <c r="Q3456" s="118" t="n">
        <v>1.05</v>
      </c>
      <c r="R3456" s="170" t="n"/>
      <c r="S3456" s="30" t="n"/>
      <c r="T3456" s="170" t="n"/>
      <c r="U3456" s="30" t="n"/>
      <c r="V3456" s="30" t="n"/>
      <c r="W3456" s="30" t="n"/>
      <c r="X3456" s="30" t="n"/>
      <c r="Y3456" s="30" t="n"/>
      <c r="Z3456" s="30" t="n"/>
      <c r="AA3456" s="30" t="n"/>
      <c r="AB3456" s="30" t="n"/>
      <c r="AC3456" s="30" t="n"/>
      <c r="AD3456" s="30" t="n"/>
      <c r="AE3456" s="30" t="n"/>
      <c r="AF3456" s="30" t="n"/>
      <c r="AG3456" s="30" t="n"/>
      <c r="AH3456" s="30" t="n"/>
      <c r="AI3456" s="30" t="n"/>
      <c r="AJ3456" s="30" t="n"/>
      <c r="AK3456" s="30" t="n"/>
      <c r="AL3456" s="30" t="n"/>
      <c r="AM3456" s="30" t="n"/>
      <c r="AN3456" s="30" t="n"/>
    </row>
    <row r="3457">
      <c r="A3457" s="89" t="inlineStr">
        <is>
          <t>11774XXX</t>
        </is>
      </c>
      <c r="B3457" s="135" t="inlineStr">
        <is>
          <t>TAVERNITI JEAN</t>
        </is>
      </c>
      <c r="C3457" s="88" t="n">
        <v>81000</v>
      </c>
      <c r="D3457" s="170" t="n"/>
      <c r="E3457" s="170" t="n"/>
      <c r="F3457" s="170" t="n"/>
      <c r="G3457" s="170" t="n"/>
      <c r="H3457" s="227" t="n"/>
      <c r="I3457" s="170" t="n"/>
      <c r="J3457" s="170" t="n"/>
      <c r="K3457" s="170" t="n"/>
      <c r="L3457" s="170">
        <f>ROUND((Q3457*C3457)/100,0)*100</f>
        <v/>
      </c>
      <c r="M3457" s="170" t="n"/>
      <c r="N3457" s="30" t="n"/>
      <c r="O3457" s="30" t="n"/>
      <c r="P3457" s="170" t="n"/>
      <c r="Q3457" s="118" t="n">
        <v>1.05</v>
      </c>
      <c r="R3457" s="170" t="n"/>
      <c r="S3457" s="30" t="n"/>
      <c r="T3457" s="170" t="n"/>
      <c r="U3457" s="30" t="n"/>
      <c r="V3457" s="30" t="n"/>
      <c r="W3457" s="30" t="n"/>
      <c r="X3457" s="30" t="n"/>
      <c r="Y3457" s="30" t="n"/>
      <c r="Z3457" s="30" t="n"/>
      <c r="AA3457" s="30" t="n"/>
      <c r="AB3457" s="30" t="n"/>
      <c r="AC3457" s="30" t="n"/>
      <c r="AD3457" s="30" t="n"/>
      <c r="AE3457" s="30" t="n"/>
      <c r="AF3457" s="30" t="n"/>
      <c r="AG3457" s="30" t="n"/>
      <c r="AH3457" s="30" t="n"/>
      <c r="AI3457" s="30" t="n"/>
      <c r="AJ3457" s="30" t="n"/>
      <c r="AK3457" s="30" t="n"/>
      <c r="AL3457" s="30" t="n"/>
      <c r="AM3457" s="30" t="n"/>
      <c r="AN3457" s="30" t="n"/>
    </row>
    <row r="3458">
      <c r="A3458" s="89" t="inlineStr">
        <is>
          <t>11776XXX</t>
        </is>
      </c>
      <c r="B3458" s="135" t="inlineStr">
        <is>
          <t>TAVERNITI JEAN</t>
        </is>
      </c>
      <c r="C3458" s="88" t="n">
        <v>81000</v>
      </c>
      <c r="D3458" s="170" t="n"/>
      <c r="E3458" s="170" t="n"/>
      <c r="F3458" s="170" t="n"/>
      <c r="G3458" s="170" t="n"/>
      <c r="H3458" s="105" t="n"/>
      <c r="I3458" s="170" t="n"/>
      <c r="J3458" s="170" t="n"/>
      <c r="K3458" s="170" t="n"/>
      <c r="L3458" s="88">
        <f>ROUND((Q3458*C3458)/100,0)*100</f>
        <v/>
      </c>
      <c r="M3458" s="170" t="n"/>
      <c r="N3458" s="30" t="n"/>
      <c r="O3458" s="30" t="n"/>
      <c r="P3458" s="170" t="n"/>
      <c r="Q3458" s="118" t="n">
        <v>1.05</v>
      </c>
      <c r="R3458" s="170" t="n"/>
      <c r="S3458" s="30" t="n"/>
      <c r="T3458" s="170" t="n"/>
      <c r="U3458" s="30" t="n"/>
      <c r="V3458" s="30" t="n"/>
      <c r="W3458" s="30" t="n"/>
      <c r="X3458" s="30" t="n"/>
      <c r="Y3458" s="30" t="n"/>
      <c r="Z3458" s="30" t="n"/>
      <c r="AA3458" s="30" t="n"/>
      <c r="AB3458" s="30" t="n"/>
      <c r="AC3458" s="30" t="n"/>
      <c r="AD3458" s="30" t="n"/>
      <c r="AE3458" s="30" t="n"/>
      <c r="AF3458" s="30" t="n"/>
      <c r="AG3458" s="30" t="n"/>
      <c r="AH3458" s="30" t="n"/>
      <c r="AI3458" s="30" t="n"/>
      <c r="AJ3458" s="30" t="n"/>
      <c r="AK3458" s="30" t="n"/>
      <c r="AL3458" s="30" t="n"/>
      <c r="AM3458" s="30" t="n"/>
      <c r="AN3458" s="30" t="n"/>
      <c r="AO3458" s="30" t="n"/>
    </row>
    <row r="3459">
      <c r="A3459" s="134" t="inlineStr">
        <is>
          <t>11778XXX</t>
        </is>
      </c>
      <c r="B3459" s="246" t="inlineStr">
        <is>
          <t>TAVERNITI JEAN</t>
        </is>
      </c>
      <c r="C3459" s="88" t="n">
        <v>81000</v>
      </c>
      <c r="D3459" s="219" t="n"/>
      <c r="E3459" s="219" t="n"/>
      <c r="F3459" s="219" t="n"/>
      <c r="G3459" s="219" t="n"/>
      <c r="H3459" s="180" t="n"/>
      <c r="I3459" s="219" t="n"/>
      <c r="J3459" s="219" t="n"/>
      <c r="K3459" s="219" t="n"/>
      <c r="L3459" s="219">
        <f>ROUND((Q3459*C3459)/100,0)*100</f>
        <v/>
      </c>
      <c r="M3459" s="219" t="n"/>
      <c r="P3459" s="117" t="n"/>
      <c r="Q3459" s="118" t="n">
        <v>1.05</v>
      </c>
      <c r="R3459" s="117" t="n"/>
      <c r="T3459" s="117" t="n"/>
    </row>
    <row r="3460">
      <c r="A3460" s="89" t="inlineStr">
        <is>
          <t>11780XXX</t>
        </is>
      </c>
      <c r="B3460" s="135" t="inlineStr">
        <is>
          <t>TAVERNITI JEAN</t>
        </is>
      </c>
      <c r="C3460" s="88" t="n">
        <v>81000</v>
      </c>
      <c r="D3460" s="170" t="n"/>
      <c r="E3460" s="170" t="n"/>
      <c r="F3460" s="170" t="n"/>
      <c r="G3460" s="170" t="n"/>
      <c r="H3460" s="105" t="n"/>
      <c r="I3460" s="170" t="n"/>
      <c r="J3460" s="170" t="n"/>
      <c r="K3460" s="170" t="n"/>
      <c r="L3460" s="170">
        <f>ROUND((Q3460*C3460)/100,0)*100</f>
        <v/>
      </c>
      <c r="M3460" s="170" t="n"/>
      <c r="N3460" s="30" t="n"/>
      <c r="O3460" s="30" t="n"/>
      <c r="P3460" s="170" t="n"/>
      <c r="Q3460" s="118" t="n">
        <v>1.05</v>
      </c>
      <c r="R3460" s="170" t="n"/>
      <c r="S3460" s="30" t="n"/>
      <c r="T3460" s="170" t="n"/>
      <c r="U3460" s="30" t="n"/>
      <c r="V3460" s="30" t="n"/>
      <c r="W3460" s="30" t="n"/>
      <c r="X3460" s="30" t="n"/>
      <c r="Y3460" s="30" t="n"/>
      <c r="Z3460" s="30" t="n"/>
      <c r="AA3460" s="30" t="n"/>
      <c r="AB3460" s="30" t="n"/>
      <c r="AC3460" s="30" t="n"/>
      <c r="AD3460" s="30" t="n"/>
      <c r="AE3460" s="30" t="n"/>
      <c r="AF3460" s="30" t="n"/>
      <c r="AG3460" s="30" t="n"/>
      <c r="AH3460" s="30" t="n"/>
      <c r="AI3460" s="30" t="n"/>
      <c r="AJ3460" s="30" t="n"/>
      <c r="AK3460" s="30" t="n"/>
      <c r="AL3460" s="30" t="n"/>
      <c r="AM3460" s="30" t="n"/>
      <c r="AN3460" s="30" t="n"/>
      <c r="AO3460" s="30" t="n"/>
    </row>
    <row r="3461">
      <c r="A3461" s="134" t="inlineStr">
        <is>
          <t>11782XXX</t>
        </is>
      </c>
      <c r="B3461" s="246" t="inlineStr">
        <is>
          <t>TAVERNITI JEAN</t>
        </is>
      </c>
      <c r="C3461" s="88" t="n">
        <v>81000</v>
      </c>
      <c r="D3461" s="219" t="n"/>
      <c r="E3461" s="219" t="n"/>
      <c r="F3461" s="219" t="n"/>
      <c r="G3461" s="219" t="n"/>
      <c r="H3461" s="180" t="n"/>
      <c r="I3461" s="219" t="n"/>
      <c r="J3461" s="219" t="n"/>
      <c r="K3461" s="219" t="n"/>
      <c r="L3461" s="219">
        <f>ROUND((Q3461*C3461)/100,0)*100</f>
        <v/>
      </c>
      <c r="M3461" s="219" t="n"/>
      <c r="P3461" s="117" t="n"/>
      <c r="Q3461" s="118" t="n">
        <v>1.05</v>
      </c>
      <c r="R3461" s="117" t="n"/>
      <c r="T3461" s="117" t="n"/>
    </row>
    <row r="3462">
      <c r="A3462" s="134" t="inlineStr">
        <is>
          <t>11784XXX</t>
        </is>
      </c>
      <c r="B3462" s="246" t="inlineStr">
        <is>
          <t>TAVERNITI JEAN</t>
        </is>
      </c>
      <c r="C3462" s="88" t="n">
        <v>81000</v>
      </c>
      <c r="D3462" s="219" t="n"/>
      <c r="E3462" s="219" t="n"/>
      <c r="F3462" s="219" t="n"/>
      <c r="G3462" s="219" t="n"/>
      <c r="H3462" s="180" t="n"/>
      <c r="I3462" s="219" t="n"/>
      <c r="J3462" s="219" t="n"/>
      <c r="K3462" s="219" t="n"/>
      <c r="L3462" s="219">
        <f>ROUND((Q3462*C3462)/100,0)*100</f>
        <v/>
      </c>
      <c r="M3462" s="219" t="n"/>
      <c r="P3462" s="117" t="n"/>
      <c r="Q3462" s="118" t="n">
        <v>1.05</v>
      </c>
      <c r="R3462" s="117" t="n"/>
      <c r="T3462" s="117" t="n"/>
    </row>
    <row r="3463">
      <c r="A3463" s="134" t="inlineStr">
        <is>
          <t>11786XXX</t>
        </is>
      </c>
      <c r="B3463" s="246" t="inlineStr">
        <is>
          <t>TAVERNITI JEAN</t>
        </is>
      </c>
      <c r="C3463" s="88" t="n">
        <v>81000</v>
      </c>
      <c r="D3463" s="219" t="n"/>
      <c r="E3463" s="219" t="n"/>
      <c r="F3463" s="219" t="n"/>
      <c r="G3463" s="219" t="n"/>
      <c r="H3463" s="180" t="n"/>
      <c r="I3463" s="219" t="n"/>
      <c r="J3463" s="219" t="n"/>
      <c r="K3463" s="219" t="n"/>
      <c r="L3463" s="219">
        <f>ROUND((Q3463*C3463)/100,0)*100</f>
        <v/>
      </c>
      <c r="M3463" s="219" t="n"/>
      <c r="P3463" s="117" t="n"/>
      <c r="Q3463" s="118" t="n">
        <v>1.05</v>
      </c>
      <c r="R3463" s="117" t="n"/>
      <c r="T3463" s="117" t="n"/>
    </row>
    <row r="3464">
      <c r="A3464" s="134" t="inlineStr">
        <is>
          <t>11788XXX</t>
        </is>
      </c>
      <c r="B3464" s="246" t="inlineStr">
        <is>
          <t>TAVERNITI JEAN</t>
        </is>
      </c>
      <c r="C3464" s="88" t="n">
        <v>81000</v>
      </c>
      <c r="D3464" s="219" t="n"/>
      <c r="E3464" s="219" t="n"/>
      <c r="F3464" s="219" t="n"/>
      <c r="G3464" s="219" t="n"/>
      <c r="H3464" s="180" t="n"/>
      <c r="I3464" s="219" t="n"/>
      <c r="J3464" s="219" t="n"/>
      <c r="K3464" s="219" t="n"/>
      <c r="L3464" s="219">
        <f>ROUND((Q3464*C3464)/100,0)*100</f>
        <v/>
      </c>
      <c r="M3464" s="219" t="n"/>
      <c r="P3464" s="117" t="n"/>
      <c r="Q3464" s="118" t="n">
        <v>1.05</v>
      </c>
      <c r="R3464" s="117" t="n"/>
      <c r="T3464" s="117" t="n"/>
    </row>
    <row r="3465">
      <c r="A3465" s="134" t="inlineStr">
        <is>
          <t>11792XXX</t>
        </is>
      </c>
      <c r="B3465" s="246" t="inlineStr">
        <is>
          <t>TAVERNITI JEAN</t>
        </is>
      </c>
      <c r="C3465" s="88" t="n">
        <v>80400</v>
      </c>
      <c r="D3465" s="219" t="n"/>
      <c r="E3465" s="219" t="n"/>
      <c r="F3465" s="219" t="n"/>
      <c r="G3465" s="219" t="n"/>
      <c r="H3465" s="180" t="n"/>
      <c r="I3465" s="219" t="n"/>
      <c r="J3465" s="219" t="n"/>
      <c r="K3465" s="219" t="n"/>
      <c r="L3465" s="219">
        <f>ROUND((Q3465*C3465)/100,0)*100</f>
        <v/>
      </c>
      <c r="M3465" s="219" t="n"/>
      <c r="P3465" s="117" t="n"/>
      <c r="Q3465" s="118" t="n">
        <v>1.05</v>
      </c>
      <c r="R3465" s="117" t="n"/>
      <c r="T3465" s="117" t="n"/>
    </row>
    <row r="3466">
      <c r="A3466" s="134" t="inlineStr">
        <is>
          <t>11794XXX</t>
        </is>
      </c>
      <c r="B3466" s="246" t="inlineStr">
        <is>
          <t>TAVERNITI JEAN</t>
        </is>
      </c>
      <c r="C3466" s="88" t="n">
        <v>81000</v>
      </c>
      <c r="D3466" s="219" t="n"/>
      <c r="E3466" s="219" t="n"/>
      <c r="F3466" s="219" t="n"/>
      <c r="G3466" s="219" t="n"/>
      <c r="H3466" s="180" t="n"/>
      <c r="I3466" s="219" t="n"/>
      <c r="J3466" s="219" t="n"/>
      <c r="K3466" s="219" t="n"/>
      <c r="L3466" s="219">
        <f>ROUND((Q3466*C3466)/100,0)*100</f>
        <v/>
      </c>
      <c r="M3466" s="219" t="n"/>
      <c r="P3466" s="117" t="n"/>
      <c r="Q3466" s="118" t="n">
        <v>1.05</v>
      </c>
      <c r="R3466" s="117" t="n"/>
      <c r="T3466" s="117" t="n"/>
    </row>
    <row r="3467">
      <c r="A3467" s="134" t="inlineStr">
        <is>
          <t>11796XXX</t>
        </is>
      </c>
      <c r="B3467" s="246" t="inlineStr">
        <is>
          <t>TAVERNITI JEAN</t>
        </is>
      </c>
      <c r="C3467" s="88" t="n">
        <v>81000</v>
      </c>
      <c r="D3467" s="219" t="n"/>
      <c r="E3467" s="219" t="n"/>
      <c r="F3467" s="219" t="n"/>
      <c r="G3467" s="219" t="n"/>
      <c r="H3467" s="180" t="n"/>
      <c r="I3467" s="219" t="n"/>
      <c r="J3467" s="219" t="n"/>
      <c r="K3467" s="219" t="n"/>
      <c r="L3467" s="219">
        <f>ROUND((Q3467*C3467)/100,0)*100</f>
        <v/>
      </c>
      <c r="M3467" s="219" t="n"/>
      <c r="P3467" s="117" t="n"/>
      <c r="Q3467" s="118" t="n">
        <v>1.05</v>
      </c>
      <c r="R3467" s="117" t="n"/>
      <c r="T3467" s="117" t="n"/>
    </row>
    <row r="3468">
      <c r="A3468" s="134" t="inlineStr">
        <is>
          <t>11798XXX</t>
        </is>
      </c>
      <c r="B3468" s="246" t="inlineStr">
        <is>
          <t>TAVERNITI JEAN</t>
        </is>
      </c>
      <c r="C3468" s="88" t="n">
        <v>94000</v>
      </c>
      <c r="D3468" s="219" t="n"/>
      <c r="E3468" s="219" t="n"/>
      <c r="F3468" s="219" t="n"/>
      <c r="G3468" s="219" t="n"/>
      <c r="H3468" s="180" t="n"/>
      <c r="I3468" s="219" t="n"/>
      <c r="J3468" s="219" t="n"/>
      <c r="K3468" s="219" t="n"/>
      <c r="L3468" s="219">
        <f>ROUND((Q3468*C3468)/100,0)*100</f>
        <v/>
      </c>
      <c r="M3468" s="219" t="n"/>
      <c r="P3468" s="117" t="n"/>
      <c r="Q3468" s="118" t="n">
        <v>1.05</v>
      </c>
      <c r="R3468" s="117" t="n"/>
      <c r="T3468" s="117" t="n"/>
    </row>
    <row r="3469">
      <c r="A3469" s="89" t="inlineStr">
        <is>
          <t>11802XXX</t>
        </is>
      </c>
      <c r="B3469" s="135" t="inlineStr">
        <is>
          <t>TAVERNITI JEAN</t>
        </is>
      </c>
      <c r="C3469" s="88" t="n">
        <v>81000</v>
      </c>
      <c r="D3469" s="170" t="n"/>
      <c r="E3469" s="170" t="n"/>
      <c r="F3469" s="170" t="n"/>
      <c r="G3469" s="170" t="n"/>
      <c r="H3469" s="227" t="n"/>
      <c r="I3469" s="170" t="n"/>
      <c r="J3469" s="170" t="n"/>
      <c r="K3469" s="170" t="n"/>
      <c r="L3469" s="170">
        <f>ROUND((Q3469*C3469)/100,0)*100</f>
        <v/>
      </c>
      <c r="M3469" s="170" t="n"/>
      <c r="N3469" s="30" t="n"/>
      <c r="O3469" s="30" t="n"/>
      <c r="P3469" s="170" t="n"/>
      <c r="Q3469" s="118" t="n">
        <v>1.05</v>
      </c>
      <c r="R3469" s="170" t="n"/>
      <c r="S3469" s="30" t="n"/>
      <c r="T3469" s="170" t="n"/>
      <c r="U3469" s="30" t="n"/>
      <c r="V3469" s="30" t="n"/>
      <c r="W3469" s="30" t="n"/>
      <c r="X3469" s="30" t="n"/>
      <c r="Y3469" s="30" t="n"/>
      <c r="Z3469" s="30" t="n"/>
      <c r="AA3469" s="30" t="n"/>
      <c r="AB3469" s="30" t="n"/>
      <c r="AC3469" s="30" t="n"/>
      <c r="AD3469" s="30" t="n"/>
      <c r="AE3469" s="30" t="n"/>
      <c r="AF3469" s="30" t="n"/>
      <c r="AG3469" s="30" t="n"/>
      <c r="AH3469" s="30" t="n"/>
      <c r="AI3469" s="30" t="n"/>
      <c r="AJ3469" s="30" t="n"/>
      <c r="AK3469" s="30" t="n"/>
      <c r="AL3469" s="30" t="n"/>
      <c r="AM3469" s="30" t="n"/>
      <c r="AN3469" s="30" t="n"/>
    </row>
    <row r="3470">
      <c r="A3470" s="89" t="inlineStr">
        <is>
          <t>11806XXX</t>
        </is>
      </c>
      <c r="B3470" s="135" t="inlineStr">
        <is>
          <t>TAVERNITI JEAN</t>
        </is>
      </c>
      <c r="C3470" s="88" t="n">
        <v>81000</v>
      </c>
      <c r="D3470" s="170" t="n"/>
      <c r="E3470" s="170" t="n"/>
      <c r="F3470" s="170" t="n"/>
      <c r="G3470" s="170" t="n"/>
      <c r="H3470" s="227" t="n"/>
      <c r="I3470" s="170" t="n"/>
      <c r="J3470" s="170" t="n"/>
      <c r="K3470" s="170" t="n"/>
      <c r="L3470" s="150">
        <f>ROUND((Q3470*C3470)/100,0)*100</f>
        <v/>
      </c>
      <c r="M3470" s="170" t="n"/>
      <c r="N3470" s="30" t="n"/>
      <c r="O3470" s="30" t="n"/>
      <c r="P3470" s="170" t="n"/>
      <c r="Q3470" s="118" t="n">
        <v>1.05</v>
      </c>
      <c r="R3470" s="170" t="n"/>
      <c r="S3470" s="30" t="n"/>
      <c r="T3470" s="170" t="n"/>
      <c r="U3470" s="30" t="n"/>
      <c r="V3470" s="30" t="n"/>
      <c r="W3470" s="30" t="n"/>
      <c r="X3470" s="30" t="n"/>
      <c r="Y3470" s="30" t="n"/>
      <c r="Z3470" s="30" t="n"/>
      <c r="AA3470" s="30" t="n"/>
      <c r="AB3470" s="30" t="n"/>
      <c r="AC3470" s="30" t="n"/>
      <c r="AD3470" s="30" t="n"/>
      <c r="AE3470" s="30" t="n"/>
      <c r="AF3470" s="30" t="n"/>
      <c r="AG3470" s="30" t="n"/>
      <c r="AH3470" s="30" t="n"/>
      <c r="AI3470" s="30" t="n"/>
      <c r="AJ3470" s="30" t="n"/>
      <c r="AK3470" s="30" t="n"/>
      <c r="AL3470" s="30" t="n"/>
      <c r="AM3470" s="30" t="n"/>
      <c r="AN3470" s="30" t="n"/>
      <c r="AO3470" s="30" t="n"/>
    </row>
    <row r="3471">
      <c r="A3471" s="89" t="inlineStr">
        <is>
          <t>11808XXX</t>
        </is>
      </c>
      <c r="B3471" s="135" t="inlineStr">
        <is>
          <t>TAVERNITI JEAN</t>
        </is>
      </c>
      <c r="C3471" s="88" t="n">
        <v>81000</v>
      </c>
      <c r="D3471" s="170" t="n"/>
      <c r="E3471" s="170" t="n"/>
      <c r="F3471" s="170" t="n"/>
      <c r="G3471" s="170" t="n"/>
      <c r="H3471" s="227" t="n"/>
      <c r="I3471" s="170" t="n"/>
      <c r="J3471" s="170" t="n"/>
      <c r="K3471" s="170" t="n"/>
      <c r="L3471" s="170">
        <f>ROUND((Q3471*C3471)/100,0)*100</f>
        <v/>
      </c>
      <c r="M3471" s="170" t="n"/>
      <c r="N3471" s="30" t="n"/>
      <c r="O3471" s="30" t="n"/>
      <c r="P3471" s="170" t="n"/>
      <c r="Q3471" s="118" t="n">
        <v>1.05</v>
      </c>
      <c r="R3471" s="170" t="n"/>
      <c r="S3471" s="30" t="n"/>
      <c r="T3471" s="170" t="n"/>
      <c r="U3471" s="30" t="n"/>
      <c r="V3471" s="30" t="n"/>
      <c r="W3471" s="30" t="n"/>
      <c r="X3471" s="30" t="n"/>
      <c r="Y3471" s="30" t="n"/>
      <c r="Z3471" s="30" t="n"/>
      <c r="AA3471" s="30" t="n"/>
      <c r="AB3471" s="30" t="n"/>
      <c r="AC3471" s="30" t="n"/>
      <c r="AD3471" s="30" t="n"/>
      <c r="AE3471" s="30" t="n"/>
      <c r="AF3471" s="30" t="n"/>
      <c r="AG3471" s="30" t="n"/>
      <c r="AH3471" s="30" t="n"/>
      <c r="AI3471" s="30" t="n"/>
      <c r="AJ3471" s="30" t="n"/>
      <c r="AK3471" s="30" t="n"/>
      <c r="AL3471" s="30" t="n"/>
      <c r="AM3471" s="30" t="n"/>
      <c r="AN3471" s="30" t="n"/>
    </row>
    <row r="3472">
      <c r="A3472" s="134" t="inlineStr">
        <is>
          <t>11810XXX</t>
        </is>
      </c>
      <c r="B3472" s="246" t="inlineStr">
        <is>
          <t>TAVERNITI JEAN</t>
        </is>
      </c>
      <c r="C3472" s="88" t="n">
        <v>81000</v>
      </c>
      <c r="D3472" s="219" t="n"/>
      <c r="E3472" s="219" t="n"/>
      <c r="F3472" s="219" t="n"/>
      <c r="G3472" s="219" t="n"/>
      <c r="H3472" s="180" t="n"/>
      <c r="I3472" s="219" t="n"/>
      <c r="J3472" s="219" t="n"/>
      <c r="K3472" s="219" t="n"/>
      <c r="L3472" s="219">
        <f>ROUND((Q3472*C3472)/100,0)*100</f>
        <v/>
      </c>
      <c r="M3472" s="219" t="n"/>
      <c r="P3472" s="117" t="n"/>
      <c r="Q3472" s="118" t="n">
        <v>1.05</v>
      </c>
      <c r="R3472" s="117" t="n"/>
      <c r="T3472" s="117" t="n"/>
    </row>
    <row r="3473">
      <c r="A3473" s="89" t="inlineStr">
        <is>
          <t>11822XXX</t>
        </is>
      </c>
      <c r="B3473" s="135" t="inlineStr">
        <is>
          <t>TAVERNITI JEAN</t>
        </is>
      </c>
      <c r="C3473" s="88" t="n">
        <v>81000</v>
      </c>
      <c r="D3473" s="170" t="n"/>
      <c r="E3473" s="170" t="n"/>
      <c r="F3473" s="170" t="n"/>
      <c r="G3473" s="170" t="n"/>
      <c r="H3473" s="227" t="n"/>
      <c r="I3473" s="170" t="n"/>
      <c r="J3473" s="170" t="n"/>
      <c r="K3473" s="170" t="n"/>
      <c r="L3473" s="170">
        <f>ROUND((Q3473*C3473)/100,0)*100</f>
        <v/>
      </c>
      <c r="M3473" s="170" t="n"/>
      <c r="N3473" s="30" t="n"/>
      <c r="O3473" s="30" t="n"/>
      <c r="P3473" s="170" t="n"/>
      <c r="Q3473" s="118" t="n">
        <v>1.05</v>
      </c>
      <c r="R3473" s="170" t="n"/>
      <c r="S3473" s="30" t="n"/>
      <c r="T3473" s="170" t="n"/>
      <c r="U3473" s="30" t="n"/>
      <c r="V3473" s="30" t="n"/>
      <c r="W3473" s="30" t="n"/>
      <c r="X3473" s="30" t="n"/>
      <c r="Y3473" s="30" t="n"/>
      <c r="Z3473" s="30" t="n"/>
      <c r="AA3473" s="30" t="n"/>
      <c r="AB3473" s="30" t="n"/>
      <c r="AC3473" s="30" t="n"/>
      <c r="AD3473" s="30" t="n"/>
      <c r="AE3473" s="30" t="n"/>
      <c r="AF3473" s="30" t="n"/>
      <c r="AG3473" s="30" t="n"/>
      <c r="AH3473" s="30" t="n"/>
      <c r="AI3473" s="30" t="n"/>
      <c r="AJ3473" s="30" t="n"/>
      <c r="AK3473" s="30" t="n"/>
      <c r="AL3473" s="30" t="n"/>
      <c r="AM3473" s="30" t="n"/>
      <c r="AN3473" s="30" t="n"/>
      <c r="AO3473" s="30" t="n"/>
    </row>
    <row r="3474">
      <c r="A3474" s="89" t="inlineStr">
        <is>
          <t>11828XXX</t>
        </is>
      </c>
      <c r="B3474" s="135" t="inlineStr">
        <is>
          <t>TAVERNITI JEAN</t>
        </is>
      </c>
      <c r="C3474" s="88" t="n">
        <v>81000</v>
      </c>
      <c r="D3474" s="170" t="n"/>
      <c r="E3474" s="170" t="n"/>
      <c r="F3474" s="170" t="n"/>
      <c r="G3474" s="170" t="n"/>
      <c r="H3474" s="227" t="n"/>
      <c r="I3474" s="170" t="n"/>
      <c r="J3474" s="170" t="n"/>
      <c r="K3474" s="170" t="n"/>
      <c r="L3474" s="170">
        <f>ROUND((Q3474*C3474)/100,0)*100</f>
        <v/>
      </c>
      <c r="M3474" s="170" t="n"/>
      <c r="N3474" s="30" t="n"/>
      <c r="O3474" s="30" t="n"/>
      <c r="P3474" s="170" t="n"/>
      <c r="Q3474" s="118" t="n">
        <v>1.05</v>
      </c>
      <c r="R3474" s="170" t="n"/>
      <c r="S3474" s="30" t="n"/>
      <c r="T3474" s="170" t="n"/>
      <c r="U3474" s="30" t="n"/>
      <c r="V3474" s="30" t="n"/>
      <c r="W3474" s="30" t="n"/>
      <c r="X3474" s="30" t="n"/>
      <c r="Y3474" s="30" t="n"/>
      <c r="Z3474" s="30" t="n"/>
      <c r="AA3474" s="30" t="n"/>
      <c r="AB3474" s="30" t="n"/>
      <c r="AC3474" s="30" t="n"/>
      <c r="AD3474" s="30" t="n"/>
      <c r="AE3474" s="30" t="n"/>
      <c r="AF3474" s="30" t="n"/>
      <c r="AG3474" s="30" t="n"/>
      <c r="AH3474" s="30" t="n"/>
      <c r="AI3474" s="30" t="n"/>
      <c r="AJ3474" s="30" t="n"/>
      <c r="AK3474" s="30" t="n"/>
      <c r="AL3474" s="30" t="n"/>
      <c r="AM3474" s="30" t="n"/>
      <c r="AN3474" s="30" t="n"/>
      <c r="AO3474" s="30" t="n"/>
    </row>
    <row r="3475">
      <c r="A3475" s="134" t="inlineStr">
        <is>
          <t>11830XXX</t>
        </is>
      </c>
      <c r="B3475" s="246" t="inlineStr">
        <is>
          <t>TAVERNITI JEAN</t>
        </is>
      </c>
      <c r="C3475" s="88" t="n">
        <v>81000</v>
      </c>
      <c r="D3475" s="219" t="n"/>
      <c r="E3475" s="219" t="n"/>
      <c r="F3475" s="219" t="n"/>
      <c r="G3475" s="219" t="n"/>
      <c r="H3475" s="180" t="n"/>
      <c r="I3475" s="219" t="n"/>
      <c r="J3475" s="219" t="n"/>
      <c r="K3475" s="219" t="n"/>
      <c r="L3475" s="219">
        <f>ROUND((Q3475*C3475)/100,0)*100</f>
        <v/>
      </c>
      <c r="M3475" s="219" t="n"/>
      <c r="P3475" s="117" t="n"/>
      <c r="Q3475" s="118" t="n">
        <v>1.05</v>
      </c>
      <c r="R3475" s="117" t="n"/>
      <c r="T3475" s="117" t="n"/>
    </row>
    <row r="3476">
      <c r="A3476" s="134" t="inlineStr">
        <is>
          <t>11834XXX</t>
        </is>
      </c>
      <c r="B3476" s="246" t="inlineStr">
        <is>
          <t>TAVERNITI JEAN</t>
        </is>
      </c>
      <c r="C3476" s="88" t="n">
        <v>81000</v>
      </c>
      <c r="D3476" s="219" t="n"/>
      <c r="E3476" s="219" t="n"/>
      <c r="F3476" s="219" t="n"/>
      <c r="G3476" s="219" t="n"/>
      <c r="H3476" s="180" t="n"/>
      <c r="I3476" s="219" t="n"/>
      <c r="J3476" s="219" t="n"/>
      <c r="K3476" s="219" t="n"/>
      <c r="L3476" s="219">
        <f>ROUND((Q3476*C3476)/100,0)*100</f>
        <v/>
      </c>
      <c r="M3476" s="219" t="n"/>
      <c r="P3476" s="117" t="n"/>
      <c r="Q3476" s="118" t="n">
        <v>1.05</v>
      </c>
      <c r="R3476" s="117" t="n"/>
      <c r="T3476" s="117" t="n"/>
    </row>
    <row r="3477">
      <c r="A3477" s="134" t="inlineStr">
        <is>
          <t>11836XXX</t>
        </is>
      </c>
      <c r="B3477" s="246" t="inlineStr">
        <is>
          <t>TAVERNITI JEAN</t>
        </is>
      </c>
      <c r="C3477" s="88" t="n">
        <v>81000</v>
      </c>
      <c r="D3477" s="219" t="n"/>
      <c r="E3477" s="219" t="n"/>
      <c r="F3477" s="219" t="n"/>
      <c r="G3477" s="219" t="n"/>
      <c r="H3477" s="180" t="n"/>
      <c r="I3477" s="219" t="n"/>
      <c r="J3477" s="219" t="n"/>
      <c r="K3477" s="219" t="n"/>
      <c r="L3477" s="219">
        <f>ROUND((Q3477*C3477)/100,0)*100</f>
        <v/>
      </c>
      <c r="M3477" s="219" t="n"/>
      <c r="P3477" s="117" t="n"/>
      <c r="Q3477" s="118" t="n">
        <v>1.05</v>
      </c>
      <c r="R3477" s="117" t="n"/>
      <c r="T3477" s="117" t="n"/>
    </row>
    <row r="3478">
      <c r="A3478" s="134" t="inlineStr">
        <is>
          <t>11848XXX</t>
        </is>
      </c>
      <c r="B3478" s="246" t="inlineStr">
        <is>
          <t>TAVERNITI JEAN</t>
        </is>
      </c>
      <c r="C3478" s="88" t="n">
        <v>81000</v>
      </c>
      <c r="D3478" s="219" t="n"/>
      <c r="E3478" s="219" t="n"/>
      <c r="F3478" s="219" t="n"/>
      <c r="G3478" s="219" t="n"/>
      <c r="H3478" s="180" t="n"/>
      <c r="I3478" s="219" t="n"/>
      <c r="J3478" s="219" t="n"/>
      <c r="K3478" s="219" t="n"/>
      <c r="L3478" s="219">
        <f>ROUND((Q3478*C3478)/100,0)*100</f>
        <v/>
      </c>
      <c r="M3478" s="219" t="n"/>
      <c r="P3478" s="117" t="n"/>
      <c r="Q3478" s="118" t="n">
        <v>1.05</v>
      </c>
      <c r="R3478" s="117" t="n"/>
      <c r="T3478" s="117" t="n"/>
    </row>
    <row r="3479">
      <c r="A3479" s="134" t="inlineStr">
        <is>
          <t>11850XXX</t>
        </is>
      </c>
      <c r="B3479" s="246" t="inlineStr">
        <is>
          <t>TAVERNITI JEAN</t>
        </is>
      </c>
      <c r="C3479" s="88" t="n">
        <v>83700</v>
      </c>
      <c r="D3479" s="219" t="n"/>
      <c r="E3479" s="219" t="n"/>
      <c r="F3479" s="219" t="n"/>
      <c r="G3479" s="219" t="n"/>
      <c r="H3479" s="180" t="n"/>
      <c r="I3479" s="219" t="n"/>
      <c r="J3479" s="219" t="n"/>
      <c r="K3479" s="219" t="n"/>
      <c r="L3479" s="219">
        <f>ROUND((Q3479*C3479)/100,0)*100</f>
        <v/>
      </c>
      <c r="M3479" s="219" t="n"/>
      <c r="P3479" s="117" t="n"/>
      <c r="Q3479" s="118" t="n">
        <v>1.05</v>
      </c>
      <c r="R3479" s="117" t="n"/>
      <c r="T3479" s="117" t="n"/>
    </row>
    <row r="3480">
      <c r="A3480" s="134" t="inlineStr">
        <is>
          <t>11882XXX</t>
        </is>
      </c>
      <c r="B3480" s="246" t="inlineStr">
        <is>
          <t>TAVERNITI JEAN</t>
        </is>
      </c>
      <c r="C3480" s="88" t="n">
        <v>83500</v>
      </c>
      <c r="D3480" s="219" t="n"/>
      <c r="E3480" s="219" t="n"/>
      <c r="F3480" s="219" t="n"/>
      <c r="G3480" s="219" t="n"/>
      <c r="H3480" s="180" t="n"/>
      <c r="I3480" s="219" t="n"/>
      <c r="J3480" s="219" t="n"/>
      <c r="K3480" s="219" t="n"/>
      <c r="L3480" s="219">
        <f>ROUND((Q3480*C3480)/100,0)*100</f>
        <v/>
      </c>
      <c r="M3480" s="219" t="n"/>
      <c r="P3480" s="117" t="n"/>
      <c r="Q3480" s="118" t="n">
        <v>1.05</v>
      </c>
      <c r="R3480" s="117" t="n"/>
      <c r="T3480" s="117" t="n"/>
    </row>
    <row r="3481">
      <c r="A3481" s="134" t="inlineStr">
        <is>
          <t>11894XXX</t>
        </is>
      </c>
      <c r="B3481" s="246" t="inlineStr">
        <is>
          <t>TAVERNITI JEAN</t>
        </is>
      </c>
      <c r="C3481" s="88" t="n">
        <v>81000</v>
      </c>
      <c r="D3481" s="219" t="n"/>
      <c r="E3481" s="219" t="n"/>
      <c r="F3481" s="219" t="n"/>
      <c r="G3481" s="219" t="n"/>
      <c r="H3481" s="180" t="n"/>
      <c r="I3481" s="219" t="n"/>
      <c r="J3481" s="219" t="n"/>
      <c r="K3481" s="219" t="n"/>
      <c r="L3481" s="219">
        <f>ROUND((Q3481*C3481)/100,0)*100</f>
        <v/>
      </c>
      <c r="M3481" s="219" t="n"/>
      <c r="P3481" s="117" t="n"/>
      <c r="Q3481" s="118" t="n">
        <v>1.05</v>
      </c>
      <c r="R3481" s="117" t="n"/>
      <c r="T3481" s="117" t="n"/>
    </row>
    <row r="3482">
      <c r="A3482" s="89" t="inlineStr">
        <is>
          <t>11908XXX</t>
        </is>
      </c>
      <c r="B3482" s="135" t="inlineStr">
        <is>
          <t>TAVERNITI JEAN</t>
        </is>
      </c>
      <c r="C3482" s="88" t="n">
        <v>81000</v>
      </c>
      <c r="D3482" s="170" t="n"/>
      <c r="E3482" s="170" t="n"/>
      <c r="F3482" s="170" t="n"/>
      <c r="G3482" s="170" t="n"/>
      <c r="H3482" s="105" t="n"/>
      <c r="I3482" s="170" t="n"/>
      <c r="J3482" s="170" t="n"/>
      <c r="K3482" s="170" t="n"/>
      <c r="L3482" s="88">
        <f>ROUND((Q3482*C3482)/100,0)*100</f>
        <v/>
      </c>
      <c r="M3482" s="170" t="n"/>
      <c r="N3482" s="30" t="n"/>
      <c r="O3482" s="30" t="n"/>
      <c r="P3482" s="170" t="n"/>
      <c r="Q3482" s="118" t="n">
        <v>1.05</v>
      </c>
      <c r="R3482" s="170" t="n"/>
      <c r="S3482" s="30" t="n"/>
      <c r="T3482" s="170" t="n"/>
      <c r="U3482" s="30" t="n"/>
      <c r="V3482" s="30" t="n"/>
      <c r="W3482" s="30" t="n"/>
      <c r="X3482" s="30" t="n"/>
      <c r="Y3482" s="30" t="n"/>
      <c r="Z3482" s="30" t="n"/>
      <c r="AA3482" s="30" t="n"/>
      <c r="AB3482" s="30" t="n"/>
      <c r="AC3482" s="30" t="n"/>
      <c r="AD3482" s="30" t="n"/>
      <c r="AE3482" s="30" t="n"/>
      <c r="AF3482" s="30" t="n"/>
      <c r="AG3482" s="30" t="n"/>
      <c r="AH3482" s="30" t="n"/>
      <c r="AI3482" s="30" t="n"/>
      <c r="AJ3482" s="30" t="n"/>
      <c r="AK3482" s="30" t="n"/>
      <c r="AL3482" s="30" t="n"/>
      <c r="AM3482" s="30" t="n"/>
      <c r="AN3482" s="30" t="n"/>
      <c r="AO3482" s="30" t="n"/>
    </row>
    <row r="3483">
      <c r="A3483" s="134" t="inlineStr">
        <is>
          <t>11910XXX</t>
        </is>
      </c>
      <c r="B3483" s="246" t="inlineStr">
        <is>
          <t>TAVERNITI JEAN</t>
        </is>
      </c>
      <c r="C3483" s="88" t="n">
        <v>81000</v>
      </c>
      <c r="D3483" s="219" t="n"/>
      <c r="E3483" s="219" t="n"/>
      <c r="F3483" s="219" t="n"/>
      <c r="G3483" s="219" t="n"/>
      <c r="H3483" s="180" t="n"/>
      <c r="I3483" s="219" t="n"/>
      <c r="J3483" s="219" t="n"/>
      <c r="K3483" s="219" t="n"/>
      <c r="L3483" s="219">
        <f>ROUND((Q3483*C3483)/100,0)*100</f>
        <v/>
      </c>
      <c r="M3483" s="219" t="n"/>
      <c r="P3483" s="117" t="n"/>
      <c r="Q3483" s="118" t="n">
        <v>1.05</v>
      </c>
      <c r="R3483" s="117" t="n"/>
      <c r="T3483" s="117" t="n"/>
    </row>
    <row r="3484">
      <c r="A3484" s="134" t="inlineStr">
        <is>
          <t>11912XXX</t>
        </is>
      </c>
      <c r="B3484" s="246" t="inlineStr">
        <is>
          <t>TAVERNITI JEAN</t>
        </is>
      </c>
      <c r="C3484" s="88" t="n">
        <v>81000</v>
      </c>
      <c r="D3484" s="219" t="n"/>
      <c r="E3484" s="219" t="n"/>
      <c r="F3484" s="219" t="n"/>
      <c r="G3484" s="219" t="n"/>
      <c r="H3484" s="180" t="n"/>
      <c r="I3484" s="219" t="n"/>
      <c r="J3484" s="219" t="n"/>
      <c r="K3484" s="219" t="n"/>
      <c r="L3484" s="219">
        <f>ROUND((Q3484*C3484)/100,0)*100</f>
        <v/>
      </c>
      <c r="M3484" s="219" t="n"/>
      <c r="P3484" s="117" t="n"/>
      <c r="Q3484" s="118" t="n">
        <v>1.05</v>
      </c>
      <c r="R3484" s="117" t="n"/>
      <c r="T3484" s="117" t="n"/>
    </row>
    <row r="3485">
      <c r="A3485" s="134" t="inlineStr">
        <is>
          <t>11920XXX</t>
        </is>
      </c>
      <c r="B3485" s="246" t="inlineStr">
        <is>
          <t>TAVERNITI JEAN</t>
        </is>
      </c>
      <c r="C3485" s="88" t="n">
        <v>81000</v>
      </c>
      <c r="D3485" s="219" t="n"/>
      <c r="E3485" s="219" t="n"/>
      <c r="F3485" s="219" t="n"/>
      <c r="G3485" s="219" t="n"/>
      <c r="H3485" s="180" t="n"/>
      <c r="I3485" s="219" t="n"/>
      <c r="J3485" s="219" t="n"/>
      <c r="K3485" s="219" t="n"/>
      <c r="L3485" s="219">
        <f>ROUND((Q3485*C3485)/100,0)*100</f>
        <v/>
      </c>
      <c r="M3485" s="219" t="n"/>
      <c r="P3485" s="117" t="n"/>
      <c r="Q3485" s="118" t="n">
        <v>1.05</v>
      </c>
      <c r="R3485" s="117" t="n"/>
      <c r="T3485" s="117" t="n"/>
    </row>
    <row r="3486">
      <c r="A3486" s="89" t="inlineStr">
        <is>
          <t>11924XXX</t>
        </is>
      </c>
      <c r="B3486" s="135" t="inlineStr">
        <is>
          <t>TAVERNITI JEAN</t>
        </is>
      </c>
      <c r="C3486" s="88" t="n">
        <v>87700</v>
      </c>
      <c r="D3486" s="170" t="n"/>
      <c r="E3486" s="170" t="n"/>
      <c r="F3486" s="170" t="n"/>
      <c r="G3486" s="170" t="n"/>
      <c r="H3486" s="105" t="n"/>
      <c r="I3486" s="170" t="n"/>
      <c r="J3486" s="170" t="n"/>
      <c r="K3486" s="170" t="n"/>
      <c r="L3486" s="150">
        <f>ROUND((Q3486*C3486)/100,0)*100</f>
        <v/>
      </c>
      <c r="M3486" s="170" t="n"/>
      <c r="N3486" s="30" t="n"/>
      <c r="O3486" s="30" t="n"/>
      <c r="P3486" s="170" t="n"/>
      <c r="Q3486" s="118" t="n">
        <v>1.05</v>
      </c>
      <c r="R3486" s="170" t="n"/>
      <c r="S3486" s="30" t="n"/>
      <c r="T3486" s="170" t="n"/>
      <c r="U3486" s="30" t="n"/>
      <c r="V3486" s="30" t="n"/>
      <c r="W3486" s="30" t="n"/>
      <c r="X3486" s="30" t="n"/>
      <c r="Y3486" s="30" t="n"/>
      <c r="Z3486" s="30" t="n"/>
      <c r="AA3486" s="30" t="n"/>
      <c r="AB3486" s="30" t="n"/>
      <c r="AC3486" s="30" t="n"/>
      <c r="AD3486" s="30" t="n"/>
      <c r="AE3486" s="30" t="n"/>
      <c r="AF3486" s="30" t="n"/>
      <c r="AG3486" s="30" t="n"/>
      <c r="AH3486" s="30" t="n"/>
      <c r="AI3486" s="30" t="n"/>
      <c r="AJ3486" s="30" t="n"/>
      <c r="AK3486" s="30" t="n"/>
      <c r="AL3486" s="30" t="n"/>
      <c r="AM3486" s="30" t="n"/>
      <c r="AN3486" s="30" t="n"/>
      <c r="AO3486" s="30" t="n"/>
    </row>
    <row r="3487">
      <c r="A3487" s="89" t="inlineStr">
        <is>
          <t>11926XXX</t>
        </is>
      </c>
      <c r="B3487" s="135" t="inlineStr">
        <is>
          <t>TAVERNITI JEAN</t>
        </is>
      </c>
      <c r="C3487" s="88" t="n">
        <v>81000</v>
      </c>
      <c r="D3487" s="170" t="n"/>
      <c r="E3487" s="170" t="n"/>
      <c r="F3487" s="170" t="n"/>
      <c r="G3487" s="170" t="n"/>
      <c r="H3487" s="105" t="n"/>
      <c r="I3487" s="170" t="n"/>
      <c r="J3487" s="170" t="n"/>
      <c r="K3487" s="170" t="n"/>
      <c r="L3487" s="170">
        <f>ROUND((Q3487*C3487)/100,0)*100</f>
        <v/>
      </c>
      <c r="M3487" s="170" t="n"/>
      <c r="N3487" s="30" t="n"/>
      <c r="O3487" s="30" t="n"/>
      <c r="P3487" s="170" t="n"/>
      <c r="Q3487" s="118" t="n">
        <v>1.05</v>
      </c>
      <c r="R3487" s="170" t="n"/>
      <c r="S3487" s="30" t="n"/>
      <c r="T3487" s="170" t="n"/>
      <c r="U3487" s="30" t="n"/>
      <c r="V3487" s="30" t="n"/>
      <c r="W3487" s="30" t="n"/>
      <c r="X3487" s="30" t="n"/>
      <c r="Y3487" s="30" t="n"/>
      <c r="Z3487" s="30" t="n"/>
      <c r="AA3487" s="30" t="n"/>
      <c r="AB3487" s="30" t="n"/>
      <c r="AC3487" s="30" t="n"/>
      <c r="AD3487" s="30" t="n"/>
      <c r="AE3487" s="30" t="n"/>
      <c r="AF3487" s="30" t="n"/>
      <c r="AG3487" s="30" t="n"/>
      <c r="AH3487" s="30" t="n"/>
      <c r="AI3487" s="30" t="n"/>
      <c r="AJ3487" s="30" t="n"/>
      <c r="AK3487" s="30" t="n"/>
      <c r="AL3487" s="30" t="n"/>
      <c r="AM3487" s="30" t="n"/>
      <c r="AN3487" s="30" t="n"/>
      <c r="AO3487" s="30" t="n"/>
    </row>
    <row r="3488">
      <c r="A3488" s="134" t="inlineStr">
        <is>
          <t>11928XXX</t>
        </is>
      </c>
      <c r="B3488" s="246" t="inlineStr">
        <is>
          <t>TAVERNITI JEAN</t>
        </is>
      </c>
      <c r="C3488" s="88" t="n">
        <v>89900</v>
      </c>
      <c r="D3488" s="219" t="n"/>
      <c r="E3488" s="219" t="n"/>
      <c r="F3488" s="219" t="n"/>
      <c r="G3488" s="219" t="n"/>
      <c r="H3488" s="180" t="n"/>
      <c r="I3488" s="219" t="n"/>
      <c r="J3488" s="219" t="n"/>
      <c r="K3488" s="219" t="n"/>
      <c r="L3488" s="219">
        <f>ROUND((Q3488*C3488)/100,0)*100</f>
        <v/>
      </c>
      <c r="M3488" s="219" t="n"/>
      <c r="P3488" s="117" t="n"/>
      <c r="Q3488" s="118" t="n">
        <v>1.05</v>
      </c>
      <c r="R3488" s="117" t="n"/>
      <c r="T3488" s="117" t="n"/>
    </row>
    <row r="3489">
      <c r="A3489" s="134" t="inlineStr">
        <is>
          <t>11930XXX</t>
        </is>
      </c>
      <c r="B3489" s="246" t="inlineStr">
        <is>
          <t>TAVERNITI JEAN</t>
        </is>
      </c>
      <c r="C3489" s="88" t="n">
        <v>81000</v>
      </c>
      <c r="D3489" s="219" t="n"/>
      <c r="E3489" s="219" t="n"/>
      <c r="F3489" s="219" t="n"/>
      <c r="G3489" s="219" t="n"/>
      <c r="H3489" s="180" t="n"/>
      <c r="I3489" s="219" t="n"/>
      <c r="J3489" s="219" t="n"/>
      <c r="K3489" s="219" t="n"/>
      <c r="L3489" s="219">
        <f>ROUND((Q3489*C3489)/100,0)*100</f>
        <v/>
      </c>
      <c r="M3489" s="219" t="n"/>
      <c r="P3489" s="117" t="n"/>
      <c r="Q3489" s="118" t="n">
        <v>1.05</v>
      </c>
      <c r="R3489" s="117" t="n"/>
      <c r="T3489" s="117" t="n"/>
    </row>
    <row r="3490">
      <c r="A3490" s="134" t="inlineStr">
        <is>
          <t>11932XXX</t>
        </is>
      </c>
      <c r="B3490" s="246" t="inlineStr">
        <is>
          <t>TAVERNITI JEAN</t>
        </is>
      </c>
      <c r="C3490" s="88" t="n">
        <v>81000</v>
      </c>
      <c r="D3490" s="219" t="n"/>
      <c r="E3490" s="219" t="n"/>
      <c r="F3490" s="219" t="n"/>
      <c r="G3490" s="219" t="n"/>
      <c r="H3490" s="180" t="n"/>
      <c r="I3490" s="219" t="n"/>
      <c r="J3490" s="219" t="n"/>
      <c r="K3490" s="219" t="n"/>
      <c r="L3490" s="219">
        <f>ROUND((Q3490*C3490)/100,0)*100</f>
        <v/>
      </c>
      <c r="M3490" s="219" t="n"/>
      <c r="P3490" s="117" t="n"/>
      <c r="Q3490" s="118" t="n">
        <v>1.05</v>
      </c>
      <c r="R3490" s="117" t="n"/>
      <c r="T3490" s="117" t="n"/>
    </row>
    <row r="3491">
      <c r="A3491" s="89" t="inlineStr">
        <is>
          <t>11934XXX</t>
        </is>
      </c>
      <c r="B3491" s="135" t="inlineStr">
        <is>
          <t>TAVERNITI JEAN</t>
        </is>
      </c>
      <c r="C3491" s="88" t="n">
        <v>81000</v>
      </c>
      <c r="D3491" s="170" t="n"/>
      <c r="E3491" s="170" t="n"/>
      <c r="F3491" s="170" t="n"/>
      <c r="G3491" s="170" t="n"/>
      <c r="H3491" s="227" t="n"/>
      <c r="I3491" s="170" t="n"/>
      <c r="J3491" s="170" t="n"/>
      <c r="K3491" s="170" t="n"/>
      <c r="L3491" s="170">
        <f>ROUND((Q3491*C3491)/100,0)*100</f>
        <v/>
      </c>
      <c r="M3491" s="170" t="n"/>
      <c r="N3491" s="30" t="n"/>
      <c r="O3491" s="30" t="n"/>
      <c r="P3491" s="170" t="n"/>
      <c r="Q3491" s="118" t="n">
        <v>1.05</v>
      </c>
      <c r="R3491" s="170" t="n"/>
      <c r="S3491" s="30" t="n"/>
      <c r="T3491" s="170" t="n"/>
      <c r="U3491" s="30" t="n"/>
      <c r="V3491" s="30" t="n"/>
      <c r="W3491" s="30" t="n"/>
      <c r="X3491" s="30" t="n"/>
      <c r="Y3491" s="30" t="n"/>
      <c r="Z3491" s="30" t="n"/>
      <c r="AA3491" s="30" t="n"/>
      <c r="AB3491" s="30" t="n"/>
      <c r="AC3491" s="30" t="n"/>
      <c r="AD3491" s="30" t="n"/>
      <c r="AE3491" s="30" t="n"/>
      <c r="AF3491" s="30" t="n"/>
      <c r="AG3491" s="30" t="n"/>
      <c r="AH3491" s="30" t="n"/>
      <c r="AI3491" s="30" t="n"/>
      <c r="AJ3491" s="30" t="n"/>
      <c r="AK3491" s="30" t="n"/>
      <c r="AL3491" s="30" t="n"/>
      <c r="AM3491" s="30" t="n"/>
      <c r="AN3491" s="30" t="n"/>
      <c r="AO3491" s="30" t="n"/>
    </row>
    <row r="3492">
      <c r="A3492" s="134" t="inlineStr">
        <is>
          <t>11936XXX</t>
        </is>
      </c>
      <c r="B3492" s="246" t="inlineStr">
        <is>
          <t>TAVERNITI JEAN</t>
        </is>
      </c>
      <c r="C3492" s="88" t="n">
        <v>86100</v>
      </c>
      <c r="D3492" s="219" t="n"/>
      <c r="E3492" s="219" t="n"/>
      <c r="F3492" s="219" t="n"/>
      <c r="G3492" s="219" t="n"/>
      <c r="H3492" s="180" t="n"/>
      <c r="I3492" s="219" t="n"/>
      <c r="J3492" s="219" t="n"/>
      <c r="K3492" s="219" t="n"/>
      <c r="L3492" s="219">
        <f>ROUND((Q3492*C3492)/100,0)*100</f>
        <v/>
      </c>
      <c r="M3492" s="219" t="n"/>
      <c r="P3492" s="117" t="n"/>
      <c r="Q3492" s="118" t="n">
        <v>1.05</v>
      </c>
      <c r="R3492" s="117" t="n"/>
      <c r="T3492" s="117" t="n"/>
    </row>
    <row r="3493">
      <c r="A3493" s="134" t="inlineStr">
        <is>
          <t>11938XXX</t>
        </is>
      </c>
      <c r="B3493" s="246" t="inlineStr">
        <is>
          <t>TAVERNITI JEAN</t>
        </is>
      </c>
      <c r="C3493" s="88" t="n">
        <v>81000</v>
      </c>
      <c r="D3493" s="219" t="n"/>
      <c r="E3493" s="219" t="n"/>
      <c r="F3493" s="219" t="n"/>
      <c r="G3493" s="219" t="n"/>
      <c r="H3493" s="180" t="n"/>
      <c r="I3493" s="219" t="n"/>
      <c r="J3493" s="219" t="n"/>
      <c r="K3493" s="219" t="n"/>
      <c r="L3493" s="219">
        <f>ROUND((Q3493*C3493)/100,0)*100</f>
        <v/>
      </c>
      <c r="M3493" s="219" t="n"/>
      <c r="P3493" s="117" t="n"/>
      <c r="Q3493" s="118" t="n">
        <v>1.05</v>
      </c>
      <c r="R3493" s="117" t="n"/>
      <c r="T3493" s="117" t="n"/>
    </row>
    <row r="3494">
      <c r="A3494" s="134" t="inlineStr">
        <is>
          <t>11940XXX</t>
        </is>
      </c>
      <c r="B3494" s="246" t="inlineStr">
        <is>
          <t>TAVERNITI JEAN</t>
        </is>
      </c>
      <c r="C3494" s="88" t="n">
        <v>81000</v>
      </c>
      <c r="D3494" s="219" t="n"/>
      <c r="E3494" s="219" t="n"/>
      <c r="F3494" s="219" t="n"/>
      <c r="G3494" s="219" t="n"/>
      <c r="H3494" s="180" t="n"/>
      <c r="I3494" s="219" t="n"/>
      <c r="J3494" s="219" t="n"/>
      <c r="K3494" s="219" t="n"/>
      <c r="L3494" s="219">
        <f>ROUND((Q3494*C3494)/100,0)*100</f>
        <v/>
      </c>
      <c r="M3494" s="219" t="n"/>
      <c r="P3494" s="117" t="n"/>
      <c r="Q3494" s="118" t="n">
        <v>1.05</v>
      </c>
      <c r="R3494" s="117" t="n"/>
      <c r="T3494" s="117" t="n"/>
    </row>
    <row r="3495">
      <c r="A3495" s="134" t="inlineStr">
        <is>
          <t>11962XXX</t>
        </is>
      </c>
      <c r="B3495" s="246" t="inlineStr">
        <is>
          <t>TAVERNITI JEAN</t>
        </is>
      </c>
      <c r="C3495" s="88" t="n">
        <v>104500</v>
      </c>
      <c r="D3495" s="219" t="n"/>
      <c r="E3495" s="219" t="n"/>
      <c r="F3495" s="219" t="n"/>
      <c r="G3495" s="219" t="n"/>
      <c r="H3495" s="180" t="n"/>
      <c r="I3495" s="219" t="n"/>
      <c r="J3495" s="219" t="n"/>
      <c r="K3495" s="219" t="n"/>
      <c r="L3495" s="219">
        <f>ROUND((Q3495*C3495)/100,0)*100</f>
        <v/>
      </c>
      <c r="M3495" s="219" t="n"/>
      <c r="P3495" s="117" t="n"/>
      <c r="Q3495" s="118" t="n">
        <v>1.05</v>
      </c>
      <c r="R3495" s="117" t="n"/>
      <c r="T3495" s="117" t="n"/>
    </row>
    <row r="3496">
      <c r="A3496" s="134" t="inlineStr">
        <is>
          <t>11968XXX</t>
        </is>
      </c>
      <c r="B3496" s="246" t="inlineStr">
        <is>
          <t>TAVERNITI JEAN</t>
        </is>
      </c>
      <c r="C3496" s="88" t="n">
        <v>82100</v>
      </c>
      <c r="D3496" s="219" t="n"/>
      <c r="E3496" s="219" t="n"/>
      <c r="F3496" s="219" t="n"/>
      <c r="G3496" s="219" t="n"/>
      <c r="H3496" s="180" t="n"/>
      <c r="I3496" s="219" t="n"/>
      <c r="J3496" s="219" t="n"/>
      <c r="K3496" s="219" t="n"/>
      <c r="L3496" s="219">
        <f>ROUND((Q3496*C3496)/100,0)*100</f>
        <v/>
      </c>
      <c r="M3496" s="219" t="n"/>
      <c r="P3496" s="117" t="n"/>
      <c r="Q3496" s="118" t="n">
        <v>1.05</v>
      </c>
      <c r="R3496" s="117" t="n"/>
      <c r="T3496" s="117" t="n"/>
    </row>
    <row r="3497">
      <c r="A3497" s="134" t="inlineStr">
        <is>
          <t>11970XXX</t>
        </is>
      </c>
      <c r="B3497" s="246" t="inlineStr">
        <is>
          <t>TAVERNITI JEAN</t>
        </is>
      </c>
      <c r="C3497" s="88" t="n">
        <v>81000</v>
      </c>
      <c r="D3497" s="219" t="n"/>
      <c r="E3497" s="219" t="n"/>
      <c r="F3497" s="219" t="n"/>
      <c r="G3497" s="219" t="n"/>
      <c r="H3497" s="180" t="n"/>
      <c r="I3497" s="219" t="n"/>
      <c r="J3497" s="219" t="n"/>
      <c r="K3497" s="219" t="n"/>
      <c r="L3497" s="219">
        <f>ROUND((Q3497*C3497)/100,0)*100</f>
        <v/>
      </c>
      <c r="M3497" s="219" t="n"/>
      <c r="P3497" s="117" t="n"/>
      <c r="Q3497" s="118" t="n">
        <v>1.05</v>
      </c>
      <c r="R3497" s="117" t="n"/>
      <c r="T3497" s="117" t="n"/>
    </row>
    <row r="3498">
      <c r="A3498" s="89" t="inlineStr">
        <is>
          <t>11980XXX</t>
        </is>
      </c>
      <c r="B3498" s="135" t="inlineStr">
        <is>
          <t>TAVERNITI JEAN</t>
        </is>
      </c>
      <c r="C3498" s="88" t="n">
        <v>84100</v>
      </c>
      <c r="D3498" s="170" t="n"/>
      <c r="E3498" s="170" t="n"/>
      <c r="F3498" s="170" t="n"/>
      <c r="G3498" s="170" t="n"/>
      <c r="H3498" s="105" t="n"/>
      <c r="I3498" s="170" t="n"/>
      <c r="J3498" s="170" t="n"/>
      <c r="K3498" s="170" t="n"/>
      <c r="L3498" s="88">
        <f>ROUND((Q3498*C3498)/100,0)*100</f>
        <v/>
      </c>
      <c r="M3498" s="170" t="n"/>
      <c r="N3498" s="30" t="n"/>
      <c r="O3498" s="30" t="n"/>
      <c r="P3498" s="170" t="n"/>
      <c r="Q3498" s="118" t="n">
        <v>1.05</v>
      </c>
      <c r="R3498" s="170" t="n"/>
      <c r="S3498" s="30" t="n"/>
      <c r="T3498" s="170" t="n"/>
      <c r="U3498" s="30" t="n"/>
      <c r="V3498" s="30" t="n"/>
      <c r="W3498" s="30" t="n"/>
      <c r="X3498" s="30" t="n"/>
      <c r="Y3498" s="30" t="n"/>
      <c r="Z3498" s="30" t="n"/>
      <c r="AA3498" s="30" t="n"/>
      <c r="AB3498" s="30" t="n"/>
      <c r="AC3498" s="30" t="n"/>
      <c r="AD3498" s="30" t="n"/>
      <c r="AE3498" s="30" t="n"/>
      <c r="AF3498" s="30" t="n"/>
      <c r="AG3498" s="30" t="n"/>
      <c r="AH3498" s="30" t="n"/>
      <c r="AI3498" s="30" t="n"/>
      <c r="AJ3498" s="30" t="n"/>
      <c r="AK3498" s="30" t="n"/>
      <c r="AL3498" s="30" t="n"/>
      <c r="AM3498" s="30" t="n"/>
      <c r="AN3498" s="30" t="n"/>
      <c r="AO3498" s="30" t="n"/>
    </row>
    <row r="3499">
      <c r="A3499" s="134" t="inlineStr">
        <is>
          <t>11982XXX</t>
        </is>
      </c>
      <c r="B3499" s="246" t="inlineStr">
        <is>
          <t>TAVERNITI JEAN</t>
        </is>
      </c>
      <c r="C3499" s="88" t="n">
        <v>96600</v>
      </c>
      <c r="D3499" s="219" t="n"/>
      <c r="E3499" s="219" t="n"/>
      <c r="F3499" s="219" t="n"/>
      <c r="G3499" s="219" t="n"/>
      <c r="H3499" s="180" t="n"/>
      <c r="I3499" s="219" t="n"/>
      <c r="J3499" s="219" t="n"/>
      <c r="K3499" s="219" t="n"/>
      <c r="L3499" s="219">
        <f>ROUND((Q3499*C3499)/100,0)*100</f>
        <v/>
      </c>
      <c r="M3499" s="219" t="n"/>
      <c r="P3499" s="117" t="n"/>
      <c r="Q3499" s="118" t="n">
        <v>1.05</v>
      </c>
      <c r="R3499" s="117" t="n"/>
      <c r="T3499" s="117" t="n"/>
    </row>
    <row r="3500">
      <c r="A3500" s="134" t="inlineStr">
        <is>
          <t>11986XXX</t>
        </is>
      </c>
      <c r="B3500" s="246" t="inlineStr">
        <is>
          <t>TAVERNITI JEAN</t>
        </is>
      </c>
      <c r="C3500" s="88" t="n">
        <v>87000</v>
      </c>
      <c r="D3500" s="219" t="n"/>
      <c r="E3500" s="219" t="n"/>
      <c r="F3500" s="219" t="n"/>
      <c r="G3500" s="219" t="n"/>
      <c r="H3500" s="180" t="n"/>
      <c r="I3500" s="219" t="n"/>
      <c r="J3500" s="219" t="n"/>
      <c r="K3500" s="219" t="n"/>
      <c r="L3500" s="219">
        <f>ROUND((Q3500*C3500)/100,0)*100</f>
        <v/>
      </c>
      <c r="M3500" s="219" t="n"/>
      <c r="P3500" s="117" t="n"/>
      <c r="Q3500" s="118" t="n">
        <v>1.05</v>
      </c>
      <c r="R3500" s="117" t="n"/>
      <c r="T3500" s="117" t="n"/>
    </row>
    <row r="3501">
      <c r="A3501" s="89" t="inlineStr">
        <is>
          <t>11996XXX</t>
        </is>
      </c>
      <c r="B3501" s="135" t="inlineStr">
        <is>
          <t>TAVERNITI JEAN</t>
        </is>
      </c>
      <c r="C3501" s="88" t="n">
        <v>83000</v>
      </c>
      <c r="D3501" s="170" t="n"/>
      <c r="E3501" s="170" t="n"/>
      <c r="F3501" s="170" t="n"/>
      <c r="G3501" s="170" t="n"/>
      <c r="H3501" s="105" t="n"/>
      <c r="I3501" s="170" t="n"/>
      <c r="J3501" s="170" t="n"/>
      <c r="K3501" s="170" t="n"/>
      <c r="L3501" s="88">
        <f>ROUND((Q3501*C3501)/100,0)*100</f>
        <v/>
      </c>
      <c r="M3501" s="170" t="n"/>
      <c r="N3501" s="30" t="n"/>
      <c r="O3501" s="30" t="n"/>
      <c r="P3501" s="170" t="n"/>
      <c r="Q3501" s="96" t="n">
        <v>1.05</v>
      </c>
      <c r="R3501" s="170" t="n"/>
      <c r="S3501" s="30" t="n"/>
      <c r="T3501" s="170" t="n"/>
      <c r="U3501" s="30" t="n"/>
      <c r="V3501" s="30" t="n"/>
      <c r="W3501" s="30" t="n"/>
      <c r="X3501" s="30" t="n"/>
      <c r="Y3501" s="30" t="n"/>
      <c r="Z3501" s="30" t="n"/>
      <c r="AA3501" s="30" t="n"/>
      <c r="AB3501" s="30" t="n"/>
      <c r="AC3501" s="30" t="n"/>
      <c r="AD3501" s="30" t="n"/>
      <c r="AE3501" s="30" t="n"/>
      <c r="AF3501" s="30" t="n"/>
      <c r="AG3501" s="30" t="n"/>
      <c r="AH3501" s="30" t="n"/>
      <c r="AI3501" s="30" t="n"/>
      <c r="AJ3501" s="30" t="n"/>
      <c r="AK3501" s="30" t="n"/>
      <c r="AL3501" s="30" t="n"/>
      <c r="AM3501" s="30" t="n"/>
      <c r="AN3501" s="30" t="n"/>
      <c r="AO3501" s="30" t="n"/>
    </row>
    <row r="3502">
      <c r="A3502" s="134" t="inlineStr">
        <is>
          <t>11998XXX</t>
        </is>
      </c>
      <c r="B3502" s="246" t="inlineStr">
        <is>
          <t>TAVERNITI JEAN</t>
        </is>
      </c>
      <c r="C3502" s="88" t="n">
        <v>87400</v>
      </c>
      <c r="D3502" s="219" t="n"/>
      <c r="E3502" s="219" t="n"/>
      <c r="F3502" s="219" t="n"/>
      <c r="G3502" s="219" t="n"/>
      <c r="H3502" s="180" t="n"/>
      <c r="I3502" s="219" t="n"/>
      <c r="J3502" s="219" t="n"/>
      <c r="K3502" s="219" t="n"/>
      <c r="L3502" s="219">
        <f>ROUND((Q3502*C3502)/100,0)*100</f>
        <v/>
      </c>
      <c r="M3502" s="219" t="n"/>
      <c r="P3502" s="117" t="n"/>
      <c r="Q3502" s="118" t="n">
        <v>1.05</v>
      </c>
      <c r="R3502" s="117" t="n"/>
      <c r="T3502" s="117" t="n"/>
    </row>
    <row r="3503">
      <c r="A3503" s="89" t="inlineStr">
        <is>
          <t>13000XXX</t>
        </is>
      </c>
      <c r="B3503" s="246" t="inlineStr">
        <is>
          <t>TAVERNITI PANTALON</t>
        </is>
      </c>
      <c r="C3503" s="88" t="n">
        <v>94000</v>
      </c>
      <c r="D3503" s="170" t="n"/>
      <c r="E3503" s="170" t="n"/>
      <c r="F3503" s="170" t="n"/>
      <c r="G3503" s="170" t="n"/>
      <c r="H3503" s="105" t="n"/>
      <c r="I3503" s="170" t="n"/>
      <c r="J3503" s="170" t="n"/>
      <c r="K3503" s="170" t="n"/>
      <c r="L3503" s="170">
        <f>ROUND((Q3503*C3503)/100,0)*100</f>
        <v/>
      </c>
      <c r="M3503" s="170" t="n"/>
      <c r="N3503" s="30" t="n"/>
      <c r="O3503" s="30" t="n"/>
      <c r="P3503" s="170" t="n"/>
      <c r="Q3503" s="118" t="n">
        <v>1.05</v>
      </c>
      <c r="R3503" s="170" t="n"/>
      <c r="S3503" s="30" t="n"/>
      <c r="T3503" s="170" t="n"/>
      <c r="U3503" s="30" t="n"/>
      <c r="V3503" s="30" t="n"/>
      <c r="W3503" s="30" t="n"/>
      <c r="X3503" s="30" t="n"/>
      <c r="Y3503" s="30" t="n"/>
      <c r="Z3503" s="30" t="n"/>
      <c r="AA3503" s="30" t="n"/>
      <c r="AB3503" s="30" t="n"/>
      <c r="AC3503" s="30" t="n"/>
      <c r="AD3503" s="30" t="n"/>
      <c r="AE3503" s="30" t="n"/>
      <c r="AF3503" s="30" t="n"/>
      <c r="AG3503" s="30" t="n"/>
      <c r="AH3503" s="30" t="n"/>
      <c r="AI3503" s="30" t="n"/>
      <c r="AJ3503" s="30" t="n"/>
      <c r="AK3503" s="30" t="n"/>
      <c r="AL3503" s="30" t="n"/>
      <c r="AM3503" s="30" t="n"/>
      <c r="AN3503" s="30" t="n"/>
      <c r="AO3503" s="30" t="n"/>
    </row>
    <row r="3504">
      <c r="A3504" s="89" t="inlineStr">
        <is>
          <t>13004XXX</t>
        </is>
      </c>
      <c r="B3504" s="246" t="inlineStr">
        <is>
          <t>TAVERNITI PANTALON</t>
        </is>
      </c>
      <c r="C3504" s="88" t="n">
        <v>87000</v>
      </c>
      <c r="D3504" s="170" t="n"/>
      <c r="E3504" s="170" t="n"/>
      <c r="F3504" s="170" t="n"/>
      <c r="G3504" s="170" t="n"/>
      <c r="H3504" s="105" t="n"/>
      <c r="I3504" s="170" t="n"/>
      <c r="J3504" s="170" t="n"/>
      <c r="K3504" s="170" t="n"/>
      <c r="L3504" s="170">
        <f>ROUND((Q3504*C3504)/100,0)*100</f>
        <v/>
      </c>
      <c r="M3504" s="170" t="n"/>
      <c r="N3504" s="30" t="n"/>
      <c r="O3504" s="30" t="n"/>
      <c r="P3504" s="170" t="n"/>
      <c r="Q3504" s="118" t="n">
        <v>1.05</v>
      </c>
      <c r="R3504" s="170" t="n"/>
      <c r="S3504" s="30" t="n"/>
      <c r="T3504" s="170" t="n"/>
      <c r="U3504" s="30" t="n"/>
      <c r="V3504" s="30" t="n"/>
      <c r="W3504" s="30" t="n"/>
      <c r="X3504" s="30" t="n"/>
      <c r="Y3504" s="30" t="n"/>
      <c r="Z3504" s="30" t="n"/>
      <c r="AA3504" s="30" t="n"/>
      <c r="AB3504" s="30" t="n"/>
      <c r="AC3504" s="30" t="n"/>
      <c r="AD3504" s="30" t="n"/>
      <c r="AE3504" s="30" t="n"/>
      <c r="AF3504" s="30" t="n"/>
      <c r="AG3504" s="30" t="n"/>
      <c r="AH3504" s="30" t="n"/>
      <c r="AI3504" s="30" t="n"/>
      <c r="AJ3504" s="30" t="n"/>
      <c r="AK3504" s="30" t="n"/>
      <c r="AL3504" s="30" t="n"/>
      <c r="AM3504" s="30" t="n"/>
      <c r="AN3504" s="30" t="n"/>
      <c r="AO3504" s="30" t="n"/>
    </row>
    <row r="3505">
      <c r="A3505" s="89" t="inlineStr">
        <is>
          <t>13006XXX</t>
        </is>
      </c>
      <c r="B3505" s="246" t="inlineStr">
        <is>
          <t>TAVERNITI PANTALON</t>
        </is>
      </c>
      <c r="C3505" s="88" t="n">
        <v>81000</v>
      </c>
      <c r="D3505" s="170" t="n"/>
      <c r="E3505" s="170" t="n"/>
      <c r="F3505" s="170" t="n"/>
      <c r="G3505" s="170" t="n"/>
      <c r="H3505" s="105" t="n"/>
      <c r="I3505" s="170" t="n"/>
      <c r="J3505" s="170" t="n"/>
      <c r="K3505" s="170" t="n"/>
      <c r="L3505" s="170">
        <f>ROUND((Q3505*C3505)/100,0)*100</f>
        <v/>
      </c>
      <c r="M3505" s="170" t="n"/>
      <c r="N3505" s="30" t="n"/>
      <c r="O3505" s="30" t="n"/>
      <c r="P3505" s="170" t="n"/>
      <c r="Q3505" s="118" t="n">
        <v>1.05</v>
      </c>
      <c r="R3505" s="170" t="n"/>
      <c r="S3505" s="30" t="n"/>
      <c r="T3505" s="170" t="n"/>
      <c r="U3505" s="30" t="n"/>
      <c r="V3505" s="30" t="n"/>
      <c r="W3505" s="30" t="n"/>
      <c r="X3505" s="30" t="n"/>
      <c r="Y3505" s="30" t="n"/>
      <c r="Z3505" s="30" t="n"/>
      <c r="AA3505" s="30" t="n"/>
      <c r="AB3505" s="30" t="n"/>
      <c r="AC3505" s="30" t="n"/>
      <c r="AD3505" s="30" t="n"/>
      <c r="AE3505" s="30" t="n"/>
      <c r="AF3505" s="30" t="n"/>
      <c r="AG3505" s="30" t="n"/>
      <c r="AH3505" s="30" t="n"/>
      <c r="AI3505" s="30" t="n"/>
      <c r="AJ3505" s="30" t="n"/>
      <c r="AK3505" s="30" t="n"/>
      <c r="AL3505" s="30" t="n"/>
      <c r="AM3505" s="30" t="n"/>
      <c r="AN3505" s="30" t="n"/>
      <c r="AO3505" s="30" t="n"/>
    </row>
    <row r="3506">
      <c r="A3506" s="89" t="inlineStr">
        <is>
          <t>13018XXX</t>
        </is>
      </c>
      <c r="B3506" s="135" t="inlineStr">
        <is>
          <t>TAVERNITI CARGO</t>
        </is>
      </c>
      <c r="C3506" s="88" t="n">
        <v>103400</v>
      </c>
      <c r="D3506" s="170" t="n"/>
      <c r="E3506" s="170" t="n"/>
      <c r="F3506" s="170" t="n"/>
      <c r="G3506" s="170" t="n"/>
      <c r="H3506" s="105" t="n"/>
      <c r="I3506" s="170" t="n"/>
      <c r="J3506" s="170" t="n"/>
      <c r="K3506" s="170" t="n"/>
      <c r="L3506" s="88">
        <f>ROUND((Q3506*C3506)/100,0)*100</f>
        <v/>
      </c>
      <c r="M3506" s="170" t="n"/>
      <c r="N3506" s="30" t="n"/>
      <c r="O3506" s="30" t="n"/>
      <c r="P3506" s="170" t="n"/>
      <c r="Q3506" s="96" t="n">
        <v>1.05</v>
      </c>
      <c r="R3506" s="170" t="n"/>
      <c r="S3506" s="30" t="n"/>
      <c r="T3506" s="170" t="n"/>
      <c r="U3506" s="30" t="n"/>
      <c r="V3506" s="30" t="n"/>
      <c r="W3506" s="30" t="n"/>
      <c r="X3506" s="30" t="n"/>
      <c r="Y3506" s="30" t="n"/>
      <c r="Z3506" s="30" t="n"/>
      <c r="AA3506" s="30" t="n"/>
      <c r="AB3506" s="30" t="n"/>
      <c r="AC3506" s="30" t="n"/>
      <c r="AD3506" s="30" t="n"/>
      <c r="AE3506" s="30" t="n"/>
      <c r="AF3506" s="30" t="n"/>
      <c r="AG3506" s="30" t="n"/>
      <c r="AH3506" s="30" t="n"/>
      <c r="AI3506" s="30" t="n"/>
      <c r="AJ3506" s="30" t="n"/>
      <c r="AK3506" s="30" t="n"/>
      <c r="AL3506" s="30" t="n"/>
      <c r="AM3506" s="30" t="n"/>
      <c r="AN3506" s="30" t="n"/>
      <c r="AO3506" s="30" t="n"/>
    </row>
    <row r="3507">
      <c r="A3507" s="89" t="inlineStr">
        <is>
          <t>13022XXX</t>
        </is>
      </c>
      <c r="B3507" s="135" t="inlineStr">
        <is>
          <t>TAVERNITI PANTALON</t>
        </is>
      </c>
      <c r="C3507" s="88" t="n">
        <v>103400</v>
      </c>
      <c r="D3507" s="170" t="n"/>
      <c r="E3507" s="170" t="n"/>
      <c r="F3507" s="170" t="n"/>
      <c r="G3507" s="170" t="n"/>
      <c r="H3507" s="105" t="n"/>
      <c r="I3507" s="170" t="n"/>
      <c r="J3507" s="170" t="n"/>
      <c r="K3507" s="170" t="n"/>
      <c r="L3507" s="88">
        <f>ROUND((Q3507*C3507)/100,0)*100</f>
        <v/>
      </c>
      <c r="M3507" s="170" t="n"/>
      <c r="N3507" s="30" t="n"/>
      <c r="O3507" s="30" t="n"/>
      <c r="P3507" s="170" t="n"/>
      <c r="Q3507" s="118" t="n">
        <v>1.05</v>
      </c>
      <c r="R3507" s="170" t="n"/>
      <c r="S3507" s="30" t="n"/>
      <c r="T3507" s="170" t="n"/>
      <c r="U3507" s="30" t="n"/>
      <c r="V3507" s="30" t="n"/>
      <c r="W3507" s="30" t="n"/>
      <c r="X3507" s="30" t="n"/>
      <c r="Y3507" s="30" t="n"/>
      <c r="Z3507" s="30" t="n"/>
      <c r="AA3507" s="30" t="n"/>
      <c r="AB3507" s="30" t="n"/>
      <c r="AC3507" s="30" t="n"/>
      <c r="AD3507" s="30" t="n"/>
      <c r="AE3507" s="30" t="n"/>
      <c r="AF3507" s="30" t="n"/>
      <c r="AG3507" s="30" t="n"/>
      <c r="AH3507" s="30" t="n"/>
      <c r="AI3507" s="30" t="n"/>
      <c r="AJ3507" s="30" t="n"/>
      <c r="AK3507" s="30" t="n"/>
      <c r="AL3507" s="30" t="n"/>
      <c r="AM3507" s="30" t="n"/>
      <c r="AN3507" s="30" t="n"/>
      <c r="AO3507" s="30" t="n"/>
    </row>
    <row r="3508">
      <c r="A3508" s="89" t="inlineStr">
        <is>
          <t>13026XXX</t>
        </is>
      </c>
      <c r="B3508" s="135" t="inlineStr">
        <is>
          <t>TAVERNITI JEAN</t>
        </is>
      </c>
      <c r="C3508" s="88" t="n">
        <v>102900</v>
      </c>
      <c r="D3508" s="170" t="n"/>
      <c r="E3508" s="170" t="n"/>
      <c r="F3508" s="170" t="n"/>
      <c r="G3508" s="170" t="n"/>
      <c r="H3508" s="105" t="n"/>
      <c r="I3508" s="170" t="n"/>
      <c r="J3508" s="170" t="n"/>
      <c r="K3508" s="170" t="n"/>
      <c r="L3508" s="88">
        <f>ROUND((Q3508*C3508)/100,0)*100</f>
        <v/>
      </c>
      <c r="M3508" s="170" t="n"/>
      <c r="N3508" s="30" t="n"/>
      <c r="O3508" s="30" t="n"/>
      <c r="P3508" s="170" t="n"/>
      <c r="Q3508" s="118" t="n">
        <v>1.05</v>
      </c>
      <c r="R3508" s="170" t="n"/>
      <c r="S3508" s="30" t="n"/>
      <c r="T3508" s="170" t="n"/>
      <c r="U3508" s="30" t="n"/>
      <c r="V3508" s="30" t="n"/>
      <c r="W3508" s="30" t="n"/>
      <c r="X3508" s="30" t="n"/>
      <c r="Y3508" s="30" t="n"/>
      <c r="Z3508" s="30" t="n"/>
      <c r="AA3508" s="30" t="n"/>
      <c r="AB3508" s="30" t="n"/>
      <c r="AC3508" s="30" t="n"/>
      <c r="AD3508" s="30" t="n"/>
      <c r="AE3508" s="30" t="n"/>
      <c r="AF3508" s="30" t="n"/>
      <c r="AG3508" s="30" t="n"/>
      <c r="AH3508" s="30" t="n"/>
      <c r="AI3508" s="30" t="n"/>
      <c r="AJ3508" s="30" t="n"/>
      <c r="AK3508" s="30" t="n"/>
      <c r="AL3508" s="30" t="n"/>
      <c r="AM3508" s="30" t="n"/>
      <c r="AN3508" s="30" t="n"/>
      <c r="AO3508" s="30" t="n"/>
    </row>
    <row r="3509">
      <c r="A3509" s="89" t="inlineStr">
        <is>
          <t>13028XXX</t>
        </is>
      </c>
      <c r="B3509" s="135" t="inlineStr">
        <is>
          <t>TAVERNITI JEAN</t>
        </is>
      </c>
      <c r="C3509" s="88" t="n">
        <v>89900</v>
      </c>
      <c r="D3509" s="170" t="n"/>
      <c r="E3509" s="170" t="n"/>
      <c r="F3509" s="170" t="n"/>
      <c r="G3509" s="170" t="n"/>
      <c r="H3509" s="105" t="n"/>
      <c r="I3509" s="170" t="n"/>
      <c r="J3509" s="170" t="n"/>
      <c r="K3509" s="170" t="n"/>
      <c r="L3509" s="88">
        <f>ROUND((Q3509*C3509)/100,0)*100</f>
        <v/>
      </c>
      <c r="M3509" s="170" t="n"/>
      <c r="N3509" s="30" t="n"/>
      <c r="O3509" s="30" t="n"/>
      <c r="P3509" s="170" t="n"/>
      <c r="Q3509" s="118" t="n">
        <v>1.05</v>
      </c>
      <c r="R3509" s="170" t="n"/>
      <c r="S3509" s="30" t="n"/>
      <c r="T3509" s="170" t="n"/>
      <c r="U3509" s="30" t="n"/>
      <c r="V3509" s="30" t="n"/>
      <c r="W3509" s="30" t="n"/>
      <c r="X3509" s="30" t="n"/>
      <c r="Y3509" s="30" t="n"/>
      <c r="Z3509" s="30" t="n"/>
      <c r="AA3509" s="30" t="n"/>
      <c r="AB3509" s="30" t="n"/>
      <c r="AC3509" s="30" t="n"/>
      <c r="AD3509" s="30" t="n"/>
      <c r="AE3509" s="30" t="n"/>
      <c r="AF3509" s="30" t="n"/>
      <c r="AG3509" s="30" t="n"/>
      <c r="AH3509" s="30" t="n"/>
      <c r="AI3509" s="30" t="n"/>
      <c r="AJ3509" s="30" t="n"/>
      <c r="AK3509" s="30" t="n"/>
      <c r="AL3509" s="30" t="n"/>
      <c r="AM3509" s="30" t="n"/>
      <c r="AN3509" s="30" t="n"/>
      <c r="AO3509" s="30" t="n"/>
    </row>
    <row r="3510">
      <c r="A3510" s="89" t="inlineStr">
        <is>
          <t>13032XXX</t>
        </is>
      </c>
      <c r="B3510" s="135" t="inlineStr">
        <is>
          <t>TAVERNITI JEAN</t>
        </is>
      </c>
      <c r="C3510" s="88" t="n">
        <v>84800</v>
      </c>
      <c r="D3510" s="170" t="n"/>
      <c r="E3510" s="170" t="n"/>
      <c r="F3510" s="170" t="n"/>
      <c r="G3510" s="170" t="n"/>
      <c r="H3510" s="105" t="n"/>
      <c r="I3510" s="170" t="n"/>
      <c r="J3510" s="170" t="n"/>
      <c r="K3510" s="170" t="n"/>
      <c r="L3510" s="88">
        <f>ROUND((Q3510*C3510)/100,0)*100</f>
        <v/>
      </c>
      <c r="M3510" s="170" t="n"/>
      <c r="N3510" s="30" t="n"/>
      <c r="O3510" s="30" t="n"/>
      <c r="P3510" s="170" t="n"/>
      <c r="Q3510" s="118" t="n">
        <v>1.05</v>
      </c>
      <c r="R3510" s="170" t="n"/>
      <c r="S3510" s="30" t="n"/>
      <c r="T3510" s="170" t="n"/>
      <c r="U3510" s="30" t="n"/>
      <c r="V3510" s="30" t="n"/>
      <c r="W3510" s="30" t="n"/>
      <c r="X3510" s="30" t="n"/>
      <c r="Y3510" s="30" t="n"/>
      <c r="Z3510" s="30" t="n"/>
      <c r="AA3510" s="30" t="n"/>
      <c r="AB3510" s="30" t="n"/>
      <c r="AC3510" s="30" t="n"/>
      <c r="AD3510" s="30" t="n"/>
      <c r="AE3510" s="30" t="n"/>
      <c r="AF3510" s="30" t="n"/>
      <c r="AG3510" s="30" t="n"/>
      <c r="AH3510" s="30" t="n"/>
      <c r="AI3510" s="30" t="n"/>
      <c r="AJ3510" s="30" t="n"/>
      <c r="AK3510" s="30" t="n"/>
      <c r="AL3510" s="30" t="n"/>
      <c r="AM3510" s="30" t="n"/>
      <c r="AN3510" s="30" t="n"/>
      <c r="AO3510" s="30" t="n"/>
    </row>
    <row r="3511">
      <c r="A3511" s="134" t="inlineStr">
        <is>
          <t>13038XXX</t>
        </is>
      </c>
      <c r="B3511" s="246" t="inlineStr">
        <is>
          <t>TAVERNITI JEAN</t>
        </is>
      </c>
      <c r="C3511" s="88" t="n">
        <v>81000</v>
      </c>
      <c r="D3511" s="219" t="n"/>
      <c r="E3511" s="219" t="n"/>
      <c r="F3511" s="219" t="n"/>
      <c r="G3511" s="219" t="n"/>
      <c r="H3511" s="180" t="n"/>
      <c r="I3511" s="219" t="n"/>
      <c r="J3511" s="219" t="n"/>
      <c r="K3511" s="219" t="n"/>
      <c r="L3511" s="219">
        <f>ROUND((Q3511*C3511)/100,0)*100</f>
        <v/>
      </c>
      <c r="M3511" s="219" t="n"/>
      <c r="P3511" s="117" t="n"/>
      <c r="Q3511" s="118" t="n">
        <v>1.05</v>
      </c>
      <c r="R3511" s="117" t="n"/>
      <c r="T3511" s="117" t="n"/>
    </row>
    <row r="3512">
      <c r="A3512" s="134" t="inlineStr">
        <is>
          <t>13040XXX</t>
        </is>
      </c>
      <c r="B3512" s="246" t="inlineStr">
        <is>
          <t>TAVERNITI JEAN</t>
        </is>
      </c>
      <c r="C3512" s="88" t="n">
        <v>81000</v>
      </c>
      <c r="D3512" s="219" t="n"/>
      <c r="E3512" s="219" t="n"/>
      <c r="F3512" s="219" t="n"/>
      <c r="G3512" s="219" t="n"/>
      <c r="H3512" s="180" t="n"/>
      <c r="I3512" s="219" t="n"/>
      <c r="J3512" s="219" t="n"/>
      <c r="K3512" s="219" t="n"/>
      <c r="L3512" s="219">
        <f>ROUND((Q3512*C3512)/100,0)*100</f>
        <v/>
      </c>
      <c r="M3512" s="219" t="n"/>
      <c r="P3512" s="117" t="n"/>
      <c r="Q3512" s="118" t="n">
        <v>1.05</v>
      </c>
      <c r="R3512" s="117" t="n"/>
      <c r="T3512" s="117" t="n"/>
    </row>
    <row r="3513">
      <c r="A3513" s="89" t="inlineStr">
        <is>
          <t>13042XXX</t>
        </is>
      </c>
      <c r="B3513" s="135" t="inlineStr">
        <is>
          <t>TAVERNITI JEAN</t>
        </is>
      </c>
      <c r="C3513" s="88" t="n">
        <v>81000</v>
      </c>
      <c r="D3513" s="170" t="n"/>
      <c r="E3513" s="170" t="n"/>
      <c r="F3513" s="170" t="n"/>
      <c r="G3513" s="170" t="n"/>
      <c r="H3513" s="227" t="n"/>
      <c r="I3513" s="170" t="n"/>
      <c r="J3513" s="170" t="n"/>
      <c r="K3513" s="170" t="n"/>
      <c r="L3513" s="170">
        <f>ROUND((Q3513*C3513)/100,0)*100</f>
        <v/>
      </c>
      <c r="M3513" s="170" t="n"/>
      <c r="N3513" s="30" t="n"/>
      <c r="O3513" s="30" t="n"/>
      <c r="P3513" s="170" t="n"/>
      <c r="Q3513" s="118" t="n">
        <v>1.05</v>
      </c>
      <c r="R3513" s="170" t="n"/>
      <c r="S3513" s="30" t="n"/>
      <c r="T3513" s="170" t="n"/>
      <c r="U3513" s="30" t="n"/>
      <c r="V3513" s="30" t="n"/>
      <c r="W3513" s="30" t="n"/>
      <c r="X3513" s="30" t="n"/>
      <c r="Y3513" s="30" t="n"/>
      <c r="Z3513" s="30" t="n"/>
      <c r="AA3513" s="30" t="n"/>
      <c r="AB3513" s="30" t="n"/>
      <c r="AC3513" s="30" t="n"/>
      <c r="AD3513" s="30" t="n"/>
      <c r="AE3513" s="30" t="n"/>
      <c r="AF3513" s="30" t="n"/>
      <c r="AG3513" s="30" t="n"/>
      <c r="AH3513" s="30" t="n"/>
      <c r="AI3513" s="30" t="n"/>
      <c r="AJ3513" s="30" t="n"/>
      <c r="AK3513" s="30" t="n"/>
      <c r="AL3513" s="30" t="n"/>
      <c r="AM3513" s="30" t="n"/>
      <c r="AN3513" s="30" t="n"/>
      <c r="AO3513" s="30" t="n"/>
    </row>
    <row r="3514">
      <c r="A3514" s="134" t="inlineStr">
        <is>
          <t>13044XXX</t>
        </is>
      </c>
      <c r="B3514" s="246" t="inlineStr">
        <is>
          <t>TAVERNITI JEAN</t>
        </is>
      </c>
      <c r="C3514" s="88" t="n">
        <v>81000</v>
      </c>
      <c r="D3514" s="219" t="n"/>
      <c r="E3514" s="219" t="n"/>
      <c r="F3514" s="219" t="n"/>
      <c r="G3514" s="219" t="n"/>
      <c r="H3514" s="180" t="n"/>
      <c r="I3514" s="219" t="n"/>
      <c r="J3514" s="219" t="n"/>
      <c r="K3514" s="219" t="n"/>
      <c r="L3514" s="219">
        <f>ROUND((Q3514*C3514)/100,0)*100</f>
        <v/>
      </c>
      <c r="M3514" s="219" t="n"/>
      <c r="P3514" s="117" t="n"/>
      <c r="Q3514" s="118" t="n">
        <v>1.05</v>
      </c>
      <c r="R3514" s="117" t="n"/>
      <c r="T3514" s="117" t="n"/>
    </row>
    <row r="3515">
      <c r="A3515" s="134" t="inlineStr">
        <is>
          <t>13046XXX</t>
        </is>
      </c>
      <c r="B3515" s="246" t="inlineStr">
        <is>
          <t>TAVERNITI JEAN</t>
        </is>
      </c>
      <c r="C3515" s="88" t="n">
        <v>81000</v>
      </c>
      <c r="D3515" s="219" t="n"/>
      <c r="E3515" s="219" t="n"/>
      <c r="F3515" s="219" t="n"/>
      <c r="G3515" s="219" t="n"/>
      <c r="H3515" s="180" t="n"/>
      <c r="I3515" s="219" t="n"/>
      <c r="J3515" s="219" t="n"/>
      <c r="K3515" s="219" t="n"/>
      <c r="L3515" s="219">
        <f>ROUND((Q3515*C3515)/100,0)*100</f>
        <v/>
      </c>
      <c r="M3515" s="219" t="n"/>
      <c r="P3515" s="117" t="n"/>
      <c r="Q3515" s="118" t="n">
        <v>1.05</v>
      </c>
      <c r="R3515" s="117" t="n"/>
      <c r="T3515" s="117" t="n"/>
    </row>
    <row r="3516">
      <c r="A3516" s="134" t="inlineStr">
        <is>
          <t>XXX</t>
        </is>
      </c>
      <c r="B3516" s="246" t="inlineStr">
        <is>
          <t>TAVERNITI PANTALON</t>
        </is>
      </c>
      <c r="C3516" s="88" t="n">
        <v>84100</v>
      </c>
      <c r="D3516" s="219" t="n"/>
      <c r="E3516" s="219" t="n"/>
      <c r="F3516" s="219" t="n"/>
      <c r="G3516" s="219" t="n"/>
      <c r="H3516" s="180" t="n"/>
      <c r="I3516" s="219" t="n"/>
      <c r="J3516" s="219" t="n"/>
      <c r="K3516" s="219" t="n"/>
      <c r="L3516" s="219">
        <f>ROUND((Q3516*C3516)/100,0)*100</f>
        <v/>
      </c>
      <c r="M3516" s="219" t="n"/>
      <c r="P3516" s="117" t="n"/>
      <c r="Q3516" s="118" t="n">
        <v>1.05</v>
      </c>
      <c r="R3516" s="117" t="n"/>
      <c r="T3516" s="117" t="n"/>
    </row>
    <row r="3517">
      <c r="A3517" s="134" t="inlineStr">
        <is>
          <t>13054XXX</t>
        </is>
      </c>
      <c r="B3517" s="246" t="inlineStr">
        <is>
          <t>TAVERNITI PANTALON</t>
        </is>
      </c>
      <c r="C3517" s="88" t="n">
        <v>81000</v>
      </c>
      <c r="D3517" s="219" t="n"/>
      <c r="E3517" s="219" t="n"/>
      <c r="F3517" s="219" t="n"/>
      <c r="G3517" s="219" t="n"/>
      <c r="H3517" s="180" t="n"/>
      <c r="I3517" s="219" t="n"/>
      <c r="J3517" s="219" t="n"/>
      <c r="K3517" s="219" t="n"/>
      <c r="L3517" s="219">
        <f>ROUND((Q3517*C3517)/100,0)*100</f>
        <v/>
      </c>
      <c r="M3517" s="219" t="n"/>
      <c r="P3517" s="117" t="n"/>
      <c r="Q3517" s="118" t="n">
        <v>1.05</v>
      </c>
      <c r="R3517" s="117" t="n"/>
      <c r="T3517" s="117" t="n"/>
    </row>
    <row r="3518">
      <c r="A3518" s="89" t="inlineStr">
        <is>
          <t>13190XXX</t>
        </is>
      </c>
      <c r="B3518" s="135" t="inlineStr">
        <is>
          <t>TAVERNITI PANTALON</t>
        </is>
      </c>
      <c r="C3518" s="88" t="n">
        <v>81000</v>
      </c>
      <c r="D3518" s="170" t="n"/>
      <c r="E3518" s="170" t="n"/>
      <c r="F3518" s="170" t="n"/>
      <c r="G3518" s="170" t="n"/>
      <c r="H3518" s="105" t="n"/>
      <c r="I3518" s="170" t="n"/>
      <c r="J3518" s="170" t="n"/>
      <c r="K3518" s="170" t="n"/>
      <c r="L3518" s="88">
        <f>ROUND((Q3518*C3518)/100,0)*100</f>
        <v/>
      </c>
      <c r="M3518" s="170" t="n"/>
      <c r="N3518" s="30" t="n"/>
      <c r="O3518" s="30" t="n"/>
      <c r="P3518" s="170" t="n"/>
      <c r="Q3518" s="118" t="n">
        <v>1.05</v>
      </c>
      <c r="R3518" s="170" t="n"/>
      <c r="S3518" s="30" t="n"/>
      <c r="T3518" s="170" t="n"/>
      <c r="U3518" s="30" t="n"/>
      <c r="V3518" s="30" t="n"/>
      <c r="W3518" s="30" t="n"/>
      <c r="X3518" s="30" t="n"/>
      <c r="Y3518" s="30" t="n"/>
      <c r="Z3518" s="30" t="n"/>
      <c r="AA3518" s="30" t="n"/>
      <c r="AB3518" s="30" t="n"/>
      <c r="AC3518" s="30" t="n"/>
      <c r="AD3518" s="30" t="n"/>
      <c r="AE3518" s="30" t="n"/>
      <c r="AF3518" s="30" t="n"/>
      <c r="AG3518" s="30" t="n"/>
      <c r="AH3518" s="30" t="n"/>
      <c r="AI3518" s="30" t="n"/>
      <c r="AJ3518" s="30" t="n"/>
      <c r="AK3518" s="30" t="n"/>
      <c r="AL3518" s="30" t="n"/>
      <c r="AM3518" s="30" t="n"/>
      <c r="AN3518" s="30" t="n"/>
      <c r="AO3518" s="30" t="n"/>
    </row>
    <row r="3519">
      <c r="A3519" s="134" t="inlineStr">
        <is>
          <t>13198XXX</t>
        </is>
      </c>
      <c r="B3519" s="246" t="inlineStr">
        <is>
          <t>TAVERNITI PANTALON</t>
        </is>
      </c>
      <c r="C3519" s="88" t="n">
        <v>83000</v>
      </c>
      <c r="D3519" s="219" t="n"/>
      <c r="E3519" s="219" t="n"/>
      <c r="F3519" s="219" t="n"/>
      <c r="G3519" s="219" t="n"/>
      <c r="H3519" s="180" t="n"/>
      <c r="I3519" s="219" t="n"/>
      <c r="J3519" s="219" t="n"/>
      <c r="K3519" s="219" t="n"/>
      <c r="L3519" s="219">
        <f>ROUND((Q3519*C3519)/100,0)*100</f>
        <v/>
      </c>
      <c r="M3519" s="219" t="n"/>
      <c r="P3519" s="117" t="n"/>
      <c r="Q3519" s="118" t="n">
        <v>1.05</v>
      </c>
      <c r="R3519" s="117" t="n"/>
      <c r="T3519" s="117" t="n"/>
    </row>
    <row r="3520">
      <c r="A3520" s="89" t="inlineStr">
        <is>
          <t>13202XXX</t>
        </is>
      </c>
      <c r="B3520" s="135" t="inlineStr">
        <is>
          <t>TAVERNITI PANTALON</t>
        </is>
      </c>
      <c r="C3520" s="88" t="n">
        <v>81000</v>
      </c>
      <c r="D3520" s="170" t="n"/>
      <c r="E3520" s="170" t="n"/>
      <c r="F3520" s="170" t="n"/>
      <c r="G3520" s="170" t="n"/>
      <c r="H3520" s="105" t="n"/>
      <c r="I3520" s="170" t="n"/>
      <c r="J3520" s="170" t="n"/>
      <c r="K3520" s="170" t="n"/>
      <c r="L3520" s="88">
        <f>ROUND((Q3520*C3520)/100,0)*100</f>
        <v/>
      </c>
      <c r="M3520" s="170" t="n"/>
      <c r="N3520" s="30" t="n"/>
      <c r="O3520" s="30" t="n"/>
      <c r="P3520" s="170" t="n"/>
      <c r="Q3520" s="118" t="n">
        <v>1.05</v>
      </c>
      <c r="R3520" s="170" t="n"/>
      <c r="S3520" s="30" t="n"/>
      <c r="T3520" s="170" t="n"/>
      <c r="U3520" s="30" t="n"/>
      <c r="V3520" s="30" t="n"/>
      <c r="W3520" s="30" t="n"/>
      <c r="X3520" s="30" t="n"/>
      <c r="Y3520" s="30" t="n"/>
      <c r="Z3520" s="30" t="n"/>
      <c r="AA3520" s="30" t="n"/>
      <c r="AB3520" s="30" t="n"/>
      <c r="AC3520" s="30" t="n"/>
      <c r="AD3520" s="30" t="n"/>
      <c r="AE3520" s="30" t="n"/>
      <c r="AF3520" s="30" t="n"/>
      <c r="AG3520" s="30" t="n"/>
      <c r="AH3520" s="30" t="n"/>
      <c r="AI3520" s="30" t="n"/>
      <c r="AJ3520" s="30" t="n"/>
      <c r="AK3520" s="30" t="n"/>
      <c r="AL3520" s="30" t="n"/>
      <c r="AM3520" s="30" t="n"/>
      <c r="AN3520" s="30" t="n"/>
      <c r="AO3520" s="30" t="n"/>
    </row>
    <row r="3521">
      <c r="A3521" s="134" t="inlineStr">
        <is>
          <t>13208XXX</t>
        </is>
      </c>
      <c r="B3521" s="246" t="inlineStr">
        <is>
          <t>TAVERNITI PANTALON</t>
        </is>
      </c>
      <c r="C3521" s="88" t="n">
        <v>89900</v>
      </c>
      <c r="D3521" s="219" t="n"/>
      <c r="E3521" s="219" t="n"/>
      <c r="F3521" s="219" t="n"/>
      <c r="G3521" s="219" t="n"/>
      <c r="H3521" s="180" t="n"/>
      <c r="I3521" s="219" t="n"/>
      <c r="J3521" s="219" t="n"/>
      <c r="K3521" s="219" t="n"/>
      <c r="L3521" s="219">
        <f>ROUND((Q3521*C3521)/100,0)*100</f>
        <v/>
      </c>
      <c r="M3521" s="219" t="n"/>
      <c r="P3521" s="117" t="n"/>
      <c r="Q3521" s="118" t="n">
        <v>1.05</v>
      </c>
      <c r="R3521" s="117" t="n"/>
      <c r="T3521" s="117" t="n"/>
    </row>
    <row r="3522">
      <c r="A3522" s="89" t="inlineStr">
        <is>
          <t>13216XXX</t>
        </is>
      </c>
      <c r="B3522" s="135" t="inlineStr">
        <is>
          <t>TAVERNITI PANTALON</t>
        </is>
      </c>
      <c r="C3522" s="88" t="n">
        <v>83900</v>
      </c>
      <c r="D3522" s="170" t="n"/>
      <c r="E3522" s="170" t="n"/>
      <c r="F3522" s="170" t="n"/>
      <c r="G3522" s="170" t="n"/>
      <c r="H3522" s="105" t="n"/>
      <c r="I3522" s="170" t="n"/>
      <c r="J3522" s="170" t="n"/>
      <c r="K3522" s="170" t="n"/>
      <c r="L3522" s="88">
        <f>ROUND((Q3522*C3522)/100,0)*100</f>
        <v/>
      </c>
      <c r="M3522" s="170" t="n"/>
      <c r="N3522" s="30" t="n"/>
      <c r="O3522" s="30" t="n"/>
      <c r="P3522" s="170" t="n"/>
      <c r="Q3522" s="118" t="n">
        <v>1.05</v>
      </c>
      <c r="R3522" s="170" t="n"/>
      <c r="S3522" s="30" t="n"/>
      <c r="T3522" s="170" t="n"/>
      <c r="U3522" s="30" t="n"/>
      <c r="V3522" s="30" t="n"/>
      <c r="W3522" s="30" t="n"/>
      <c r="X3522" s="30" t="n"/>
      <c r="Y3522" s="30" t="n"/>
      <c r="Z3522" s="30" t="n"/>
      <c r="AA3522" s="30" t="n"/>
      <c r="AB3522" s="30" t="n"/>
      <c r="AC3522" s="30" t="n"/>
      <c r="AD3522" s="30" t="n"/>
      <c r="AE3522" s="30" t="n"/>
      <c r="AF3522" s="30" t="n"/>
      <c r="AG3522" s="30" t="n"/>
      <c r="AH3522" s="30" t="n"/>
      <c r="AI3522" s="30" t="n"/>
      <c r="AJ3522" s="30" t="n"/>
      <c r="AK3522" s="30" t="n"/>
      <c r="AL3522" s="30" t="n"/>
      <c r="AM3522" s="30" t="n"/>
      <c r="AN3522" s="30" t="n"/>
      <c r="AO3522" s="30" t="n"/>
    </row>
    <row r="3523">
      <c r="A3523" s="134" t="inlineStr">
        <is>
          <t>13210XXX</t>
        </is>
      </c>
      <c r="B3523" s="246" t="inlineStr">
        <is>
          <t>TAVERNITI GABARDINA</t>
        </is>
      </c>
      <c r="C3523" s="88" t="n">
        <v>81000</v>
      </c>
      <c r="D3523" s="219" t="n"/>
      <c r="E3523" s="219" t="n"/>
      <c r="F3523" s="219" t="n"/>
      <c r="G3523" s="219" t="n"/>
      <c r="H3523" s="180" t="n"/>
      <c r="I3523" s="219" t="n"/>
      <c r="J3523" s="219" t="n"/>
      <c r="K3523" s="219" t="n"/>
      <c r="L3523" s="219">
        <f>ROUND((Q3523*C3523)/100,0)*100</f>
        <v/>
      </c>
      <c r="M3523" s="219" t="n"/>
      <c r="P3523" s="117" t="n"/>
      <c r="Q3523" s="118" t="n">
        <v>1.05</v>
      </c>
      <c r="R3523" s="117" t="n"/>
      <c r="T3523" s="117" t="n"/>
    </row>
    <row r="3524">
      <c r="A3524" s="134" t="inlineStr">
        <is>
          <t>13212XXX</t>
        </is>
      </c>
      <c r="B3524" s="246" t="inlineStr">
        <is>
          <t>TAVERNITI GABARDINA</t>
        </is>
      </c>
      <c r="C3524" s="88" t="n">
        <v>90500</v>
      </c>
      <c r="D3524" s="219" t="n"/>
      <c r="E3524" s="219" t="n"/>
      <c r="F3524" s="219" t="n"/>
      <c r="G3524" s="219" t="n"/>
      <c r="H3524" s="180" t="n"/>
      <c r="I3524" s="219" t="n"/>
      <c r="J3524" s="219" t="n"/>
      <c r="K3524" s="219" t="n"/>
      <c r="L3524" s="219">
        <f>ROUND((Q3524*C3524)/100,0)*100</f>
        <v/>
      </c>
      <c r="M3524" s="219" t="n"/>
      <c r="P3524" s="117" t="n"/>
      <c r="Q3524" s="118" t="n">
        <v>1.05</v>
      </c>
      <c r="R3524" s="117" t="n"/>
      <c r="T3524" s="117" t="n"/>
    </row>
    <row r="3525">
      <c r="A3525" s="134" t="inlineStr">
        <is>
          <t>13216XXX</t>
        </is>
      </c>
      <c r="B3525" s="246" t="inlineStr">
        <is>
          <t>TAVERNITI GABARDINA</t>
        </is>
      </c>
      <c r="C3525" s="88" t="n">
        <v>90000</v>
      </c>
      <c r="D3525" s="219" t="n"/>
      <c r="E3525" s="219" t="n"/>
      <c r="F3525" s="219" t="n"/>
      <c r="G3525" s="219" t="n"/>
      <c r="H3525" s="180" t="n"/>
      <c r="I3525" s="219" t="n"/>
      <c r="J3525" s="219" t="n"/>
      <c r="K3525" s="219" t="n"/>
      <c r="L3525" s="219">
        <f>ROUND((Q3525*C3525)/100,0)*100</f>
        <v/>
      </c>
      <c r="M3525" s="219" t="n"/>
      <c r="P3525" s="117" t="n"/>
      <c r="Q3525" s="118" t="n">
        <v>1.05</v>
      </c>
      <c r="R3525" s="117" t="n"/>
      <c r="T3525" s="117" t="n"/>
    </row>
    <row r="3526">
      <c r="A3526" s="134" t="inlineStr">
        <is>
          <t>13220XXX</t>
        </is>
      </c>
      <c r="B3526" s="246" t="inlineStr">
        <is>
          <t>TAVERNITI PANTALON PREMIUN</t>
        </is>
      </c>
      <c r="C3526" s="88" t="n">
        <v>115900</v>
      </c>
      <c r="D3526" s="88">
        <f>ROUND((C3526*1.07)/100,0)*100</f>
        <v/>
      </c>
      <c r="E3526" s="219" t="n"/>
      <c r="F3526" s="219" t="n"/>
      <c r="G3526" s="219" t="n"/>
      <c r="H3526" s="180" t="n"/>
      <c r="I3526" s="219" t="n"/>
      <c r="J3526" s="219" t="n"/>
      <c r="K3526" s="219" t="n"/>
      <c r="L3526" s="219">
        <f>ROUND((Q3526*C3526)/100,0)*100</f>
        <v/>
      </c>
      <c r="M3526" s="219" t="n"/>
      <c r="P3526" s="117" t="n"/>
      <c r="Q3526" s="118" t="n">
        <v>1.05</v>
      </c>
      <c r="R3526" s="117" t="n"/>
      <c r="T3526" s="117" t="n"/>
    </row>
    <row r="3527">
      <c r="A3527" s="134" t="inlineStr">
        <is>
          <t>13224XXX</t>
        </is>
      </c>
      <c r="B3527" s="246" t="inlineStr">
        <is>
          <t>TAVERNITI PANTALON</t>
        </is>
      </c>
      <c r="C3527" s="88" t="n">
        <v>87600</v>
      </c>
      <c r="D3527" s="219" t="n"/>
      <c r="E3527" s="219" t="n"/>
      <c r="F3527" s="219" t="n"/>
      <c r="G3527" s="219" t="n"/>
      <c r="H3527" s="180" t="n"/>
      <c r="I3527" s="219" t="n"/>
      <c r="J3527" s="219" t="n"/>
      <c r="K3527" s="219" t="n"/>
      <c r="L3527" s="219">
        <f>ROUND((Q3527*C3527)/100,0)*100</f>
        <v/>
      </c>
      <c r="M3527" s="219" t="n"/>
      <c r="P3527" s="117" t="n"/>
      <c r="Q3527" s="118" t="n">
        <v>1.05</v>
      </c>
      <c r="R3527" s="117" t="n"/>
      <c r="T3527" s="117" t="n"/>
    </row>
    <row r="3528">
      <c r="A3528" s="134" t="inlineStr">
        <is>
          <t>13226XXX</t>
        </is>
      </c>
      <c r="B3528" s="246" t="inlineStr">
        <is>
          <t>TAVERNITI PANTALON</t>
        </is>
      </c>
      <c r="C3528" s="88" t="n">
        <v>84300</v>
      </c>
      <c r="D3528" s="219" t="n"/>
      <c r="E3528" s="219" t="n"/>
      <c r="F3528" s="219" t="n"/>
      <c r="G3528" s="219" t="n"/>
      <c r="H3528" s="180" t="n"/>
      <c r="I3528" s="219" t="n"/>
      <c r="J3528" s="219" t="n"/>
      <c r="K3528" s="219" t="n"/>
      <c r="L3528" s="219">
        <f>ROUND((Q3528*C3528)/100,0)*100</f>
        <v/>
      </c>
      <c r="M3528" s="219" t="n"/>
      <c r="P3528" s="117" t="n"/>
      <c r="Q3528" s="118" t="n">
        <v>1.05</v>
      </c>
      <c r="R3528" s="117" t="n"/>
      <c r="T3528" s="117" t="n"/>
    </row>
    <row r="3529">
      <c r="A3529" s="134" t="inlineStr">
        <is>
          <t>13250XXX</t>
        </is>
      </c>
      <c r="B3529" s="246" t="inlineStr">
        <is>
          <t>TAVERNITI PANTALON</t>
        </is>
      </c>
      <c r="C3529" s="88" t="n">
        <v>81000</v>
      </c>
      <c r="D3529" s="219" t="n"/>
      <c r="E3529" s="219" t="n"/>
      <c r="F3529" s="219" t="n"/>
      <c r="G3529" s="219" t="n"/>
      <c r="H3529" s="180" t="n"/>
      <c r="I3529" s="219" t="n"/>
      <c r="J3529" s="219" t="n"/>
      <c r="K3529" s="219" t="n"/>
      <c r="L3529" s="219">
        <f>ROUND((Q3529*C3529)/100,0)*100</f>
        <v/>
      </c>
      <c r="M3529" s="219" t="n"/>
      <c r="P3529" s="117" t="n"/>
      <c r="Q3529" s="118" t="n">
        <v>1.05</v>
      </c>
      <c r="R3529" s="117" t="n"/>
      <c r="T3529" s="117" t="n"/>
    </row>
    <row r="3530">
      <c r="A3530" s="134" t="inlineStr">
        <is>
          <t>13254XXX</t>
        </is>
      </c>
      <c r="B3530" s="246" t="inlineStr">
        <is>
          <t>TAVERNITI PANTALON</t>
        </is>
      </c>
      <c r="C3530" s="88" t="n">
        <v>81000</v>
      </c>
      <c r="D3530" s="219" t="n"/>
      <c r="E3530" s="219" t="n"/>
      <c r="F3530" s="219" t="n"/>
      <c r="G3530" s="219" t="n"/>
      <c r="H3530" s="180" t="n"/>
      <c r="I3530" s="219" t="n"/>
      <c r="J3530" s="219" t="n"/>
      <c r="K3530" s="219" t="n"/>
      <c r="L3530" s="219">
        <f>ROUND((Q3530*C3530)/100,0)*100</f>
        <v/>
      </c>
      <c r="M3530" s="219" t="n"/>
      <c r="P3530" s="117" t="n"/>
      <c r="Q3530" s="118" t="n">
        <v>1.05</v>
      </c>
      <c r="R3530" s="117" t="n"/>
      <c r="T3530" s="117" t="n"/>
    </row>
    <row r="3531">
      <c r="A3531" s="134" t="inlineStr">
        <is>
          <t>13260XXX</t>
        </is>
      </c>
      <c r="B3531" s="246" t="inlineStr">
        <is>
          <t>TAVERNITI PANTALON</t>
        </is>
      </c>
      <c r="C3531" s="88" t="n">
        <v>81000</v>
      </c>
      <c r="D3531" s="219" t="n"/>
      <c r="E3531" s="219" t="n"/>
      <c r="F3531" s="219" t="n"/>
      <c r="G3531" s="219" t="n"/>
      <c r="H3531" s="180" t="n"/>
      <c r="I3531" s="219" t="n"/>
      <c r="J3531" s="219" t="n"/>
      <c r="K3531" s="219" t="n"/>
      <c r="L3531" s="219">
        <f>ROUND((Q3531*C3531)/100,0)*100</f>
        <v/>
      </c>
      <c r="M3531" s="219" t="n"/>
      <c r="P3531" s="117" t="n"/>
      <c r="Q3531" s="118" t="n">
        <v>1.05</v>
      </c>
      <c r="R3531" s="117" t="n"/>
      <c r="T3531" s="117" t="n"/>
    </row>
    <row r="3532">
      <c r="A3532" s="134" t="inlineStr">
        <is>
          <t>13274XXX</t>
        </is>
      </c>
      <c r="B3532" s="246" t="inlineStr">
        <is>
          <t>TAVERNITI PANTALON</t>
        </is>
      </c>
      <c r="C3532" s="88" t="n">
        <v>90500</v>
      </c>
      <c r="D3532" s="219" t="n"/>
      <c r="E3532" s="219" t="n"/>
      <c r="F3532" s="219" t="n"/>
      <c r="G3532" s="219" t="n"/>
      <c r="H3532" s="180" t="n"/>
      <c r="I3532" s="219" t="n"/>
      <c r="J3532" s="219" t="n"/>
      <c r="K3532" s="219" t="n"/>
      <c r="L3532" s="219">
        <f>ROUND((Q3532*C3532)/100,0)*100</f>
        <v/>
      </c>
      <c r="M3532" s="219" t="n"/>
      <c r="P3532" s="117" t="n"/>
      <c r="Q3532" s="118" t="n">
        <v>1.05</v>
      </c>
      <c r="R3532" s="117" t="n"/>
      <c r="T3532" s="117" t="n"/>
    </row>
    <row r="3533">
      <c r="A3533" s="89" t="inlineStr">
        <is>
          <t>13322XXX</t>
        </is>
      </c>
      <c r="B3533" s="135" t="inlineStr">
        <is>
          <t>TAVERNITI PANTALON</t>
        </is>
      </c>
      <c r="C3533" s="88" t="n">
        <v>85600</v>
      </c>
      <c r="D3533" s="170" t="n"/>
      <c r="E3533" s="170" t="n"/>
      <c r="F3533" s="170" t="n"/>
      <c r="G3533" s="170" t="n"/>
      <c r="H3533" s="105" t="n"/>
      <c r="I3533" s="170" t="n"/>
      <c r="J3533" s="170" t="n"/>
      <c r="K3533" s="170" t="n"/>
      <c r="L3533" s="88">
        <f>ROUND((Q3533*C3533)/100,0)*100</f>
        <v/>
      </c>
      <c r="M3533" s="170" t="n"/>
      <c r="N3533" s="30" t="n"/>
      <c r="O3533" s="30" t="n"/>
      <c r="P3533" s="170" t="n"/>
      <c r="Q3533" s="118" t="n">
        <v>1.05</v>
      </c>
      <c r="R3533" s="170" t="n"/>
      <c r="S3533" s="30" t="n"/>
      <c r="T3533" s="170" t="n"/>
      <c r="U3533" s="30" t="n"/>
      <c r="V3533" s="30" t="n"/>
      <c r="W3533" s="30" t="n"/>
      <c r="X3533" s="30" t="n"/>
      <c r="Y3533" s="30" t="n"/>
      <c r="Z3533" s="30" t="n"/>
      <c r="AA3533" s="30" t="n"/>
      <c r="AB3533" s="30" t="n"/>
      <c r="AC3533" s="30" t="n"/>
      <c r="AD3533" s="30" t="n"/>
      <c r="AE3533" s="30" t="n"/>
      <c r="AF3533" s="30" t="n"/>
      <c r="AG3533" s="30" t="n"/>
      <c r="AH3533" s="30" t="n"/>
      <c r="AI3533" s="30" t="n"/>
      <c r="AJ3533" s="30" t="n"/>
      <c r="AK3533" s="30" t="n"/>
      <c r="AL3533" s="30" t="n"/>
      <c r="AM3533" s="30" t="n"/>
      <c r="AN3533" s="30" t="n"/>
      <c r="AO3533" s="30" t="n"/>
    </row>
    <row r="3534">
      <c r="A3534" s="89" t="inlineStr">
        <is>
          <t>13328XXX</t>
        </is>
      </c>
      <c r="B3534" s="135" t="inlineStr">
        <is>
          <t>TAVERNITI PANTALON</t>
        </is>
      </c>
      <c r="C3534" s="88" t="n">
        <v>102900</v>
      </c>
      <c r="D3534" s="170" t="n"/>
      <c r="E3534" s="170" t="n"/>
      <c r="F3534" s="170" t="n"/>
      <c r="G3534" s="170" t="n"/>
      <c r="H3534" s="105" t="n"/>
      <c r="I3534" s="170" t="n"/>
      <c r="J3534" s="170" t="n"/>
      <c r="K3534" s="170" t="n"/>
      <c r="L3534" s="88">
        <f>ROUND((Q3534*C3534)/100,0)*100</f>
        <v/>
      </c>
      <c r="M3534" s="170" t="n"/>
      <c r="N3534" s="30" t="n"/>
      <c r="O3534" s="30" t="n"/>
      <c r="P3534" s="170" t="n"/>
      <c r="Q3534" s="118" t="n">
        <v>1.05</v>
      </c>
      <c r="R3534" s="170" t="n"/>
      <c r="S3534" s="30" t="n"/>
      <c r="T3534" s="170" t="n"/>
      <c r="U3534" s="30" t="n"/>
      <c r="V3534" s="30" t="n"/>
      <c r="W3534" s="30" t="n"/>
      <c r="X3534" s="30" t="n"/>
      <c r="Y3534" s="30" t="n"/>
      <c r="Z3534" s="30" t="n"/>
      <c r="AA3534" s="30" t="n"/>
      <c r="AB3534" s="30" t="n"/>
      <c r="AC3534" s="30" t="n"/>
      <c r="AD3534" s="30" t="n"/>
      <c r="AE3534" s="30" t="n"/>
      <c r="AF3534" s="30" t="n"/>
      <c r="AG3534" s="30" t="n"/>
      <c r="AH3534" s="30" t="n"/>
      <c r="AI3534" s="30" t="n"/>
      <c r="AJ3534" s="30" t="n"/>
      <c r="AK3534" s="30" t="n"/>
      <c r="AL3534" s="30" t="n"/>
      <c r="AM3534" s="30" t="n"/>
      <c r="AN3534" s="30" t="n"/>
      <c r="AO3534" s="30" t="n"/>
    </row>
    <row r="3535">
      <c r="A3535" s="89" t="inlineStr">
        <is>
          <t>13332XXX</t>
        </is>
      </c>
      <c r="B3535" s="135" t="inlineStr">
        <is>
          <t>TAVERNITI PANTALON</t>
        </is>
      </c>
      <c r="C3535" s="88" t="n">
        <v>85600</v>
      </c>
      <c r="D3535" s="170" t="n"/>
      <c r="E3535" s="170" t="n"/>
      <c r="F3535" s="170" t="n"/>
      <c r="G3535" s="170" t="n"/>
      <c r="H3535" s="105" t="n"/>
      <c r="I3535" s="170" t="n"/>
      <c r="J3535" s="170" t="n"/>
      <c r="K3535" s="170" t="n"/>
      <c r="L3535" s="88">
        <f>ROUND((Q3535*C3535)/100,0)*100</f>
        <v/>
      </c>
      <c r="M3535" s="170" t="n"/>
      <c r="N3535" s="30" t="n"/>
      <c r="O3535" s="30" t="n"/>
      <c r="P3535" s="170" t="n"/>
      <c r="Q3535" s="118" t="n">
        <v>1.05</v>
      </c>
      <c r="R3535" s="170" t="n"/>
      <c r="S3535" s="30" t="n"/>
      <c r="T3535" s="170" t="n"/>
      <c r="U3535" s="30" t="n"/>
      <c r="V3535" s="30" t="n"/>
      <c r="W3535" s="30" t="n"/>
      <c r="X3535" s="30" t="n"/>
      <c r="Y3535" s="30" t="n"/>
      <c r="Z3535" s="30" t="n"/>
      <c r="AA3535" s="30" t="n"/>
      <c r="AB3535" s="30" t="n"/>
      <c r="AC3535" s="30" t="n"/>
      <c r="AD3535" s="30" t="n"/>
      <c r="AE3535" s="30" t="n"/>
      <c r="AF3535" s="30" t="n"/>
      <c r="AG3535" s="30" t="n"/>
      <c r="AH3535" s="30" t="n"/>
      <c r="AI3535" s="30" t="n"/>
      <c r="AJ3535" s="30" t="n"/>
      <c r="AK3535" s="30" t="n"/>
      <c r="AL3535" s="30" t="n"/>
      <c r="AM3535" s="30" t="n"/>
      <c r="AN3535" s="30" t="n"/>
      <c r="AO3535" s="30" t="n"/>
    </row>
    <row r="3536">
      <c r="A3536" s="89" t="inlineStr">
        <is>
          <t>13336XXX</t>
        </is>
      </c>
      <c r="B3536" s="135" t="inlineStr">
        <is>
          <t>TAVERNITI PANTALON</t>
        </is>
      </c>
      <c r="C3536" s="88" t="n">
        <v>85600</v>
      </c>
      <c r="D3536" s="170" t="n"/>
      <c r="E3536" s="170" t="n"/>
      <c r="F3536" s="170" t="n"/>
      <c r="G3536" s="170" t="n"/>
      <c r="H3536" s="105" t="n"/>
      <c r="I3536" s="170" t="n"/>
      <c r="J3536" s="170" t="n"/>
      <c r="K3536" s="170" t="n"/>
      <c r="L3536" s="88">
        <f>ROUND((Q3536*C3536)/100,0)*100</f>
        <v/>
      </c>
      <c r="M3536" s="170" t="n"/>
      <c r="N3536" s="30" t="n"/>
      <c r="O3536" s="30" t="n"/>
      <c r="P3536" s="170" t="n"/>
      <c r="Q3536" s="118" t="n">
        <v>1.05</v>
      </c>
      <c r="R3536" s="170" t="n"/>
      <c r="S3536" s="30" t="n"/>
      <c r="T3536" s="170" t="n"/>
      <c r="U3536" s="30" t="n"/>
      <c r="V3536" s="30" t="n"/>
      <c r="W3536" s="30" t="n"/>
      <c r="X3536" s="30" t="n"/>
      <c r="Y3536" s="30" t="n"/>
      <c r="Z3536" s="30" t="n"/>
      <c r="AA3536" s="30" t="n"/>
      <c r="AB3536" s="30" t="n"/>
      <c r="AC3536" s="30" t="n"/>
      <c r="AD3536" s="30" t="n"/>
      <c r="AE3536" s="30" t="n"/>
      <c r="AF3536" s="30" t="n"/>
      <c r="AG3536" s="30" t="n"/>
      <c r="AH3536" s="30" t="n"/>
      <c r="AI3536" s="30" t="n"/>
      <c r="AJ3536" s="30" t="n"/>
      <c r="AK3536" s="30" t="n"/>
      <c r="AL3536" s="30" t="n"/>
      <c r="AM3536" s="30" t="n"/>
      <c r="AN3536" s="30" t="n"/>
      <c r="AO3536" s="30" t="n"/>
    </row>
    <row r="3537">
      <c r="A3537" s="89" t="inlineStr">
        <is>
          <t>13340XXX</t>
        </is>
      </c>
      <c r="B3537" s="135" t="inlineStr">
        <is>
          <t>TAVERNITI PANTALON</t>
        </is>
      </c>
      <c r="C3537" s="88" t="n">
        <v>87600</v>
      </c>
      <c r="D3537" s="170" t="n"/>
      <c r="E3537" s="170" t="n"/>
      <c r="F3537" s="170" t="n"/>
      <c r="G3537" s="170" t="n"/>
      <c r="H3537" s="105" t="n"/>
      <c r="I3537" s="170" t="n"/>
      <c r="J3537" s="170" t="n"/>
      <c r="K3537" s="170" t="n"/>
      <c r="L3537" s="88">
        <f>ROUND((Q3537*C3537)/100,0)*100</f>
        <v/>
      </c>
      <c r="M3537" s="170" t="n"/>
      <c r="N3537" s="30" t="n"/>
      <c r="O3537" s="30" t="n"/>
      <c r="P3537" s="170" t="n"/>
      <c r="Q3537" s="118" t="n">
        <v>1.05</v>
      </c>
      <c r="R3537" s="170" t="n"/>
      <c r="S3537" s="30" t="n"/>
      <c r="T3537" s="170" t="n"/>
      <c r="U3537" s="30" t="n"/>
      <c r="V3537" s="30" t="n"/>
      <c r="W3537" s="30" t="n"/>
      <c r="X3537" s="30" t="n"/>
      <c r="Y3537" s="30" t="n"/>
      <c r="Z3537" s="30" t="n"/>
      <c r="AA3537" s="30" t="n"/>
      <c r="AB3537" s="30" t="n"/>
      <c r="AC3537" s="30" t="n"/>
      <c r="AD3537" s="30" t="n"/>
      <c r="AE3537" s="30" t="n"/>
      <c r="AF3537" s="30" t="n"/>
      <c r="AG3537" s="30" t="n"/>
      <c r="AH3537" s="30" t="n"/>
      <c r="AI3537" s="30" t="n"/>
      <c r="AJ3537" s="30" t="n"/>
      <c r="AK3537" s="30" t="n"/>
      <c r="AL3537" s="30" t="n"/>
      <c r="AM3537" s="30" t="n"/>
      <c r="AN3537" s="30" t="n"/>
      <c r="AO3537" s="30" t="n"/>
    </row>
    <row r="3538">
      <c r="A3538" s="89" t="inlineStr">
        <is>
          <t>13342XXX</t>
        </is>
      </c>
      <c r="B3538" s="135" t="inlineStr">
        <is>
          <t>TAVERNITI PANTALON</t>
        </is>
      </c>
      <c r="C3538" s="88" t="n">
        <v>87600</v>
      </c>
      <c r="D3538" s="170" t="n"/>
      <c r="E3538" s="170" t="n"/>
      <c r="F3538" s="170" t="n"/>
      <c r="G3538" s="170" t="n"/>
      <c r="H3538" s="105" t="n"/>
      <c r="I3538" s="170" t="n"/>
      <c r="J3538" s="170" t="n"/>
      <c r="K3538" s="170" t="n"/>
      <c r="L3538" s="88">
        <f>ROUND((Q3538*C3538)/100,0)*100</f>
        <v/>
      </c>
      <c r="M3538" s="170" t="n"/>
      <c r="N3538" s="30" t="n"/>
      <c r="O3538" s="30" t="n"/>
      <c r="P3538" s="170" t="n"/>
      <c r="Q3538" s="118" t="n">
        <v>1.05</v>
      </c>
      <c r="R3538" s="170" t="n"/>
      <c r="S3538" s="30" t="n"/>
      <c r="T3538" s="170" t="n"/>
      <c r="U3538" s="30" t="n"/>
      <c r="V3538" s="30" t="n"/>
      <c r="W3538" s="30" t="n"/>
      <c r="X3538" s="30" t="n"/>
      <c r="Y3538" s="30" t="n"/>
      <c r="Z3538" s="30" t="n"/>
      <c r="AA3538" s="30" t="n"/>
      <c r="AB3538" s="30" t="n"/>
      <c r="AC3538" s="30" t="n"/>
      <c r="AD3538" s="30" t="n"/>
      <c r="AE3538" s="30" t="n"/>
      <c r="AF3538" s="30" t="n"/>
      <c r="AG3538" s="30" t="n"/>
      <c r="AH3538" s="30" t="n"/>
      <c r="AI3538" s="30" t="n"/>
      <c r="AJ3538" s="30" t="n"/>
      <c r="AK3538" s="30" t="n"/>
      <c r="AL3538" s="30" t="n"/>
      <c r="AM3538" s="30" t="n"/>
      <c r="AN3538" s="30" t="n"/>
      <c r="AO3538" s="30" t="n"/>
    </row>
    <row r="3539">
      <c r="A3539" s="89" t="inlineStr">
        <is>
          <t>13344XXX</t>
        </is>
      </c>
      <c r="B3539" s="135" t="inlineStr">
        <is>
          <t>TAVERNITI PANTALON</t>
        </is>
      </c>
      <c r="C3539" s="88" t="n">
        <v>96600</v>
      </c>
      <c r="D3539" s="170" t="n"/>
      <c r="E3539" s="170" t="n"/>
      <c r="F3539" s="170" t="n"/>
      <c r="G3539" s="170" t="n"/>
      <c r="H3539" s="105" t="n"/>
      <c r="I3539" s="170" t="n"/>
      <c r="J3539" s="170" t="n"/>
      <c r="K3539" s="170" t="n"/>
      <c r="L3539" s="88">
        <f>ROUND((Q3539*C3539)/100,0)*100</f>
        <v/>
      </c>
      <c r="M3539" s="170" t="n"/>
      <c r="N3539" s="30" t="n"/>
      <c r="O3539" s="30" t="n"/>
      <c r="P3539" s="170" t="n"/>
      <c r="Q3539" s="96" t="n">
        <v>1.05</v>
      </c>
      <c r="R3539" s="170" t="n"/>
      <c r="S3539" s="30" t="n"/>
      <c r="T3539" s="170" t="n"/>
      <c r="U3539" s="30" t="n"/>
      <c r="V3539" s="30" t="n"/>
      <c r="W3539" s="30" t="n"/>
      <c r="X3539" s="30" t="n"/>
      <c r="Y3539" s="30" t="n"/>
      <c r="Z3539" s="30" t="n"/>
      <c r="AA3539" s="30" t="n"/>
      <c r="AB3539" s="30" t="n"/>
      <c r="AC3539" s="30" t="n"/>
      <c r="AD3539" s="30" t="n"/>
      <c r="AE3539" s="30" t="n"/>
      <c r="AF3539" s="30" t="n"/>
      <c r="AG3539" s="30" t="n"/>
      <c r="AH3539" s="30" t="n"/>
      <c r="AI3539" s="30" t="n"/>
      <c r="AJ3539" s="30" t="n"/>
      <c r="AK3539" s="30" t="n"/>
      <c r="AL3539" s="30" t="n"/>
      <c r="AM3539" s="30" t="n"/>
      <c r="AN3539" s="30" t="n"/>
      <c r="AO3539" s="30" t="n"/>
    </row>
    <row r="3540">
      <c r="A3540" s="89" t="inlineStr">
        <is>
          <t>13346XXX</t>
        </is>
      </c>
      <c r="B3540" s="135" t="inlineStr">
        <is>
          <t>TAVERNITI PANTALON</t>
        </is>
      </c>
      <c r="C3540" s="88" t="n">
        <v>92600</v>
      </c>
      <c r="D3540" s="170" t="n"/>
      <c r="E3540" s="170" t="n"/>
      <c r="F3540" s="170" t="n"/>
      <c r="G3540" s="170" t="n"/>
      <c r="H3540" s="105" t="n"/>
      <c r="I3540" s="170" t="n"/>
      <c r="J3540" s="170" t="n"/>
      <c r="K3540" s="170" t="n"/>
      <c r="L3540" s="88">
        <f>ROUND((Q3540*C3540)/100,0)*100</f>
        <v/>
      </c>
      <c r="M3540" s="170" t="n"/>
      <c r="N3540" s="30" t="n"/>
      <c r="O3540" s="30" t="n"/>
      <c r="P3540" s="170" t="n"/>
      <c r="Q3540" s="118" t="n">
        <v>1.05</v>
      </c>
      <c r="R3540" s="170" t="n"/>
      <c r="S3540" s="30" t="n"/>
      <c r="T3540" s="170" t="n"/>
      <c r="U3540" s="30" t="n"/>
      <c r="V3540" s="30" t="n"/>
      <c r="W3540" s="30" t="n"/>
      <c r="X3540" s="30" t="n"/>
      <c r="Y3540" s="30" t="n"/>
      <c r="Z3540" s="30" t="n"/>
      <c r="AA3540" s="30" t="n"/>
      <c r="AB3540" s="30" t="n"/>
      <c r="AC3540" s="30" t="n"/>
      <c r="AD3540" s="30" t="n"/>
      <c r="AE3540" s="30" t="n"/>
      <c r="AF3540" s="30" t="n"/>
      <c r="AG3540" s="30" t="n"/>
      <c r="AH3540" s="30" t="n"/>
      <c r="AI3540" s="30" t="n"/>
      <c r="AJ3540" s="30" t="n"/>
      <c r="AK3540" s="30" t="n"/>
      <c r="AL3540" s="30" t="n"/>
      <c r="AM3540" s="30" t="n"/>
      <c r="AN3540" s="30" t="n"/>
      <c r="AO3540" s="30" t="n"/>
    </row>
    <row r="3541">
      <c r="A3541" s="89" t="inlineStr">
        <is>
          <t>13350XXX</t>
        </is>
      </c>
      <c r="B3541" s="135" t="inlineStr">
        <is>
          <t>TAVERNITI PANTALON</t>
        </is>
      </c>
      <c r="C3541" s="88" t="n">
        <v>89900</v>
      </c>
      <c r="D3541" s="170" t="n"/>
      <c r="E3541" s="170" t="n"/>
      <c r="F3541" s="170" t="n"/>
      <c r="G3541" s="170" t="n"/>
      <c r="H3541" s="105" t="n"/>
      <c r="I3541" s="170" t="n"/>
      <c r="J3541" s="170" t="n"/>
      <c r="K3541" s="170" t="n"/>
      <c r="L3541" s="88">
        <f>ROUND((Q3541*C3541)/100,0)*100</f>
        <v/>
      </c>
      <c r="M3541" s="170" t="n"/>
      <c r="N3541" s="30" t="n"/>
      <c r="O3541" s="30" t="n"/>
      <c r="P3541" s="170" t="n"/>
      <c r="Q3541" s="118" t="n">
        <v>1.05</v>
      </c>
      <c r="R3541" s="170" t="n"/>
      <c r="S3541" s="30" t="n"/>
      <c r="T3541" s="170" t="n"/>
      <c r="U3541" s="30" t="n"/>
      <c r="V3541" s="30" t="n"/>
      <c r="W3541" s="30" t="n"/>
      <c r="X3541" s="30" t="n"/>
      <c r="Y3541" s="30" t="n"/>
      <c r="Z3541" s="30" t="n"/>
      <c r="AA3541" s="30" t="n"/>
      <c r="AB3541" s="30" t="n"/>
      <c r="AC3541" s="30" t="n"/>
      <c r="AD3541" s="30" t="n"/>
      <c r="AE3541" s="30" t="n"/>
      <c r="AF3541" s="30" t="n"/>
      <c r="AG3541" s="30" t="n"/>
      <c r="AH3541" s="30" t="n"/>
      <c r="AI3541" s="30" t="n"/>
      <c r="AJ3541" s="30" t="n"/>
      <c r="AK3541" s="30" t="n"/>
      <c r="AL3541" s="30" t="n"/>
      <c r="AM3541" s="30" t="n"/>
      <c r="AN3541" s="30" t="n"/>
      <c r="AO3541" s="30" t="n"/>
    </row>
    <row r="3542">
      <c r="A3542" s="89" t="inlineStr">
        <is>
          <t>13352XXX</t>
        </is>
      </c>
      <c r="B3542" s="135" t="inlineStr">
        <is>
          <t>TAVERNITI PANTALON CARGO</t>
        </is>
      </c>
      <c r="C3542" s="88" t="n">
        <v>107000</v>
      </c>
      <c r="D3542" s="170" t="n"/>
      <c r="E3542" s="170" t="n"/>
      <c r="F3542" s="170" t="n"/>
      <c r="G3542" s="170" t="n"/>
      <c r="H3542" s="105" t="n"/>
      <c r="I3542" s="170" t="n"/>
      <c r="J3542" s="170" t="n"/>
      <c r="K3542" s="170" t="n"/>
      <c r="L3542" s="88">
        <f>ROUND((Q3542*C3542)/100,0)*100</f>
        <v/>
      </c>
      <c r="M3542" s="170" t="n"/>
      <c r="N3542" s="30" t="n"/>
      <c r="O3542" s="30" t="n"/>
      <c r="P3542" s="170" t="n"/>
      <c r="Q3542" s="118" t="n">
        <v>1.05</v>
      </c>
      <c r="R3542" s="170" t="n"/>
      <c r="S3542" s="30" t="n"/>
      <c r="T3542" s="170" t="n"/>
      <c r="U3542" s="30" t="n"/>
      <c r="V3542" s="30" t="n"/>
      <c r="W3542" s="30" t="n"/>
      <c r="X3542" s="30" t="n"/>
      <c r="Y3542" s="30" t="n"/>
      <c r="Z3542" s="30" t="n"/>
      <c r="AA3542" s="30" t="n"/>
      <c r="AB3542" s="30" t="n"/>
      <c r="AC3542" s="30" t="n"/>
      <c r="AD3542" s="30" t="n"/>
      <c r="AE3542" s="30" t="n"/>
      <c r="AF3542" s="30" t="n"/>
      <c r="AG3542" s="30" t="n"/>
      <c r="AH3542" s="30" t="n"/>
      <c r="AI3542" s="30" t="n"/>
      <c r="AJ3542" s="30" t="n"/>
      <c r="AK3542" s="30" t="n"/>
      <c r="AL3542" s="30" t="n"/>
      <c r="AM3542" s="30" t="n"/>
      <c r="AN3542" s="30" t="n"/>
      <c r="AO3542" s="30" t="n"/>
    </row>
    <row r="3543">
      <c r="A3543" s="89" t="inlineStr">
        <is>
          <t>13366XXX</t>
        </is>
      </c>
      <c r="B3543" s="135" t="inlineStr">
        <is>
          <t>TAVERNITI PANTALON</t>
        </is>
      </c>
      <c r="C3543" s="88" t="n">
        <v>87700</v>
      </c>
      <c r="D3543" s="170" t="n"/>
      <c r="E3543" s="170" t="n"/>
      <c r="F3543" s="170" t="n"/>
      <c r="G3543" s="170" t="n"/>
      <c r="H3543" s="105" t="n"/>
      <c r="I3543" s="170" t="n"/>
      <c r="J3543" s="170" t="n"/>
      <c r="K3543" s="170" t="n"/>
      <c r="L3543" s="88">
        <f>ROUND((Q3543*C3543)/100,0)*100</f>
        <v/>
      </c>
      <c r="M3543" s="170" t="n"/>
      <c r="N3543" s="30" t="n"/>
      <c r="O3543" s="30" t="n"/>
      <c r="P3543" s="170" t="n"/>
      <c r="Q3543" s="96" t="n">
        <v>1.05</v>
      </c>
      <c r="R3543" s="170" t="n"/>
      <c r="S3543" s="30" t="n"/>
      <c r="T3543" s="170" t="n"/>
      <c r="U3543" s="30" t="n"/>
      <c r="V3543" s="30" t="n"/>
      <c r="W3543" s="30" t="n"/>
      <c r="X3543" s="30" t="n"/>
      <c r="Y3543" s="30" t="n"/>
      <c r="Z3543" s="30" t="n"/>
      <c r="AA3543" s="30" t="n"/>
      <c r="AB3543" s="30" t="n"/>
      <c r="AC3543" s="30" t="n"/>
      <c r="AD3543" s="30" t="n"/>
      <c r="AE3543" s="30" t="n"/>
      <c r="AF3543" s="30" t="n"/>
      <c r="AG3543" s="30" t="n"/>
      <c r="AH3543" s="30" t="n"/>
      <c r="AI3543" s="30" t="n"/>
      <c r="AJ3543" s="30" t="n"/>
      <c r="AK3543" s="30" t="n"/>
      <c r="AL3543" s="30" t="n"/>
      <c r="AM3543" s="30" t="n"/>
      <c r="AN3543" s="30" t="n"/>
      <c r="AO3543" s="30" t="n"/>
    </row>
    <row r="3544">
      <c r="A3544" s="89" t="inlineStr">
        <is>
          <t>13378XXX</t>
        </is>
      </c>
      <c r="B3544" s="135" t="inlineStr">
        <is>
          <t>TAVERNITI PANTALON</t>
        </is>
      </c>
      <c r="C3544" s="88" t="n">
        <v>84200</v>
      </c>
      <c r="D3544" s="170" t="n"/>
      <c r="E3544" s="170" t="n"/>
      <c r="F3544" s="170" t="n"/>
      <c r="G3544" s="170" t="n"/>
      <c r="H3544" s="105" t="n"/>
      <c r="I3544" s="170" t="n"/>
      <c r="J3544" s="170" t="n"/>
      <c r="K3544" s="170" t="n"/>
      <c r="L3544" s="88">
        <f>ROUND((Q3544*C3544)/100,0)*100</f>
        <v/>
      </c>
      <c r="M3544" s="170" t="n"/>
      <c r="N3544" s="30" t="n"/>
      <c r="O3544" s="30" t="n"/>
      <c r="P3544" s="170" t="n"/>
      <c r="Q3544" s="118" t="n">
        <v>1.05</v>
      </c>
      <c r="R3544" s="170" t="n"/>
      <c r="S3544" s="30" t="n"/>
      <c r="T3544" s="170" t="n"/>
      <c r="U3544" s="30" t="n"/>
      <c r="V3544" s="30" t="n"/>
      <c r="W3544" s="30" t="n"/>
      <c r="X3544" s="30" t="n"/>
      <c r="Y3544" s="30" t="n"/>
      <c r="Z3544" s="30" t="n"/>
      <c r="AA3544" s="30" t="n"/>
      <c r="AB3544" s="30" t="n"/>
      <c r="AC3544" s="30" t="n"/>
      <c r="AD3544" s="30" t="n"/>
      <c r="AE3544" s="30" t="n"/>
      <c r="AF3544" s="30" t="n"/>
      <c r="AG3544" s="30" t="n"/>
      <c r="AH3544" s="30" t="n"/>
      <c r="AI3544" s="30" t="n"/>
      <c r="AJ3544" s="30" t="n"/>
      <c r="AK3544" s="30" t="n"/>
      <c r="AL3544" s="30" t="n"/>
      <c r="AM3544" s="30" t="n"/>
      <c r="AN3544" s="30" t="n"/>
      <c r="AO3544" s="30" t="n"/>
    </row>
    <row r="3545">
      <c r="A3545" s="89" t="inlineStr">
        <is>
          <t>13380XXX</t>
        </is>
      </c>
      <c r="B3545" s="135" t="inlineStr">
        <is>
          <t>TAVERNITI PANTALON</t>
        </is>
      </c>
      <c r="C3545" s="88" t="n">
        <v>85000</v>
      </c>
      <c r="D3545" s="170" t="n"/>
      <c r="E3545" s="170" t="n"/>
      <c r="F3545" s="170" t="n"/>
      <c r="G3545" s="170" t="n"/>
      <c r="H3545" s="105" t="n"/>
      <c r="I3545" s="170" t="n"/>
      <c r="J3545" s="170" t="n"/>
      <c r="K3545" s="170" t="n"/>
      <c r="L3545" s="88">
        <f>ROUND((Q3545*C3545)/100,0)*100</f>
        <v/>
      </c>
      <c r="M3545" s="170" t="n"/>
      <c r="N3545" s="30" t="n"/>
      <c r="O3545" s="30" t="n"/>
      <c r="P3545" s="170" t="n"/>
      <c r="Q3545" s="96" t="n">
        <v>1.05</v>
      </c>
      <c r="R3545" s="170" t="n"/>
      <c r="S3545" s="30" t="n"/>
      <c r="T3545" s="170" t="n"/>
      <c r="U3545" s="30" t="n"/>
      <c r="V3545" s="30" t="n"/>
      <c r="W3545" s="30" t="n"/>
      <c r="X3545" s="30" t="n"/>
      <c r="Y3545" s="30" t="n"/>
      <c r="Z3545" s="30" t="n"/>
      <c r="AA3545" s="30" t="n"/>
      <c r="AB3545" s="30" t="n"/>
      <c r="AC3545" s="30" t="n"/>
      <c r="AD3545" s="30" t="n"/>
      <c r="AE3545" s="30" t="n"/>
      <c r="AF3545" s="30" t="n"/>
      <c r="AG3545" s="30" t="n"/>
      <c r="AH3545" s="30" t="n"/>
      <c r="AI3545" s="30" t="n"/>
      <c r="AJ3545" s="30" t="n"/>
      <c r="AK3545" s="30" t="n"/>
      <c r="AL3545" s="30" t="n"/>
      <c r="AM3545" s="30" t="n"/>
      <c r="AN3545" s="30" t="n"/>
      <c r="AO3545" s="30" t="n"/>
    </row>
    <row r="3546">
      <c r="A3546" s="89" t="inlineStr">
        <is>
          <t>13382XXX</t>
        </is>
      </c>
      <c r="B3546" s="135" t="inlineStr">
        <is>
          <t>TAVERNITI PANTALON</t>
        </is>
      </c>
      <c r="C3546" s="88" t="n">
        <v>84200</v>
      </c>
      <c r="D3546" s="170" t="n"/>
      <c r="E3546" s="170" t="n"/>
      <c r="F3546" s="170" t="n"/>
      <c r="G3546" s="170" t="n"/>
      <c r="H3546" s="105" t="n"/>
      <c r="I3546" s="170" t="n"/>
      <c r="J3546" s="170" t="n"/>
      <c r="K3546" s="170" t="n"/>
      <c r="L3546" s="88">
        <f>ROUND((Q3546*C3546)/100,0)*100</f>
        <v/>
      </c>
      <c r="M3546" s="170" t="n"/>
      <c r="N3546" s="30" t="n"/>
      <c r="O3546" s="30" t="n"/>
      <c r="P3546" s="170" t="n"/>
      <c r="Q3546" s="118" t="n">
        <v>1.05</v>
      </c>
      <c r="R3546" s="170" t="n"/>
      <c r="S3546" s="30" t="n"/>
      <c r="T3546" s="170" t="n"/>
      <c r="U3546" s="30" t="n"/>
      <c r="V3546" s="30" t="n"/>
      <c r="W3546" s="30" t="n"/>
      <c r="X3546" s="30" t="n"/>
      <c r="Y3546" s="30" t="n"/>
      <c r="Z3546" s="30" t="n"/>
      <c r="AA3546" s="30" t="n"/>
      <c r="AB3546" s="30" t="n"/>
      <c r="AC3546" s="30" t="n"/>
      <c r="AD3546" s="30" t="n"/>
      <c r="AE3546" s="30" t="n"/>
      <c r="AF3546" s="30" t="n"/>
      <c r="AG3546" s="30" t="n"/>
      <c r="AH3546" s="30" t="n"/>
      <c r="AI3546" s="30" t="n"/>
      <c r="AJ3546" s="30" t="n"/>
      <c r="AK3546" s="30" t="n"/>
      <c r="AL3546" s="30" t="n"/>
      <c r="AM3546" s="30" t="n"/>
      <c r="AN3546" s="30" t="n"/>
      <c r="AO3546" s="30" t="n"/>
    </row>
    <row r="3547">
      <c r="A3547" s="89" t="inlineStr">
        <is>
          <t>13400XXX</t>
        </is>
      </c>
      <c r="B3547" s="135" t="inlineStr">
        <is>
          <t>TAVERNITI PANTALON</t>
        </is>
      </c>
      <c r="C3547" s="88" t="n">
        <v>110600</v>
      </c>
      <c r="D3547" s="170" t="n"/>
      <c r="E3547" s="170" t="n"/>
      <c r="F3547" s="170" t="n"/>
      <c r="G3547" s="170" t="n"/>
      <c r="H3547" s="105" t="n"/>
      <c r="I3547" s="170" t="n"/>
      <c r="J3547" s="170" t="n"/>
      <c r="K3547" s="170" t="n"/>
      <c r="L3547" s="88">
        <f>ROUND((Q3547*C3547)/100,0)*100</f>
        <v/>
      </c>
      <c r="M3547" s="170" t="n"/>
      <c r="N3547" s="30" t="n"/>
      <c r="O3547" s="30" t="n"/>
      <c r="P3547" s="170" t="n"/>
      <c r="Q3547" s="96" t="n">
        <v>1.05</v>
      </c>
      <c r="R3547" s="170" t="n"/>
      <c r="S3547" s="30" t="n"/>
      <c r="T3547" s="170" t="n"/>
      <c r="U3547" s="30" t="n"/>
      <c r="V3547" s="30" t="n"/>
      <c r="W3547" s="30" t="n"/>
      <c r="X3547" s="30" t="n"/>
      <c r="Y3547" s="30" t="n"/>
      <c r="Z3547" s="30" t="n"/>
      <c r="AA3547" s="30" t="n"/>
      <c r="AB3547" s="30" t="n"/>
      <c r="AC3547" s="30" t="n"/>
      <c r="AD3547" s="30" t="n"/>
      <c r="AE3547" s="30" t="n"/>
      <c r="AF3547" s="30" t="n"/>
      <c r="AG3547" s="30" t="n"/>
      <c r="AH3547" s="30" t="n"/>
      <c r="AI3547" s="30" t="n"/>
      <c r="AJ3547" s="30" t="n"/>
      <c r="AK3547" s="30" t="n"/>
      <c r="AL3547" s="30" t="n"/>
      <c r="AM3547" s="30" t="n"/>
      <c r="AN3547" s="30" t="n"/>
      <c r="AO3547" s="30" t="n"/>
    </row>
    <row r="3548">
      <c r="A3548" s="89" t="inlineStr">
        <is>
          <t>13422XXX</t>
        </is>
      </c>
      <c r="B3548" s="135" t="inlineStr">
        <is>
          <t>TAVERNITI PANTALON</t>
        </is>
      </c>
      <c r="C3548" s="88" t="n">
        <v>84300</v>
      </c>
      <c r="D3548" s="170" t="n"/>
      <c r="E3548" s="170" t="n"/>
      <c r="F3548" s="170" t="n"/>
      <c r="G3548" s="170" t="n"/>
      <c r="H3548" s="105" t="n"/>
      <c r="I3548" s="170" t="n"/>
      <c r="J3548" s="170" t="n"/>
      <c r="K3548" s="170" t="n"/>
      <c r="L3548" s="88">
        <f>ROUND((Q3548*C3548)/100,0)*100</f>
        <v/>
      </c>
      <c r="M3548" s="170" t="n"/>
      <c r="N3548" s="30" t="n"/>
      <c r="O3548" s="30" t="n"/>
      <c r="P3548" s="170" t="n"/>
      <c r="Q3548" s="118" t="n">
        <v>1.05</v>
      </c>
      <c r="R3548" s="170" t="n"/>
      <c r="S3548" s="30" t="n"/>
      <c r="T3548" s="170" t="n"/>
      <c r="U3548" s="30" t="n"/>
      <c r="V3548" s="30" t="n"/>
      <c r="W3548" s="30" t="n"/>
      <c r="X3548" s="30" t="n"/>
      <c r="Y3548" s="30" t="n"/>
      <c r="Z3548" s="30" t="n"/>
      <c r="AA3548" s="30" t="n"/>
      <c r="AB3548" s="30" t="n"/>
      <c r="AC3548" s="30" t="n"/>
      <c r="AD3548" s="30" t="n"/>
      <c r="AE3548" s="30" t="n"/>
      <c r="AF3548" s="30" t="n"/>
      <c r="AG3548" s="30" t="n"/>
      <c r="AH3548" s="30" t="n"/>
      <c r="AI3548" s="30" t="n"/>
      <c r="AJ3548" s="30" t="n"/>
      <c r="AK3548" s="30" t="n"/>
      <c r="AL3548" s="30" t="n"/>
      <c r="AM3548" s="30" t="n"/>
      <c r="AN3548" s="30" t="n"/>
      <c r="AO3548" s="30" t="n"/>
    </row>
    <row r="3549">
      <c r="A3549" s="89" t="inlineStr">
        <is>
          <t>13424XXX</t>
        </is>
      </c>
      <c r="B3549" s="135" t="inlineStr">
        <is>
          <t>TAVERNITI PANTALON</t>
        </is>
      </c>
      <c r="C3549" s="88" t="n">
        <v>86100</v>
      </c>
      <c r="D3549" s="170" t="n"/>
      <c r="E3549" s="170" t="n"/>
      <c r="F3549" s="170" t="n"/>
      <c r="G3549" s="170" t="n"/>
      <c r="H3549" s="105" t="n"/>
      <c r="I3549" s="170" t="n"/>
      <c r="J3549" s="170" t="n"/>
      <c r="K3549" s="170" t="n"/>
      <c r="L3549" s="88">
        <f>ROUND((Q3549*C3549)/100,0)*100</f>
        <v/>
      </c>
      <c r="M3549" s="170" t="n"/>
      <c r="N3549" s="30" t="n"/>
      <c r="O3549" s="30" t="n"/>
      <c r="P3549" s="170" t="n"/>
      <c r="Q3549" s="118" t="n">
        <v>1.05</v>
      </c>
      <c r="R3549" s="170" t="n"/>
      <c r="S3549" s="30" t="n"/>
      <c r="T3549" s="170" t="n"/>
      <c r="U3549" s="30" t="n"/>
      <c r="V3549" s="30" t="n"/>
      <c r="W3549" s="30" t="n"/>
      <c r="X3549" s="30" t="n"/>
      <c r="Y3549" s="30" t="n"/>
      <c r="Z3549" s="30" t="n"/>
      <c r="AA3549" s="30" t="n"/>
      <c r="AB3549" s="30" t="n"/>
      <c r="AC3549" s="30" t="n"/>
      <c r="AD3549" s="30" t="n"/>
      <c r="AE3549" s="30" t="n"/>
      <c r="AF3549" s="30" t="n"/>
      <c r="AG3549" s="30" t="n"/>
      <c r="AH3549" s="30" t="n"/>
      <c r="AI3549" s="30" t="n"/>
      <c r="AJ3549" s="30" t="n"/>
      <c r="AK3549" s="30" t="n"/>
      <c r="AL3549" s="30" t="n"/>
      <c r="AM3549" s="30" t="n"/>
      <c r="AN3549" s="30" t="n"/>
      <c r="AO3549" s="30" t="n"/>
    </row>
    <row r="3550">
      <c r="A3550" s="134" t="inlineStr">
        <is>
          <t>13418XXX</t>
        </is>
      </c>
      <c r="B3550" s="246" t="inlineStr">
        <is>
          <t>TAVERNITI PANTALON</t>
        </is>
      </c>
      <c r="C3550" s="88" t="n">
        <v>86900</v>
      </c>
      <c r="D3550" s="219" t="n"/>
      <c r="E3550" s="219" t="n"/>
      <c r="F3550" s="219" t="n"/>
      <c r="G3550" s="219" t="n"/>
      <c r="H3550" s="180" t="n"/>
      <c r="I3550" s="219" t="n"/>
      <c r="J3550" s="219" t="n"/>
      <c r="K3550" s="219" t="n"/>
      <c r="L3550" s="219">
        <f>ROUND((Q3550*C3550)/100,0)*100</f>
        <v/>
      </c>
      <c r="M3550" s="219" t="n"/>
      <c r="P3550" s="117" t="n"/>
      <c r="Q3550" s="118" t="n">
        <v>1.05</v>
      </c>
      <c r="R3550" s="117" t="n"/>
      <c r="T3550" s="117" t="n"/>
    </row>
    <row r="3551">
      <c r="A3551" s="134" t="inlineStr">
        <is>
          <t>13430XXX</t>
        </is>
      </c>
      <c r="B3551" s="246" t="inlineStr">
        <is>
          <t>TAVERNITI PANTALON</t>
        </is>
      </c>
      <c r="C3551" s="88" t="n">
        <v>82600</v>
      </c>
      <c r="D3551" s="219" t="n"/>
      <c r="E3551" s="219" t="n"/>
      <c r="F3551" s="219" t="n"/>
      <c r="G3551" s="219" t="n"/>
      <c r="H3551" s="180" t="n"/>
      <c r="I3551" s="219" t="n"/>
      <c r="J3551" s="219" t="n"/>
      <c r="K3551" s="219" t="n"/>
      <c r="L3551" s="219">
        <f>ROUND((Q3551*C3551)/100,0)*100</f>
        <v/>
      </c>
      <c r="M3551" s="219" t="n"/>
      <c r="P3551" s="117" t="n"/>
      <c r="Q3551" s="118" t="n">
        <v>1.05</v>
      </c>
      <c r="R3551" s="117" t="n"/>
      <c r="T3551" s="117" t="n"/>
    </row>
    <row r="3552">
      <c r="A3552" s="134" t="inlineStr">
        <is>
          <t>13432XXX</t>
        </is>
      </c>
      <c r="B3552" s="246" t="inlineStr">
        <is>
          <t>TAVERNITI PANTALON</t>
        </is>
      </c>
      <c r="C3552" s="88" t="n">
        <v>98700</v>
      </c>
      <c r="D3552" s="219" t="n"/>
      <c r="E3552" s="219" t="n"/>
      <c r="F3552" s="219" t="n"/>
      <c r="G3552" s="219" t="n"/>
      <c r="H3552" s="180" t="n"/>
      <c r="I3552" s="219" t="n"/>
      <c r="J3552" s="219" t="n"/>
      <c r="K3552" s="219" t="n"/>
      <c r="L3552" s="219">
        <f>ROUND((Q3552*C3552)/100,0)*100</f>
        <v/>
      </c>
      <c r="M3552" s="219" t="n"/>
      <c r="P3552" s="117" t="n"/>
      <c r="Q3552" s="118" t="n">
        <v>1.05</v>
      </c>
      <c r="R3552" s="117" t="n"/>
      <c r="T3552" s="117" t="n"/>
    </row>
    <row r="3553">
      <c r="A3553" s="134" t="inlineStr">
        <is>
          <t>13438XXX</t>
        </is>
      </c>
      <c r="B3553" s="246" t="inlineStr">
        <is>
          <t>TAVERNITI PANTALON</t>
        </is>
      </c>
      <c r="C3553" s="88" t="n">
        <v>100800</v>
      </c>
      <c r="D3553" s="219" t="n"/>
      <c r="E3553" s="219" t="n"/>
      <c r="F3553" s="219" t="n"/>
      <c r="G3553" s="219" t="n"/>
      <c r="H3553" s="180" t="n"/>
      <c r="I3553" s="219" t="n"/>
      <c r="J3553" s="219" t="n"/>
      <c r="K3553" s="219" t="n"/>
      <c r="L3553" s="219">
        <f>ROUND((Q3553*C3553)/100,0)*100</f>
        <v/>
      </c>
      <c r="M3553" s="219" t="n"/>
      <c r="P3553" s="117" t="n"/>
      <c r="Q3553" s="118" t="n">
        <v>1.05</v>
      </c>
      <c r="R3553" s="117" t="n"/>
      <c r="T3553" s="117" t="n"/>
    </row>
    <row r="3554">
      <c r="A3554" s="89" t="inlineStr">
        <is>
          <t>13442XXX</t>
        </is>
      </c>
      <c r="B3554" s="135" t="inlineStr">
        <is>
          <t>TAVERNITI PANTALON</t>
        </is>
      </c>
      <c r="C3554" s="88" t="n">
        <v>84000</v>
      </c>
      <c r="D3554" s="170" t="n"/>
      <c r="E3554" s="170" t="n"/>
      <c r="F3554" s="170" t="n"/>
      <c r="G3554" s="170" t="n"/>
      <c r="H3554" s="105" t="n"/>
      <c r="I3554" s="170" t="n"/>
      <c r="J3554" s="170" t="n"/>
      <c r="K3554" s="170" t="n"/>
      <c r="L3554" s="88">
        <f>ROUND((Q3554*C3554)/100,0)*100</f>
        <v/>
      </c>
      <c r="M3554" s="170" t="n"/>
      <c r="N3554" s="30" t="n"/>
      <c r="O3554" s="30" t="n"/>
      <c r="P3554" s="170" t="n"/>
      <c r="Q3554" s="96" t="n">
        <v>1.05</v>
      </c>
      <c r="R3554" s="170" t="n"/>
      <c r="S3554" s="30" t="n"/>
      <c r="T3554" s="170" t="n"/>
      <c r="U3554" s="30" t="n"/>
      <c r="V3554" s="30" t="n"/>
      <c r="W3554" s="30" t="n"/>
      <c r="X3554" s="30" t="n"/>
      <c r="Y3554" s="30" t="n"/>
      <c r="Z3554" s="30" t="n"/>
      <c r="AA3554" s="30" t="n"/>
      <c r="AB3554" s="30" t="n"/>
      <c r="AC3554" s="30" t="n"/>
      <c r="AD3554" s="30" t="n"/>
      <c r="AE3554" s="30" t="n"/>
      <c r="AF3554" s="30" t="n"/>
      <c r="AG3554" s="30" t="n"/>
      <c r="AH3554" s="30" t="n"/>
      <c r="AI3554" s="30" t="n"/>
      <c r="AJ3554" s="30" t="n"/>
      <c r="AK3554" s="30" t="n"/>
      <c r="AL3554" s="30" t="n"/>
      <c r="AM3554" s="30" t="n"/>
      <c r="AN3554" s="30" t="n"/>
      <c r="AO3554" s="30" t="n"/>
    </row>
    <row r="3555">
      <c r="A3555" s="134" t="inlineStr">
        <is>
          <t>13446XXX</t>
        </is>
      </c>
      <c r="B3555" s="246" t="inlineStr">
        <is>
          <t>TAVERNITI PANTALON</t>
        </is>
      </c>
      <c r="C3555" s="88" t="n">
        <v>96600</v>
      </c>
      <c r="D3555" s="219" t="n"/>
      <c r="E3555" s="219" t="n"/>
      <c r="F3555" s="219" t="n"/>
      <c r="G3555" s="219" t="n"/>
      <c r="H3555" s="180" t="n"/>
      <c r="I3555" s="219" t="n"/>
      <c r="J3555" s="219" t="n"/>
      <c r="K3555" s="219" t="n"/>
      <c r="L3555" s="219">
        <f>ROUND((Q3555*C3555)/100,0)*100</f>
        <v/>
      </c>
      <c r="M3555" s="219" t="n"/>
      <c r="P3555" s="117" t="n"/>
      <c r="Q3555" s="118" t="n">
        <v>1.05</v>
      </c>
      <c r="R3555" s="117" t="n"/>
      <c r="T3555" s="117" t="n"/>
    </row>
    <row r="3556">
      <c r="A3556" s="89" t="inlineStr">
        <is>
          <t>13536XXX</t>
        </is>
      </c>
      <c r="B3556" s="135" t="inlineStr">
        <is>
          <t>TAVERNITI PANTALON</t>
        </is>
      </c>
      <c r="C3556" s="88" t="n">
        <v>84000</v>
      </c>
      <c r="D3556" s="170" t="n"/>
      <c r="E3556" s="170" t="n"/>
      <c r="F3556" s="170" t="n"/>
      <c r="G3556" s="170" t="n"/>
      <c r="H3556" s="105" t="n"/>
      <c r="I3556" s="170" t="n"/>
      <c r="J3556" s="170" t="n"/>
      <c r="K3556" s="170" t="n"/>
      <c r="L3556" s="88">
        <f>ROUND((Q3556*C3556)/100,0)*100</f>
        <v/>
      </c>
      <c r="M3556" s="170" t="n"/>
      <c r="N3556" s="30" t="n"/>
      <c r="O3556" s="30" t="n"/>
      <c r="P3556" s="170" t="n"/>
      <c r="Q3556" s="96" t="n">
        <v>1.05</v>
      </c>
      <c r="R3556" s="170" t="n"/>
      <c r="S3556" s="30" t="n"/>
      <c r="T3556" s="170" t="n"/>
      <c r="U3556" s="30" t="n"/>
      <c r="V3556" s="30" t="n"/>
      <c r="W3556" s="30" t="n"/>
      <c r="X3556" s="30" t="n"/>
      <c r="Y3556" s="30" t="n"/>
      <c r="Z3556" s="30" t="n"/>
      <c r="AA3556" s="30" t="n"/>
      <c r="AB3556" s="30" t="n"/>
      <c r="AC3556" s="30" t="n"/>
      <c r="AD3556" s="30" t="n"/>
      <c r="AE3556" s="30" t="n"/>
      <c r="AF3556" s="30" t="n"/>
      <c r="AG3556" s="30" t="n"/>
      <c r="AH3556" s="30" t="n"/>
      <c r="AI3556" s="30" t="n"/>
      <c r="AJ3556" s="30" t="n"/>
      <c r="AK3556" s="30" t="n"/>
      <c r="AL3556" s="30" t="n"/>
      <c r="AM3556" s="30" t="n"/>
      <c r="AN3556" s="30" t="n"/>
      <c r="AO3556" s="30" t="n"/>
    </row>
    <row r="3557">
      <c r="A3557" s="89" t="inlineStr">
        <is>
          <t>13540XXX</t>
        </is>
      </c>
      <c r="B3557" s="135" t="inlineStr">
        <is>
          <t>TAVERNITI PANTALON</t>
        </is>
      </c>
      <c r="C3557" s="88" t="n">
        <v>89000</v>
      </c>
      <c r="D3557" s="170" t="n"/>
      <c r="E3557" s="170" t="n"/>
      <c r="F3557" s="170" t="n"/>
      <c r="G3557" s="170" t="n"/>
      <c r="H3557" s="105" t="n"/>
      <c r="I3557" s="170" t="n"/>
      <c r="J3557" s="170" t="n"/>
      <c r="K3557" s="170" t="n"/>
      <c r="L3557" s="88">
        <f>ROUND((Q3557*C3557)/100,0)*100</f>
        <v/>
      </c>
      <c r="M3557" s="170" t="n"/>
      <c r="N3557" s="30" t="n"/>
      <c r="O3557" s="30" t="n"/>
      <c r="P3557" s="170" t="n"/>
      <c r="Q3557" s="96" t="n">
        <v>1.05</v>
      </c>
      <c r="R3557" s="170" t="n"/>
      <c r="S3557" s="30" t="n"/>
      <c r="T3557" s="170" t="n"/>
      <c r="U3557" s="30" t="n"/>
      <c r="V3557" s="30" t="n"/>
      <c r="W3557" s="30" t="n"/>
      <c r="X3557" s="30" t="n"/>
      <c r="Y3557" s="30" t="n"/>
      <c r="Z3557" s="30" t="n"/>
      <c r="AA3557" s="30" t="n"/>
      <c r="AB3557" s="30" t="n"/>
      <c r="AC3557" s="30" t="n"/>
      <c r="AD3557" s="30" t="n"/>
      <c r="AE3557" s="30" t="n"/>
      <c r="AF3557" s="30" t="n"/>
      <c r="AG3557" s="30" t="n"/>
      <c r="AH3557" s="30" t="n"/>
      <c r="AI3557" s="30" t="n"/>
      <c r="AJ3557" s="30" t="n"/>
      <c r="AK3557" s="30" t="n"/>
      <c r="AL3557" s="30" t="n"/>
      <c r="AM3557" s="30" t="n"/>
      <c r="AN3557" s="30" t="n"/>
      <c r="AO3557" s="30" t="n"/>
    </row>
    <row r="3558">
      <c r="A3558" s="89" t="inlineStr">
        <is>
          <t>13544XXX</t>
        </is>
      </c>
      <c r="B3558" s="135" t="inlineStr">
        <is>
          <t>TAVERNITI PANTALON</t>
        </is>
      </c>
      <c r="C3558" s="88" t="n">
        <v>89000</v>
      </c>
      <c r="D3558" s="170" t="n"/>
      <c r="E3558" s="170" t="n"/>
      <c r="F3558" s="170" t="n"/>
      <c r="G3558" s="170" t="n"/>
      <c r="H3558" s="105" t="n"/>
      <c r="I3558" s="170" t="n"/>
      <c r="J3558" s="170" t="n"/>
      <c r="K3558" s="170" t="n"/>
      <c r="L3558" s="88">
        <f>ROUND((Q3558*C3558)/100,0)*100</f>
        <v/>
      </c>
      <c r="M3558" s="170" t="n"/>
      <c r="N3558" s="30" t="n"/>
      <c r="O3558" s="30" t="n"/>
      <c r="P3558" s="170" t="n"/>
      <c r="Q3558" s="96" t="n">
        <v>1.05</v>
      </c>
      <c r="R3558" s="170" t="n"/>
      <c r="S3558" s="30" t="n"/>
      <c r="T3558" s="170" t="n"/>
      <c r="U3558" s="30" t="n"/>
      <c r="V3558" s="30" t="n"/>
      <c r="W3558" s="30" t="n"/>
      <c r="X3558" s="30" t="n"/>
      <c r="Y3558" s="30" t="n"/>
      <c r="Z3558" s="30" t="n"/>
      <c r="AA3558" s="30" t="n"/>
      <c r="AB3558" s="30" t="n"/>
      <c r="AC3558" s="30" t="n"/>
      <c r="AD3558" s="30" t="n"/>
      <c r="AE3558" s="30" t="n"/>
      <c r="AF3558" s="30" t="n"/>
      <c r="AG3558" s="30" t="n"/>
      <c r="AH3558" s="30" t="n"/>
      <c r="AI3558" s="30" t="n"/>
      <c r="AJ3558" s="30" t="n"/>
      <c r="AK3558" s="30" t="n"/>
      <c r="AL3558" s="30" t="n"/>
      <c r="AM3558" s="30" t="n"/>
      <c r="AN3558" s="30" t="n"/>
      <c r="AO3558" s="30" t="n"/>
    </row>
    <row r="3559">
      <c r="A3559" s="89" t="inlineStr">
        <is>
          <t>13552XXX</t>
        </is>
      </c>
      <c r="B3559" s="135" t="inlineStr">
        <is>
          <t>TAVERNITI PANTALON</t>
        </is>
      </c>
      <c r="C3559" s="88" t="n">
        <v>100800</v>
      </c>
      <c r="D3559" s="170" t="n"/>
      <c r="E3559" s="170" t="n"/>
      <c r="F3559" s="170" t="n"/>
      <c r="G3559" s="170" t="n"/>
      <c r="H3559" s="105" t="n"/>
      <c r="I3559" s="170" t="n"/>
      <c r="J3559" s="170" t="n"/>
      <c r="K3559" s="170" t="n"/>
      <c r="L3559" s="88">
        <f>ROUND((Q3559*C3559)/100,0)*100</f>
        <v/>
      </c>
      <c r="M3559" s="170" t="n"/>
      <c r="N3559" s="30" t="n"/>
      <c r="O3559" s="30" t="n"/>
      <c r="P3559" s="170" t="n"/>
      <c r="Q3559" s="96" t="n">
        <v>1.05</v>
      </c>
      <c r="R3559" s="170" t="n"/>
      <c r="S3559" s="30" t="n"/>
      <c r="T3559" s="170" t="n"/>
      <c r="U3559" s="30" t="n"/>
      <c r="V3559" s="30" t="n"/>
      <c r="W3559" s="30" t="n"/>
      <c r="X3559" s="30" t="n"/>
      <c r="Y3559" s="30" t="n"/>
      <c r="Z3559" s="30" t="n"/>
      <c r="AA3559" s="30" t="n"/>
      <c r="AB3559" s="30" t="n"/>
      <c r="AC3559" s="30" t="n"/>
      <c r="AD3559" s="30" t="n"/>
      <c r="AE3559" s="30" t="n"/>
      <c r="AF3559" s="30" t="n"/>
      <c r="AG3559" s="30" t="n"/>
      <c r="AH3559" s="30" t="n"/>
      <c r="AI3559" s="30" t="n"/>
      <c r="AJ3559" s="30" t="n"/>
      <c r="AK3559" s="30" t="n"/>
      <c r="AL3559" s="30" t="n"/>
      <c r="AM3559" s="30" t="n"/>
      <c r="AN3559" s="30" t="n"/>
      <c r="AO3559" s="30" t="n"/>
    </row>
    <row r="3560">
      <c r="A3560" s="89" t="inlineStr">
        <is>
          <t>13558XXX</t>
        </is>
      </c>
      <c r="B3560" s="135" t="inlineStr">
        <is>
          <t>TAVERNITI PANTALON</t>
        </is>
      </c>
      <c r="C3560" s="88" t="n">
        <v>94000</v>
      </c>
      <c r="D3560" s="170" t="n"/>
      <c r="E3560" s="170" t="n"/>
      <c r="F3560" s="170" t="n"/>
      <c r="G3560" s="170" t="n"/>
      <c r="H3560" s="105" t="n"/>
      <c r="I3560" s="170" t="n"/>
      <c r="J3560" s="170" t="n"/>
      <c r="K3560" s="170" t="n"/>
      <c r="L3560" s="88">
        <f>ROUND((Q3560*C3560)/100,0)*100</f>
        <v/>
      </c>
      <c r="M3560" s="170" t="n"/>
      <c r="N3560" s="30" t="n"/>
      <c r="O3560" s="30" t="n"/>
      <c r="P3560" s="170" t="n"/>
      <c r="Q3560" s="96" t="n">
        <v>1.05</v>
      </c>
      <c r="R3560" s="170" t="n"/>
      <c r="S3560" s="30" t="n"/>
      <c r="T3560" s="170" t="n"/>
      <c r="U3560" s="30" t="n"/>
      <c r="V3560" s="30" t="n"/>
      <c r="W3560" s="30" t="n"/>
      <c r="X3560" s="30" t="n"/>
      <c r="Y3560" s="30" t="n"/>
      <c r="Z3560" s="30" t="n"/>
      <c r="AA3560" s="30" t="n"/>
      <c r="AB3560" s="30" t="n"/>
      <c r="AC3560" s="30" t="n"/>
      <c r="AD3560" s="30" t="n"/>
      <c r="AE3560" s="30" t="n"/>
      <c r="AF3560" s="30" t="n"/>
      <c r="AG3560" s="30" t="n"/>
      <c r="AH3560" s="30" t="n"/>
      <c r="AI3560" s="30" t="n"/>
      <c r="AJ3560" s="30" t="n"/>
      <c r="AK3560" s="30" t="n"/>
      <c r="AL3560" s="30" t="n"/>
      <c r="AM3560" s="30" t="n"/>
      <c r="AN3560" s="30" t="n"/>
      <c r="AO3560" s="30" t="n"/>
    </row>
    <row r="3561">
      <c r="A3561" s="89" t="inlineStr">
        <is>
          <t>13562XXX</t>
        </is>
      </c>
      <c r="B3561" s="135" t="inlineStr">
        <is>
          <t>TAVERNITI PANTALON</t>
        </is>
      </c>
      <c r="C3561" s="88" t="n">
        <v>98700</v>
      </c>
      <c r="D3561" s="170" t="n"/>
      <c r="E3561" s="170" t="n"/>
      <c r="F3561" s="170" t="n"/>
      <c r="G3561" s="170" t="n"/>
      <c r="H3561" s="105" t="n"/>
      <c r="I3561" s="170" t="n"/>
      <c r="J3561" s="170" t="n"/>
      <c r="K3561" s="170" t="n"/>
      <c r="L3561" s="88">
        <f>ROUND((Q3561*C3561)/100,0)*100</f>
        <v/>
      </c>
      <c r="M3561" s="170" t="n"/>
      <c r="N3561" s="30" t="n"/>
      <c r="O3561" s="30" t="n"/>
      <c r="P3561" s="170" t="n"/>
      <c r="Q3561" s="96" t="n">
        <v>1.05</v>
      </c>
      <c r="R3561" s="170" t="n"/>
      <c r="S3561" s="30" t="n"/>
      <c r="T3561" s="170" t="n"/>
      <c r="U3561" s="30" t="n"/>
      <c r="V3561" s="30" t="n"/>
      <c r="W3561" s="30" t="n"/>
      <c r="X3561" s="30" t="n"/>
      <c r="Y3561" s="30" t="n"/>
      <c r="Z3561" s="30" t="n"/>
      <c r="AA3561" s="30" t="n"/>
      <c r="AB3561" s="30" t="n"/>
      <c r="AC3561" s="30" t="n"/>
      <c r="AD3561" s="30" t="n"/>
      <c r="AE3561" s="30" t="n"/>
      <c r="AF3561" s="30" t="n"/>
      <c r="AG3561" s="30" t="n"/>
      <c r="AH3561" s="30" t="n"/>
      <c r="AI3561" s="30" t="n"/>
      <c r="AJ3561" s="30" t="n"/>
      <c r="AK3561" s="30" t="n"/>
      <c r="AL3561" s="30" t="n"/>
      <c r="AM3561" s="30" t="n"/>
      <c r="AN3561" s="30" t="n"/>
      <c r="AO3561" s="30" t="n"/>
    </row>
    <row r="3562">
      <c r="A3562" s="89" t="inlineStr">
        <is>
          <t>13564XXX</t>
        </is>
      </c>
      <c r="B3562" s="135" t="inlineStr">
        <is>
          <t>TAVERNITI PANTALON</t>
        </is>
      </c>
      <c r="C3562" s="88" t="n">
        <v>98700</v>
      </c>
      <c r="D3562" s="170" t="n"/>
      <c r="E3562" s="170" t="n"/>
      <c r="F3562" s="170" t="n"/>
      <c r="G3562" s="170" t="n"/>
      <c r="H3562" s="105" t="n"/>
      <c r="I3562" s="170" t="n"/>
      <c r="J3562" s="170" t="n"/>
      <c r="K3562" s="170" t="n"/>
      <c r="L3562" s="88">
        <f>ROUND((Q3562*C3562)/100,0)*100</f>
        <v/>
      </c>
      <c r="M3562" s="170" t="n"/>
      <c r="N3562" s="30" t="n"/>
      <c r="O3562" s="30" t="n"/>
      <c r="P3562" s="170" t="n"/>
      <c r="Q3562" s="96" t="n">
        <v>1.05</v>
      </c>
      <c r="R3562" s="170" t="n"/>
      <c r="S3562" s="30" t="n"/>
      <c r="T3562" s="170" t="n"/>
      <c r="U3562" s="30" t="n"/>
      <c r="V3562" s="30" t="n"/>
      <c r="W3562" s="30" t="n"/>
      <c r="X3562" s="30" t="n"/>
      <c r="Y3562" s="30" t="n"/>
      <c r="Z3562" s="30" t="n"/>
      <c r="AA3562" s="30" t="n"/>
      <c r="AB3562" s="30" t="n"/>
      <c r="AC3562" s="30" t="n"/>
      <c r="AD3562" s="30" t="n"/>
      <c r="AE3562" s="30" t="n"/>
      <c r="AF3562" s="30" t="n"/>
      <c r="AG3562" s="30" t="n"/>
      <c r="AH3562" s="30" t="n"/>
      <c r="AI3562" s="30" t="n"/>
      <c r="AJ3562" s="30" t="n"/>
      <c r="AK3562" s="30" t="n"/>
      <c r="AL3562" s="30" t="n"/>
      <c r="AM3562" s="30" t="n"/>
      <c r="AN3562" s="30" t="n"/>
      <c r="AO3562" s="30" t="n"/>
    </row>
    <row r="3563">
      <c r="A3563" s="134" t="inlineStr">
        <is>
          <t>13574XXX</t>
        </is>
      </c>
      <c r="B3563" s="246" t="inlineStr">
        <is>
          <t>TAVERNITI PANTALON</t>
        </is>
      </c>
      <c r="C3563" s="88" t="n">
        <v>108800</v>
      </c>
      <c r="D3563" s="219" t="n"/>
      <c r="E3563" s="219" t="n"/>
      <c r="F3563" s="219" t="n"/>
      <c r="G3563" s="219" t="n"/>
      <c r="H3563" s="180" t="n"/>
      <c r="I3563" s="219" t="n"/>
      <c r="J3563" s="219" t="n"/>
      <c r="K3563" s="219" t="n"/>
      <c r="L3563" s="219">
        <f>ROUND((Q3563*C3563)/100,0)*100</f>
        <v/>
      </c>
      <c r="M3563" s="219" t="n"/>
      <c r="P3563" s="117" t="n"/>
      <c r="Q3563" s="118" t="n">
        <v>1.05</v>
      </c>
      <c r="R3563" s="117" t="n"/>
      <c r="T3563" s="117" t="n"/>
    </row>
    <row r="3564">
      <c r="A3564" s="134" t="inlineStr">
        <is>
          <t>13590XXX</t>
        </is>
      </c>
      <c r="B3564" s="246" t="inlineStr">
        <is>
          <t>TAVERNITI PANTALON</t>
        </is>
      </c>
      <c r="C3564" s="88" t="n">
        <v>96600</v>
      </c>
      <c r="D3564" s="219" t="n"/>
      <c r="E3564" s="219" t="n"/>
      <c r="F3564" s="219" t="n"/>
      <c r="G3564" s="219" t="n"/>
      <c r="H3564" s="180" t="n"/>
      <c r="I3564" s="219" t="n"/>
      <c r="J3564" s="219" t="n"/>
      <c r="K3564" s="219" t="n"/>
      <c r="L3564" s="219">
        <f>ROUND((Q3564*C3564)/100,0)*100</f>
        <v/>
      </c>
      <c r="M3564" s="219" t="n"/>
      <c r="P3564" s="117" t="n"/>
      <c r="Q3564" s="118" t="n">
        <v>1.05</v>
      </c>
      <c r="R3564" s="117" t="n"/>
      <c r="T3564" s="117" t="n"/>
    </row>
    <row r="3565">
      <c r="A3565" s="134" t="inlineStr">
        <is>
          <t>13862XXX</t>
        </is>
      </c>
      <c r="B3565" s="246" t="inlineStr">
        <is>
          <t>TAVERNITI PANTALON</t>
        </is>
      </c>
      <c r="C3565" s="88" t="n">
        <v>96600</v>
      </c>
      <c r="D3565" s="219" t="n"/>
      <c r="E3565" s="219" t="n"/>
      <c r="F3565" s="219" t="n"/>
      <c r="G3565" s="219" t="n"/>
      <c r="H3565" s="180" t="n"/>
      <c r="I3565" s="219" t="n"/>
      <c r="J3565" s="219" t="n"/>
      <c r="K3565" s="219" t="n"/>
      <c r="L3565" s="219">
        <f>ROUND((Q3565*C3565)/100,0)*100</f>
        <v/>
      </c>
      <c r="M3565" s="219" t="n"/>
      <c r="P3565" s="117" t="n"/>
      <c r="Q3565" s="118" t="n">
        <v>1.05</v>
      </c>
      <c r="R3565" s="117" t="n"/>
      <c r="T3565" s="117" t="n"/>
    </row>
    <row r="3566">
      <c r="A3566" s="128" t="inlineStr">
        <is>
          <t>20220XXX</t>
        </is>
      </c>
      <c r="B3566" s="246" t="inlineStr">
        <is>
          <t>TAVERNITI JEAN</t>
        </is>
      </c>
      <c r="C3566" s="88" t="n">
        <v>81000</v>
      </c>
      <c r="D3566" s="183" t="n"/>
      <c r="E3566" s="219" t="n"/>
      <c r="F3566" s="219" t="n"/>
      <c r="G3566" s="219" t="n"/>
      <c r="H3566" s="180" t="n"/>
      <c r="I3566" s="219" t="n"/>
      <c r="J3566" s="219" t="n"/>
      <c r="K3566" s="219" t="n"/>
      <c r="L3566" s="219">
        <f>ROUND((Q3566*C3566)/100,0)*100</f>
        <v/>
      </c>
      <c r="M3566" s="219" t="n"/>
      <c r="P3566" s="117" t="n"/>
      <c r="Q3566" s="118" t="n">
        <v>1.05</v>
      </c>
      <c r="R3566" s="117" t="n"/>
      <c r="T3566" s="117" t="n"/>
    </row>
    <row r="3567">
      <c r="A3567" s="128" t="inlineStr">
        <is>
          <t>07659401</t>
        </is>
      </c>
      <c r="B3567" s="246" t="inlineStr">
        <is>
          <t>WRANGLER MONTANA</t>
        </is>
      </c>
      <c r="C3567" s="88" t="n">
        <v>81000</v>
      </c>
      <c r="D3567" s="183" t="n"/>
      <c r="E3567" s="219" t="n"/>
      <c r="F3567" s="219" t="n"/>
      <c r="G3567" s="219" t="n"/>
      <c r="H3567" s="180" t="n"/>
      <c r="I3567" s="219" t="n"/>
      <c r="J3567" s="219" t="n"/>
      <c r="K3567" s="219" t="n"/>
      <c r="L3567" s="219">
        <f>ROUND((Q3567*C3567)/100,0)*100</f>
        <v/>
      </c>
      <c r="M3567" s="219" t="n"/>
      <c r="P3567" s="117" t="n"/>
      <c r="Q3567" s="118" t="n">
        <v>1.05</v>
      </c>
      <c r="R3567" s="117" t="n"/>
      <c r="T3567" s="117" t="n"/>
    </row>
    <row r="3568">
      <c r="A3568" s="128" t="inlineStr">
        <is>
          <t>10889501</t>
        </is>
      </c>
      <c r="B3568" s="246" t="inlineStr">
        <is>
          <t>WRANGLER MONTANA BLUE</t>
        </is>
      </c>
      <c r="C3568" s="88" t="n">
        <v>81000</v>
      </c>
      <c r="D3568" s="183" t="n"/>
      <c r="E3568" s="219" t="n"/>
      <c r="F3568" s="219" t="n"/>
      <c r="G3568" s="219" t="n"/>
      <c r="H3568" s="180" t="n"/>
      <c r="I3568" s="219" t="n"/>
      <c r="J3568" s="219" t="n"/>
      <c r="K3568" s="219" t="n"/>
      <c r="L3568" s="219">
        <f>ROUND((Q3568*C3568)/100,0)*100</f>
        <v/>
      </c>
      <c r="M3568" s="219" t="n"/>
      <c r="P3568" s="117" t="n"/>
      <c r="Q3568" s="118" t="n">
        <v>1.05</v>
      </c>
      <c r="R3568" s="117" t="n"/>
      <c r="T3568" s="117" t="n"/>
    </row>
    <row r="3569">
      <c r="A3569" s="128" t="n"/>
      <c r="B3569" s="246" t="n"/>
      <c r="C3569" s="183" t="n"/>
      <c r="D3569" s="183" t="n"/>
      <c r="E3569" s="219" t="n"/>
      <c r="F3569" s="219" t="n"/>
      <c r="G3569" s="219" t="n"/>
      <c r="H3569" s="219" t="n"/>
      <c r="I3569" s="219" t="n"/>
      <c r="J3569" s="219" t="n"/>
      <c r="K3569" s="219" t="n"/>
      <c r="L3569" s="219" t="n"/>
      <c r="M3569" s="219" t="n"/>
      <c r="P3569" s="117" t="n"/>
      <c r="R3569" s="117" t="n"/>
      <c r="T3569" s="117" t="n"/>
    </row>
    <row r="3570">
      <c r="A3570" s="128" t="n"/>
      <c r="B3570" s="246" t="n"/>
      <c r="C3570" s="183" t="n"/>
      <c r="D3570" s="183" t="n"/>
      <c r="E3570" s="219" t="n"/>
      <c r="F3570" s="219" t="n"/>
      <c r="G3570" s="219" t="n"/>
      <c r="H3570" s="219" t="n"/>
      <c r="I3570" s="219" t="n"/>
      <c r="J3570" s="219" t="n"/>
      <c r="K3570" s="219" t="n"/>
      <c r="L3570" s="219" t="n"/>
      <c r="M3570" s="219" t="n"/>
      <c r="P3570" s="117" t="n"/>
      <c r="R3570" s="117" t="n"/>
      <c r="T3570" s="117" t="n"/>
    </row>
    <row r="3571">
      <c r="A3571" s="128" t="n"/>
      <c r="B3571" s="246" t="n"/>
      <c r="C3571" s="183" t="n"/>
      <c r="D3571" s="183" t="n"/>
      <c r="E3571" s="219" t="n"/>
      <c r="F3571" s="219" t="n"/>
      <c r="G3571" s="219" t="n"/>
      <c r="H3571" s="219" t="n"/>
      <c r="I3571" s="219" t="n"/>
      <c r="J3571" s="219" t="n"/>
      <c r="K3571" s="219" t="n"/>
      <c r="L3571" s="219" t="n"/>
      <c r="M3571" s="219" t="n"/>
      <c r="P3571" s="117" t="n"/>
      <c r="R3571" s="117" t="n"/>
      <c r="T3571" s="117" t="n"/>
    </row>
    <row r="3572">
      <c r="A3572" s="68" t="n"/>
      <c r="B3572" s="184" t="inlineStr">
        <is>
          <t>NÁUTICOS/PANT. BUZO S/FRIZA</t>
        </is>
      </c>
      <c r="C3572" s="185" t="inlineStr">
        <is>
          <t>40 al 54</t>
        </is>
      </c>
      <c r="D3572" s="185" t="n"/>
      <c r="E3572" s="185" t="inlineStr">
        <is>
          <t>56/60</t>
        </is>
      </c>
      <c r="F3572" s="185" t="inlineStr">
        <is>
          <t>62 /70</t>
        </is>
      </c>
      <c r="G3572" s="180" t="n"/>
      <c r="H3572" s="68" t="inlineStr">
        <is>
          <t>03/24</t>
        </is>
      </c>
      <c r="I3572" s="219" t="n"/>
      <c r="J3572" s="219" t="n"/>
      <c r="K3572" s="219" t="n"/>
      <c r="L3572" s="219" t="n"/>
      <c r="M3572" s="219" t="n"/>
      <c r="P3572" s="117" t="n"/>
      <c r="R3572" s="117" t="n"/>
      <c r="T3572" s="117" t="n"/>
    </row>
    <row r="3573">
      <c r="A3573" s="68" t="n"/>
      <c r="B3573" s="110" t="n"/>
      <c r="C3573" s="185" t="inlineStr">
        <is>
          <t>1 al 4</t>
        </is>
      </c>
      <c r="D3573" s="186" t="n">
        <v>42921</v>
      </c>
      <c r="E3573" s="185" t="inlineStr">
        <is>
          <t>8 /10</t>
        </is>
      </c>
      <c r="F3573" s="185" t="inlineStr">
        <is>
          <t>12 /16</t>
        </is>
      </c>
      <c r="G3573" s="180" t="n"/>
      <c r="H3573" s="219" t="n"/>
      <c r="I3573" s="219" t="n"/>
      <c r="J3573" s="219" t="n"/>
      <c r="K3573" s="219" t="n"/>
      <c r="L3573" s="219" t="n"/>
      <c r="M3573" s="219" t="n"/>
      <c r="P3573" s="117" t="n"/>
      <c r="R3573" s="117" t="n"/>
      <c r="T3573" s="117" t="n"/>
    </row>
    <row r="3574">
      <c r="A3574" s="68" t="inlineStr">
        <is>
          <t>AER163</t>
        </is>
      </c>
      <c r="B3574" s="110" t="inlineStr">
        <is>
          <t xml:space="preserve"> GABARDINA CARGO</t>
        </is>
      </c>
      <c r="C3574" s="88" t="n">
        <v>27500</v>
      </c>
      <c r="D3574" s="88">
        <f>ROUND((C3574*1.07)/100,0)*100</f>
        <v/>
      </c>
      <c r="E3574" s="88">
        <f>ROUND((C3574*1.15)/100,0)*100</f>
        <v/>
      </c>
      <c r="F3574" s="88">
        <f>ROUND((C3574*1.15)/100,0)*100</f>
        <v/>
      </c>
      <c r="G3574" s="88" t="n"/>
      <c r="H3574" s="219" t="n"/>
      <c r="I3574" s="219" t="n">
        <v>1.1</v>
      </c>
      <c r="J3574" s="219" t="n"/>
      <c r="K3574" s="219">
        <f>ROUND((O3574*C3574)/100,0)*100</f>
        <v/>
      </c>
      <c r="L3574" s="219" t="n"/>
      <c r="M3574" s="219" t="n"/>
      <c r="O3574" s="118" t="n">
        <v>1.4</v>
      </c>
      <c r="P3574" s="219" t="n"/>
      <c r="Q3574" s="219" t="n"/>
      <c r="R3574" s="219" t="n"/>
      <c r="S3574" s="219" t="n"/>
      <c r="T3574" s="219" t="n"/>
      <c r="U3574" s="219" t="n"/>
      <c r="V3574" s="219" t="n"/>
      <c r="W3574" s="219" t="n"/>
    </row>
    <row r="3575">
      <c r="A3575" s="68" t="inlineStr">
        <is>
          <t>aer499</t>
        </is>
      </c>
      <c r="B3575" s="110" t="inlineStr">
        <is>
          <t>AERO PANT BUZO SIN FRIZA</t>
        </is>
      </c>
      <c r="C3575" s="88" t="n">
        <v>22000</v>
      </c>
      <c r="D3575" s="88">
        <f>ROUND((C3575*1.07)/100,0)*100</f>
        <v/>
      </c>
      <c r="E3575" s="88">
        <f>ROUND((C3575*1.15)/100,0)*100</f>
        <v/>
      </c>
      <c r="F3575" s="88">
        <f>ROUND((C3575*1.15)/100,0)*100</f>
        <v/>
      </c>
      <c r="G3575" s="180" t="n"/>
      <c r="H3575" s="219" t="n"/>
      <c r="I3575" s="219" t="n"/>
      <c r="J3575" s="219" t="n"/>
      <c r="K3575" s="219">
        <f>ROUND((O3575*C3575)/100,0)*100</f>
        <v/>
      </c>
      <c r="L3575" s="219" t="n"/>
      <c r="M3575" s="219" t="n"/>
      <c r="O3575" s="118" t="n">
        <v>1.4</v>
      </c>
      <c r="P3575" s="219" t="n"/>
      <c r="Q3575" s="219" t="n"/>
      <c r="R3575" s="219" t="n"/>
      <c r="S3575" s="219" t="n"/>
      <c r="T3575" s="219" t="n"/>
      <c r="U3575" s="219" t="n"/>
      <c r="V3575" s="219" t="n"/>
      <c r="W3575" s="219" t="n"/>
    </row>
    <row r="3576">
      <c r="A3576" s="68" t="inlineStr">
        <is>
          <t>aer800</t>
        </is>
      </c>
      <c r="B3576" s="110" t="inlineStr">
        <is>
          <t>NAUTICO GABARDINA C/ CIERRE</t>
        </is>
      </c>
      <c r="C3576" s="88" t="n">
        <v>20000</v>
      </c>
      <c r="D3576" s="88">
        <f>ROUND((C3576*1.07)/100,0)*100</f>
        <v/>
      </c>
      <c r="E3576" s="88">
        <f>ROUND((C3576*1.15)/100,0)*100</f>
        <v/>
      </c>
      <c r="F3576" s="88">
        <f>ROUND((C3576*1.15)/100,0)*100</f>
        <v/>
      </c>
      <c r="G3576" s="180" t="n"/>
      <c r="H3576" s="219" t="n"/>
      <c r="I3576" s="219" t="n"/>
      <c r="J3576" s="219" t="n"/>
      <c r="K3576" s="219">
        <f>ROUND((O3576*C3576)/100,0)*100</f>
        <v/>
      </c>
      <c r="L3576" s="219" t="n"/>
      <c r="M3576" s="219" t="n"/>
      <c r="O3576" s="118" t="n">
        <v>1.4</v>
      </c>
      <c r="P3576" s="219" t="n"/>
      <c r="Q3576" s="219" t="n"/>
      <c r="R3576" s="219" t="n"/>
      <c r="S3576" s="219" t="n"/>
      <c r="T3576" s="219" t="n"/>
      <c r="U3576" s="219" t="n"/>
      <c r="V3576" s="219" t="n"/>
      <c r="W3576" s="219" t="n"/>
    </row>
    <row r="3577">
      <c r="A3577" s="68" t="inlineStr">
        <is>
          <t>aer801</t>
        </is>
      </c>
      <c r="B3577" s="110" t="inlineStr">
        <is>
          <t>NAUTICO JEAN</t>
        </is>
      </c>
      <c r="C3577" s="88" t="n">
        <v>1400</v>
      </c>
      <c r="D3577" s="88">
        <f>ROUND((C3577*1.07)/100,0)*100</f>
        <v/>
      </c>
      <c r="E3577" s="88">
        <f>ROUND((C3577*1.15)/100,0)*100</f>
        <v/>
      </c>
      <c r="F3577" s="88">
        <f>ROUND((C3577*1.15)/100,0)*100</f>
        <v/>
      </c>
      <c r="G3577" s="180" t="n"/>
      <c r="H3577" s="219" t="n"/>
      <c r="I3577" s="219" t="n"/>
      <c r="J3577" s="219" t="n"/>
      <c r="K3577" s="219">
        <f>ROUND((O3577*C3577)/100,0)*100</f>
        <v/>
      </c>
      <c r="L3577" s="219" t="n"/>
      <c r="M3577" s="219" t="n"/>
      <c r="O3577" s="118" t="n">
        <v>1.4</v>
      </c>
      <c r="P3577" s="219" t="n"/>
      <c r="Q3577" s="219" t="n"/>
      <c r="R3577" s="219" t="n"/>
      <c r="S3577" s="219" t="n"/>
      <c r="T3577" s="219" t="n"/>
      <c r="U3577" s="219" t="n"/>
      <c r="V3577" s="219" t="n"/>
      <c r="W3577" s="219" t="n"/>
    </row>
    <row r="3578">
      <c r="A3578" s="68" t="inlineStr">
        <is>
          <t>aer802</t>
        </is>
      </c>
      <c r="B3578" s="110" t="inlineStr">
        <is>
          <t>NAUTICO POPLIN C/CIERRE</t>
        </is>
      </c>
      <c r="C3578" s="88" t="n">
        <v>20000</v>
      </c>
      <c r="D3578" s="88">
        <f>ROUND((C3578*1.07)/100,0)*100</f>
        <v/>
      </c>
      <c r="E3578" s="88">
        <f>ROUND((C3578*1.15)/100,0)*100</f>
        <v/>
      </c>
      <c r="F3578" s="88">
        <f>ROUND((C3578*1.15)/100,0)*100</f>
        <v/>
      </c>
      <c r="G3578" s="180" t="n"/>
      <c r="H3578" s="219" t="n"/>
      <c r="I3578" s="219" t="n"/>
      <c r="J3578" s="219" t="n"/>
      <c r="K3578" s="219">
        <f>ROUND((O3578*C3578)/100,0)*100</f>
        <v/>
      </c>
      <c r="L3578" s="219" t="n"/>
      <c r="M3578" s="219" t="n"/>
      <c r="O3578" s="118" t="n">
        <v>1.4</v>
      </c>
      <c r="P3578" s="219" t="n"/>
      <c r="Q3578" s="219" t="n"/>
      <c r="R3578" s="219" t="n"/>
      <c r="S3578" s="219" t="n"/>
      <c r="T3578" s="219" t="n"/>
      <c r="U3578" s="219" t="n"/>
      <c r="V3578" s="219" t="n"/>
      <c r="W3578" s="219" t="n"/>
    </row>
    <row r="3579">
      <c r="A3579" s="68" t="inlineStr">
        <is>
          <t>AER804</t>
        </is>
      </c>
      <c r="B3579" s="110" t="inlineStr">
        <is>
          <t>NAUTICO GABARDINA CARGO BOLS C/CIERRE</t>
        </is>
      </c>
      <c r="C3579" s="88" t="n">
        <v>41100</v>
      </c>
      <c r="D3579" s="88">
        <f>ROUND((C3579*1.07)/100,0)*100</f>
        <v/>
      </c>
      <c r="E3579" s="88">
        <f>ROUND((C3579*1.15)/100,0)*100</f>
        <v/>
      </c>
      <c r="F3579" s="88">
        <f>ROUND((C3579*1.15)/100,0)*100</f>
        <v/>
      </c>
      <c r="G3579" s="180" t="n"/>
      <c r="H3579" s="219" t="n"/>
      <c r="I3579" s="219" t="n"/>
      <c r="J3579" s="219" t="n"/>
      <c r="K3579" s="219">
        <f>ROUND((O3579*C3579)/100,0)*100</f>
        <v/>
      </c>
      <c r="L3579" s="219" t="n"/>
      <c r="M3579" s="219" t="n"/>
      <c r="O3579" s="118" t="n">
        <v>1.4</v>
      </c>
      <c r="P3579" s="219" t="n"/>
      <c r="Q3579" s="219" t="n"/>
      <c r="R3579" s="219" t="n"/>
      <c r="S3579" s="219" t="n"/>
      <c r="T3579" s="219" t="n"/>
      <c r="U3579" s="219" t="n"/>
      <c r="V3579" s="219" t="n"/>
      <c r="W3579" s="219" t="n"/>
    </row>
    <row r="3580">
      <c r="A3580" s="68" t="inlineStr">
        <is>
          <t>AER808</t>
        </is>
      </c>
      <c r="B3580" s="110" t="inlineStr">
        <is>
          <t>NAUTICO POPLIN CARGO</t>
        </is>
      </c>
      <c r="C3580" s="88" t="n">
        <v>21200</v>
      </c>
      <c r="D3580" s="88">
        <f>ROUND((C3580*1.07)/100,0)*100</f>
        <v/>
      </c>
      <c r="E3580" s="88">
        <f>ROUND((C3580*1.15)/100,0)*100</f>
        <v/>
      </c>
      <c r="F3580" s="88">
        <f>ROUND((C3580*1.15)/100,0)*100</f>
        <v/>
      </c>
      <c r="G3580" s="180" t="n"/>
      <c r="H3580" s="219" t="n"/>
      <c r="I3580" s="219" t="n"/>
      <c r="J3580" s="219" t="n"/>
      <c r="K3580" s="219">
        <f>ROUND((O3580*C3580)/100,0)*100</f>
        <v/>
      </c>
      <c r="L3580" s="219" t="n"/>
      <c r="M3580" s="219" t="n"/>
      <c r="O3580" s="118" t="n">
        <v>1.4</v>
      </c>
      <c r="P3580" s="219" t="n"/>
      <c r="Q3580" s="219" t="n"/>
      <c r="R3580" s="219" t="n"/>
      <c r="S3580" s="219" t="n"/>
      <c r="T3580" s="219" t="n"/>
      <c r="U3580" s="219" t="n"/>
      <c r="V3580" s="219" t="n"/>
      <c r="W3580" s="219" t="n"/>
    </row>
    <row r="3581">
      <c r="A3581" s="68" t="inlineStr">
        <is>
          <t>AER810</t>
        </is>
      </c>
      <c r="B3581" s="110" t="inlineStr">
        <is>
          <t>NAUTICO POL./ALG. 2 BOLSILLOS C/CIERRE</t>
        </is>
      </c>
      <c r="C3581" s="88" t="n">
        <v>23600</v>
      </c>
      <c r="D3581" s="88">
        <f>ROUND((C3581*1.07)/100,0)*100</f>
        <v/>
      </c>
      <c r="E3581" s="88">
        <f>ROUND((C3581*1.15)/100,0)*100</f>
        <v/>
      </c>
      <c r="F3581" s="88">
        <f>ROUND((C3581*1.15)/100,0)*100</f>
        <v/>
      </c>
      <c r="G3581" s="180" t="n"/>
      <c r="H3581" s="219" t="n"/>
      <c r="I3581" s="219" t="n"/>
      <c r="J3581" s="219" t="n"/>
      <c r="K3581" s="219">
        <f>ROUND((O3581*C3581)/100,0)*100</f>
        <v/>
      </c>
      <c r="L3581" s="219" t="n"/>
      <c r="M3581" s="219" t="n"/>
      <c r="O3581" s="118" t="n">
        <v>1.4</v>
      </c>
      <c r="P3581" s="219" t="n"/>
      <c r="Q3581" s="219" t="n"/>
      <c r="R3581" s="219" t="n"/>
      <c r="S3581" s="219" t="n"/>
      <c r="T3581" s="219" t="n"/>
      <c r="U3581" s="219" t="n"/>
      <c r="V3581" s="219" t="n"/>
      <c r="W3581" s="219" t="n"/>
    </row>
    <row r="3582">
      <c r="A3582" s="68" t="inlineStr">
        <is>
          <t>AER852</t>
        </is>
      </c>
      <c r="B3582" s="110" t="inlineStr">
        <is>
          <t>NAUTICO POL./ALG. 2 BOLSILLOS C/CIERRE</t>
        </is>
      </c>
      <c r="C3582" s="88" t="n">
        <v>22400</v>
      </c>
      <c r="D3582" s="88">
        <f>ROUND((C3582*1.07)/100,0)*100</f>
        <v/>
      </c>
      <c r="E3582" s="88">
        <f>ROUND((C3582*1.15)/100,0)*100</f>
        <v/>
      </c>
      <c r="F3582" s="88">
        <f>ROUND((C3582*1.15)/100,0)*100</f>
        <v/>
      </c>
      <c r="G3582" s="180" t="n"/>
      <c r="H3582" s="219" t="n"/>
      <c r="I3582" s="219" t="n"/>
      <c r="J3582" s="219" t="n"/>
      <c r="K3582" s="219">
        <f>ROUND((O3582*C3582)/100,0)*100</f>
        <v/>
      </c>
      <c r="L3582" s="219" t="n"/>
      <c r="M3582" s="219" t="n"/>
      <c r="O3582" s="118" t="n">
        <v>1.4</v>
      </c>
      <c r="P3582" s="219" t="n"/>
      <c r="Q3582" s="219" t="n"/>
      <c r="R3582" s="219" t="n"/>
      <c r="S3582" s="219" t="n"/>
      <c r="T3582" s="219" t="n"/>
      <c r="U3582" s="219" t="n"/>
      <c r="V3582" s="219" t="n"/>
      <c r="W3582" s="219" t="n"/>
    </row>
    <row r="3583">
      <c r="A3583" s="68" t="inlineStr">
        <is>
          <t>AER880</t>
        </is>
      </c>
      <c r="B3583" s="110" t="inlineStr">
        <is>
          <t>NAUTICO TELA</t>
        </is>
      </c>
      <c r="C3583" s="88" t="n">
        <v>22400</v>
      </c>
      <c r="D3583" s="88">
        <f>ROUND((C3583*1.07)/100,0)*100</f>
        <v/>
      </c>
      <c r="E3583" s="88">
        <f>ROUND((C3583*1.15)/100,0)*100</f>
        <v/>
      </c>
      <c r="F3583" s="88">
        <f>ROUND((C3583*1.15)/100,0)*100</f>
        <v/>
      </c>
      <c r="G3583" s="180" t="n"/>
      <c r="H3583" s="219" t="n"/>
      <c r="I3583" s="219" t="n"/>
      <c r="J3583" s="219" t="n"/>
      <c r="K3583" s="219">
        <f>ROUND((O3583*C3583)/100,0)*100</f>
        <v/>
      </c>
      <c r="L3583" s="219" t="n"/>
      <c r="M3583" s="219" t="n"/>
      <c r="O3583" s="118" t="n">
        <v>1.4</v>
      </c>
      <c r="P3583" s="219" t="n"/>
      <c r="Q3583" s="219" t="n"/>
      <c r="R3583" s="219" t="n"/>
      <c r="S3583" s="219" t="n"/>
      <c r="T3583" s="219" t="n"/>
      <c r="U3583" s="219" t="n"/>
      <c r="V3583" s="219" t="n"/>
      <c r="W3583" s="219" t="n"/>
    </row>
    <row r="3584">
      <c r="A3584" s="145" t="inlineStr">
        <is>
          <t>6148607</t>
        </is>
      </c>
      <c r="B3584" s="118" t="inlineStr">
        <is>
          <t>JOGGING TAVERNITI</t>
        </is>
      </c>
      <c r="C3584" s="117" t="n">
        <v>38100</v>
      </c>
      <c r="D3584" s="88">
        <f>ROUND((C3584*1.07)/100,0)*100</f>
        <v/>
      </c>
      <c r="E3584" s="88">
        <f>ROUND((C3584*1.15)/100,0)*100</f>
        <v/>
      </c>
      <c r="F3584" s="88">
        <f>ROUND((C3584*1.15)/100,0)*100</f>
        <v/>
      </c>
      <c r="K3584" s="248">
        <f>ROUND((O3584*C3584)/100,0)*100</f>
        <v/>
      </c>
      <c r="O3584" s="118" t="n">
        <v>1.4</v>
      </c>
      <c r="P3584" s="219" t="n"/>
      <c r="Q3584" s="219" t="n"/>
      <c r="R3584" s="219" t="n"/>
      <c r="S3584" s="219" t="n"/>
      <c r="T3584" s="219" t="n"/>
      <c r="U3584" s="219" t="n"/>
      <c r="V3584" s="219" t="n"/>
      <c r="W3584" s="219" t="n"/>
    </row>
    <row r="3585">
      <c r="A3585" s="128" t="n"/>
      <c r="B3585" s="246" t="n"/>
      <c r="C3585" s="219" t="n"/>
      <c r="D3585" s="219" t="n"/>
      <c r="E3585" s="219" t="n"/>
      <c r="F3585" s="219" t="n"/>
      <c r="G3585" s="219" t="n"/>
      <c r="H3585" s="219" t="n"/>
      <c r="I3585" s="219" t="n"/>
      <c r="J3585" s="219" t="n"/>
      <c r="K3585" s="219" t="n"/>
      <c r="L3585" s="219" t="n"/>
      <c r="M3585" s="219" t="n"/>
      <c r="O3585" s="219" t="n"/>
      <c r="P3585" s="219" t="n"/>
      <c r="Q3585" s="219" t="n"/>
      <c r="R3585" s="219" t="n"/>
      <c r="S3585" s="219" t="n"/>
      <c r="T3585" s="219" t="n"/>
      <c r="U3585" s="219" t="n"/>
      <c r="V3585" s="219" t="n"/>
      <c r="W3585" s="219" t="n"/>
    </row>
    <row r="3586">
      <c r="A3586" s="128" t="n"/>
      <c r="B3586" s="171" t="inlineStr">
        <is>
          <t>PANTALONES VESTIR</t>
        </is>
      </c>
      <c r="C3586" s="71" t="inlineStr">
        <is>
          <t>40-48</t>
        </is>
      </c>
      <c r="D3586" s="71" t="inlineStr">
        <is>
          <t>50-54</t>
        </is>
      </c>
      <c r="E3586" s="71" t="inlineStr">
        <is>
          <t>56-60</t>
        </is>
      </c>
      <c r="F3586" s="71" t="inlineStr">
        <is>
          <t>62-66</t>
        </is>
      </c>
      <c r="G3586" s="71" t="inlineStr">
        <is>
          <t>68-70</t>
        </is>
      </c>
      <c r="H3586" s="128" t="inlineStr">
        <is>
          <t>03/24</t>
        </is>
      </c>
      <c r="I3586" s="219" t="n"/>
      <c r="J3586" s="219" t="n"/>
      <c r="K3586" s="219" t="n"/>
      <c r="L3586" s="219" t="n"/>
      <c r="M3586" s="219" t="n"/>
      <c r="O3586" s="219" t="n"/>
      <c r="P3586" s="219" t="n"/>
      <c r="Q3586" s="219" t="n"/>
      <c r="R3586" s="219" t="n"/>
      <c r="S3586" s="219" t="n"/>
      <c r="T3586" s="219" t="n"/>
      <c r="U3586" s="219" t="n"/>
      <c r="V3586" s="219" t="n"/>
      <c r="W3586" s="219" t="n"/>
    </row>
    <row r="3587">
      <c r="A3587" s="128" t="inlineStr">
        <is>
          <t>AER175</t>
        </is>
      </c>
      <c r="B3587" s="131" t="inlineStr">
        <is>
          <t>AERO GABARDINA PINZADO</t>
        </is>
      </c>
      <c r="C3587" s="88" t="n">
        <v>48500</v>
      </c>
      <c r="D3587" s="88">
        <f>ROUND((C3587*1.07)/100,0)*100</f>
        <v/>
      </c>
      <c r="E3587" s="88">
        <f>ROUND((C3587*1.15)/100,0)*100</f>
        <v/>
      </c>
      <c r="F3587" s="88">
        <f>ROUND((C3587*1.15)/100,0)*100</f>
        <v/>
      </c>
      <c r="G3587" s="22" t="n"/>
      <c r="H3587" s="219" t="n"/>
      <c r="I3587" s="219" t="n"/>
      <c r="J3587" s="219" t="n"/>
      <c r="K3587" s="219">
        <f>ROUND((N3587*C3587)/100,0)*100</f>
        <v/>
      </c>
      <c r="L3587" s="219" t="n"/>
      <c r="M3587" s="219" t="n"/>
      <c r="N3587" s="118" t="n">
        <v>1.4</v>
      </c>
      <c r="P3587" s="117" t="n"/>
      <c r="R3587" s="117" t="n"/>
      <c r="T3587" s="117" t="n"/>
    </row>
    <row r="3588">
      <c r="A3588" s="128" t="inlineStr">
        <is>
          <t>330714</t>
        </is>
      </c>
      <c r="B3588" s="131" t="n"/>
      <c r="C3588" s="88" t="n">
        <v>53600</v>
      </c>
      <c r="D3588" s="88">
        <f>ROUND((C3588*1.07)/100,0)*100</f>
        <v/>
      </c>
      <c r="E3588" s="88">
        <f>ROUND((C3588*1.15)/100,0)*100</f>
        <v/>
      </c>
      <c r="F3588" s="88">
        <f>ROUND((C3588*1.15)/100,0)*100</f>
        <v/>
      </c>
      <c r="G3588" s="22" t="n"/>
      <c r="H3588" s="219" t="n"/>
      <c r="I3588" s="219" t="n"/>
      <c r="J3588" s="219" t="n"/>
      <c r="K3588" s="219">
        <f>ROUND((N3588*C3588)/100,0)*100</f>
        <v/>
      </c>
      <c r="L3588" s="219" t="n"/>
      <c r="M3588" s="219" t="n"/>
      <c r="N3588" s="118" t="n">
        <v>1.4</v>
      </c>
      <c r="P3588" s="117" t="n"/>
      <c r="R3588" s="117" t="n"/>
      <c r="T3588" s="117" t="n"/>
    </row>
    <row r="3589">
      <c r="A3589" s="128" t="inlineStr">
        <is>
          <t>330772</t>
        </is>
      </c>
      <c r="B3589" s="131" t="inlineStr">
        <is>
          <t>JEAN CARTIER GAB PESADA</t>
        </is>
      </c>
      <c r="C3589" s="88" t="n">
        <v>53600</v>
      </c>
      <c r="D3589" s="88">
        <f>ROUND((C3589*1.07)/100,0)*100</f>
        <v/>
      </c>
      <c r="E3589" s="88">
        <f>ROUND((C3589*1.15)/100,0)*100</f>
        <v/>
      </c>
      <c r="F3589" s="88">
        <f>ROUND((C3589*1.15)/100,0)*100</f>
        <v/>
      </c>
      <c r="G3589" s="22" t="n"/>
      <c r="H3589" s="219" t="n"/>
      <c r="I3589" s="219" t="n"/>
      <c r="J3589" s="219" t="n"/>
      <c r="K3589" s="219">
        <f>ROUND((N3589*C3589)/100,0)*100</f>
        <v/>
      </c>
      <c r="L3589" s="219" t="n"/>
      <c r="M3589" s="219" t="n"/>
      <c r="N3589" s="118" t="n">
        <v>1.4</v>
      </c>
      <c r="P3589" s="117" t="n"/>
      <c r="R3589" s="117" t="n"/>
      <c r="T3589" s="117" t="n"/>
    </row>
    <row r="3590">
      <c r="A3590" s="128" t="inlineStr">
        <is>
          <t>416761</t>
        </is>
      </c>
      <c r="B3590" s="131" t="n"/>
      <c r="C3590" s="88" t="n">
        <v>53600</v>
      </c>
      <c r="D3590" s="88">
        <f>ROUND((C3590*1.07)/100,0)*100</f>
        <v/>
      </c>
      <c r="E3590" s="88">
        <f>ROUND((C3590*1.15)/100,0)*100</f>
        <v/>
      </c>
      <c r="F3590" s="88">
        <f>ROUND((C3590*1.15)/100,0)*100</f>
        <v/>
      </c>
      <c r="G3590" s="22" t="n"/>
      <c r="H3590" s="219" t="n"/>
      <c r="I3590" s="219" t="n"/>
      <c r="J3590" s="219" t="n"/>
      <c r="K3590" s="219">
        <f>ROUND((N3590*C3590)/100,0)*100</f>
        <v/>
      </c>
      <c r="L3590" s="219" t="n"/>
      <c r="M3590" s="219" t="n"/>
      <c r="N3590" s="118" t="n">
        <v>1.4</v>
      </c>
      <c r="P3590" s="117" t="n"/>
      <c r="R3590" s="117" t="n"/>
      <c r="T3590" s="117" t="n"/>
    </row>
    <row r="3591">
      <c r="A3591" s="128" t="inlineStr">
        <is>
          <t>425</t>
        </is>
      </c>
      <c r="B3591" s="131" t="inlineStr">
        <is>
          <t>JEAN CARTIER - ALPACA RAYAS</t>
        </is>
      </c>
      <c r="C3591" s="88" t="n">
        <v>53600</v>
      </c>
      <c r="D3591" s="88">
        <f>ROUND((C3591*1.07)/100,0)*100</f>
        <v/>
      </c>
      <c r="E3591" s="88">
        <f>ROUND((C3591*1.15)/100,0)*100</f>
        <v/>
      </c>
      <c r="F3591" s="88">
        <f>ROUND((C3591*1.15)/100,0)*100</f>
        <v/>
      </c>
      <c r="G3591" s="22" t="n"/>
      <c r="H3591" s="219" t="n"/>
      <c r="I3591" s="219" t="n"/>
      <c r="J3591" s="219" t="n"/>
      <c r="K3591" s="219">
        <f>ROUND((N3591*C3591)/100,0)*100</f>
        <v/>
      </c>
      <c r="L3591" s="219" t="n"/>
      <c r="M3591" s="219" t="n"/>
      <c r="N3591" s="118" t="n">
        <v>1.4</v>
      </c>
      <c r="P3591" s="117" t="n"/>
      <c r="R3591" s="117" t="n"/>
      <c r="T3591" s="117" t="n"/>
    </row>
    <row r="3592">
      <c r="A3592" s="134" t="inlineStr">
        <is>
          <t>53352/53353</t>
        </is>
      </c>
      <c r="B3592" s="246" t="inlineStr">
        <is>
          <t>JEAN CARTIER SARGA</t>
        </is>
      </c>
      <c r="C3592" s="88" t="n">
        <v>53600</v>
      </c>
      <c r="D3592" s="88">
        <f>ROUND((C3592*1.07)/100,0)*100</f>
        <v/>
      </c>
      <c r="E3592" s="88">
        <f>ROUND((C3592*1.15)/100,0)*100</f>
        <v/>
      </c>
      <c r="F3592" s="88">
        <f>ROUND((C3592*1.15)/100,0)*100</f>
        <v/>
      </c>
      <c r="G3592" s="22" t="n"/>
      <c r="H3592" s="219" t="n"/>
      <c r="I3592" s="219" t="n"/>
      <c r="J3592" s="219" t="n"/>
      <c r="K3592" s="219">
        <f>ROUND((N3592*C3592)/100,0)*100</f>
        <v/>
      </c>
      <c r="L3592" s="219" t="n"/>
      <c r="M3592" s="219" t="n"/>
      <c r="N3592" s="118" t="n">
        <v>1.4</v>
      </c>
      <c r="P3592" s="117" t="n"/>
      <c r="R3592" s="117" t="n"/>
      <c r="T3592" s="117" t="n"/>
    </row>
    <row r="3593">
      <c r="A3593" s="134" t="inlineStr">
        <is>
          <t>53420</t>
        </is>
      </c>
      <c r="B3593" s="246" t="n"/>
      <c r="C3593" s="88" t="n">
        <v>53600</v>
      </c>
      <c r="D3593" s="88">
        <f>ROUND((C3593*1.07)/100,0)*100</f>
        <v/>
      </c>
      <c r="E3593" s="88">
        <f>ROUND((C3593*1.15)/100,0)*100</f>
        <v/>
      </c>
      <c r="F3593" s="88">
        <f>ROUND((C3593*1.15)/100,0)*100</f>
        <v/>
      </c>
      <c r="G3593" s="22" t="n"/>
      <c r="H3593" s="219" t="n"/>
      <c r="I3593" s="219" t="n"/>
      <c r="J3593" s="219" t="n"/>
      <c r="K3593" s="219">
        <f>ROUND((N3593*C3593)/100,0)*100</f>
        <v/>
      </c>
      <c r="L3593" s="219" t="n"/>
      <c r="M3593" s="219" t="n"/>
      <c r="N3593" s="118" t="n">
        <v>1.4</v>
      </c>
      <c r="P3593" s="117" t="n"/>
      <c r="R3593" s="117" t="n"/>
      <c r="T3593" s="117" t="n"/>
    </row>
    <row r="3594">
      <c r="A3594" s="128" t="inlineStr">
        <is>
          <t>57242</t>
        </is>
      </c>
      <c r="B3594" s="246" t="inlineStr">
        <is>
          <t>JEAN CARTIER - ALPACA</t>
        </is>
      </c>
      <c r="C3594" s="88" t="n">
        <v>53600</v>
      </c>
      <c r="D3594" s="88">
        <f>ROUND((C3594*1.07)/100,0)*100</f>
        <v/>
      </c>
      <c r="E3594" s="88">
        <f>ROUND((C3594*1.15)/100,0)*100</f>
        <v/>
      </c>
      <c r="F3594" s="88">
        <f>ROUND((C3594*1.15)/100,0)*100</f>
        <v/>
      </c>
      <c r="G3594" s="220" t="n"/>
      <c r="H3594" s="219" t="n"/>
      <c r="I3594" s="219" t="n"/>
      <c r="J3594" s="219" t="n"/>
      <c r="K3594" s="219">
        <f>ROUND((N3594*C3594)/100,0)*100</f>
        <v/>
      </c>
      <c r="L3594" s="219" t="n"/>
      <c r="M3594" s="219" t="n"/>
      <c r="N3594" s="118" t="n">
        <v>1.4</v>
      </c>
      <c r="P3594" s="117" t="n"/>
      <c r="R3594" s="117" t="n"/>
      <c r="T3594" s="117" t="n"/>
    </row>
    <row r="3595">
      <c r="A3595" s="128" t="inlineStr">
        <is>
          <t>57243</t>
        </is>
      </c>
      <c r="B3595" s="246" t="inlineStr">
        <is>
          <t>JEAN C. ALPACA SEMICHUPIN</t>
        </is>
      </c>
      <c r="C3595" s="88" t="n">
        <v>53600</v>
      </c>
      <c r="D3595" s="88">
        <f>ROUND((C3595*1.07)/100,0)*100</f>
        <v/>
      </c>
      <c r="E3595" s="88">
        <f>ROUND((C3595*1.15)/100,0)*100</f>
        <v/>
      </c>
      <c r="F3595" s="88">
        <f>ROUND((C3595*1.15)/100,0)*100</f>
        <v/>
      </c>
      <c r="G3595" s="220" t="n"/>
      <c r="H3595" s="219" t="n"/>
      <c r="I3595" s="219" t="n"/>
      <c r="J3595" s="219" t="n"/>
      <c r="K3595" s="219">
        <f>ROUND((N3595*C3595)/100,0)*100</f>
        <v/>
      </c>
      <c r="L3595" s="219" t="n"/>
      <c r="M3595" s="219" t="n"/>
      <c r="N3595" s="118" t="n">
        <v>1.4</v>
      </c>
      <c r="P3595" s="117" t="n"/>
      <c r="R3595" s="117" t="n"/>
      <c r="T3595" s="117" t="n"/>
    </row>
    <row r="3596">
      <c r="A3596" s="128" t="inlineStr">
        <is>
          <t>58702</t>
        </is>
      </c>
      <c r="B3596" s="131" t="n"/>
      <c r="C3596" s="88" t="n">
        <v>53600</v>
      </c>
      <c r="D3596" s="88">
        <f>ROUND((C3596*1.07)/100,0)*100</f>
        <v/>
      </c>
      <c r="E3596" s="88">
        <f>ROUND((C3596*1.15)/100,0)*100</f>
        <v/>
      </c>
      <c r="F3596" s="88">
        <f>ROUND((C3596*1.15)/100,0)*100</f>
        <v/>
      </c>
      <c r="G3596" s="22" t="n"/>
      <c r="H3596" s="219" t="n"/>
      <c r="I3596" s="219" t="n"/>
      <c r="J3596" s="219" t="n"/>
      <c r="K3596" s="219">
        <f>ROUND((N3596*C3596)/100,0)*100</f>
        <v/>
      </c>
      <c r="L3596" s="219" t="n"/>
      <c r="M3596" s="219" t="n"/>
      <c r="N3596" s="118" t="n">
        <v>1.4</v>
      </c>
      <c r="P3596" s="117" t="n"/>
      <c r="R3596" s="117" t="n"/>
      <c r="T3596" s="117" t="n"/>
    </row>
    <row r="3597">
      <c r="A3597" s="128" t="inlineStr">
        <is>
          <t>59303</t>
        </is>
      </c>
      <c r="B3597" s="188" t="inlineStr">
        <is>
          <t>JEAN CARTIER CORDEROY</t>
        </is>
      </c>
      <c r="C3597" s="88" t="n">
        <v>66000</v>
      </c>
      <c r="D3597" s="88">
        <f>ROUND((C3597*1.07)/100,0)*100</f>
        <v/>
      </c>
      <c r="E3597" s="88">
        <f>ROUND((C3597*1.15)/100,0)*100</f>
        <v/>
      </c>
      <c r="F3597" s="88">
        <f>ROUND((C3597*1.15)/100,0)*100</f>
        <v/>
      </c>
      <c r="G3597" s="22" t="n"/>
      <c r="H3597" s="219" t="n"/>
      <c r="I3597" s="219" t="n"/>
      <c r="J3597" s="219" t="n"/>
      <c r="K3597" s="219">
        <f>ROUND((N3597*C3597)/100,0)*100</f>
        <v/>
      </c>
      <c r="L3597" s="219" t="n"/>
      <c r="M3597" s="219" t="n"/>
      <c r="N3597" s="118" t="n">
        <v>1.4</v>
      </c>
      <c r="P3597" s="117" t="n"/>
      <c r="R3597" s="117" t="n"/>
      <c r="T3597" s="117" t="n"/>
    </row>
    <row r="3598">
      <c r="A3598" s="128" t="inlineStr">
        <is>
          <t>66271/66392</t>
        </is>
      </c>
      <c r="B3598" s="62" t="inlineStr">
        <is>
          <t>JEAN CARTIER - SUPER 100</t>
        </is>
      </c>
      <c r="C3598" s="88" t="n">
        <v>49400</v>
      </c>
      <c r="D3598" s="88">
        <f>ROUND((C3598*1.07)/100,0)*100</f>
        <v/>
      </c>
      <c r="E3598" s="88">
        <f>ROUND((C3598*1.15)/100,0)*100</f>
        <v/>
      </c>
      <c r="F3598" s="88">
        <f>ROUND((C3598*1.15)/100,0)*100</f>
        <v/>
      </c>
      <c r="G3598" s="22" t="n"/>
      <c r="H3598" s="219" t="n"/>
      <c r="I3598" s="219" t="n"/>
      <c r="J3598" s="219" t="n"/>
      <c r="K3598" s="219">
        <f>ROUND((N3598*C3598)/100,0)*100</f>
        <v/>
      </c>
      <c r="L3598" s="219" t="n"/>
      <c r="M3598" s="219" t="n"/>
      <c r="N3598" s="118" t="n">
        <v>1.4</v>
      </c>
      <c r="P3598" s="117" t="n"/>
      <c r="R3598" s="117" t="n"/>
      <c r="T3598" s="117" t="n"/>
    </row>
    <row r="3599">
      <c r="A3599" s="128" t="inlineStr">
        <is>
          <t>1770</t>
        </is>
      </c>
      <c r="B3599" s="188" t="inlineStr">
        <is>
          <t>JOAN DE LA CREU GABARDINA</t>
        </is>
      </c>
      <c r="C3599" s="88" t="n">
        <v>49400</v>
      </c>
      <c r="D3599" s="88">
        <f>ROUND((C3599*1.07)/100,0)*100</f>
        <v/>
      </c>
      <c r="E3599" s="88">
        <f>ROUND((C3599*1.15)/100,0)*100</f>
        <v/>
      </c>
      <c r="F3599" s="88">
        <f>ROUND((C3599*1.15)/100,0)*100</f>
        <v/>
      </c>
      <c r="G3599" s="22" t="n"/>
      <c r="H3599" s="219" t="n"/>
      <c r="I3599" s="219" t="n"/>
      <c r="J3599" s="219" t="n"/>
      <c r="K3599" s="219">
        <f>ROUND((N3599*C3599)/100,0)*100</f>
        <v/>
      </c>
      <c r="L3599" s="219" t="n"/>
      <c r="M3599" s="219" t="n"/>
      <c r="N3599" s="118" t="n">
        <v>1.4</v>
      </c>
      <c r="P3599" s="117" t="n"/>
      <c r="R3599" s="117" t="n"/>
      <c r="T3599" s="117" t="n"/>
    </row>
    <row r="3600">
      <c r="A3600" s="128" t="inlineStr">
        <is>
          <t>55</t>
        </is>
      </c>
      <c r="B3600" s="188" t="inlineStr">
        <is>
          <t>JOAN DE LA CREU</t>
        </is>
      </c>
      <c r="C3600" s="88" t="n">
        <v>49400</v>
      </c>
      <c r="D3600" s="88">
        <f>ROUND((C3600*1.07)/100,0)*100</f>
        <v/>
      </c>
      <c r="E3600" s="88">
        <f>ROUND((C3600*1.15)/100,0)*100</f>
        <v/>
      </c>
      <c r="F3600" s="88">
        <f>ROUND((C3600*1.15)/100,0)*100</f>
        <v/>
      </c>
      <c r="G3600" s="22" t="n"/>
      <c r="H3600" s="219" t="n"/>
      <c r="I3600" s="219" t="n"/>
      <c r="J3600" s="219" t="n"/>
      <c r="K3600" s="219">
        <f>ROUND((N3600*C3600)/100,0)*100</f>
        <v/>
      </c>
      <c r="L3600" s="219" t="n"/>
      <c r="M3600" s="219" t="n"/>
      <c r="N3600" s="118" t="n">
        <v>1.4</v>
      </c>
      <c r="P3600" s="117" t="n"/>
      <c r="R3600" s="117" t="n"/>
      <c r="T3600" s="117" t="n"/>
    </row>
    <row r="3601">
      <c r="A3601" s="128" t="inlineStr">
        <is>
          <t>aer002</t>
        </is>
      </c>
      <c r="B3601" s="188" t="inlineStr">
        <is>
          <t>AERO ALPACA/GABARDINA</t>
        </is>
      </c>
      <c r="C3601" s="88" t="n">
        <v>49500</v>
      </c>
      <c r="D3601" s="88">
        <f>ROUND((C3601*1.07)/100,0)*100</f>
        <v/>
      </c>
      <c r="E3601" s="88">
        <f>ROUND((C3601*1.15)/100,0)*100</f>
        <v/>
      </c>
      <c r="F3601" s="88">
        <f>ROUND((C3601*1.15)/100,0)*100</f>
        <v/>
      </c>
      <c r="G3601" s="88" t="n"/>
      <c r="H3601" s="219" t="n"/>
      <c r="I3601" s="219" t="n"/>
      <c r="J3601" s="219" t="n"/>
      <c r="K3601" s="219">
        <f>ROUND((N3601*C3601)/100,0)*100</f>
        <v/>
      </c>
      <c r="L3601" s="219" t="n"/>
      <c r="M3601" s="219" t="n"/>
      <c r="N3601" s="118" t="n">
        <v>1.4</v>
      </c>
      <c r="P3601" s="117" t="n"/>
      <c r="R3601" s="117" t="n"/>
      <c r="T3601" s="117" t="n"/>
    </row>
    <row r="3602">
      <c r="A3602" s="128" t="inlineStr">
        <is>
          <t>175</t>
        </is>
      </c>
      <c r="B3602" s="188" t="inlineStr">
        <is>
          <t>AERO GABARDINA PINZADO</t>
        </is>
      </c>
      <c r="C3602" s="88" t="n">
        <v>49400</v>
      </c>
      <c r="D3602" s="88">
        <f>ROUND((C3602*1.07)/100,0)*100</f>
        <v/>
      </c>
      <c r="E3602" s="88">
        <f>ROUND((C3602*1.15)/100,0)*100</f>
        <v/>
      </c>
      <c r="F3602" s="88">
        <f>ROUND((C3602*1.15)/100,0)*100</f>
        <v/>
      </c>
      <c r="G3602" s="88" t="n"/>
      <c r="H3602" s="219" t="n"/>
      <c r="I3602" s="219" t="n"/>
      <c r="J3602" s="219" t="n"/>
      <c r="K3602" s="219">
        <f>ROUND((N3602*C3602)/100,0)*100</f>
        <v/>
      </c>
      <c r="L3602" s="219" t="n"/>
      <c r="M3602" s="219" t="n"/>
      <c r="N3602" s="118" t="n">
        <v>1.4</v>
      </c>
      <c r="P3602" s="117" t="n"/>
      <c r="R3602" s="117" t="n"/>
      <c r="T3602" s="117" t="n"/>
    </row>
    <row r="3603">
      <c r="A3603" s="128" t="inlineStr">
        <is>
          <t>252</t>
        </is>
      </c>
      <c r="B3603" s="188" t="inlineStr">
        <is>
          <t>AERO GABARDINA AZUL</t>
        </is>
      </c>
      <c r="C3603" s="88" t="n">
        <v>49400</v>
      </c>
      <c r="D3603" s="88">
        <f>ROUND((C3603*1.07)/100,0)*100</f>
        <v/>
      </c>
      <c r="E3603" s="88">
        <f>ROUND((C3603*1.15)/100,0)*100</f>
        <v/>
      </c>
      <c r="F3603" s="88">
        <f>ROUND((C3603*1.15)/100,0)*100</f>
        <v/>
      </c>
      <c r="G3603" s="22" t="n"/>
      <c r="H3603" s="219" t="n"/>
      <c r="I3603" s="219" t="n"/>
      <c r="J3603" s="219" t="n"/>
      <c r="K3603" s="219">
        <f>ROUND((N3603*C3603)/100,0)*100</f>
        <v/>
      </c>
      <c r="L3603" s="219" t="n"/>
      <c r="M3603" s="219" t="n"/>
      <c r="N3603" s="118" t="n">
        <v>1.4</v>
      </c>
      <c r="P3603" s="117" t="n"/>
      <c r="R3603" s="117" t="n"/>
      <c r="T3603" s="117" t="n"/>
    </row>
    <row r="3604">
      <c r="A3604" s="128" t="inlineStr">
        <is>
          <t>1250</t>
        </is>
      </c>
      <c r="B3604" s="188" t="inlineStr">
        <is>
          <t>GI TROPICAL/MESSAGI</t>
        </is>
      </c>
      <c r="C3604" s="88" t="n">
        <v>43500</v>
      </c>
      <c r="D3604" s="88">
        <f>ROUND((C3604*1.07)/100,0)*100</f>
        <v/>
      </c>
      <c r="E3604" s="88">
        <f>ROUND((C3604*1.15)/100,0)*100</f>
        <v/>
      </c>
      <c r="F3604" s="88">
        <f>ROUND((C3604*1.15)/100,0)*100</f>
        <v/>
      </c>
      <c r="G3604" s="22" t="n"/>
      <c r="H3604" s="219" t="n"/>
      <c r="I3604" s="219" t="n"/>
      <c r="J3604" s="219" t="n"/>
      <c r="K3604" s="219">
        <f>ROUND((N3604*C3604)/100,0)*100</f>
        <v/>
      </c>
      <c r="L3604" s="219" t="n"/>
      <c r="M3604" s="219" t="n"/>
      <c r="N3604" s="118" t="n">
        <v>1.4</v>
      </c>
      <c r="P3604" s="117" t="n"/>
      <c r="R3604" s="117" t="n"/>
      <c r="T3604" s="117" t="n"/>
    </row>
    <row r="3605">
      <c r="A3605" s="128" t="inlineStr">
        <is>
          <t>1251</t>
        </is>
      </c>
      <c r="B3605" s="188" t="inlineStr">
        <is>
          <t>CORDEROY</t>
        </is>
      </c>
      <c r="C3605" s="88" t="n">
        <v>69400</v>
      </c>
      <c r="D3605" s="88">
        <f>ROUND((C3605*1.07)/100,0)*100</f>
        <v/>
      </c>
      <c r="E3605" s="88">
        <f>ROUND((C3605*1.15)/100,0)*100</f>
        <v/>
      </c>
      <c r="F3605" s="88">
        <f>ROUND((C3605*1.15)/100,0)*100</f>
        <v/>
      </c>
      <c r="G3605" s="22" t="n"/>
      <c r="H3605" s="219" t="n"/>
      <c r="I3605" s="219" t="n"/>
      <c r="J3605" s="219" t="n"/>
      <c r="K3605" s="219">
        <f>ROUND((N3605*C3605)/100,0)*100</f>
        <v/>
      </c>
      <c r="L3605" s="219" t="n"/>
      <c r="M3605" s="219" t="n"/>
      <c r="N3605" s="118" t="n">
        <v>1.4</v>
      </c>
      <c r="P3605" s="117" t="n"/>
      <c r="R3605" s="117" t="n"/>
      <c r="T3605" s="117" t="n"/>
    </row>
    <row r="3606">
      <c r="A3606" s="128" t="inlineStr">
        <is>
          <t>1252</t>
        </is>
      </c>
      <c r="B3606" s="188" t="inlineStr">
        <is>
          <t>ALEX</t>
        </is>
      </c>
      <c r="C3606" s="88" t="n">
        <v>43500</v>
      </c>
      <c r="D3606" s="88">
        <f>ROUND((C3606*1.07)/100,0)*100</f>
        <v/>
      </c>
      <c r="E3606" s="88">
        <f>ROUND((C3606*1.15)/100,0)*100</f>
        <v/>
      </c>
      <c r="F3606" s="88">
        <f>ROUND((C3606*1.15)/100,0)*100</f>
        <v/>
      </c>
      <c r="G3606" s="22" t="n"/>
      <c r="H3606" s="219" t="n"/>
      <c r="I3606" s="219" t="n"/>
      <c r="J3606" s="219" t="n"/>
      <c r="K3606" s="219">
        <f>ROUND((N3606*C3606)/100,0)*100</f>
        <v/>
      </c>
      <c r="L3606" s="219" t="n"/>
      <c r="M3606" s="219" t="n"/>
      <c r="N3606" s="118" t="n">
        <v>1.4</v>
      </c>
      <c r="P3606" s="117" t="n"/>
      <c r="R3606" s="117" t="n"/>
      <c r="T3606" s="117" t="n"/>
    </row>
    <row r="3607">
      <c r="A3607" s="128" t="inlineStr">
        <is>
          <t>1253</t>
        </is>
      </c>
      <c r="B3607" s="188" t="inlineStr">
        <is>
          <t>MELANGE S/MARCA VERDE/GRIS/AZUL</t>
        </is>
      </c>
      <c r="C3607" s="88" t="n">
        <v>45300</v>
      </c>
      <c r="D3607" s="88">
        <f>ROUND((C3607*1.07)/100,0)*100</f>
        <v/>
      </c>
      <c r="E3607" s="88">
        <f>ROUND((C3607*1.15)/100,0)*100</f>
        <v/>
      </c>
      <c r="F3607" s="88">
        <f>ROUND((C3607*1.15)/100,0)*100</f>
        <v/>
      </c>
      <c r="G3607" s="22" t="n"/>
      <c r="H3607" s="219" t="n"/>
      <c r="I3607" s="219" t="n"/>
      <c r="J3607" s="219" t="n"/>
      <c r="K3607" s="219">
        <f>ROUND((N3607*C3607)/100,0)*100</f>
        <v/>
      </c>
      <c r="L3607" s="219" t="n"/>
      <c r="M3607" s="219" t="n"/>
      <c r="N3607" s="118" t="n">
        <v>1.4</v>
      </c>
      <c r="P3607" s="117" t="n"/>
      <c r="R3607" s="117" t="n"/>
      <c r="T3607" s="117" t="n"/>
    </row>
    <row r="3608">
      <c r="A3608" s="128" t="inlineStr">
        <is>
          <t>1254</t>
        </is>
      </c>
      <c r="B3608" s="188" t="inlineStr">
        <is>
          <t>CAS/MEHIRI/GEO/HAZAN</t>
        </is>
      </c>
      <c r="C3608" s="88" t="n">
        <v>49400</v>
      </c>
      <c r="D3608" s="88">
        <f>ROUND((C3608*1.07)/100,0)*100</f>
        <v/>
      </c>
      <c r="E3608" s="88">
        <f>ROUND((C3608*1.15)/100,0)*100</f>
        <v/>
      </c>
      <c r="F3608" s="88">
        <f>ROUND((C3608*1.15)/100,0)*100</f>
        <v/>
      </c>
      <c r="G3608" s="22" t="n"/>
      <c r="H3608" s="219" t="n"/>
      <c r="I3608" s="219" t="n"/>
      <c r="J3608" s="219" t="n"/>
      <c r="K3608" s="219">
        <f>ROUND((N3608*C3608)/100,0)*100</f>
        <v/>
      </c>
      <c r="L3608" s="219" t="n"/>
      <c r="M3608" s="219" t="n"/>
      <c r="N3608" s="118" t="n">
        <v>1.4</v>
      </c>
      <c r="P3608" s="117" t="n"/>
      <c r="R3608" s="117" t="n"/>
      <c r="T3608" s="117" t="n"/>
    </row>
    <row r="3609">
      <c r="A3609" s="128" t="inlineStr">
        <is>
          <t>1260</t>
        </is>
      </c>
      <c r="B3609" s="188" t="inlineStr">
        <is>
          <t>GEO CORDEROY PINZADO</t>
        </is>
      </c>
      <c r="C3609" s="88" t="n">
        <v>53400</v>
      </c>
      <c r="D3609" s="88">
        <f>ROUND((C3609*1.07)/100,0)*100</f>
        <v/>
      </c>
      <c r="E3609" s="88">
        <f>ROUND((C3609*1.15)/100,0)*100</f>
        <v/>
      </c>
      <c r="F3609" s="88">
        <f>ROUND((C3609*1.15)/100,0)*100</f>
        <v/>
      </c>
      <c r="G3609" s="22" t="n"/>
      <c r="H3609" s="219" t="n"/>
      <c r="I3609" s="219" t="n"/>
      <c r="J3609" s="219" t="n"/>
      <c r="K3609" s="219">
        <f>ROUND((N3609*C3609)/100,0)*100</f>
        <v/>
      </c>
      <c r="L3609" s="219" t="n"/>
      <c r="M3609" s="219" t="n"/>
      <c r="N3609" s="118" t="n">
        <v>1.4</v>
      </c>
      <c r="P3609" s="117" t="n"/>
      <c r="R3609" s="117" t="n"/>
      <c r="T3609" s="117" t="n"/>
    </row>
    <row r="3610">
      <c r="A3610" s="128" t="inlineStr">
        <is>
          <t>1261</t>
        </is>
      </c>
      <c r="B3610" s="188" t="inlineStr">
        <is>
          <t>JEAN CARTIER CORDEROY</t>
        </is>
      </c>
      <c r="C3610" s="88" t="n">
        <v>53400</v>
      </c>
      <c r="D3610" s="88">
        <f>ROUND((C3610*1.07)/100,0)*100</f>
        <v/>
      </c>
      <c r="E3610" s="88">
        <f>ROUND((C3610*1.15)/100,0)*100</f>
        <v/>
      </c>
      <c r="F3610" s="88">
        <f>ROUND((C3610*1.15)/100,0)*100</f>
        <v/>
      </c>
      <c r="G3610" s="22" t="n"/>
      <c r="H3610" s="219" t="n"/>
      <c r="I3610" s="219" t="n"/>
      <c r="J3610" s="219" t="n"/>
      <c r="K3610" s="219">
        <f>ROUND((N3610*C3610)/100,0)*100</f>
        <v/>
      </c>
      <c r="L3610" s="219" t="n"/>
      <c r="M3610" s="219" t="n"/>
      <c r="N3610" s="118" t="n">
        <v>1.4</v>
      </c>
      <c r="P3610" s="117" t="n"/>
      <c r="R3610" s="117" t="n"/>
      <c r="T3610" s="117" t="n"/>
    </row>
    <row r="3611">
      <c r="A3611" s="128" t="inlineStr">
        <is>
          <t>1262</t>
        </is>
      </c>
      <c r="B3611" s="188" t="inlineStr">
        <is>
          <t>E26 CORDEROY</t>
        </is>
      </c>
      <c r="C3611" s="88" t="n">
        <v>53400</v>
      </c>
      <c r="D3611" s="88">
        <f>ROUND((C3611*1.07)/100,0)*100</f>
        <v/>
      </c>
      <c r="E3611" s="88">
        <f>ROUND((C3611*1.15)/100,0)*100</f>
        <v/>
      </c>
      <c r="F3611" s="88">
        <f>ROUND((C3611*1.15)/100,0)*100</f>
        <v/>
      </c>
      <c r="G3611" s="22" t="n"/>
      <c r="H3611" s="219" t="n"/>
      <c r="I3611" s="219" t="n"/>
      <c r="J3611" s="219" t="n"/>
      <c r="K3611" s="219">
        <f>ROUND((N3611*C3611)/100,0)*100</f>
        <v/>
      </c>
      <c r="L3611" s="219" t="n"/>
      <c r="M3611" s="219" t="n"/>
      <c r="N3611" s="118" t="n">
        <v>1.4</v>
      </c>
      <c r="P3611" s="117" t="n"/>
      <c r="R3611" s="117" t="n"/>
      <c r="T3611" s="117" t="n"/>
    </row>
    <row r="3612">
      <c r="A3612" s="128" t="inlineStr">
        <is>
          <t>12621</t>
        </is>
      </c>
      <c r="B3612" s="188" t="inlineStr">
        <is>
          <t>VESTIR IMPORTADO</t>
        </is>
      </c>
      <c r="C3612" s="88" t="n">
        <v>69000</v>
      </c>
      <c r="D3612" s="88">
        <f>ROUND((C3612*1.07)/100,0)*100</f>
        <v/>
      </c>
      <c r="E3612" s="88">
        <f>ROUND((C3612*1.15)/100,0)*100</f>
        <v/>
      </c>
      <c r="F3612" s="88">
        <f>ROUND((C3612*1.15)/100,0)*100</f>
        <v/>
      </c>
      <c r="G3612" s="22" t="n"/>
      <c r="H3612" s="219" t="n"/>
      <c r="I3612" s="219" t="n"/>
      <c r="J3612" s="219" t="n"/>
      <c r="K3612" s="219">
        <f>ROUND((N3612*C3612)/100,0)*100</f>
        <v/>
      </c>
      <c r="L3612" s="219" t="n"/>
      <c r="M3612" s="219" t="n"/>
      <c r="N3612" s="118" t="n">
        <v>1.4</v>
      </c>
      <c r="P3612" s="117" t="n"/>
      <c r="R3612" s="117" t="n"/>
      <c r="T3612" s="117" t="n"/>
    </row>
    <row r="3613">
      <c r="A3613" s="128" t="inlineStr">
        <is>
          <t>404</t>
        </is>
      </c>
      <c r="B3613" s="188" t="inlineStr">
        <is>
          <t>VIA ITALIANI</t>
        </is>
      </c>
      <c r="C3613" s="88" t="n">
        <v>51800</v>
      </c>
      <c r="D3613" s="88">
        <f>ROUND((C3613*1.07)/100,0)*100</f>
        <v/>
      </c>
      <c r="E3613" s="88">
        <f>ROUND((C3613*1.15)/100,0)*100</f>
        <v/>
      </c>
      <c r="F3613" s="88">
        <f>ROUND((C3613*1.15)/100,0)*100</f>
        <v/>
      </c>
      <c r="G3613" s="22" t="n"/>
      <c r="H3613" s="219" t="n"/>
      <c r="I3613" s="219" t="n"/>
      <c r="J3613" s="219" t="n"/>
      <c r="K3613" s="219">
        <f>ROUND((N3613*C3613)/100,0)*100</f>
        <v/>
      </c>
      <c r="L3613" s="219" t="n"/>
      <c r="M3613" s="219" t="n"/>
      <c r="N3613" s="118" t="n">
        <v>1.4</v>
      </c>
      <c r="P3613" s="117" t="n"/>
      <c r="R3613" s="117" t="n"/>
      <c r="T3613" s="117" t="n"/>
    </row>
    <row r="3614">
      <c r="A3614" s="128" t="inlineStr">
        <is>
          <t>405</t>
        </is>
      </c>
      <c r="B3614" s="188" t="inlineStr">
        <is>
          <t>VIA ITALIANI SARGA</t>
        </is>
      </c>
      <c r="C3614" s="88" t="n">
        <v>49400</v>
      </c>
      <c r="D3614" s="88">
        <f>ROUND((C3614*1.07)/100,0)*100</f>
        <v/>
      </c>
      <c r="E3614" s="88">
        <f>ROUND((C3614*1.15)/100,0)*100</f>
        <v/>
      </c>
      <c r="F3614" s="88">
        <f>ROUND((C3614*1.15)/100,0)*100</f>
        <v/>
      </c>
      <c r="G3614" s="22" t="n"/>
      <c r="H3614" s="219" t="n"/>
      <c r="I3614" s="219" t="n"/>
      <c r="J3614" s="219" t="n"/>
      <c r="K3614" s="219">
        <f>ROUND((N3614*C3614)/100,0)*100</f>
        <v/>
      </c>
      <c r="L3614" s="219" t="n"/>
      <c r="M3614" s="219" t="n"/>
      <c r="N3614" s="118" t="n">
        <v>1.4</v>
      </c>
      <c r="P3614" s="117" t="n"/>
      <c r="R3614" s="117" t="n"/>
      <c r="T3614" s="117" t="n"/>
    </row>
    <row r="3615">
      <c r="A3615" s="128" t="n"/>
      <c r="B3615" s="188" t="inlineStr">
        <is>
          <t>POLO CLUB STYLE CHARLY ZAFARI</t>
        </is>
      </c>
      <c r="C3615" s="88" t="n">
        <v>58600</v>
      </c>
      <c r="D3615" s="88">
        <f>ROUND((C3615*1.07)/100,0)*100</f>
        <v/>
      </c>
      <c r="E3615" s="88">
        <f>ROUND((C3615*1.15)/100,0)*100</f>
        <v/>
      </c>
      <c r="F3615" s="88">
        <f>ROUND((C3615*1.15)/100,0)*100</f>
        <v/>
      </c>
      <c r="G3615" s="22" t="n"/>
      <c r="H3615" s="219" t="n"/>
      <c r="I3615" s="219" t="n"/>
      <c r="J3615" s="219" t="n"/>
      <c r="K3615" s="219">
        <f>ROUND((N3615*C3615)/100,0)*100</f>
        <v/>
      </c>
      <c r="L3615" s="219" t="n"/>
      <c r="M3615" s="219" t="n"/>
      <c r="N3615" s="118" t="n">
        <v>1.4</v>
      </c>
      <c r="P3615" s="117" t="n"/>
      <c r="R3615" s="117" t="n"/>
      <c r="T3615" s="117" t="n"/>
    </row>
    <row r="3616">
      <c r="A3616" s="128" t="inlineStr">
        <is>
          <t>W1291</t>
        </is>
      </c>
      <c r="B3616" s="188" t="inlineStr">
        <is>
          <t>POLO W</t>
        </is>
      </c>
      <c r="C3616" s="88" t="n">
        <v>58600</v>
      </c>
      <c r="D3616" s="88">
        <f>ROUND((C3616*1.07)/100,0)*100</f>
        <v/>
      </c>
      <c r="E3616" s="88">
        <f>ROUND((C3616*1.15)/100,0)*100</f>
        <v/>
      </c>
      <c r="F3616" s="88">
        <f>ROUND((C3616*1.15)/100,0)*100</f>
        <v/>
      </c>
      <c r="G3616" s="22" t="n"/>
      <c r="H3616" s="219" t="n"/>
      <c r="I3616" s="219" t="n"/>
      <c r="J3616" s="219" t="n"/>
      <c r="K3616" s="219">
        <f>ROUND((N3616*C3616)/100,0)*100</f>
        <v/>
      </c>
      <c r="L3616" s="219" t="n"/>
      <c r="M3616" s="219" t="n"/>
      <c r="N3616" s="118" t="n">
        <v>1.4</v>
      </c>
      <c r="P3616" s="117" t="n"/>
      <c r="R3616" s="117" t="n"/>
      <c r="T3616" s="117" t="n"/>
    </row>
    <row r="3617">
      <c r="A3617" s="128" t="inlineStr">
        <is>
          <t>W1292</t>
        </is>
      </c>
      <c r="B3617" s="188" t="inlineStr">
        <is>
          <t>POLO W</t>
        </is>
      </c>
      <c r="C3617" s="88" t="n">
        <v>58600</v>
      </c>
      <c r="D3617" s="88">
        <f>ROUND((C3617*1.07)/100,0)*100</f>
        <v/>
      </c>
      <c r="E3617" s="88">
        <f>ROUND((C3617*1.15)/100,0)*100</f>
        <v/>
      </c>
      <c r="F3617" s="88">
        <f>ROUND((C3617*1.15)/100,0)*100</f>
        <v/>
      </c>
      <c r="G3617" s="22" t="n"/>
      <c r="H3617" s="219" t="n"/>
      <c r="I3617" s="219" t="n"/>
      <c r="J3617" s="219" t="n"/>
      <c r="K3617" s="219">
        <f>ROUND((N3617*C3617)/100,0)*100</f>
        <v/>
      </c>
      <c r="L3617" s="219" t="n"/>
      <c r="M3617" s="219" t="n"/>
      <c r="N3617" s="118" t="n">
        <v>1.4</v>
      </c>
      <c r="P3617" s="117" t="n"/>
      <c r="R3617" s="117" t="n"/>
      <c r="T3617" s="117" t="n"/>
    </row>
    <row r="3618">
      <c r="A3618" s="174" t="inlineStr">
        <is>
          <t>68-0140441-9205</t>
        </is>
      </c>
      <c r="B3618" s="188" t="inlineStr">
        <is>
          <t>FUS USA GABARDINA-CLAW POPLIN</t>
        </is>
      </c>
      <c r="C3618" s="88" t="n">
        <v>64700</v>
      </c>
      <c r="D3618" s="88">
        <f>ROUND((C3618*1.07)/100,0)*100</f>
        <v/>
      </c>
      <c r="E3618" s="88">
        <f>ROUND((C3618*1.15)/100,0)*100</f>
        <v/>
      </c>
      <c r="F3618" s="88">
        <f>ROUND((C3618*1.15)/100,0)*100</f>
        <v/>
      </c>
      <c r="G3618" s="22" t="n"/>
      <c r="H3618" s="219" t="n"/>
      <c r="I3618" s="219" t="n"/>
      <c r="J3618" s="219" t="n"/>
      <c r="K3618" s="219">
        <f>ROUND((N3618*C3618)/100,0)*100</f>
        <v/>
      </c>
      <c r="L3618" s="219" t="n"/>
      <c r="M3618" s="219" t="n"/>
      <c r="N3618" s="118" t="n">
        <v>1.4</v>
      </c>
      <c r="P3618" s="117" t="n"/>
      <c r="R3618" s="117" t="n"/>
      <c r="T3618" s="117" t="n"/>
    </row>
    <row r="3619">
      <c r="A3619" s="128" t="n"/>
      <c r="B3619" s="189" t="n"/>
      <c r="C3619" s="219" t="n"/>
      <c r="D3619" s="219" t="n"/>
      <c r="E3619" s="219" t="n"/>
      <c r="F3619" s="219" t="n"/>
      <c r="G3619" s="219" t="n"/>
      <c r="H3619" s="219" t="n"/>
      <c r="I3619" s="219" t="n"/>
      <c r="J3619" s="219" t="n"/>
      <c r="K3619" s="219" t="n"/>
      <c r="L3619" s="219" t="n"/>
      <c r="M3619" s="219" t="n"/>
      <c r="P3619" s="117" t="n"/>
      <c r="R3619" s="117" t="n"/>
      <c r="T3619" s="117" t="n"/>
    </row>
    <row r="3620">
      <c r="A3620" s="128" t="n"/>
      <c r="B3620" s="189" t="n"/>
      <c r="C3620" s="219" t="n"/>
      <c r="D3620" s="219" t="n"/>
      <c r="E3620" s="219" t="n"/>
      <c r="F3620" s="219" t="n"/>
      <c r="G3620" s="219" t="n"/>
      <c r="H3620" s="219" t="n"/>
      <c r="I3620" s="219" t="n"/>
      <c r="J3620" s="219" t="n"/>
      <c r="K3620" s="219" t="n"/>
      <c r="L3620" s="219" t="n"/>
      <c r="M3620" s="219" t="n"/>
      <c r="P3620" s="117" t="n"/>
      <c r="R3620" s="117" t="n"/>
      <c r="T3620" s="117" t="n"/>
    </row>
    <row r="3621">
      <c r="A3621" s="128" t="n"/>
      <c r="B3621" s="190" t="inlineStr">
        <is>
          <t xml:space="preserve"> SLIP</t>
        </is>
      </c>
      <c r="C3621" s="191" t="inlineStr">
        <is>
          <t>S-M-L</t>
        </is>
      </c>
      <c r="D3621" s="191" t="inlineStr">
        <is>
          <t>XL-XXL</t>
        </is>
      </c>
      <c r="E3621" s="219" t="inlineStr">
        <is>
          <t>3XL</t>
        </is>
      </c>
      <c r="F3621" s="219" t="n"/>
      <c r="G3621" s="219" t="n"/>
      <c r="H3621" s="219" t="n"/>
      <c r="I3621" s="219" t="n"/>
      <c r="J3621" s="128" t="inlineStr">
        <is>
          <t>04/25</t>
        </is>
      </c>
      <c r="K3621" s="219" t="n"/>
      <c r="L3621" s="219" t="n"/>
      <c r="M3621" s="219" t="n"/>
      <c r="P3621" s="117" t="n"/>
      <c r="R3621" s="117" t="n"/>
      <c r="T3621" s="117" t="n"/>
    </row>
    <row r="3622">
      <c r="A3622" s="128" t="n"/>
      <c r="B3622" s="190" t="n"/>
      <c r="C3622" s="192" t="n">
        <v>46114</v>
      </c>
      <c r="D3622" s="192" t="n">
        <v>42891</v>
      </c>
      <c r="E3622" s="193" t="n">
        <v>42954</v>
      </c>
      <c r="F3622" s="219" t="n"/>
      <c r="G3622" s="219" t="n"/>
      <c r="H3622" s="219" t="n"/>
      <c r="I3622" s="219" t="n"/>
      <c r="J3622" s="219" t="n"/>
      <c r="K3622" s="219" t="n"/>
      <c r="L3622" s="219" t="n"/>
      <c r="M3622" s="219" t="n"/>
      <c r="P3622" s="117" t="n"/>
      <c r="R3622" s="117" t="n"/>
      <c r="T3622" s="117" t="n"/>
    </row>
    <row r="3623">
      <c r="A3623" s="128" t="inlineStr">
        <is>
          <t>000035</t>
        </is>
      </c>
      <c r="B3623" s="246" t="inlineStr">
        <is>
          <t>TIPICO SLIP JERSEY 100% ALGODON</t>
        </is>
      </c>
      <c r="C3623" s="88" t="n">
        <v>11600</v>
      </c>
      <c r="D3623" s="88">
        <f>ROUND((C3623*1.15)/100,0)*100</f>
        <v/>
      </c>
      <c r="E3623" s="88">
        <f>ROUND((C3623*1.32)/100,0)*100</f>
        <v/>
      </c>
      <c r="F3623" s="219" t="n"/>
      <c r="G3623" s="219" t="n"/>
      <c r="H3623" s="219">
        <f>ROUND((J3623*C3623)/100,0)*100</f>
        <v/>
      </c>
      <c r="I3623" s="219" t="n"/>
      <c r="J3623" s="118" t="n">
        <v>1.15</v>
      </c>
      <c r="K3623" s="219" t="n"/>
      <c r="L3623" s="219" t="n"/>
      <c r="M3623" s="219" t="n"/>
      <c r="P3623" s="117" t="n"/>
      <c r="R3623" s="117" t="n"/>
      <c r="T3623" s="117" t="n"/>
    </row>
    <row r="3624">
      <c r="A3624" s="128" t="inlineStr">
        <is>
          <t>000036</t>
        </is>
      </c>
      <c r="B3624" s="246" t="inlineStr">
        <is>
          <t>TIPICO SLIP JERSEY 100% ALGODON</t>
        </is>
      </c>
      <c r="C3624" s="88" t="n">
        <v>11000</v>
      </c>
      <c r="D3624" s="88">
        <f>ROUND((C3624*1.15)/100,0)*100</f>
        <v/>
      </c>
      <c r="E3624" s="88">
        <f>ROUND((C3624*1.32)/100,0)*100</f>
        <v/>
      </c>
      <c r="F3624" s="219" t="n"/>
      <c r="G3624" s="219" t="n"/>
      <c r="H3624" s="219">
        <f>ROUND((J3624*C3624)/100,0)*100</f>
        <v/>
      </c>
      <c r="I3624" s="219" t="n"/>
      <c r="J3624" s="118" t="n">
        <v>1.15</v>
      </c>
      <c r="K3624" s="219" t="n"/>
      <c r="L3624" s="219" t="n"/>
      <c r="M3624" s="219" t="n"/>
      <c r="P3624" s="117" t="n"/>
      <c r="R3624" s="117" t="n"/>
      <c r="T3624" s="117" t="n"/>
    </row>
    <row r="3625">
      <c r="A3625" s="128" t="inlineStr">
        <is>
          <t>000037</t>
        </is>
      </c>
      <c r="B3625" s="246" t="inlineStr">
        <is>
          <t>TIPICO SLIP JERSEY 100% ALGODON</t>
        </is>
      </c>
      <c r="C3625" s="88" t="n">
        <v>11900</v>
      </c>
      <c r="D3625" s="88">
        <f>ROUND((C3625*1.15)/100,0)*100</f>
        <v/>
      </c>
      <c r="E3625" s="88">
        <f>ROUND((C3625*1.32)/100,0)*100</f>
        <v/>
      </c>
      <c r="F3625" s="219" t="n"/>
      <c r="G3625" s="219" t="n"/>
      <c r="H3625" s="219">
        <f>ROUND((J3625*C3625)/100,0)*100</f>
        <v/>
      </c>
      <c r="I3625" s="219" t="n"/>
      <c r="J3625" s="118" t="n">
        <v>1.15</v>
      </c>
      <c r="K3625" s="219" t="n"/>
      <c r="L3625" s="219" t="n"/>
      <c r="M3625" s="219" t="n"/>
      <c r="P3625" s="117" t="n"/>
      <c r="R3625" s="117" t="n"/>
      <c r="T3625" s="117" t="n"/>
    </row>
    <row r="3626">
      <c r="A3626" s="128" t="inlineStr">
        <is>
          <t>000044</t>
        </is>
      </c>
      <c r="B3626" s="246" t="inlineStr">
        <is>
          <t>TIPICO SLIP JERSEY 100% ALGODON</t>
        </is>
      </c>
      <c r="C3626" s="88" t="n">
        <v>11900</v>
      </c>
      <c r="D3626" s="88">
        <f>ROUND((C3626*1.15)/100,0)*100</f>
        <v/>
      </c>
      <c r="E3626" s="88">
        <f>ROUND((C3626*1.32)/100,0)*100</f>
        <v/>
      </c>
      <c r="F3626" s="219" t="n"/>
      <c r="G3626" s="219" t="n"/>
      <c r="H3626" s="219">
        <f>ROUND((J3626*C3626)/100,0)*100</f>
        <v/>
      </c>
      <c r="I3626" s="219" t="n"/>
      <c r="J3626" s="118" t="n">
        <v>1.15</v>
      </c>
      <c r="K3626" s="219" t="n"/>
      <c r="L3626" s="219" t="n"/>
      <c r="M3626" s="219" t="n"/>
      <c r="P3626" s="117" t="n"/>
      <c r="R3626" s="117" t="n"/>
      <c r="T3626" s="117" t="n"/>
    </row>
    <row r="3627">
      <c r="A3627" s="128" t="inlineStr">
        <is>
          <t>000047</t>
        </is>
      </c>
      <c r="B3627" s="246" t="inlineStr">
        <is>
          <t>TIPICO SLIP JERSEY 100% ALGODON</t>
        </is>
      </c>
      <c r="C3627" s="88" t="n">
        <v>12200</v>
      </c>
      <c r="D3627" s="88">
        <f>ROUND((C3627*1.15)/100,0)*100</f>
        <v/>
      </c>
      <c r="E3627" s="88">
        <f>ROUND((C3627*1.32)/100,0)*100</f>
        <v/>
      </c>
      <c r="F3627" s="219" t="n"/>
      <c r="G3627" s="219" t="n"/>
      <c r="H3627" s="219">
        <f>ROUND((J3627*C3627)/100,0)*100</f>
        <v/>
      </c>
      <c r="I3627" s="219" t="n"/>
      <c r="J3627" s="118" t="n">
        <v>1.15</v>
      </c>
      <c r="K3627" s="219" t="n"/>
      <c r="L3627" s="219" t="n"/>
      <c r="M3627" s="219" t="n"/>
      <c r="P3627" s="117" t="n"/>
      <c r="R3627" s="117" t="n"/>
      <c r="T3627" s="117" t="n"/>
    </row>
    <row r="3628">
      <c r="A3628" s="128" t="inlineStr">
        <is>
          <t>000057</t>
        </is>
      </c>
      <c r="B3628" s="246" t="inlineStr">
        <is>
          <t>TIPICO SLIP ESTAMPADO ESCOCES</t>
        </is>
      </c>
      <c r="C3628" s="88" t="n">
        <v>14400</v>
      </c>
      <c r="D3628" s="88">
        <f>ROUND((C3628*1.15)/100,0)*100</f>
        <v/>
      </c>
      <c r="E3628" s="88">
        <f>ROUND((C3628*1.32)/100,0)*100</f>
        <v/>
      </c>
      <c r="F3628" s="219" t="n"/>
      <c r="G3628" s="219" t="n"/>
      <c r="H3628" s="219">
        <f>ROUND((J3628*C3628)/100,0)*100</f>
        <v/>
      </c>
      <c r="I3628" s="219" t="n"/>
      <c r="J3628" s="118" t="n">
        <v>1.15</v>
      </c>
      <c r="K3628" s="219" t="n"/>
      <c r="L3628" s="219" t="n"/>
      <c r="M3628" s="219" t="n"/>
      <c r="P3628" s="117" t="n"/>
      <c r="R3628" s="117" t="n"/>
      <c r="T3628" s="117" t="n"/>
    </row>
    <row r="3629">
      <c r="A3629" s="128" t="inlineStr">
        <is>
          <t>000058</t>
        </is>
      </c>
      <c r="B3629" s="246" t="inlineStr">
        <is>
          <t>TIPICO SLIP ESTAMPADO RAYADO</t>
        </is>
      </c>
      <c r="C3629" s="88" t="n">
        <v>11600</v>
      </c>
      <c r="D3629" s="88">
        <f>ROUND((C3629*1.15)/100,0)*100</f>
        <v/>
      </c>
      <c r="E3629" s="219" t="n"/>
      <c r="F3629" s="219" t="n"/>
      <c r="G3629" s="219" t="n"/>
      <c r="H3629" s="219">
        <f>ROUND((J3629*C3629)/100,0)*100</f>
        <v/>
      </c>
      <c r="I3629" s="219" t="n"/>
      <c r="J3629" s="118" t="n">
        <v>1.15</v>
      </c>
      <c r="K3629" s="219" t="n"/>
      <c r="L3629" s="219" t="n"/>
      <c r="M3629" s="219" t="n"/>
      <c r="P3629" s="117" t="n"/>
      <c r="R3629" s="117" t="n"/>
      <c r="T3629" s="117" t="n"/>
    </row>
    <row r="3630">
      <c r="A3630" s="128" t="inlineStr">
        <is>
          <t>000069</t>
        </is>
      </c>
      <c r="B3630" s="246" t="inlineStr">
        <is>
          <t>TIPICO SLIP RAY VERTICAL</t>
        </is>
      </c>
      <c r="C3630" s="88" t="n">
        <v>11600</v>
      </c>
      <c r="D3630" s="88">
        <f>ROUND((C3630*1.15)/100,0)*100</f>
        <v/>
      </c>
      <c r="E3630" s="219" t="n"/>
      <c r="F3630" s="219" t="n"/>
      <c r="G3630" s="219" t="n"/>
      <c r="H3630" s="219">
        <f>ROUND((J3630*C3630)/100,0)*100</f>
        <v/>
      </c>
      <c r="I3630" s="219" t="n"/>
      <c r="J3630" s="118" t="n">
        <v>1.15</v>
      </c>
      <c r="K3630" s="219" t="n"/>
      <c r="L3630" s="219" t="n"/>
      <c r="M3630" s="219" t="n"/>
      <c r="P3630" s="117" t="n"/>
      <c r="R3630" s="117" t="n"/>
      <c r="T3630" s="117" t="n"/>
    </row>
    <row r="3631">
      <c r="A3631" s="128" t="inlineStr">
        <is>
          <t>000455</t>
        </is>
      </c>
      <c r="B3631" s="246" t="inlineStr">
        <is>
          <t>TIPICO CALZ. CAMISERO</t>
        </is>
      </c>
      <c r="C3631" s="88" t="n">
        <v>16900</v>
      </c>
      <c r="D3631" s="88">
        <f>ROUND((C3631*1.15)/100,0)*100</f>
        <v/>
      </c>
      <c r="E3631" s="219" t="n"/>
      <c r="F3631" s="219" t="n"/>
      <c r="G3631" s="219" t="n"/>
      <c r="H3631" s="219">
        <f>ROUND((J3631*C3631)/100,0)*100</f>
        <v/>
      </c>
      <c r="I3631" s="219" t="n"/>
      <c r="J3631" s="118" t="n">
        <v>1.15</v>
      </c>
      <c r="K3631" s="219" t="n"/>
      <c r="L3631" s="219" t="n"/>
      <c r="M3631" s="219" t="n"/>
      <c r="P3631" s="117" t="n"/>
      <c r="R3631" s="117" t="n"/>
      <c r="T3631" s="117" t="n"/>
    </row>
    <row r="3632">
      <c r="A3632" s="128" t="inlineStr">
        <is>
          <t>000659</t>
        </is>
      </c>
      <c r="B3632" s="246" t="inlineStr">
        <is>
          <t>TIPICO SLIP JERSEY 100% ALGODON</t>
        </is>
      </c>
      <c r="C3632" s="88" t="n">
        <v>16900</v>
      </c>
      <c r="D3632" s="88">
        <f>ROUND((C3632*1.15)/100,0)*100</f>
        <v/>
      </c>
      <c r="E3632" s="219" t="n"/>
      <c r="F3632" s="219" t="n"/>
      <c r="G3632" s="219" t="n"/>
      <c r="H3632" s="219">
        <f>ROUND((J3632*C3632)/100,0)*100</f>
        <v/>
      </c>
      <c r="I3632" s="219" t="n"/>
      <c r="J3632" s="118" t="n">
        <v>1.15</v>
      </c>
      <c r="K3632" s="219" t="n"/>
      <c r="L3632" s="219" t="n"/>
      <c r="M3632" s="219" t="n"/>
      <c r="P3632" s="117" t="n"/>
      <c r="R3632" s="117" t="n"/>
      <c r="T3632" s="117" t="n"/>
    </row>
    <row r="3633">
      <c r="A3633" s="128" t="inlineStr">
        <is>
          <t>000455</t>
        </is>
      </c>
      <c r="B3633" s="246" t="inlineStr">
        <is>
          <t>TIPICO SLIP JERSEY 100% ALGODON</t>
        </is>
      </c>
      <c r="C3633" s="88" t="n">
        <v>16900</v>
      </c>
      <c r="D3633" s="88">
        <f>ROUND((C3633*1.15)/100,0)*100</f>
        <v/>
      </c>
      <c r="E3633" s="219" t="n"/>
      <c r="F3633" s="219" t="n"/>
      <c r="G3633" s="219" t="n"/>
      <c r="H3633" s="219">
        <f>ROUND((J3633*C3633)/100,0)*100</f>
        <v/>
      </c>
      <c r="I3633" s="219" t="n"/>
      <c r="J3633" s="118" t="n">
        <v>1.15</v>
      </c>
      <c r="K3633" s="219" t="n"/>
      <c r="L3633" s="219" t="n"/>
      <c r="M3633" s="219" t="n"/>
      <c r="P3633" s="117" t="n"/>
      <c r="R3633" s="117" t="n"/>
      <c r="T3633" s="117" t="n"/>
    </row>
    <row r="3634">
      <c r="A3634" s="128" t="inlineStr">
        <is>
          <t>002300</t>
        </is>
      </c>
      <c r="B3634" s="246" t="inlineStr">
        <is>
          <t>TIPICO BOXER LARGO</t>
        </is>
      </c>
      <c r="C3634" s="88" t="n">
        <v>18200</v>
      </c>
      <c r="D3634" s="88">
        <f>ROUND((C3634*1.15)/100,0)*100</f>
        <v/>
      </c>
      <c r="E3634" s="219" t="n"/>
      <c r="F3634" s="219" t="n"/>
      <c r="G3634" s="219" t="n"/>
      <c r="H3634" s="219">
        <f>ROUND((J3634*C3634)/100,0)*100</f>
        <v/>
      </c>
      <c r="I3634" s="219" t="n"/>
      <c r="J3634" s="118" t="n">
        <v>1.15</v>
      </c>
      <c r="K3634" s="219" t="n"/>
      <c r="L3634" s="219" t="n"/>
      <c r="M3634" s="219" t="n"/>
      <c r="P3634" s="117" t="n"/>
      <c r="R3634" s="117" t="n"/>
      <c r="T3634" s="117" t="n"/>
    </row>
    <row r="3635">
      <c r="A3635" s="128" t="inlineStr">
        <is>
          <t>1101</t>
        </is>
      </c>
      <c r="B3635" s="246" t="inlineStr">
        <is>
          <t>SLIP T ALTO REFORZ 1 - 4</t>
        </is>
      </c>
      <c r="C3635" s="88" t="n">
        <v>7700</v>
      </c>
      <c r="D3635" s="88">
        <f>ROUND((C3635*1.15)/100,0)*100</f>
        <v/>
      </c>
      <c r="E3635" s="219" t="n"/>
      <c r="F3635" s="219" t="n"/>
      <c r="G3635" s="219" t="n"/>
      <c r="H3635" s="219">
        <f>ROUND((J3635*C3635)/100,0)*100</f>
        <v/>
      </c>
      <c r="I3635" s="219" t="n"/>
      <c r="J3635" s="118" t="n">
        <v>1.15</v>
      </c>
      <c r="K3635" s="219" t="n"/>
      <c r="L3635" s="219" t="n"/>
      <c r="M3635" s="219" t="n"/>
      <c r="P3635" s="117" t="n"/>
      <c r="R3635" s="117" t="n"/>
      <c r="T3635" s="117" t="n"/>
    </row>
    <row r="3636">
      <c r="A3636" s="128" t="inlineStr">
        <is>
          <t>1374</t>
        </is>
      </c>
      <c r="B3636" s="246" t="inlineStr">
        <is>
          <t>SLIP T ESP. T 9/10 EYELIT</t>
        </is>
      </c>
      <c r="C3636" s="88" t="n">
        <v>13400</v>
      </c>
      <c r="D3636" s="88">
        <f>ROUND((C3636*1.15)/100,0)*100</f>
        <v/>
      </c>
      <c r="E3636" s="219" t="n"/>
      <c r="F3636" s="219" t="n"/>
      <c r="G3636" s="219" t="n"/>
      <c r="H3636" s="219">
        <f>ROUND((J3636*C3636)/100,0)*100</f>
        <v/>
      </c>
      <c r="I3636" s="219" t="n"/>
      <c r="J3636" s="118" t="n">
        <v>1.15</v>
      </c>
      <c r="K3636" s="219" t="n"/>
      <c r="L3636" s="219" t="n"/>
      <c r="M3636" s="219" t="n"/>
      <c r="P3636" s="117" t="n"/>
      <c r="R3636" s="117" t="n"/>
      <c r="T3636" s="117" t="n"/>
    </row>
    <row r="3637">
      <c r="A3637" s="128" t="inlineStr">
        <is>
          <t>11101</t>
        </is>
      </c>
      <c r="B3637" s="246" t="inlineStr">
        <is>
          <t>SLIP T ALTO REFORZ  T 5</t>
        </is>
      </c>
      <c r="C3637" s="88" t="n">
        <v>7700</v>
      </c>
      <c r="D3637" s="88">
        <f>ROUND((C3637*1.15)/100,0)*100</f>
        <v/>
      </c>
      <c r="E3637" s="219" t="n"/>
      <c r="F3637" s="219" t="n"/>
      <c r="G3637" s="219" t="n"/>
      <c r="H3637" s="219">
        <f>ROUND((J3637*C3637)/100,0)*100</f>
        <v/>
      </c>
      <c r="I3637" s="219" t="n"/>
      <c r="J3637" s="118" t="n">
        <v>1.15</v>
      </c>
      <c r="K3637" s="219" t="n"/>
      <c r="L3637" s="219" t="n"/>
      <c r="M3637" s="219" t="n"/>
      <c r="P3637" s="117" t="n"/>
      <c r="R3637" s="117" t="n"/>
      <c r="T3637" s="117" t="n"/>
    </row>
    <row r="3638">
      <c r="A3638" s="128" t="inlineStr">
        <is>
          <t>21101</t>
        </is>
      </c>
      <c r="B3638" s="246" t="inlineStr">
        <is>
          <t>SLIP T ALTO REFORZ  T 6</t>
        </is>
      </c>
      <c r="C3638" s="88" t="n">
        <v>9500</v>
      </c>
      <c r="D3638" s="88">
        <f>ROUND((C3638*1.15)/100,0)*100</f>
        <v/>
      </c>
      <c r="E3638" s="219" t="n"/>
      <c r="F3638" s="219" t="n"/>
      <c r="G3638" s="219" t="n"/>
      <c r="H3638" s="219">
        <f>ROUND((J3638*C3638)/100,0)*100</f>
        <v/>
      </c>
      <c r="I3638" s="219" t="n"/>
      <c r="J3638" s="118" t="n">
        <v>1.15</v>
      </c>
      <c r="K3638" s="219" t="n"/>
      <c r="L3638" s="219" t="n"/>
      <c r="M3638" s="219" t="n"/>
      <c r="P3638" s="117" t="n"/>
      <c r="R3638" s="117" t="n"/>
      <c r="T3638" s="117" t="n"/>
    </row>
    <row r="3639">
      <c r="A3639" s="128" t="inlineStr">
        <is>
          <t>31101</t>
        </is>
      </c>
      <c r="B3639" s="246" t="inlineStr">
        <is>
          <t>SLIP HBRE LISO REFORZ T ESP: 7</t>
        </is>
      </c>
      <c r="C3639" s="88" t="n">
        <v>10200</v>
      </c>
      <c r="D3639" s="88">
        <f>ROUND((C3639*1.15)/100,0)*100</f>
        <v/>
      </c>
      <c r="E3639" s="219" t="n"/>
      <c r="F3639" s="219" t="n"/>
      <c r="G3639" s="219" t="n"/>
      <c r="H3639" s="219">
        <f>ROUND((J3639*C3639)/100,0)*100</f>
        <v/>
      </c>
      <c r="I3639" s="219" t="n"/>
      <c r="J3639" s="118" t="n">
        <v>1.15</v>
      </c>
      <c r="K3639" s="219" t="n"/>
      <c r="L3639" s="219" t="n"/>
      <c r="M3639" s="219" t="n"/>
      <c r="P3639" s="117" t="n"/>
      <c r="R3639" s="117" t="n"/>
      <c r="T3639" s="117" t="n"/>
    </row>
    <row r="3640">
      <c r="A3640" s="128" t="inlineStr">
        <is>
          <t>41101</t>
        </is>
      </c>
      <c r="B3640" s="246" t="inlineStr">
        <is>
          <t>SLIP HBRE LISO REFORZ T ESP: 8</t>
        </is>
      </c>
      <c r="C3640" s="88" t="n">
        <v>11600</v>
      </c>
      <c r="D3640" s="88">
        <f>ROUND((C3640*1.15)/100,0)*100</f>
        <v/>
      </c>
      <c r="E3640" s="219" t="n"/>
      <c r="F3640" s="219" t="n"/>
      <c r="G3640" s="219" t="n"/>
      <c r="H3640" s="219">
        <f>ROUND((J3640*C3640)/100,0)*100</f>
        <v/>
      </c>
      <c r="I3640" s="219" t="n"/>
      <c r="J3640" s="118" t="n">
        <v>1.15</v>
      </c>
      <c r="K3640" s="219" t="n"/>
      <c r="L3640" s="219" t="n"/>
      <c r="M3640" s="219" t="n"/>
      <c r="P3640" s="117" t="n"/>
      <c r="R3640" s="117" t="n"/>
      <c r="T3640" s="117" t="n"/>
    </row>
    <row r="3641">
      <c r="A3641" s="128" t="inlineStr">
        <is>
          <t>1161</t>
        </is>
      </c>
      <c r="B3641" s="246" t="inlineStr">
        <is>
          <t>SLIP HBRE LISO T: 1-4</t>
        </is>
      </c>
      <c r="C3641" s="88" t="n">
        <v>7700</v>
      </c>
      <c r="D3641" s="88">
        <f>ROUND((C3641*1.15)/100,0)*100</f>
        <v/>
      </c>
      <c r="E3641" s="219" t="n"/>
      <c r="F3641" s="219" t="n"/>
      <c r="G3641" s="219" t="n"/>
      <c r="H3641" s="219">
        <f>ROUND((J3641*C3641)/100,0)*100</f>
        <v/>
      </c>
      <c r="I3641" s="219" t="n"/>
      <c r="J3641" s="118" t="n">
        <v>1.15</v>
      </c>
      <c r="K3641" s="219" t="n"/>
      <c r="L3641" s="219" t="n"/>
      <c r="M3641" s="219" t="n"/>
      <c r="P3641" s="117" t="n"/>
      <c r="R3641" s="117" t="n"/>
      <c r="T3641" s="117" t="n"/>
    </row>
    <row r="3642">
      <c r="A3642" s="128" t="inlineStr">
        <is>
          <t>11161</t>
        </is>
      </c>
      <c r="B3642" s="246" t="inlineStr">
        <is>
          <t>SLIP HBRE LISO T: 5</t>
        </is>
      </c>
      <c r="C3642" s="88" t="n">
        <v>7700</v>
      </c>
      <c r="D3642" s="88">
        <f>ROUND((C3642*1.15)/100,0)*100</f>
        <v/>
      </c>
      <c r="E3642" s="219" t="n"/>
      <c r="F3642" s="219" t="n"/>
      <c r="G3642" s="219" t="n"/>
      <c r="H3642" s="219">
        <f>ROUND((J3642*C3642)/100,0)*100</f>
        <v/>
      </c>
      <c r="I3642" s="219" t="n"/>
      <c r="J3642" s="118" t="n">
        <v>1.15</v>
      </c>
      <c r="K3642" s="219" t="n"/>
      <c r="L3642" s="219" t="n"/>
      <c r="M3642" s="219" t="n"/>
      <c r="P3642" s="117" t="n"/>
      <c r="R3642" s="117" t="n"/>
      <c r="T3642" s="117" t="n"/>
    </row>
    <row r="3643">
      <c r="A3643" s="128" t="inlineStr">
        <is>
          <t>21161</t>
        </is>
      </c>
      <c r="B3643" s="246" t="inlineStr">
        <is>
          <t>SLIP HBRE LISO T: 6</t>
        </is>
      </c>
      <c r="C3643" s="88" t="n">
        <v>7700</v>
      </c>
      <c r="D3643" s="88">
        <f>ROUND((C3643*1.15)/100,0)*100</f>
        <v/>
      </c>
      <c r="E3643" s="219" t="n"/>
      <c r="F3643" s="219" t="n"/>
      <c r="G3643" s="219" t="n"/>
      <c r="H3643" s="219">
        <f>ROUND((J3643*C3643)/100,0)*100</f>
        <v/>
      </c>
      <c r="I3643" s="219" t="n"/>
      <c r="J3643" s="118" t="n">
        <v>1.15</v>
      </c>
      <c r="K3643" s="219" t="n"/>
      <c r="L3643" s="219" t="n"/>
      <c r="M3643" s="219" t="n"/>
      <c r="P3643" s="117" t="n"/>
      <c r="R3643" s="117" t="n"/>
      <c r="T3643" s="117" t="n"/>
    </row>
    <row r="3644">
      <c r="A3644" s="128" t="inlineStr">
        <is>
          <t>2251</t>
        </is>
      </c>
      <c r="B3644" s="246" t="inlineStr">
        <is>
          <t>SLIP HBRE C ELASTICO T: 1 - 4</t>
        </is>
      </c>
      <c r="C3644" s="88" t="n">
        <v>7700</v>
      </c>
      <c r="D3644" s="88">
        <f>ROUND((C3644*1.15)/100,0)*100</f>
        <v/>
      </c>
      <c r="E3644" s="219" t="n"/>
      <c r="F3644" s="219" t="n"/>
      <c r="G3644" s="219" t="n"/>
      <c r="H3644" s="219">
        <f>ROUND((J3644*C3644)/100,0)*100</f>
        <v/>
      </c>
      <c r="I3644" s="219" t="n"/>
      <c r="J3644" s="118" t="n">
        <v>1.15</v>
      </c>
      <c r="K3644" s="219" t="n"/>
      <c r="L3644" s="219" t="n"/>
      <c r="M3644" s="219" t="n"/>
      <c r="P3644" s="117" t="n"/>
      <c r="R3644" s="117" t="n"/>
      <c r="T3644" s="117" t="n"/>
    </row>
    <row r="3645">
      <c r="A3645" s="128" t="inlineStr">
        <is>
          <t>2803</t>
        </is>
      </c>
      <c r="B3645" s="246" t="inlineStr">
        <is>
          <t>SLIP POLO CLUB</t>
        </is>
      </c>
      <c r="C3645" s="88" t="n">
        <v>7000</v>
      </c>
      <c r="D3645" s="88">
        <f>ROUND((C3645*1.15)/100,0)*100</f>
        <v/>
      </c>
      <c r="E3645" s="219" t="n"/>
      <c r="F3645" s="219" t="n"/>
      <c r="G3645" s="219" t="n"/>
      <c r="H3645" s="219">
        <f>ROUND((J3645*C3645)/100,0)*100</f>
        <v/>
      </c>
      <c r="I3645" s="219" t="n"/>
      <c r="J3645" s="118" t="n">
        <v>1.15</v>
      </c>
      <c r="K3645" s="219" t="n"/>
      <c r="L3645" s="219" t="n"/>
      <c r="M3645" s="219" t="n"/>
      <c r="P3645" s="117" t="n"/>
      <c r="R3645" s="117" t="n"/>
      <c r="T3645" s="117" t="n"/>
    </row>
    <row r="3646">
      <c r="A3646" s="128" t="inlineStr">
        <is>
          <t>2805</t>
        </is>
      </c>
      <c r="B3646" s="246" t="inlineStr">
        <is>
          <t>SLIP POLO CLUB PACK X3</t>
        </is>
      </c>
      <c r="C3646" s="88" t="n">
        <v>17500</v>
      </c>
      <c r="D3646" s="88">
        <f>ROUND((C3646*1.15)/100,0)*100</f>
        <v/>
      </c>
      <c r="E3646" s="219" t="n"/>
      <c r="F3646" s="219" t="n"/>
      <c r="G3646" s="219" t="n"/>
      <c r="H3646" s="219">
        <f>ROUND((J3646*C3646)/100,0)*100</f>
        <v/>
      </c>
      <c r="I3646" s="219" t="n"/>
      <c r="J3646" s="118" t="n">
        <v>1.15</v>
      </c>
      <c r="K3646" s="219" t="n"/>
      <c r="L3646" s="219" t="n"/>
      <c r="M3646" s="219" t="n"/>
      <c r="P3646" s="117" t="n"/>
      <c r="R3646" s="117" t="n"/>
      <c r="T3646" s="117" t="n"/>
    </row>
    <row r="3647">
      <c r="A3647" s="128" t="n"/>
      <c r="B3647" s="246" t="inlineStr">
        <is>
          <t>SLIP EYELIT</t>
        </is>
      </c>
      <c r="C3647" s="88" t="n">
        <v>8800</v>
      </c>
      <c r="D3647" s="88">
        <f>ROUND((C3647*1.15)/100,0)*100</f>
        <v/>
      </c>
      <c r="E3647" s="219" t="n"/>
      <c r="F3647" s="219" t="n"/>
      <c r="G3647" s="219" t="n"/>
      <c r="H3647" s="219">
        <f>ROUND((J3647*C3647)/100,0)*100</f>
        <v/>
      </c>
      <c r="I3647" s="219" t="n"/>
      <c r="J3647" s="118" t="n">
        <v>1.15</v>
      </c>
      <c r="K3647" s="219" t="n"/>
      <c r="L3647" s="219" t="n"/>
      <c r="M3647" s="219" t="n"/>
      <c r="P3647" s="117" t="n"/>
      <c r="R3647" s="117" t="n"/>
      <c r="T3647" s="117" t="n"/>
    </row>
    <row r="3648">
      <c r="A3648" s="128" t="n"/>
      <c r="B3648" s="246" t="n"/>
      <c r="C3648" s="88" t="n"/>
      <c r="D3648" s="88" t="n"/>
      <c r="E3648" s="219" t="n"/>
      <c r="F3648" s="219" t="n"/>
      <c r="G3648" s="219" t="n"/>
      <c r="H3648" s="219" t="n"/>
      <c r="I3648" s="219" t="n"/>
      <c r="J3648" s="219" t="n"/>
      <c r="K3648" s="219" t="n"/>
      <c r="L3648" s="219" t="n"/>
      <c r="M3648" s="219" t="n"/>
      <c r="P3648" s="117" t="n"/>
      <c r="R3648" s="117" t="n"/>
      <c r="T3648" s="117" t="n"/>
    </row>
    <row r="3649">
      <c r="A3649" s="128" t="n"/>
      <c r="B3649" s="246" t="n"/>
      <c r="C3649" s="88" t="n"/>
      <c r="D3649" s="88" t="n"/>
      <c r="E3649" s="219" t="n"/>
      <c r="F3649" s="219" t="n"/>
      <c r="G3649" s="219" t="n"/>
      <c r="H3649" s="219" t="n"/>
      <c r="I3649" s="219" t="n"/>
      <c r="J3649" s="219" t="n"/>
      <c r="K3649" s="219" t="n"/>
      <c r="L3649" s="219" t="n"/>
      <c r="M3649" s="219" t="n"/>
      <c r="P3649" s="117" t="n"/>
      <c r="R3649" s="117" t="n"/>
      <c r="T3649" s="117" t="n"/>
    </row>
    <row r="3650">
      <c r="A3650" s="128" t="n"/>
      <c r="B3650" s="171" t="inlineStr">
        <is>
          <t>BOXER</t>
        </is>
      </c>
      <c r="C3650" s="191" t="inlineStr">
        <is>
          <t>S-M-L</t>
        </is>
      </c>
      <c r="D3650" s="191" t="inlineStr">
        <is>
          <t>XL-XXL</t>
        </is>
      </c>
      <c r="E3650" s="219" t="inlineStr">
        <is>
          <t>3XL</t>
        </is>
      </c>
      <c r="F3650" s="219" t="n"/>
      <c r="G3650" s="219" t="n"/>
      <c r="H3650" s="219" t="n"/>
      <c r="I3650" s="219" t="n"/>
      <c r="J3650" s="128" t="inlineStr">
        <is>
          <t>04/25</t>
        </is>
      </c>
      <c r="K3650" s="219" t="n"/>
      <c r="L3650" s="219" t="n"/>
      <c r="M3650" s="219" t="n"/>
      <c r="P3650" s="117" t="n"/>
      <c r="R3650" s="117" t="n"/>
      <c r="T3650" s="117" t="n"/>
    </row>
    <row r="3651">
      <c r="A3651" s="128" t="n"/>
      <c r="B3651" s="171" t="n"/>
      <c r="C3651" s="191" t="n">
        <v>42800</v>
      </c>
      <c r="D3651" s="192" t="n">
        <v>42891</v>
      </c>
      <c r="E3651" s="193" t="n">
        <v>42954</v>
      </c>
      <c r="F3651" s="219" t="n"/>
      <c r="G3651" s="219" t="n"/>
      <c r="H3651" s="219" t="n"/>
      <c r="I3651" s="219" t="n"/>
      <c r="J3651" s="219" t="n"/>
      <c r="K3651" s="219" t="n"/>
      <c r="L3651" s="219" t="n"/>
      <c r="M3651" s="219" t="n"/>
      <c r="P3651" s="117" t="n"/>
      <c r="R3651" s="117" t="n"/>
      <c r="T3651" s="117" t="n"/>
    </row>
    <row r="3652">
      <c r="A3652" s="128" t="inlineStr">
        <is>
          <t>000611</t>
        </is>
      </c>
      <c r="B3652" s="246" t="inlineStr">
        <is>
          <t>TIPICO  ESTAMP JERSEY</t>
        </is>
      </c>
      <c r="C3652" s="88" t="n">
        <v>12900</v>
      </c>
      <c r="D3652" s="88">
        <f>ROUND((C3652*1.15)/100,0)*100</f>
        <v/>
      </c>
      <c r="E3652" s="88">
        <f>ROUND((C3652*1.32)/100,0)*100</f>
        <v/>
      </c>
      <c r="F3652" s="219" t="n"/>
      <c r="G3652" s="219" t="n"/>
      <c r="H3652" s="219">
        <f>ROUND((J3652*C3652)/100,0)*100</f>
        <v/>
      </c>
      <c r="I3652" s="219" t="n"/>
      <c r="J3652" s="118" t="n">
        <v>1.15</v>
      </c>
      <c r="K3652" s="219" t="n"/>
      <c r="L3652" s="219" t="n"/>
      <c r="M3652" s="219" t="n"/>
      <c r="P3652" s="117" t="n"/>
      <c r="R3652" s="117" t="n"/>
      <c r="T3652" s="117" t="n"/>
    </row>
    <row r="3653">
      <c r="A3653" s="128" t="inlineStr">
        <is>
          <t>000615</t>
        </is>
      </c>
      <c r="B3653" s="246" t="inlineStr">
        <is>
          <t>TIPICO BOXER C/ELAST. JERSEY</t>
        </is>
      </c>
      <c r="C3653" s="88" t="n">
        <v>14700</v>
      </c>
      <c r="D3653" s="88">
        <f>ROUND((C3653*1.15)/100,0)*100</f>
        <v/>
      </c>
      <c r="E3653" s="88">
        <f>ROUND((C3653*1.32)/100,0)*100</f>
        <v/>
      </c>
      <c r="F3653" s="219" t="n"/>
      <c r="G3653" s="219" t="n"/>
      <c r="H3653" s="219">
        <f>ROUND((J3653*C3653)/100,0)*100</f>
        <v/>
      </c>
      <c r="I3653" s="219" t="n"/>
      <c r="J3653" s="118" t="n">
        <v>1.15</v>
      </c>
      <c r="K3653" s="219" t="n"/>
      <c r="L3653" s="219" t="n"/>
      <c r="M3653" s="219" t="n"/>
      <c r="P3653" s="117" t="n"/>
      <c r="R3653" s="117" t="n"/>
      <c r="T3653" s="117" t="n"/>
    </row>
    <row r="3654">
      <c r="A3654" s="128" t="inlineStr">
        <is>
          <t>000656</t>
        </is>
      </c>
      <c r="B3654" s="246" t="inlineStr">
        <is>
          <t>TIPICO BOXER ESTAMP JERSEY</t>
        </is>
      </c>
      <c r="C3654" s="88" t="n">
        <v>12900</v>
      </c>
      <c r="D3654" s="88">
        <f>ROUND((C3654*1.15)/100,0)*100</f>
        <v/>
      </c>
      <c r="E3654" s="88">
        <f>ROUND((C3654*1.32)/100,0)*100</f>
        <v/>
      </c>
      <c r="F3654" s="219" t="n"/>
      <c r="G3654" s="219" t="n"/>
      <c r="H3654" s="219">
        <f>ROUND((J3654*C3654)/100,0)*100</f>
        <v/>
      </c>
      <c r="I3654" s="219" t="n"/>
      <c r="J3654" s="118" t="n">
        <v>1.15</v>
      </c>
      <c r="K3654" s="219" t="n"/>
      <c r="L3654" s="219" t="n"/>
      <c r="M3654" s="219" t="n"/>
      <c r="P3654" s="117" t="n"/>
      <c r="R3654" s="117" t="n"/>
      <c r="T3654" s="117" t="n"/>
    </row>
    <row r="3655">
      <c r="A3655" s="128" t="inlineStr">
        <is>
          <t>000658</t>
        </is>
      </c>
      <c r="B3655" s="246" t="inlineStr">
        <is>
          <t>TIPICO BOXER ESTAMP RAY</t>
        </is>
      </c>
      <c r="C3655" s="88" t="n">
        <v>14400</v>
      </c>
      <c r="D3655" s="88">
        <f>ROUND((C3655*1.15)/100,0)*100</f>
        <v/>
      </c>
      <c r="E3655" s="88">
        <f>ROUND((C3655*1.32)/100,0)*100</f>
        <v/>
      </c>
      <c r="F3655" s="219" t="n"/>
      <c r="G3655" s="219" t="n"/>
      <c r="H3655" s="219">
        <f>ROUND((J3655*C3655)/100,0)*100</f>
        <v/>
      </c>
      <c r="I3655" s="219" t="n"/>
      <c r="J3655" s="118" t="n">
        <v>1.15</v>
      </c>
      <c r="K3655" s="219" t="n"/>
      <c r="L3655" s="219" t="n"/>
      <c r="M3655" s="219" t="n"/>
      <c r="P3655" s="117" t="n"/>
      <c r="R3655" s="117" t="n"/>
      <c r="T3655" s="117" t="n"/>
    </row>
    <row r="3656">
      <c r="A3656" s="128" t="inlineStr">
        <is>
          <t>000659</t>
        </is>
      </c>
      <c r="B3656" s="246" t="inlineStr">
        <is>
          <t>TIPICO BOXER JERSEY LYCRA</t>
        </is>
      </c>
      <c r="C3656" s="88" t="n">
        <v>14700</v>
      </c>
      <c r="D3656" s="88">
        <f>ROUND((C3656*1.15)/100,0)*100</f>
        <v/>
      </c>
      <c r="E3656" s="88">
        <f>ROUND((C3656*1.32)/100,0)*100</f>
        <v/>
      </c>
      <c r="F3656" s="219" t="n"/>
      <c r="G3656" s="219" t="n"/>
      <c r="H3656" s="219">
        <f>ROUND((J3656*C3656)/100,0)*100</f>
        <v/>
      </c>
      <c r="I3656" s="219" t="n"/>
      <c r="J3656" s="118" t="n">
        <v>1.15</v>
      </c>
      <c r="K3656" s="219" t="n"/>
      <c r="L3656" s="219" t="n"/>
      <c r="M3656" s="219" t="n"/>
      <c r="P3656" s="117" t="n"/>
      <c r="R3656" s="117" t="n"/>
      <c r="T3656" s="117" t="n"/>
    </row>
    <row r="3657">
      <c r="A3657" s="128" t="inlineStr">
        <is>
          <t>000663</t>
        </is>
      </c>
      <c r="B3657" s="246" t="inlineStr">
        <is>
          <t>TIPICO BOXER LYCRA RAYADO</t>
        </is>
      </c>
      <c r="C3657" s="88" t="n">
        <v>15500</v>
      </c>
      <c r="D3657" s="88">
        <f>ROUND((C3657*1.15)/100,0)*100</f>
        <v/>
      </c>
      <c r="E3657" s="88">
        <f>ROUND((C3657*1.32)/100,0)*100</f>
        <v/>
      </c>
      <c r="F3657" s="219" t="n"/>
      <c r="G3657" s="219" t="n"/>
      <c r="H3657" s="219">
        <f>ROUND((J3657*C3657)/100,0)*100</f>
        <v/>
      </c>
      <c r="I3657" s="219" t="n"/>
      <c r="J3657" s="118" t="n">
        <v>1.15</v>
      </c>
      <c r="K3657" s="219" t="n"/>
      <c r="L3657" s="219" t="n"/>
      <c r="M3657" s="219" t="n"/>
      <c r="P3657" s="117" t="n"/>
      <c r="R3657" s="117" t="n"/>
      <c r="T3657" s="117" t="n"/>
    </row>
    <row r="3658">
      <c r="A3658" s="128" t="inlineStr">
        <is>
          <t>000668</t>
        </is>
      </c>
      <c r="B3658" s="246" t="inlineStr">
        <is>
          <t>TIPICO BOXER LYCRA RAYADO</t>
        </is>
      </c>
      <c r="C3658" s="88" t="n">
        <v>15500</v>
      </c>
      <c r="D3658" s="88">
        <f>ROUND((C3658*1.15)/100,0)*100</f>
        <v/>
      </c>
      <c r="E3658" s="88">
        <f>ROUND((C3658*1.32)/100,0)*100</f>
        <v/>
      </c>
      <c r="F3658" s="219" t="n"/>
      <c r="G3658" s="219" t="n"/>
      <c r="H3658" s="219">
        <f>ROUND((J3658*C3658)/100,0)*100</f>
        <v/>
      </c>
      <c r="I3658" s="219" t="n"/>
      <c r="J3658" s="118" t="n">
        <v>1.15</v>
      </c>
      <c r="K3658" s="219" t="n"/>
      <c r="L3658" s="219" t="n"/>
      <c r="M3658" s="219" t="n"/>
      <c r="P3658" s="117" t="n"/>
      <c r="R3658" s="117" t="n"/>
      <c r="T3658" s="117" t="n"/>
    </row>
    <row r="3659">
      <c r="A3659" s="128" t="inlineStr">
        <is>
          <t>000671</t>
        </is>
      </c>
      <c r="B3659" s="246" t="inlineStr">
        <is>
          <t>TIPICO BOXER CAMUFLADO</t>
        </is>
      </c>
      <c r="C3659" s="88" t="n">
        <v>16900</v>
      </c>
      <c r="D3659" s="88">
        <f>ROUND((C3659*1.15)/100,0)*100</f>
        <v/>
      </c>
      <c r="E3659" s="88">
        <f>ROUND((C3659*1.32)/100,0)*100</f>
        <v/>
      </c>
      <c r="F3659" s="219" t="n"/>
      <c r="G3659" s="219" t="n"/>
      <c r="H3659" s="219">
        <f>ROUND((J3659*C3659)/100,0)*100</f>
        <v/>
      </c>
      <c r="I3659" s="219" t="n"/>
      <c r="J3659" s="118" t="n">
        <v>1.15</v>
      </c>
      <c r="K3659" s="219" t="n"/>
      <c r="L3659" s="219" t="n"/>
      <c r="M3659" s="219" t="n"/>
      <c r="P3659" s="117" t="n"/>
      <c r="R3659" s="117" t="n"/>
      <c r="T3659" s="117" t="n"/>
    </row>
    <row r="3660">
      <c r="A3660" s="128" t="inlineStr">
        <is>
          <t>000672</t>
        </is>
      </c>
      <c r="B3660" s="246" t="inlineStr">
        <is>
          <t>TIPICO BOXER ESTAMP HOJAS</t>
        </is>
      </c>
      <c r="C3660" s="88" t="n">
        <v>16200</v>
      </c>
      <c r="D3660" s="88">
        <f>ROUND((C3660*1.15)/100,0)*100</f>
        <v/>
      </c>
      <c r="E3660" s="88">
        <f>ROUND((C3660*1.32)/100,0)*100</f>
        <v/>
      </c>
      <c r="F3660" s="219" t="n"/>
      <c r="G3660" s="219" t="n"/>
      <c r="H3660" s="219">
        <f>ROUND((J3660*C3660)/100,0)*100</f>
        <v/>
      </c>
      <c r="I3660" s="219" t="n"/>
      <c r="J3660" s="118" t="n">
        <v>1.15</v>
      </c>
      <c r="K3660" s="219" t="n"/>
      <c r="L3660" s="219" t="n"/>
      <c r="M3660" s="219" t="n"/>
      <c r="P3660" s="117" t="n"/>
      <c r="R3660" s="117" t="n"/>
      <c r="T3660" s="117" t="n"/>
    </row>
    <row r="3661">
      <c r="A3661" s="128" t="inlineStr">
        <is>
          <t>0008</t>
        </is>
      </c>
      <c r="B3661" s="246" t="inlineStr">
        <is>
          <t>TIPICO BOXER sin costura</t>
        </is>
      </c>
      <c r="C3661" s="88" t="n">
        <v>11500</v>
      </c>
      <c r="D3661" s="88">
        <f>ROUND((C3661*1.15)/100,0)*100</f>
        <v/>
      </c>
      <c r="E3661" s="88">
        <f>ROUND((C3661*1.32)/100,0)*100</f>
        <v/>
      </c>
      <c r="F3661" s="219" t="n"/>
      <c r="G3661" s="219" t="n"/>
      <c r="H3661" s="219">
        <f>ROUND((J3661*C3661)/100,0)*100</f>
        <v/>
      </c>
      <c r="I3661" s="219" t="n"/>
      <c r="J3661" s="118" t="n">
        <v>1.15</v>
      </c>
      <c r="K3661" s="219" t="n"/>
      <c r="L3661" s="219" t="n"/>
      <c r="M3661" s="219" t="n"/>
      <c r="P3661" s="117" t="n"/>
      <c r="R3661" s="117" t="n"/>
      <c r="T3661" s="117" t="n"/>
    </row>
    <row r="3662">
      <c r="A3662" s="128" t="inlineStr">
        <is>
          <t>000828</t>
        </is>
      </c>
      <c r="B3662" s="246" t="inlineStr">
        <is>
          <t>TIPICO BOXER sin costura</t>
        </is>
      </c>
      <c r="C3662" s="88" t="n">
        <v>11500</v>
      </c>
      <c r="D3662" s="88">
        <f>ROUND((C3662*1.15)/100,0)*100</f>
        <v/>
      </c>
      <c r="E3662" s="88">
        <f>ROUND((C3662*1.32)/100,0)*100</f>
        <v/>
      </c>
      <c r="F3662" s="219" t="n"/>
      <c r="G3662" s="219" t="n"/>
      <c r="H3662" s="219">
        <f>ROUND((J3662*C3662)/100,0)*100</f>
        <v/>
      </c>
      <c r="I3662" s="219" t="n"/>
      <c r="J3662" s="118" t="n">
        <v>1.15</v>
      </c>
      <c r="K3662" s="219" t="n"/>
      <c r="L3662" s="219" t="n"/>
      <c r="M3662" s="219" t="n"/>
      <c r="P3662" s="117" t="n"/>
      <c r="R3662" s="117" t="n"/>
      <c r="T3662" s="117" t="n"/>
    </row>
    <row r="3663">
      <c r="A3663" s="128" t="inlineStr">
        <is>
          <t>000898</t>
        </is>
      </c>
      <c r="B3663" s="246" t="inlineStr">
        <is>
          <t>TIPICO BOXER sin costura</t>
        </is>
      </c>
      <c r="C3663" s="88" t="n">
        <v>11500</v>
      </c>
      <c r="D3663" s="88">
        <f>ROUND((C3663*1.15)/100,0)*100</f>
        <v/>
      </c>
      <c r="E3663" s="88">
        <f>ROUND((C3663*1.32)/100,0)*100</f>
        <v/>
      </c>
      <c r="F3663" s="219" t="n"/>
      <c r="G3663" s="219" t="n"/>
      <c r="H3663" s="219">
        <f>ROUND((J3663*C3663)/100,0)*100</f>
        <v/>
      </c>
      <c r="I3663" s="219" t="n"/>
      <c r="J3663" s="118" t="n">
        <v>1.15</v>
      </c>
      <c r="K3663" s="219" t="n"/>
      <c r="L3663" s="219" t="n"/>
      <c r="M3663" s="219" t="n"/>
      <c r="P3663" s="117" t="n"/>
      <c r="R3663" s="117" t="n"/>
      <c r="T3663" s="117" t="n"/>
    </row>
    <row r="3664">
      <c r="A3664" s="128" t="inlineStr">
        <is>
          <t>8001</t>
        </is>
      </c>
      <c r="B3664" s="246" t="inlineStr">
        <is>
          <t>BOXER HBRE ESTAMP T: 2 - 5</t>
        </is>
      </c>
      <c r="C3664" s="88" t="n">
        <v>11500</v>
      </c>
      <c r="D3664" s="88">
        <f>ROUND((C3664*1.15)/100,0)*100</f>
        <v/>
      </c>
      <c r="E3664" s="88">
        <f>ROUND((C3664*1.32)/100,0)*100</f>
        <v/>
      </c>
      <c r="F3664" s="219" t="n"/>
      <c r="G3664" s="219" t="n"/>
      <c r="H3664" s="219">
        <f>ROUND((J3664*C3664)/100,0)*100</f>
        <v/>
      </c>
      <c r="I3664" s="219" t="n"/>
      <c r="J3664" s="118" t="n">
        <v>1.15</v>
      </c>
      <c r="K3664" s="219" t="n"/>
      <c r="L3664" s="219" t="n"/>
      <c r="M3664" s="219" t="n"/>
      <c r="P3664" s="117" t="n"/>
      <c r="R3664" s="117" t="n"/>
      <c r="T3664" s="117" t="n"/>
    </row>
    <row r="3665">
      <c r="A3665" s="128" t="inlineStr">
        <is>
          <t>18001</t>
        </is>
      </c>
      <c r="B3665" s="246" t="inlineStr">
        <is>
          <t>BOXER HBRE ESTAMP T: 6</t>
        </is>
      </c>
      <c r="C3665" s="88" t="n">
        <v>11500</v>
      </c>
      <c r="D3665" s="88">
        <f>ROUND((C3665*1.15)/100,0)*100</f>
        <v/>
      </c>
      <c r="E3665" s="88">
        <f>ROUND((C3665*1.32)/100,0)*100</f>
        <v/>
      </c>
      <c r="F3665" s="219" t="n"/>
      <c r="G3665" s="219" t="n"/>
      <c r="H3665" s="219">
        <f>ROUND((J3665*C3665)/100,0)*100</f>
        <v/>
      </c>
      <c r="I3665" s="219" t="n"/>
      <c r="J3665" s="118" t="n">
        <v>1.15</v>
      </c>
      <c r="K3665" s="219" t="n"/>
      <c r="L3665" s="219" t="n"/>
      <c r="M3665" s="219" t="n"/>
      <c r="P3665" s="117" t="n"/>
      <c r="R3665" s="117" t="n"/>
      <c r="T3665" s="117" t="n"/>
    </row>
    <row r="3666">
      <c r="A3666" s="128" t="inlineStr">
        <is>
          <t>8311</t>
        </is>
      </c>
      <c r="B3666" s="246" t="inlineStr">
        <is>
          <t>BOXER RIB HBRE ELAST. T: 1 - 5</t>
        </is>
      </c>
      <c r="C3666" s="88" t="n">
        <v>11500</v>
      </c>
      <c r="D3666" s="88">
        <f>ROUND((C3666*1.15)/100,0)*100</f>
        <v/>
      </c>
      <c r="E3666" s="88">
        <f>ROUND((C3666*1.32)/100,0)*100</f>
        <v/>
      </c>
      <c r="F3666" s="219" t="n"/>
      <c r="G3666" s="219" t="n"/>
      <c r="H3666" s="219">
        <f>ROUND((J3666*C3666)/100,0)*100</f>
        <v/>
      </c>
      <c r="I3666" s="219" t="n"/>
      <c r="J3666" s="118" t="n">
        <v>1.15</v>
      </c>
      <c r="K3666" s="219" t="n"/>
      <c r="L3666" s="219" t="n"/>
      <c r="M3666" s="219" t="n"/>
      <c r="P3666" s="117" t="n"/>
      <c r="R3666" s="117" t="n"/>
      <c r="T3666" s="117" t="n"/>
    </row>
    <row r="3667">
      <c r="A3667" s="128" t="inlineStr">
        <is>
          <t>8571</t>
        </is>
      </c>
      <c r="B3667" s="246" t="inlineStr">
        <is>
          <t>BOXER SEAMLESS HBRE T: 2 - 6</t>
        </is>
      </c>
      <c r="C3667" s="88" t="n">
        <v>11500</v>
      </c>
      <c r="D3667" s="88">
        <f>ROUND((C3667*1.15)/100,0)*100</f>
        <v/>
      </c>
      <c r="E3667" s="88">
        <f>ROUND((C3667*1.32)/100,0)*100</f>
        <v/>
      </c>
      <c r="F3667" s="219" t="n"/>
      <c r="G3667" s="219" t="n"/>
      <c r="H3667" s="219">
        <f>ROUND((J3667*C3667)/100,0)*100</f>
        <v/>
      </c>
      <c r="I3667" s="219" t="n"/>
      <c r="J3667" s="118" t="n">
        <v>1.15</v>
      </c>
      <c r="K3667" s="219" t="n"/>
      <c r="L3667" s="219" t="n"/>
      <c r="M3667" s="219" t="n"/>
      <c r="P3667" s="117" t="n"/>
      <c r="R3667" s="117" t="n"/>
      <c r="T3667" s="117" t="n"/>
    </row>
    <row r="3668">
      <c r="A3668" s="128" t="inlineStr">
        <is>
          <t>8771</t>
        </is>
      </c>
      <c r="B3668" s="246" t="inlineStr">
        <is>
          <t>BOXER SEAMLESS RAY DISC T: 2 - 5</t>
        </is>
      </c>
      <c r="C3668" s="88" t="n">
        <v>11500</v>
      </c>
      <c r="D3668" s="88">
        <f>ROUND((C3668*1.15)/100,0)*100</f>
        <v/>
      </c>
      <c r="E3668" s="88">
        <f>ROUND((C3668*1.32)/100,0)*100</f>
        <v/>
      </c>
      <c r="F3668" s="219" t="n"/>
      <c r="G3668" s="219" t="n"/>
      <c r="H3668" s="219">
        <f>ROUND((J3668*C3668)/100,0)*100</f>
        <v/>
      </c>
      <c r="I3668" s="219" t="n"/>
      <c r="J3668" s="118" t="n">
        <v>1.15</v>
      </c>
      <c r="K3668" s="219" t="n"/>
      <c r="L3668" s="219" t="n"/>
      <c r="M3668" s="219" t="n"/>
      <c r="P3668" s="117" t="n"/>
      <c r="R3668" s="117" t="n"/>
      <c r="T3668" s="117" t="n"/>
    </row>
    <row r="3669">
      <c r="A3669" s="128" t="inlineStr">
        <is>
          <t>8961</t>
        </is>
      </c>
      <c r="B3669" s="246" t="inlineStr">
        <is>
          <t>RI BOXER RAYADO T:2-6</t>
        </is>
      </c>
      <c r="C3669" s="88" t="n">
        <v>11500</v>
      </c>
      <c r="D3669" s="88">
        <f>ROUND((C3669*1.15)/100,0)*100</f>
        <v/>
      </c>
      <c r="E3669" s="88">
        <f>ROUND((C3669*1.32)/100,0)*100</f>
        <v/>
      </c>
      <c r="F3669" s="219" t="n"/>
      <c r="G3669" s="219" t="n"/>
      <c r="H3669" s="219">
        <f>ROUND((J3669*C3669)/100,0)*100</f>
        <v/>
      </c>
      <c r="I3669" s="219" t="n"/>
      <c r="J3669" s="118" t="n">
        <v>1.15</v>
      </c>
      <c r="K3669" s="219" t="n"/>
      <c r="L3669" s="219" t="n"/>
      <c r="M3669" s="219" t="n"/>
      <c r="P3669" s="117" t="n"/>
      <c r="R3669" s="117" t="n"/>
      <c r="T3669" s="117" t="n"/>
    </row>
    <row r="3670">
      <c r="A3670" s="128" t="inlineStr">
        <is>
          <t>8971</t>
        </is>
      </c>
      <c r="B3670" s="246" t="inlineStr">
        <is>
          <t>BOXER SIN COSTURAS LISO 2-5</t>
        </is>
      </c>
      <c r="C3670" s="88" t="n">
        <v>11500</v>
      </c>
      <c r="D3670" s="88">
        <f>ROUND((C3670*1.15)/100,0)*100</f>
        <v/>
      </c>
      <c r="E3670" s="88">
        <f>ROUND((C3670*1.32)/100,0)*100</f>
        <v/>
      </c>
      <c r="F3670" s="219" t="n"/>
      <c r="G3670" s="219" t="n"/>
      <c r="H3670" s="219">
        <f>ROUND((J3670*C3670)/100,0)*100</f>
        <v/>
      </c>
      <c r="I3670" s="219" t="n"/>
      <c r="J3670" s="118" t="n">
        <v>1.15</v>
      </c>
      <c r="K3670" s="219" t="n"/>
      <c r="L3670" s="219" t="n"/>
      <c r="M3670" s="219" t="n"/>
      <c r="P3670" s="117" t="n"/>
      <c r="R3670" s="117" t="n"/>
      <c r="T3670" s="117" t="n"/>
    </row>
    <row r="3671">
      <c r="A3671" s="128" t="inlineStr">
        <is>
          <t>8980</t>
        </is>
      </c>
      <c r="B3671" s="246" t="inlineStr">
        <is>
          <t>BOXER VISCOSA T:2-6</t>
        </is>
      </c>
      <c r="C3671" s="88" t="n">
        <v>11500</v>
      </c>
      <c r="D3671" s="88">
        <f>ROUND((C3671*1.15)/100,0)*100</f>
        <v/>
      </c>
      <c r="E3671" s="88">
        <f>ROUND((C3671*1.32)/100,0)*100</f>
        <v/>
      </c>
      <c r="F3671" s="219" t="n"/>
      <c r="G3671" s="219" t="n"/>
      <c r="H3671" s="219">
        <f>ROUND((J3671*C3671)/100,0)*100</f>
        <v/>
      </c>
      <c r="I3671" s="219" t="n"/>
      <c r="J3671" s="118" t="n">
        <v>1.15</v>
      </c>
      <c r="K3671" s="219" t="n"/>
      <c r="L3671" s="219" t="n"/>
      <c r="M3671" s="219" t="n"/>
      <c r="P3671" s="117" t="n"/>
      <c r="R3671" s="117" t="n"/>
      <c r="T3671" s="117" t="n"/>
    </row>
    <row r="3672">
      <c r="A3672" s="128" t="inlineStr">
        <is>
          <t>2901</t>
        </is>
      </c>
      <c r="B3672" s="246" t="inlineStr">
        <is>
          <t>BOXER POLO CLUB</t>
        </is>
      </c>
      <c r="C3672" s="88" t="n">
        <v>11500</v>
      </c>
      <c r="D3672" s="88">
        <f>ROUND((C3672*1.15)/100,0)*100</f>
        <v/>
      </c>
      <c r="E3672" s="88">
        <f>ROUND((C3672*1.32)/100,0)*100</f>
        <v/>
      </c>
      <c r="F3672" s="219" t="n"/>
      <c r="G3672" s="219" t="n"/>
      <c r="H3672" s="219">
        <f>ROUND((J3672*C3672)/100,0)*100</f>
        <v/>
      </c>
      <c r="I3672" s="219" t="n"/>
      <c r="J3672" s="118" t="n">
        <v>1.15</v>
      </c>
      <c r="K3672" s="219" t="n"/>
      <c r="L3672" s="219" t="n"/>
      <c r="M3672" s="219" t="n"/>
      <c r="P3672" s="117" t="n"/>
      <c r="R3672" s="117" t="n"/>
      <c r="T3672" s="117" t="n"/>
    </row>
    <row r="3673">
      <c r="A3673" s="128" t="inlineStr">
        <is>
          <t>2940</t>
        </is>
      </c>
      <c r="B3673" s="246" t="inlineStr">
        <is>
          <t>BOXER POLO CLUB</t>
        </is>
      </c>
      <c r="C3673" s="88" t="n">
        <v>11500</v>
      </c>
      <c r="D3673" s="88">
        <f>ROUND((C3673*1.15)/100,0)*100</f>
        <v/>
      </c>
      <c r="E3673" s="88">
        <f>ROUND((C3673*1.32)/100,0)*100</f>
        <v/>
      </c>
      <c r="F3673" s="219" t="n"/>
      <c r="G3673" s="219" t="n"/>
      <c r="H3673" s="219">
        <f>ROUND((J3673*C3673)/100,0)*100</f>
        <v/>
      </c>
      <c r="I3673" s="219" t="n"/>
      <c r="J3673" s="118" t="n">
        <v>1.15</v>
      </c>
      <c r="K3673" s="219" t="n"/>
      <c r="L3673" s="219" t="n"/>
      <c r="M3673" s="219" t="n"/>
      <c r="P3673" s="117" t="n"/>
      <c r="R3673" s="117" t="n"/>
      <c r="T3673" s="117" t="n"/>
    </row>
    <row r="3674">
      <c r="A3674" s="134" t="inlineStr">
        <is>
          <t>A977</t>
        </is>
      </c>
      <c r="B3674" s="131" t="inlineStr">
        <is>
          <t>DALMATEX CALZONCILLO LARGO</t>
        </is>
      </c>
      <c r="C3674" s="88" t="n">
        <v>22500</v>
      </c>
      <c r="D3674" s="88">
        <f>ROUND((C3674*1.15)/100,0)*100</f>
        <v/>
      </c>
      <c r="E3674" s="88">
        <f>ROUND((C3674*1.32)/100,0)*100</f>
        <v/>
      </c>
      <c r="F3674" s="219" t="n"/>
      <c r="G3674" s="219" t="n"/>
      <c r="H3674" s="219">
        <f>ROUND((J3674*C3674)/100,0)*100</f>
        <v/>
      </c>
      <c r="I3674" s="219" t="n"/>
      <c r="J3674" s="118" t="n">
        <v>1.15</v>
      </c>
      <c r="K3674" s="219" t="n"/>
      <c r="L3674" s="219" t="n"/>
      <c r="M3674" s="219" t="n"/>
      <c r="P3674" s="117" t="n"/>
      <c r="R3674" s="117" t="n"/>
      <c r="T3674" s="117" t="n"/>
    </row>
    <row r="3675">
      <c r="A3675" s="128" t="n"/>
      <c r="B3675" s="246" t="n"/>
      <c r="C3675" s="219" t="n"/>
      <c r="D3675" s="219" t="n"/>
      <c r="E3675" s="219" t="n"/>
      <c r="F3675" s="219" t="n"/>
      <c r="G3675" s="219" t="n"/>
      <c r="H3675" s="219" t="n"/>
      <c r="I3675" s="219" t="n"/>
      <c r="J3675" s="219" t="n"/>
      <c r="K3675" s="219" t="n"/>
      <c r="L3675" s="219" t="n"/>
      <c r="M3675" s="219" t="n"/>
      <c r="P3675" s="117" t="n"/>
      <c r="R3675" s="117" t="n"/>
      <c r="T3675" s="117" t="n"/>
    </row>
    <row r="3676">
      <c r="A3676" s="128" t="n"/>
      <c r="B3676" s="194" t="inlineStr">
        <is>
          <t>MEDIAS</t>
        </is>
      </c>
      <c r="C3676" s="219" t="n"/>
      <c r="D3676" s="219" t="n"/>
      <c r="E3676" s="219" t="n"/>
      <c r="F3676" s="219" t="n"/>
      <c r="G3676" s="219" t="n"/>
      <c r="H3676" s="219" t="n"/>
      <c r="I3676" s="219" t="n"/>
      <c r="J3676" s="219" t="n"/>
      <c r="K3676" s="128" t="inlineStr">
        <is>
          <t>04/25</t>
        </is>
      </c>
      <c r="L3676" s="219" t="n"/>
      <c r="M3676" s="219" t="n"/>
      <c r="P3676" s="117" t="n"/>
      <c r="R3676" s="117" t="n"/>
      <c r="T3676" s="117" t="n"/>
    </row>
    <row r="3677">
      <c r="A3677" s="128" t="inlineStr">
        <is>
          <t>506</t>
        </is>
      </c>
      <c r="B3677" s="246" t="inlineStr">
        <is>
          <t>HIMALAYA MORLEY S/ELAST STRECH</t>
        </is>
      </c>
      <c r="C3677" s="219" t="n">
        <v>5300</v>
      </c>
      <c r="D3677" s="219" t="n"/>
      <c r="E3677" s="219" t="n"/>
      <c r="F3677" s="219" t="n"/>
      <c r="G3677" s="219" t="n"/>
      <c r="H3677" s="219" t="n"/>
      <c r="I3677" s="219">
        <f>ROUND((J3677*C3677)/100,0)*100</f>
        <v/>
      </c>
      <c r="J3677" s="118" t="n">
        <v>1.15</v>
      </c>
      <c r="K3677" s="195" t="n"/>
      <c r="L3677" s="195" t="n"/>
      <c r="M3677" s="219" t="n"/>
      <c r="P3677" s="117" t="n"/>
      <c r="R3677" s="117" t="n"/>
      <c r="T3677" s="117" t="n"/>
    </row>
    <row r="3678">
      <c r="A3678" s="128" t="inlineStr">
        <is>
          <t>1310</t>
        </is>
      </c>
      <c r="B3678" s="246" t="inlineStr">
        <is>
          <t>SAYER MORLEY EXTRASUAVE</t>
        </is>
      </c>
      <c r="C3678" s="219" t="n">
        <v>6900</v>
      </c>
      <c r="D3678" s="219" t="n"/>
      <c r="E3678" s="219" t="n"/>
      <c r="F3678" s="219" t="n"/>
      <c r="G3678" s="219" t="n"/>
      <c r="H3678" s="219" t="n"/>
      <c r="I3678" s="219">
        <f>ROUND((J3678*C3678)/100,0)*100</f>
        <v/>
      </c>
      <c r="J3678" s="118" t="n">
        <v>1.15</v>
      </c>
      <c r="K3678" s="195" t="n"/>
      <c r="L3678" s="195" t="n"/>
      <c r="M3678" s="219" t="n"/>
      <c r="P3678" s="117" t="n"/>
      <c r="R3678" s="117" t="n"/>
      <c r="T3678" s="117" t="n"/>
    </row>
    <row r="3679">
      <c r="A3679" s="196" t="inlineStr">
        <is>
          <t>SOX DEPORTIVA</t>
        </is>
      </c>
      <c r="B3679" s="246" t="inlineStr">
        <is>
          <t>SIN CAÑA Y C. CORTA</t>
        </is>
      </c>
      <c r="C3679" s="219" t="n">
        <v>9500</v>
      </c>
      <c r="D3679" s="219" t="n"/>
      <c r="E3679" s="219" t="n"/>
      <c r="F3679" s="219" t="n"/>
      <c r="G3679" s="219" t="n"/>
      <c r="H3679" s="219" t="n"/>
      <c r="I3679" s="219">
        <f>ROUND((J3679*C3679)/100,0)*100</f>
        <v/>
      </c>
      <c r="J3679" s="118" t="n">
        <v>1.15</v>
      </c>
      <c r="K3679" s="195" t="n"/>
      <c r="L3679" s="195" t="n"/>
      <c r="M3679" s="219" t="n"/>
      <c r="P3679" s="117" t="n"/>
      <c r="R3679" s="117" t="n"/>
      <c r="T3679" s="117" t="n"/>
    </row>
    <row r="3680">
      <c r="A3680" s="196" t="inlineStr">
        <is>
          <t>SOX DEPORTIVA</t>
        </is>
      </c>
      <c r="B3680" s="246" t="inlineStr">
        <is>
          <t>CAÑA NORMAL</t>
        </is>
      </c>
      <c r="C3680" s="219" t="n">
        <v>12300</v>
      </c>
      <c r="D3680" s="219" t="n"/>
      <c r="E3680" s="219" t="n"/>
      <c r="F3680" s="219" t="n"/>
      <c r="G3680" s="219" t="n"/>
      <c r="H3680" s="219" t="n"/>
      <c r="I3680" s="219">
        <f>ROUND((J3680*C3680)/100,0)*100</f>
        <v/>
      </c>
      <c r="J3680" s="118" t="n">
        <v>1.15</v>
      </c>
      <c r="K3680" s="195" t="n"/>
      <c r="L3680" s="195" t="n"/>
      <c r="M3680" s="219" t="n"/>
      <c r="P3680" s="117" t="n"/>
      <c r="R3680" s="117" t="n"/>
      <c r="T3680" s="117" t="n"/>
    </row>
    <row r="3681">
      <c r="A3681" s="196" t="inlineStr">
        <is>
          <t>SOX DEPORTIVA</t>
        </is>
      </c>
      <c r="B3681" s="246" t="inlineStr">
        <is>
          <t>CAÑA NORMAL PESADA</t>
        </is>
      </c>
      <c r="C3681" s="219" t="n">
        <v>14200</v>
      </c>
      <c r="D3681" s="219" t="n"/>
      <c r="E3681" s="219" t="n"/>
      <c r="F3681" s="219" t="n"/>
      <c r="G3681" s="219" t="n"/>
      <c r="H3681" s="219" t="n"/>
      <c r="I3681" s="219">
        <f>ROUND((J3681*C3681)/100,0)*100</f>
        <v/>
      </c>
      <c r="J3681" s="118" t="n">
        <v>1.15</v>
      </c>
      <c r="K3681" s="195" t="n"/>
      <c r="L3681" s="195" t="n"/>
      <c r="M3681" s="219" t="n"/>
      <c r="P3681" s="117" t="n"/>
      <c r="R3681" s="117" t="n"/>
      <c r="T3681" s="117" t="n"/>
    </row>
    <row r="3682">
      <c r="A3682" s="196" t="inlineStr">
        <is>
          <t>SOX JEANERAS</t>
        </is>
      </c>
      <c r="B3682" s="246" t="inlineStr">
        <is>
          <t>SOX JEANERAS FINAS</t>
        </is>
      </c>
      <c r="C3682" s="219" t="n">
        <v>12500</v>
      </c>
      <c r="D3682" s="219" t="n"/>
      <c r="E3682" s="219" t="n"/>
      <c r="F3682" s="219" t="n"/>
      <c r="G3682" s="219" t="n"/>
      <c r="H3682" s="219" t="n"/>
      <c r="I3682" s="219">
        <f>ROUND((J3682*C3682)/100,0)*100</f>
        <v/>
      </c>
      <c r="J3682" s="118" t="n">
        <v>1.15</v>
      </c>
      <c r="K3682" s="195" t="n"/>
      <c r="L3682" s="195" t="n"/>
      <c r="M3682" s="219" t="n"/>
      <c r="P3682" s="117" t="n"/>
      <c r="R3682" s="117" t="n"/>
      <c r="T3682" s="117" t="n"/>
    </row>
    <row r="3683">
      <c r="A3683" s="196" t="inlineStr">
        <is>
          <t>SOX JEANERAS</t>
        </is>
      </c>
      <c r="B3683" s="246" t="inlineStr">
        <is>
          <t>SOX TRIPACK JEANERAS</t>
        </is>
      </c>
      <c r="C3683" s="219" t="n">
        <v>28500</v>
      </c>
      <c r="D3683" s="219" t="n"/>
      <c r="E3683" s="219" t="n"/>
      <c r="F3683" s="219" t="n"/>
      <c r="G3683" s="219" t="n"/>
      <c r="H3683" s="219" t="n"/>
      <c r="I3683" s="219">
        <f>ROUND((J3683*C3683)/100,0)*100</f>
        <v/>
      </c>
      <c r="J3683" s="118" t="n">
        <v>1.15</v>
      </c>
      <c r="K3683" s="195" t="n"/>
      <c r="L3683" s="195" t="n"/>
      <c r="M3683" s="219" t="n"/>
      <c r="P3683" s="117" t="n"/>
      <c r="R3683" s="117" t="n"/>
      <c r="T3683" s="117" t="n"/>
    </row>
    <row r="3684">
      <c r="A3684" s="128" t="inlineStr">
        <is>
          <t>DE1X RUNNING</t>
        </is>
      </c>
      <c r="B3684" s="246" t="inlineStr">
        <is>
          <t>SOX TECNOLOGICAS LINEA DE</t>
        </is>
      </c>
      <c r="C3684" s="219" t="n">
        <v>31400</v>
      </c>
      <c r="D3684" s="219" t="n"/>
      <c r="E3684" s="219" t="n"/>
      <c r="F3684" s="219" t="n"/>
      <c r="G3684" s="219" t="n"/>
      <c r="H3684" s="219" t="n"/>
      <c r="I3684" s="219">
        <f>ROUND((J3684*C3684)/100,0)*100</f>
        <v/>
      </c>
      <c r="J3684" s="118" t="n">
        <v>1.15</v>
      </c>
      <c r="K3684" s="195" t="n"/>
      <c r="L3684" s="195" t="n"/>
      <c r="M3684" s="219" t="n"/>
      <c r="P3684" s="117" t="n"/>
      <c r="R3684" s="117" t="n"/>
      <c r="T3684" s="117" t="n"/>
    </row>
    <row r="3685">
      <c r="A3685" s="128" t="inlineStr">
        <is>
          <t>INVIERNO</t>
        </is>
      </c>
      <c r="B3685" s="246" t="inlineStr">
        <is>
          <t>SOX INVIERNO GRUESAS</t>
        </is>
      </c>
      <c r="C3685" s="219" t="n">
        <v>13700</v>
      </c>
      <c r="D3685" s="219" t="n"/>
      <c r="E3685" s="219" t="n"/>
      <c r="F3685" s="219" t="n"/>
      <c r="G3685" s="219" t="n"/>
      <c r="H3685" s="219" t="n"/>
      <c r="I3685" s="219">
        <f>ROUND((J3685*C3685)/100,0)*100</f>
        <v/>
      </c>
      <c r="J3685" s="118" t="n">
        <v>1.15</v>
      </c>
      <c r="K3685" s="195" t="n"/>
      <c r="L3685" s="195" t="n"/>
      <c r="M3685" s="219" t="n"/>
      <c r="P3685" s="117" t="n"/>
      <c r="R3685" s="117" t="n"/>
      <c r="T3685" s="117" t="n"/>
    </row>
    <row r="3686">
      <c r="A3686" s="128" t="inlineStr">
        <is>
          <t>TE1X SKI INVIERNO</t>
        </is>
      </c>
      <c r="B3686" s="246" t="inlineStr">
        <is>
          <t>SOX TECNOLOGICAS TE1X</t>
        </is>
      </c>
      <c r="C3686" s="219" t="n">
        <v>23800</v>
      </c>
      <c r="D3686" s="219" t="n"/>
      <c r="E3686" s="219" t="n"/>
      <c r="F3686" s="219" t="n"/>
      <c r="G3686" s="219" t="n"/>
      <c r="H3686" s="219" t="n"/>
      <c r="I3686" s="219">
        <f>ROUND((J3686*C3686)/100,0)*100</f>
        <v/>
      </c>
      <c r="J3686" s="118" t="n">
        <v>1.15</v>
      </c>
      <c r="K3686" s="195" t="n"/>
      <c r="L3686" s="195" t="n"/>
      <c r="M3686" s="219" t="n"/>
      <c r="P3686" s="117" t="n"/>
      <c r="R3686" s="117" t="n"/>
      <c r="T3686" s="117" t="n"/>
    </row>
    <row r="3687">
      <c r="A3687" s="128" t="inlineStr">
        <is>
          <t>INVIERNO LARGAS</t>
        </is>
      </c>
      <c r="B3687" s="246" t="inlineStr">
        <is>
          <t>SOX INVIERNO RODILLA</t>
        </is>
      </c>
      <c r="C3687" s="219" t="n">
        <v>22900</v>
      </c>
      <c r="D3687" s="219" t="n"/>
      <c r="E3687" s="219" t="n"/>
      <c r="F3687" s="219" t="n"/>
      <c r="G3687" s="219" t="n"/>
      <c r="H3687" s="219" t="n"/>
      <c r="I3687" s="219">
        <f>ROUND((J3687*C3687)/100,0)*100</f>
        <v/>
      </c>
      <c r="J3687" s="118" t="n">
        <v>1.15</v>
      </c>
      <c r="K3687" s="195" t="n"/>
      <c r="L3687" s="195" t="n"/>
      <c r="M3687" s="219" t="n"/>
      <c r="P3687" s="117" t="n"/>
      <c r="R3687" s="117" t="n"/>
      <c r="T3687" s="117" t="n"/>
    </row>
    <row r="3688">
      <c r="A3688" s="128" t="inlineStr">
        <is>
          <t>ME01C</t>
        </is>
      </c>
      <c r="B3688" s="246" t="inlineStr">
        <is>
          <t>SOX</t>
        </is>
      </c>
      <c r="C3688" s="219" t="n">
        <v>20400</v>
      </c>
      <c r="D3688" s="219" t="n"/>
      <c r="E3688" s="219" t="n"/>
      <c r="F3688" s="219" t="n"/>
      <c r="G3688" s="219" t="n"/>
      <c r="H3688" s="219" t="n"/>
      <c r="I3688" s="219">
        <f>ROUND((J3688*C3688)/100,0)*100</f>
        <v/>
      </c>
      <c r="J3688" s="118" t="n">
        <v>1.15</v>
      </c>
      <c r="K3688" s="195" t="n"/>
      <c r="L3688" s="195" t="n"/>
      <c r="M3688" s="219" t="n"/>
      <c r="P3688" s="117" t="n"/>
      <c r="R3688" s="117" t="n"/>
      <c r="T3688" s="117" t="n"/>
    </row>
    <row r="3689">
      <c r="A3689" s="128" t="n"/>
      <c r="B3689" s="246" t="inlineStr">
        <is>
          <t>SOX TRIPACK CORTAS</t>
        </is>
      </c>
      <c r="C3689" s="219" t="n">
        <v>22000</v>
      </c>
      <c r="D3689" s="219" t="n"/>
      <c r="E3689" s="219" t="n"/>
      <c r="F3689" s="219" t="n"/>
      <c r="G3689" s="219" t="n"/>
      <c r="H3689" s="219" t="n"/>
      <c r="I3689" s="219">
        <f>ROUND((J3689*C3689)/100,0)*100</f>
        <v/>
      </c>
      <c r="J3689" s="118" t="n">
        <v>1.15</v>
      </c>
      <c r="K3689" s="195" t="n"/>
      <c r="L3689" s="195" t="n"/>
      <c r="M3689" s="219" t="n"/>
      <c r="P3689" s="117" t="n"/>
      <c r="R3689" s="117" t="n"/>
      <c r="T3689" s="117" t="n"/>
    </row>
    <row r="3690">
      <c r="A3690" s="128" t="inlineStr">
        <is>
          <t>10000XXX</t>
        </is>
      </c>
      <c r="B3690" s="197" t="inlineStr">
        <is>
          <t>TAVERNITI MEDIAS</t>
        </is>
      </c>
      <c r="C3690" s="219" t="n">
        <v>32800</v>
      </c>
      <c r="D3690" s="219" t="n"/>
      <c r="E3690" s="219" t="n"/>
      <c r="F3690" s="219" t="n"/>
      <c r="G3690" s="219" t="n"/>
      <c r="H3690" s="219" t="n"/>
      <c r="I3690" s="219">
        <f>ROUND((J3690*C3690)/100,0)*100</f>
        <v/>
      </c>
      <c r="J3690" s="118" t="n">
        <v>1.15</v>
      </c>
      <c r="K3690" s="195" t="n"/>
      <c r="L3690" s="195" t="n"/>
      <c r="M3690" s="219" t="n"/>
      <c r="P3690" s="117" t="n"/>
      <c r="R3690" s="117" t="n"/>
      <c r="T3690" s="117" t="n"/>
    </row>
    <row r="3691">
      <c r="A3691" s="128" t="inlineStr">
        <is>
          <t>10028XXX</t>
        </is>
      </c>
      <c r="B3691" s="246" t="inlineStr">
        <is>
          <t>TAVERNITI MEDIAS</t>
        </is>
      </c>
      <c r="C3691" s="219" t="n">
        <v>30700</v>
      </c>
      <c r="D3691" s="219" t="n"/>
      <c r="E3691" s="219" t="n"/>
      <c r="F3691" s="219" t="n"/>
      <c r="G3691" s="219" t="n"/>
      <c r="H3691" s="219" t="n"/>
      <c r="I3691" s="219">
        <f>ROUND((J3691*C3691)/100,0)*100</f>
        <v/>
      </c>
      <c r="J3691" s="118" t="n">
        <v>1.15</v>
      </c>
      <c r="K3691" s="195" t="n"/>
      <c r="L3691" s="195" t="n"/>
      <c r="M3691" s="219" t="n"/>
      <c r="P3691" s="117" t="n"/>
      <c r="R3691" s="117" t="n"/>
      <c r="T3691" s="117" t="n"/>
    </row>
    <row r="3692">
      <c r="A3692" s="128" t="inlineStr">
        <is>
          <t>10060XXX</t>
        </is>
      </c>
      <c r="B3692" s="246" t="inlineStr">
        <is>
          <t>TAVERNITI SOQUETES</t>
        </is>
      </c>
      <c r="C3692" s="219" t="n">
        <v>30700</v>
      </c>
      <c r="D3692" s="219" t="n"/>
      <c r="E3692" s="219" t="n"/>
      <c r="F3692" s="219" t="n"/>
      <c r="G3692" s="219" t="n"/>
      <c r="H3692" s="219" t="n"/>
      <c r="I3692" s="219">
        <f>ROUND((J3692*C3692)/100,0)*100</f>
        <v/>
      </c>
      <c r="J3692" s="118" t="n">
        <v>1.15</v>
      </c>
      <c r="K3692" s="195" t="n"/>
      <c r="L3692" s="195" t="n"/>
      <c r="M3692" s="219" t="n"/>
      <c r="P3692" s="117" t="n"/>
      <c r="R3692" s="117" t="n"/>
      <c r="T3692" s="117" t="n"/>
    </row>
    <row r="3693">
      <c r="A3693" s="128" t="inlineStr">
        <is>
          <t>10066XXX</t>
        </is>
      </c>
      <c r="B3693" s="246" t="inlineStr">
        <is>
          <t>TAVERNITI MEDIAS</t>
        </is>
      </c>
      <c r="C3693" s="219" t="n">
        <v>32800</v>
      </c>
      <c r="D3693" s="219" t="n"/>
      <c r="E3693" s="219" t="n"/>
      <c r="F3693" s="219" t="n"/>
      <c r="G3693" s="219" t="n"/>
      <c r="H3693" s="219" t="n"/>
      <c r="I3693" s="219">
        <f>ROUND((J3693*C3693)/100,0)*100</f>
        <v/>
      </c>
      <c r="J3693" s="118" t="n">
        <v>1.15</v>
      </c>
      <c r="K3693" s="195" t="n"/>
      <c r="L3693" s="195" t="n"/>
      <c r="M3693" s="219" t="n"/>
      <c r="P3693" s="117" t="n"/>
      <c r="R3693" s="117" t="n"/>
      <c r="T3693" s="117" t="n"/>
    </row>
    <row r="3694">
      <c r="A3694" s="128" t="n"/>
      <c r="B3694" s="246" t="n"/>
      <c r="C3694" s="219" t="n"/>
      <c r="D3694" s="219" t="n"/>
      <c r="E3694" s="219" t="n"/>
      <c r="F3694" s="219" t="n"/>
      <c r="G3694" s="219" t="n"/>
      <c r="H3694" s="219" t="n"/>
      <c r="I3694" s="219" t="n"/>
      <c r="J3694" s="195" t="n"/>
      <c r="K3694" s="195" t="n"/>
      <c r="L3694" s="195" t="n"/>
      <c r="M3694" s="219" t="n"/>
      <c r="P3694" s="117" t="n"/>
      <c r="R3694" s="117" t="n"/>
      <c r="T3694" s="117" t="n"/>
    </row>
    <row r="3695">
      <c r="A3695" s="128" t="n"/>
      <c r="B3695" s="246" t="n"/>
      <c r="C3695" s="219" t="n"/>
      <c r="D3695" s="219" t="n"/>
      <c r="E3695" s="219" t="n"/>
      <c r="F3695" s="219" t="n"/>
      <c r="G3695" s="219" t="n"/>
      <c r="H3695" s="219" t="n"/>
      <c r="I3695" s="219" t="n"/>
      <c r="J3695" s="195" t="n"/>
      <c r="K3695" s="195" t="n"/>
      <c r="L3695" s="195" t="n"/>
      <c r="M3695" s="219" t="n"/>
      <c r="P3695" s="117" t="n"/>
      <c r="R3695" s="117" t="n"/>
      <c r="T3695" s="117" t="n"/>
    </row>
    <row r="3696">
      <c r="A3696" s="128" t="n"/>
      <c r="B3696" s="171" t="inlineStr">
        <is>
          <t>CINTOS/CORBATAS/ACCESORIOS</t>
        </is>
      </c>
      <c r="C3696" s="219" t="n"/>
      <c r="D3696" s="219" t="n"/>
      <c r="E3696" s="219" t="n"/>
      <c r="F3696" s="219" t="n"/>
      <c r="G3696" s="219" t="n"/>
      <c r="H3696" s="219" t="n"/>
      <c r="I3696" s="219" t="n"/>
      <c r="J3696" s="195" t="n"/>
      <c r="K3696" s="128" t="inlineStr">
        <is>
          <t>4/25</t>
        </is>
      </c>
      <c r="L3696" s="195" t="n"/>
      <c r="M3696" s="219" t="n"/>
      <c r="P3696" s="117" t="n"/>
      <c r="R3696" s="117" t="n"/>
      <c r="T3696" s="117" t="n"/>
    </row>
    <row r="3697">
      <c r="A3697" s="128" t="n"/>
      <c r="B3697" s="246" t="inlineStr">
        <is>
          <t>100% CUERO SANTA FE</t>
        </is>
      </c>
      <c r="C3697" s="219" t="n">
        <v>38200</v>
      </c>
      <c r="D3697" s="219" t="n"/>
      <c r="E3697" s="219" t="n"/>
      <c r="F3697" s="219" t="n"/>
      <c r="G3697" s="219" t="n"/>
      <c r="H3697" s="219" t="n"/>
      <c r="I3697" s="117">
        <f>ROUND((SUM(C3697*J3697))/100,0)*100</f>
        <v/>
      </c>
      <c r="J3697" s="118" t="n">
        <v>1.35</v>
      </c>
      <c r="M3697" s="219" t="n"/>
      <c r="P3697" s="117" t="n"/>
      <c r="R3697" s="117" t="n"/>
      <c r="T3697" s="117" t="n"/>
    </row>
    <row r="3698">
      <c r="A3698" s="128" t="n"/>
      <c r="B3698" s="246" t="inlineStr">
        <is>
          <t>VESTIR ANGOSTO 90-115</t>
        </is>
      </c>
      <c r="C3698" s="219" t="n">
        <v>33100</v>
      </c>
      <c r="D3698" s="219" t="n"/>
      <c r="E3698" s="219" t="n"/>
      <c r="F3698" s="219" t="n"/>
      <c r="G3698" s="219" t="n"/>
      <c r="H3698" s="219" t="n"/>
      <c r="I3698" s="117">
        <f>ROUND((SUM(C3698*J3698))/100,0)*100</f>
        <v/>
      </c>
      <c r="J3698" s="118" t="n">
        <v>1.35</v>
      </c>
      <c r="M3698" s="219" t="n"/>
      <c r="P3698" s="117" t="n"/>
      <c r="R3698" s="117" t="n"/>
      <c r="T3698" s="117" t="n"/>
    </row>
    <row r="3699">
      <c r="A3699" s="128" t="n"/>
      <c r="B3699" s="246" t="inlineStr">
        <is>
          <t>VESTIR ANCHO 90-115</t>
        </is>
      </c>
      <c r="C3699" s="219" t="n">
        <v>37200</v>
      </c>
      <c r="D3699" s="219" t="n"/>
      <c r="E3699" s="219" t="n"/>
      <c r="F3699" s="219" t="n"/>
      <c r="G3699" s="219" t="n"/>
      <c r="H3699" s="219" t="n"/>
      <c r="I3699" s="117">
        <f>ROUND((SUM(C3699*J3699))/100,0)*100</f>
        <v/>
      </c>
      <c r="J3699" s="118" t="n">
        <v>1.35</v>
      </c>
      <c r="M3699" s="219" t="n"/>
      <c r="P3699" s="117" t="n"/>
      <c r="R3699" s="117" t="n"/>
      <c r="T3699" s="117" t="n"/>
    </row>
    <row r="3700">
      <c r="A3700" s="128" t="n"/>
      <c r="B3700" s="246" t="inlineStr">
        <is>
          <t>VESTIR 120-160</t>
        </is>
      </c>
      <c r="C3700" s="219" t="n">
        <v>27000</v>
      </c>
      <c r="D3700" s="219" t="n"/>
      <c r="E3700" s="219" t="n"/>
      <c r="F3700" s="219" t="n"/>
      <c r="G3700" s="219" t="n"/>
      <c r="H3700" s="219" t="n"/>
      <c r="I3700" s="117">
        <f>ROUND((SUM(C3700*J3700))/100,0)*100</f>
        <v/>
      </c>
      <c r="J3700" s="118" t="n">
        <v>1.35</v>
      </c>
      <c r="M3700" s="219" t="n"/>
      <c r="P3700" s="117" t="n"/>
      <c r="R3700" s="117" t="n"/>
      <c r="T3700" s="117" t="n"/>
    </row>
    <row r="3701">
      <c r="A3701" s="128" t="inlineStr">
        <is>
          <t>89001</t>
        </is>
      </c>
      <c r="B3701" s="246" t="inlineStr">
        <is>
          <t>KLWS KALEWANSHEN TODOS</t>
        </is>
      </c>
      <c r="C3701" s="219" t="n">
        <v>19400</v>
      </c>
      <c r="D3701" s="219" t="n"/>
      <c r="E3701" s="219" t="n"/>
      <c r="F3701" s="219" t="n"/>
      <c r="G3701" s="219" t="n"/>
      <c r="H3701" s="219" t="n"/>
      <c r="I3701" s="117">
        <f>ROUND((SUM(C3701*J3701))/100,0)*100</f>
        <v/>
      </c>
      <c r="J3701" s="118" t="n">
        <v>1.35</v>
      </c>
      <c r="M3701" s="219" t="n"/>
      <c r="P3701" s="117" t="n"/>
      <c r="R3701" s="117" t="n"/>
      <c r="T3701" s="117" t="n"/>
    </row>
    <row r="3702">
      <c r="A3702" s="128" t="n"/>
      <c r="B3702" s="246" t="inlineStr">
        <is>
          <t>CLASICO</t>
        </is>
      </c>
      <c r="C3702" s="219" t="n">
        <v>24700</v>
      </c>
      <c r="D3702" s="219" t="n"/>
      <c r="E3702" s="219" t="n"/>
      <c r="F3702" s="219" t="n"/>
      <c r="G3702" s="219" t="n"/>
      <c r="H3702" s="219" t="n"/>
      <c r="I3702" s="117">
        <f>ROUND((SUM(C3702*J3702))/100,0)*100</f>
        <v/>
      </c>
      <c r="J3702" s="118" t="n">
        <v>1.35</v>
      </c>
      <c r="M3702" s="219" t="n"/>
      <c r="P3702" s="117" t="n"/>
      <c r="R3702" s="117" t="n"/>
      <c r="T3702" s="117" t="n"/>
    </row>
    <row r="3703">
      <c r="A3703" s="128" t="n"/>
      <c r="B3703" s="246" t="inlineStr">
        <is>
          <t>CLASICO ESP. +120</t>
        </is>
      </c>
      <c r="C3703" s="219" t="n">
        <v>27000</v>
      </c>
      <c r="D3703" s="219" t="n"/>
      <c r="E3703" s="219" t="n"/>
      <c r="F3703" s="219" t="n"/>
      <c r="G3703" s="219" t="n"/>
      <c r="H3703" s="219" t="n"/>
      <c r="I3703" s="117">
        <f>ROUND((SUM(C3703*J3703))/100,0)*100</f>
        <v/>
      </c>
      <c r="J3703" s="118" t="n">
        <v>1.35</v>
      </c>
      <c r="M3703" s="219" t="n"/>
      <c r="P3703" s="117" t="n"/>
      <c r="R3703" s="117" t="n"/>
      <c r="T3703" s="117" t="n"/>
    </row>
    <row r="3704">
      <c r="A3704" s="128" t="n"/>
      <c r="B3704" s="246" t="inlineStr">
        <is>
          <t>NOBUK</t>
        </is>
      </c>
      <c r="C3704" s="219" t="n">
        <v>24700</v>
      </c>
      <c r="D3704" s="219" t="n"/>
      <c r="E3704" s="219" t="n"/>
      <c r="F3704" s="219" t="n"/>
      <c r="G3704" s="219" t="n"/>
      <c r="H3704" s="219" t="n"/>
      <c r="I3704" s="117">
        <f>ROUND((SUM(C3704*J3704))/100,0)*100</f>
        <v/>
      </c>
      <c r="J3704" s="118" t="n">
        <v>1.35</v>
      </c>
      <c r="M3704" s="219" t="n"/>
      <c r="P3704" s="117" t="n"/>
      <c r="R3704" s="117" t="n"/>
      <c r="T3704" s="117" t="n"/>
    </row>
    <row r="3705">
      <c r="A3705" s="128" t="n"/>
      <c r="B3705" s="246" t="inlineStr">
        <is>
          <t>CLASICO DOBLE COSTURA 35mm</t>
        </is>
      </c>
      <c r="C3705" s="219" t="n">
        <v>26600</v>
      </c>
      <c r="D3705" s="219" t="n"/>
      <c r="E3705" s="219" t="n"/>
      <c r="F3705" s="219" t="n"/>
      <c r="G3705" s="219" t="n"/>
      <c r="H3705" s="219" t="n"/>
      <c r="I3705" s="117">
        <f>ROUND((SUM(C3705*J3705))/100,0)*100</f>
        <v/>
      </c>
      <c r="J3705" s="118" t="n">
        <v>1.35</v>
      </c>
      <c r="M3705" s="219" t="n"/>
      <c r="P3705" s="117" t="n"/>
      <c r="R3705" s="117" t="n"/>
      <c r="T3705" s="117" t="n"/>
    </row>
    <row r="3706">
      <c r="A3706" s="128" t="n"/>
      <c r="B3706" s="246" t="inlineStr">
        <is>
          <t>BORDADO</t>
        </is>
      </c>
      <c r="C3706" s="219" t="n">
        <v>29100</v>
      </c>
      <c r="D3706" s="219" t="n"/>
      <c r="E3706" s="219" t="n"/>
      <c r="F3706" s="219" t="n"/>
      <c r="G3706" s="219" t="n"/>
      <c r="H3706" s="219" t="n"/>
      <c r="I3706" s="117">
        <f>ROUND((SUM(C3706*J3706))/100,0)*100</f>
        <v/>
      </c>
      <c r="J3706" s="118" t="n">
        <v>1.35</v>
      </c>
      <c r="M3706" s="219" t="n"/>
      <c r="P3706" s="117" t="n"/>
      <c r="R3706" s="117" t="n"/>
      <c r="T3706" s="117" t="n"/>
    </row>
    <row r="3707">
      <c r="A3707" s="128" t="n"/>
      <c r="B3707" s="246" t="inlineStr">
        <is>
          <t>BORDADO COMPLETO</t>
        </is>
      </c>
      <c r="C3707" s="219" t="n">
        <v>29800</v>
      </c>
      <c r="D3707" s="219" t="n"/>
      <c r="E3707" s="219" t="n"/>
      <c r="F3707" s="219" t="n"/>
      <c r="G3707" s="219" t="n"/>
      <c r="H3707" s="219" t="n"/>
      <c r="I3707" s="117">
        <f>ROUND((SUM(C3707*J3707))/100,0)*100</f>
        <v/>
      </c>
      <c r="J3707" s="118" t="n">
        <v>1.35</v>
      </c>
      <c r="M3707" s="219" t="n"/>
      <c r="P3707" s="117" t="n"/>
      <c r="R3707" s="117" t="n"/>
      <c r="T3707" s="117" t="n"/>
    </row>
    <row r="3708">
      <c r="A3708" s="128" t="n"/>
      <c r="B3708" s="246" t="inlineStr">
        <is>
          <t>COMBINADO</t>
        </is>
      </c>
      <c r="C3708" s="219" t="n">
        <v>26200</v>
      </c>
      <c r="D3708" s="219" t="n"/>
      <c r="E3708" s="219" t="n"/>
      <c r="F3708" s="219" t="n"/>
      <c r="G3708" s="219" t="n"/>
      <c r="H3708" s="219" t="n"/>
      <c r="I3708" s="117">
        <f>ROUND((SUM(C3708*J3708))/100,0)*100</f>
        <v/>
      </c>
      <c r="J3708" s="118" t="n">
        <v>1.35</v>
      </c>
      <c r="M3708" s="219" t="n"/>
      <c r="P3708" s="117" t="n"/>
      <c r="R3708" s="117" t="n"/>
      <c r="T3708" s="117" t="n"/>
    </row>
    <row r="3709">
      <c r="A3709" s="128" t="n"/>
      <c r="B3709" s="246" t="inlineStr">
        <is>
          <t>VAQUETA 35MM</t>
        </is>
      </c>
      <c r="C3709" s="219" t="n">
        <v>26200</v>
      </c>
      <c r="D3709" s="219" t="n"/>
      <c r="E3709" s="219" t="n"/>
      <c r="F3709" s="219" t="n"/>
      <c r="G3709" s="219" t="n"/>
      <c r="H3709" s="219" t="n"/>
      <c r="I3709" s="117">
        <f>ROUND((SUM(C3709*J3709))/100,0)*100</f>
        <v/>
      </c>
      <c r="J3709" s="118" t="n">
        <v>1.35</v>
      </c>
      <c r="M3709" s="219" t="n"/>
      <c r="P3709" s="117" t="n"/>
      <c r="R3709" s="117" t="n"/>
      <c r="T3709" s="117" t="n"/>
    </row>
    <row r="3710">
      <c r="A3710" s="128" t="n"/>
      <c r="B3710" s="246" t="inlineStr">
        <is>
          <t>VAQUETA ANCHO 40MM</t>
        </is>
      </c>
      <c r="C3710" s="219" t="n">
        <v>28500</v>
      </c>
      <c r="D3710" s="219" t="n"/>
      <c r="E3710" s="219" t="n"/>
      <c r="F3710" s="219" t="n"/>
      <c r="G3710" s="219" t="n"/>
      <c r="H3710" s="219" t="n"/>
      <c r="I3710" s="117">
        <f>ROUND((SUM(C3710*J3710))/100,0)*100</f>
        <v/>
      </c>
      <c r="J3710" s="118" t="n">
        <v>1.35</v>
      </c>
      <c r="M3710" s="219" t="n"/>
      <c r="P3710" s="117" t="n"/>
      <c r="R3710" s="117" t="n"/>
      <c r="T3710" s="117" t="n"/>
    </row>
    <row r="3711">
      <c r="A3711" s="128" t="n"/>
      <c r="B3711" s="246" t="inlineStr">
        <is>
          <t>BLANCO</t>
        </is>
      </c>
      <c r="C3711" s="219" t="n">
        <v>21500</v>
      </c>
      <c r="D3711" s="219" t="n"/>
      <c r="E3711" s="219" t="n"/>
      <c r="F3711" s="219" t="n"/>
      <c r="G3711" s="219" t="n"/>
      <c r="H3711" s="219" t="n"/>
      <c r="I3711" s="117">
        <f>ROUND((SUM(C3711*J3711))/100,0)*100</f>
        <v/>
      </c>
      <c r="J3711" s="118" t="n">
        <v>1.35</v>
      </c>
      <c r="M3711" s="219" t="n"/>
      <c r="P3711" s="117" t="n"/>
      <c r="R3711" s="117" t="n"/>
      <c r="T3711" s="117" t="n"/>
    </row>
    <row r="3712">
      <c r="A3712" s="128" t="n"/>
      <c r="B3712" s="246" t="inlineStr">
        <is>
          <t>CARPINCHO</t>
        </is>
      </c>
      <c r="C3712" s="219" t="n">
        <v>21500</v>
      </c>
      <c r="D3712" s="219" t="n"/>
      <c r="E3712" s="219" t="n"/>
      <c r="F3712" s="219" t="n"/>
      <c r="G3712" s="219" t="n"/>
      <c r="H3712" s="219" t="n"/>
      <c r="I3712" s="117">
        <f>ROUND((SUM(C3712*J3712))/100,0)*100</f>
        <v/>
      </c>
      <c r="J3712" s="118" t="n">
        <v>1.35</v>
      </c>
      <c r="M3712" s="219" t="n"/>
      <c r="P3712" s="117" t="n"/>
      <c r="R3712" s="117" t="n"/>
      <c r="T3712" s="117" t="n"/>
    </row>
    <row r="3713">
      <c r="A3713" s="128" t="inlineStr">
        <is>
          <t>7940XXX</t>
        </is>
      </c>
      <c r="B3713" s="246" t="inlineStr">
        <is>
          <t>TAVERNITI</t>
        </is>
      </c>
      <c r="C3713" s="219" t="n">
        <v>43400</v>
      </c>
      <c r="D3713" s="219" t="n"/>
      <c r="E3713" s="219" t="n"/>
      <c r="F3713" s="219" t="n"/>
      <c r="G3713" s="219" t="n"/>
      <c r="H3713" s="219" t="n"/>
      <c r="I3713" s="117">
        <f>ROUND((SUM(C3713*J3713))/100,0)*100</f>
        <v/>
      </c>
      <c r="J3713" s="118" t="n">
        <v>1.35</v>
      </c>
      <c r="M3713" s="219" t="n"/>
      <c r="P3713" s="117" t="n"/>
      <c r="R3713" s="117" t="n"/>
      <c r="T3713" s="117" t="n"/>
    </row>
    <row r="3714">
      <c r="A3714" s="128" t="n"/>
      <c r="B3714" s="246" t="inlineStr">
        <is>
          <t>TIRADORES</t>
        </is>
      </c>
      <c r="C3714" s="219" t="n">
        <v>27000</v>
      </c>
      <c r="D3714" s="219" t="n"/>
      <c r="E3714" s="219" t="n"/>
      <c r="F3714" s="219" t="n"/>
      <c r="G3714" s="219" t="n"/>
      <c r="H3714" s="219" t="n"/>
      <c r="I3714" s="117">
        <f>ROUND((SUM(C3714*J3714))/100,0)*100</f>
        <v/>
      </c>
      <c r="J3714" s="118" t="n">
        <v>1.35</v>
      </c>
      <c r="M3714" s="219" t="n"/>
      <c r="P3714" s="117" t="n"/>
      <c r="R3714" s="117" t="n"/>
      <c r="T3714" s="117" t="n"/>
    </row>
    <row r="3715">
      <c r="A3715" s="128" t="n"/>
      <c r="B3715" s="198" t="inlineStr">
        <is>
          <t>CORBATAS</t>
        </is>
      </c>
      <c r="C3715" s="219" t="n">
        <v>29200</v>
      </c>
      <c r="D3715" s="219" t="n"/>
      <c r="E3715" s="219" t="n"/>
      <c r="F3715" s="219" t="n"/>
      <c r="G3715" s="219" t="n"/>
      <c r="H3715" s="219" t="n"/>
      <c r="I3715" s="117">
        <f>ROUND((SUM(C3715*J3715))/100,0)*100</f>
        <v/>
      </c>
      <c r="J3715" s="118" t="n">
        <v>1.35</v>
      </c>
      <c r="M3715" s="219" t="n"/>
      <c r="P3715" s="117" t="n"/>
      <c r="R3715" s="117" t="n"/>
      <c r="T3715" s="117" t="n"/>
    </row>
    <row r="3716">
      <c r="A3716" s="128" t="n"/>
      <c r="B3716" s="246" t="inlineStr">
        <is>
          <t>TRABA CORBATA</t>
        </is>
      </c>
      <c r="C3716" s="219" t="n">
        <v>36200</v>
      </c>
      <c r="D3716" s="219" t="n"/>
      <c r="E3716" s="219" t="n"/>
      <c r="F3716" s="219" t="n"/>
      <c r="G3716" s="219" t="n"/>
      <c r="H3716" s="219" t="n"/>
      <c r="I3716" s="117">
        <f>ROUND((SUM(C3716*J3716))/100,0)*100</f>
        <v/>
      </c>
      <c r="J3716" s="118" t="n">
        <v>1.35</v>
      </c>
      <c r="M3716" s="219" t="n"/>
      <c r="P3716" s="117" t="n"/>
      <c r="R3716" s="117" t="n"/>
      <c r="T3716" s="117" t="n"/>
    </row>
    <row r="3717">
      <c r="A3717" s="128" t="n"/>
      <c r="B3717" s="246" t="inlineStr">
        <is>
          <t>TRABA CORBATA CON GEMELOS</t>
        </is>
      </c>
      <c r="C3717" s="219" t="n">
        <v>45900</v>
      </c>
      <c r="D3717" s="219" t="n"/>
      <c r="E3717" s="219" t="n"/>
      <c r="F3717" s="219" t="n"/>
      <c r="G3717" s="219" t="n"/>
      <c r="H3717" s="219" t="n"/>
      <c r="I3717" s="117">
        <f>ROUND((SUM(C3717*J3717))/100,0)*100</f>
        <v/>
      </c>
      <c r="J3717" s="118" t="n">
        <v>1.35</v>
      </c>
      <c r="M3717" s="219" t="n"/>
      <c r="P3717" s="117" t="n"/>
      <c r="R3717" s="117" t="n"/>
      <c r="T3717" s="117" t="n"/>
    </row>
    <row r="3718">
      <c r="A3718" s="128" t="inlineStr">
        <is>
          <t>349</t>
        </is>
      </c>
      <c r="B3718" s="246" t="inlineStr">
        <is>
          <t>PAÑUELOS DAMA</t>
        </is>
      </c>
      <c r="C3718" s="219" t="n">
        <v>12000</v>
      </c>
      <c r="D3718" s="219" t="n"/>
      <c r="E3718" s="219" t="n"/>
      <c r="F3718" s="219" t="n"/>
      <c r="G3718" s="219" t="n"/>
      <c r="H3718" s="219" t="n"/>
      <c r="I3718" s="117">
        <f>ROUND((SUM(C3718*J3718))/100,0)*100</f>
        <v/>
      </c>
      <c r="J3718" s="118" t="n">
        <v>1.35</v>
      </c>
      <c r="M3718" s="219" t="n"/>
      <c r="P3718" s="117" t="n"/>
      <c r="R3718" s="117" t="n"/>
      <c r="T3718" s="117" t="n"/>
    </row>
    <row r="3719">
      <c r="A3719" s="128" t="inlineStr">
        <is>
          <t>7001-7010-7011</t>
        </is>
      </c>
      <c r="B3719" s="246" t="inlineStr">
        <is>
          <t>BUFANDAS</t>
        </is>
      </c>
      <c r="C3719" s="219" t="n">
        <v>26000</v>
      </c>
      <c r="D3719" s="219" t="n"/>
      <c r="E3719" s="219" t="n"/>
      <c r="F3719" s="219" t="n"/>
      <c r="G3719" s="219" t="n"/>
      <c r="H3719" s="219" t="n"/>
      <c r="I3719" s="117">
        <f>ROUND((SUM(C3719*J3719))/100,0)*100</f>
        <v/>
      </c>
      <c r="J3719" s="118" t="n">
        <v>1.35</v>
      </c>
      <c r="M3719" s="219" t="n"/>
      <c r="P3719" s="117" t="n"/>
      <c r="R3719" s="117" t="n"/>
      <c r="T3719" s="117" t="n"/>
    </row>
    <row r="3720">
      <c r="A3720" s="128" t="inlineStr">
        <is>
          <t>29956XXX</t>
        </is>
      </c>
      <c r="B3720" s="246" t="inlineStr">
        <is>
          <t>GORRA TAVERNITI</t>
        </is>
      </c>
      <c r="C3720" s="219" t="n">
        <v>36300</v>
      </c>
      <c r="D3720" s="219" t="n"/>
      <c r="E3720" s="219" t="n"/>
      <c r="F3720" s="219" t="n"/>
      <c r="G3720" s="219" t="n"/>
      <c r="H3720" s="219" t="n"/>
      <c r="I3720" s="117">
        <f>ROUND((SUM(C3720*J3720))/100,0)*100</f>
        <v/>
      </c>
      <c r="J3720" s="118" t="n">
        <v>1.35</v>
      </c>
      <c r="M3720" s="219" t="n"/>
      <c r="P3720" s="117" t="n"/>
      <c r="R3720" s="117" t="n"/>
      <c r="T3720" s="117" t="n"/>
    </row>
    <row r="3721">
      <c r="A3721" s="128" t="inlineStr">
        <is>
          <t>70111</t>
        </is>
      </c>
      <c r="B3721" s="246" t="inlineStr">
        <is>
          <t xml:space="preserve">GORROS </t>
        </is>
      </c>
      <c r="C3721" s="219" t="n">
        <v>26000</v>
      </c>
      <c r="D3721" s="219" t="n"/>
      <c r="E3721" s="219" t="n"/>
      <c r="F3721" s="219" t="n"/>
      <c r="G3721" s="219" t="n"/>
      <c r="H3721" s="219" t="n"/>
      <c r="I3721" s="117">
        <f>ROUND((SUM(C3721*J3721))/100,0)*100</f>
        <v/>
      </c>
      <c r="J3721" s="118" t="n">
        <v>1.35</v>
      </c>
      <c r="M3721" s="219" t="n"/>
      <c r="P3721" s="117" t="n"/>
      <c r="R3721" s="117" t="n"/>
      <c r="T3721" s="117" t="n"/>
    </row>
    <row r="3722">
      <c r="A3722" s="128" t="inlineStr">
        <is>
          <t>70112</t>
        </is>
      </c>
      <c r="B3722" s="246" t="inlineStr">
        <is>
          <t>BILLETERAS HOMBRE</t>
        </is>
      </c>
      <c r="C3722" s="219" t="n">
        <v>17200</v>
      </c>
      <c r="D3722" s="219" t="n"/>
      <c r="E3722" s="219" t="n"/>
      <c r="F3722" s="219" t="n"/>
      <c r="G3722" s="219" t="n"/>
      <c r="H3722" s="219" t="n"/>
      <c r="I3722" s="117">
        <f>ROUND((SUM(C3722*J3722))/100,0)*100</f>
        <v/>
      </c>
      <c r="J3722" s="118" t="n">
        <v>1.35</v>
      </c>
      <c r="M3722" s="219" t="n"/>
      <c r="P3722" s="117" t="n"/>
      <c r="R3722" s="117" t="n"/>
      <c r="T3722" s="117" t="n"/>
    </row>
    <row r="3723">
      <c r="A3723" s="128" t="inlineStr">
        <is>
          <t>70113</t>
        </is>
      </c>
      <c r="B3723" s="246" t="inlineStr">
        <is>
          <t>GORROS DAMA</t>
        </is>
      </c>
      <c r="C3723" s="219" t="n">
        <v>32900</v>
      </c>
      <c r="D3723" s="219" t="n"/>
      <c r="E3723" s="219" t="n"/>
      <c r="F3723" s="219" t="n"/>
      <c r="G3723" s="219" t="n"/>
      <c r="H3723" s="219" t="n"/>
      <c r="I3723" s="117">
        <f>ROUND((SUM(C3723*J3723))/100,0)*100</f>
        <v/>
      </c>
      <c r="J3723" s="118" t="n">
        <v>1.35</v>
      </c>
      <c r="M3723" s="219" t="n"/>
      <c r="P3723" s="117" t="n"/>
      <c r="R3723" s="117" t="n"/>
      <c r="T3723" s="117" t="n"/>
    </row>
    <row r="3724">
      <c r="A3724" s="128" t="inlineStr">
        <is>
          <t>70114</t>
        </is>
      </c>
      <c r="B3724" s="246" t="inlineStr">
        <is>
          <t xml:space="preserve">CUELLITOS HOMBRE </t>
        </is>
      </c>
      <c r="C3724" s="219" t="n">
        <v>12000</v>
      </c>
      <c r="D3724" s="219" t="n"/>
      <c r="E3724" s="219" t="n"/>
      <c r="F3724" s="219" t="n"/>
      <c r="G3724" s="219" t="n"/>
      <c r="H3724" s="219" t="n"/>
      <c r="I3724" s="117">
        <f>ROUND((SUM(C3724*J3724))/100,0)*100</f>
        <v/>
      </c>
      <c r="J3724" s="118" t="n">
        <v>1.35</v>
      </c>
      <c r="M3724" s="219" t="n"/>
      <c r="P3724" s="117" t="n"/>
      <c r="R3724" s="117" t="n"/>
      <c r="T3724" s="117" t="n"/>
    </row>
    <row r="3725">
      <c r="A3725" s="128" t="n"/>
      <c r="B3725" s="246" t="n"/>
      <c r="C3725" s="219" t="n"/>
      <c r="D3725" s="219" t="n"/>
      <c r="E3725" s="219" t="n"/>
      <c r="F3725" s="219" t="n"/>
      <c r="G3725" s="219" t="n"/>
      <c r="H3725" s="219" t="n"/>
      <c r="I3725" s="117" t="n"/>
      <c r="J3725" s="118" t="n"/>
      <c r="M3725" s="219" t="n"/>
      <c r="P3725" s="117" t="n"/>
      <c r="R3725" s="117" t="n"/>
      <c r="T3725" s="117" t="n"/>
    </row>
    <row r="3726">
      <c r="A3726" s="128" t="n"/>
      <c r="B3726" s="200" t="inlineStr">
        <is>
          <t>PERFUMES</t>
        </is>
      </c>
      <c r="C3726" s="219" t="n"/>
      <c r="D3726" s="219" t="n"/>
      <c r="E3726" s="219" t="n"/>
      <c r="F3726" s="219" t="n"/>
      <c r="G3726" s="219" t="n"/>
      <c r="H3726" s="219" t="n"/>
      <c r="J3726" s="195" t="n"/>
      <c r="K3726" s="128" t="inlineStr">
        <is>
          <t>12/25</t>
        </is>
      </c>
      <c r="L3726" s="195" t="n"/>
      <c r="M3726" s="219" t="n"/>
      <c r="P3726" s="117" t="n"/>
      <c r="R3726" s="117" t="n"/>
      <c r="T3726" s="117" t="n"/>
    </row>
    <row r="3727">
      <c r="A3727" s="134" t="inlineStr">
        <is>
          <t>7036000</t>
        </is>
      </c>
      <c r="B3727" s="246" t="inlineStr">
        <is>
          <t>TAVERNITI EL</t>
        </is>
      </c>
      <c r="C3727" s="219" t="n">
        <v>49000</v>
      </c>
      <c r="D3727" s="219" t="n"/>
      <c r="E3727" s="219" t="n"/>
      <c r="F3727" s="219" t="n"/>
      <c r="G3727" s="219" t="n"/>
      <c r="H3727" s="219" t="n"/>
      <c r="I3727" s="219">
        <f>ROUND((C3727*J3727)/100,0)*100</f>
        <v/>
      </c>
      <c r="J3727" s="118" t="n">
        <v>1.09</v>
      </c>
      <c r="K3727" s="195" t="n"/>
      <c r="L3727" s="195" t="n"/>
      <c r="M3727" s="219" t="n"/>
      <c r="P3727" s="117" t="n"/>
      <c r="R3727" s="117" t="n"/>
      <c r="T3727" s="117" t="n"/>
    </row>
    <row r="3728">
      <c r="A3728" s="128" t="inlineStr">
        <is>
          <t>7529000</t>
        </is>
      </c>
      <c r="B3728" s="246" t="inlineStr">
        <is>
          <t>TAVERNITI ELLA</t>
        </is>
      </c>
      <c r="C3728" s="219" t="n">
        <v>49000</v>
      </c>
      <c r="D3728" s="219" t="n"/>
      <c r="E3728" s="219" t="n"/>
      <c r="F3728" s="219" t="n"/>
      <c r="G3728" s="219" t="n"/>
      <c r="H3728" s="219" t="n"/>
      <c r="I3728" s="219">
        <f>ROUND((C3728*J3728)/100,0)*100</f>
        <v/>
      </c>
      <c r="J3728" s="118" t="n">
        <v>1.09</v>
      </c>
      <c r="K3728" s="195" t="n"/>
      <c r="L3728" s="195" t="n"/>
      <c r="M3728" s="219" t="n"/>
      <c r="P3728" s="117" t="n"/>
      <c r="R3728" s="117" t="n"/>
      <c r="T3728" s="117" t="n"/>
    </row>
    <row r="3729">
      <c r="A3729" s="128" t="inlineStr">
        <is>
          <t>15000XXX</t>
        </is>
      </c>
      <c r="B3729" s="246" t="inlineStr">
        <is>
          <t>TAVERNITI THE ORIGINAL</t>
        </is>
      </c>
      <c r="C3729" s="219" t="n">
        <v>49000</v>
      </c>
      <c r="D3729" s="219" t="n"/>
      <c r="E3729" s="219" t="n"/>
      <c r="F3729" s="219" t="n"/>
      <c r="G3729" s="219" t="n"/>
      <c r="H3729" s="219" t="n"/>
      <c r="I3729" s="219">
        <f>ROUND((C3729*J3729)/100,0)*100</f>
        <v/>
      </c>
      <c r="J3729" s="118" t="n">
        <v>1.09</v>
      </c>
      <c r="K3729" s="195" t="n"/>
      <c r="L3729" s="195" t="n"/>
      <c r="M3729" s="219" t="n"/>
      <c r="P3729" s="117" t="n"/>
      <c r="R3729" s="117" t="n"/>
      <c r="T3729" s="117" t="n"/>
    </row>
    <row r="3730">
      <c r="A3730" s="128" t="inlineStr">
        <is>
          <t>15001XXX</t>
        </is>
      </c>
      <c r="B3730" s="246" t="inlineStr">
        <is>
          <t>TAVERNITI THE ORIGINAL</t>
        </is>
      </c>
      <c r="C3730" s="219" t="n">
        <v>49000</v>
      </c>
      <c r="D3730" s="219" t="n"/>
      <c r="E3730" s="219" t="n"/>
      <c r="F3730" s="219" t="n"/>
      <c r="G3730" s="219" t="n"/>
      <c r="H3730" s="219" t="n"/>
      <c r="I3730" s="219">
        <f>ROUND((C3730*J3730)/100,0)*100</f>
        <v/>
      </c>
      <c r="J3730" s="118" t="n">
        <v>1.09</v>
      </c>
      <c r="K3730" s="195" t="n"/>
      <c r="L3730" s="195" t="n"/>
      <c r="M3730" s="219" t="n"/>
      <c r="P3730" s="117" t="n"/>
      <c r="R3730" s="117" t="n"/>
      <c r="T3730" s="117" t="n"/>
    </row>
    <row r="3731">
      <c r="A3731" s="128" t="inlineStr">
        <is>
          <t>17000000</t>
        </is>
      </c>
      <c r="B3731" s="246" t="inlineStr">
        <is>
          <t>TAVERNITI MAESTRO</t>
        </is>
      </c>
      <c r="C3731" s="219" t="n">
        <v>49000</v>
      </c>
      <c r="D3731" s="219" t="n"/>
      <c r="E3731" s="219" t="n"/>
      <c r="F3731" s="219" t="n"/>
      <c r="G3731" s="219" t="n"/>
      <c r="H3731" s="219" t="n"/>
      <c r="I3731" s="219">
        <f>ROUND((C3731*J3731)/100,0)*100</f>
        <v/>
      </c>
      <c r="J3731" s="118" t="n">
        <v>1.09</v>
      </c>
      <c r="K3731" s="195" t="n"/>
      <c r="L3731" s="195" t="n"/>
      <c r="M3731" s="219" t="n"/>
      <c r="P3731" s="117" t="n"/>
      <c r="R3731" s="117" t="n"/>
      <c r="T3731" s="117" t="n"/>
    </row>
    <row r="3732">
      <c r="A3732" s="128" t="inlineStr">
        <is>
          <t>17001000</t>
        </is>
      </c>
      <c r="B3732" s="246" t="inlineStr">
        <is>
          <t>TAVERNITI EUFORICA</t>
        </is>
      </c>
      <c r="C3732" s="219" t="n">
        <v>49000</v>
      </c>
      <c r="D3732" s="219" t="n"/>
      <c r="E3732" s="219" t="n"/>
      <c r="F3732" s="219" t="n"/>
      <c r="G3732" s="219" t="n"/>
      <c r="H3732" s="219" t="n"/>
      <c r="I3732" s="219">
        <f>ROUND((C3732*J3732)/100,0)*100</f>
        <v/>
      </c>
      <c r="J3732" s="118" t="n">
        <v>1.09</v>
      </c>
      <c r="K3732" s="195" t="n"/>
      <c r="L3732" s="195" t="n"/>
      <c r="M3732" s="219" t="n"/>
      <c r="P3732" s="117" t="n"/>
      <c r="R3732" s="117" t="n"/>
      <c r="T3732" s="117" t="n"/>
    </row>
    <row r="3733">
      <c r="A3733" s="128" t="inlineStr">
        <is>
          <t>17002000</t>
        </is>
      </c>
      <c r="B3733" s="246" t="inlineStr">
        <is>
          <t>TAVERNITI HEROES</t>
        </is>
      </c>
      <c r="C3733" s="219" t="n">
        <v>49000</v>
      </c>
      <c r="D3733" s="219" t="n"/>
      <c r="E3733" s="219" t="n"/>
      <c r="F3733" s="219" t="n"/>
      <c r="G3733" s="219" t="n"/>
      <c r="H3733" s="219" t="n"/>
      <c r="I3733" s="219">
        <f>ROUND((C3733*J3733)/100,0)*100</f>
        <v/>
      </c>
      <c r="J3733" s="118" t="n">
        <v>1.09</v>
      </c>
      <c r="K3733" s="195" t="n"/>
      <c r="L3733" s="195" t="n"/>
      <c r="M3733" s="219" t="n"/>
      <c r="P3733" s="117" t="n"/>
      <c r="R3733" s="117" t="n"/>
      <c r="T3733" s="117" t="n"/>
    </row>
    <row r="3734">
      <c r="A3734" s="128" t="inlineStr">
        <is>
          <t>17003000</t>
        </is>
      </c>
      <c r="B3734" s="246" t="inlineStr">
        <is>
          <t>TAVERNITI MAXIMA</t>
        </is>
      </c>
      <c r="C3734" s="219" t="n">
        <v>49000</v>
      </c>
      <c r="D3734" s="219" t="n"/>
      <c r="E3734" s="219" t="n"/>
      <c r="F3734" s="219" t="n"/>
      <c r="G3734" s="219" t="n"/>
      <c r="H3734" s="219" t="n"/>
      <c r="I3734" s="219">
        <f>ROUND((C3734*J3734)/100,0)*100</f>
        <v/>
      </c>
      <c r="J3734" s="118" t="n">
        <v>1.09</v>
      </c>
      <c r="K3734" s="195" t="n"/>
      <c r="L3734" s="195" t="n"/>
      <c r="M3734" s="219" t="n"/>
      <c r="P3734" s="117" t="n"/>
      <c r="R3734" s="117" t="n"/>
      <c r="T3734" s="117" t="n"/>
    </row>
    <row r="3735">
      <c r="A3735" s="134" t="inlineStr">
        <is>
          <t>17006000</t>
        </is>
      </c>
      <c r="B3735" s="135" t="inlineStr">
        <is>
          <t>TAVERNITI BLACK</t>
        </is>
      </c>
      <c r="C3735" s="219" t="n">
        <v>54000</v>
      </c>
      <c r="D3735" s="170" t="n"/>
      <c r="E3735" s="170" t="n"/>
      <c r="F3735" s="170" t="n"/>
      <c r="G3735" s="170" t="n"/>
      <c r="H3735" s="170" t="n"/>
      <c r="I3735" s="170">
        <f>ROUND((C3735*J3735)/100,0)*100</f>
        <v/>
      </c>
      <c r="J3735" s="118" t="n">
        <v>1.09</v>
      </c>
      <c r="K3735" s="195" t="n"/>
      <c r="L3735" s="195" t="n"/>
      <c r="M3735" s="170" t="n"/>
      <c r="N3735" s="30" t="n"/>
      <c r="O3735" s="30" t="n"/>
      <c r="P3735" s="170" t="n"/>
      <c r="Q3735" s="30" t="n"/>
      <c r="R3735" s="170" t="n"/>
      <c r="S3735" s="30" t="n"/>
      <c r="T3735" s="170" t="n"/>
      <c r="U3735" s="30" t="n"/>
      <c r="V3735" s="30" t="n"/>
      <c r="W3735" s="30" t="n"/>
      <c r="X3735" s="30" t="n"/>
      <c r="Y3735" s="30" t="n"/>
      <c r="Z3735" s="30" t="n"/>
      <c r="AA3735" s="30" t="n"/>
      <c r="AB3735" s="30" t="n"/>
      <c r="AC3735" s="30" t="n"/>
      <c r="AD3735" s="30" t="n"/>
      <c r="AE3735" s="30" t="n"/>
      <c r="AF3735" s="30" t="n"/>
      <c r="AG3735" s="30" t="n"/>
      <c r="AH3735" s="30" t="n"/>
      <c r="AI3735" s="30" t="n"/>
      <c r="AJ3735" s="30" t="n"/>
      <c r="AK3735" s="30" t="n"/>
      <c r="AL3735" s="30" t="n"/>
      <c r="AM3735" s="30" t="n"/>
      <c r="AN3735" s="30" t="n"/>
    </row>
    <row r="3736">
      <c r="A3736" s="128" t="inlineStr">
        <is>
          <t>17007000</t>
        </is>
      </c>
      <c r="B3736" s="246" t="inlineStr">
        <is>
          <t>TAVERNITI RED</t>
        </is>
      </c>
      <c r="C3736" s="219" t="n">
        <v>49000</v>
      </c>
      <c r="D3736" s="219" t="n"/>
      <c r="E3736" s="219" t="n"/>
      <c r="F3736" s="219" t="n"/>
      <c r="G3736" s="219" t="n"/>
      <c r="H3736" s="219" t="n"/>
      <c r="I3736" s="219">
        <f>ROUND((C3736*J3736)/100,0)*100</f>
        <v/>
      </c>
      <c r="J3736" s="118" t="n">
        <v>1.09</v>
      </c>
      <c r="K3736" s="195" t="n"/>
      <c r="L3736" s="195" t="n"/>
      <c r="M3736" s="219" t="n"/>
      <c r="P3736" s="117" t="n"/>
      <c r="R3736" s="117" t="n"/>
      <c r="T3736" s="117" t="n"/>
    </row>
    <row r="3737">
      <c r="A3737" s="128" t="inlineStr">
        <is>
          <t>17009000</t>
        </is>
      </c>
      <c r="B3737" s="246" t="inlineStr">
        <is>
          <t>TAVERNITI PINK</t>
        </is>
      </c>
      <c r="C3737" s="219" t="n">
        <v>54000</v>
      </c>
      <c r="D3737" s="219" t="n"/>
      <c r="E3737" s="219" t="n"/>
      <c r="F3737" s="219" t="n"/>
      <c r="G3737" s="219" t="n"/>
      <c r="H3737" s="219" t="n"/>
      <c r="I3737" s="219">
        <f>ROUND((C3737*J3737)/100,0)*100</f>
        <v/>
      </c>
      <c r="J3737" s="118" t="n">
        <v>1.09</v>
      </c>
      <c r="K3737" s="195" t="n"/>
      <c r="L3737" s="195" t="n"/>
      <c r="M3737" s="219" t="n"/>
      <c r="P3737" s="117" t="n"/>
      <c r="R3737" s="117" t="n"/>
      <c r="T3737" s="117" t="n"/>
    </row>
    <row r="3738">
      <c r="A3738" s="128" t="n"/>
      <c r="B3738" s="246" t="n"/>
      <c r="C3738" s="219" t="n"/>
      <c r="D3738" s="219" t="n"/>
      <c r="E3738" s="219" t="n"/>
      <c r="F3738" s="219" t="n"/>
      <c r="G3738" s="219" t="n"/>
      <c r="H3738" s="219" t="n"/>
      <c r="I3738" s="219" t="n"/>
      <c r="J3738" s="219" t="n"/>
      <c r="K3738" s="219" t="n"/>
      <c r="L3738" s="219" t="n"/>
      <c r="M3738" s="219" t="n"/>
      <c r="P3738" s="117" t="n"/>
      <c r="R3738" s="117" t="n"/>
      <c r="T3738" s="117" t="n"/>
    </row>
    <row r="3739">
      <c r="A3739" s="134" t="n"/>
      <c r="B3739" s="246" t="n"/>
      <c r="C3739" s="219" t="n"/>
      <c r="D3739" s="219" t="n"/>
      <c r="E3739" s="219" t="n"/>
      <c r="F3739" s="219" t="n"/>
      <c r="G3739" s="219" t="n"/>
      <c r="H3739" s="219" t="n"/>
      <c r="I3739" s="219" t="n"/>
      <c r="J3739" s="219" t="n"/>
      <c r="K3739" s="219" t="n"/>
      <c r="L3739" s="219" t="n"/>
      <c r="M3739" s="219" t="n"/>
      <c r="P3739" s="117" t="n"/>
      <c r="R3739" s="117" t="n"/>
      <c r="T3739" s="117" t="n"/>
    </row>
    <row r="3740">
      <c r="A3740" s="134" t="n"/>
      <c r="B3740" s="200" t="inlineStr">
        <is>
          <t>BERMUDAS DAMA</t>
        </is>
      </c>
      <c r="C3740" s="202" t="inlineStr">
        <is>
          <t>40/48</t>
        </is>
      </c>
      <c r="D3740" s="202" t="inlineStr">
        <is>
          <t>50-54</t>
        </is>
      </c>
      <c r="E3740" s="202" t="inlineStr">
        <is>
          <t>56-60</t>
        </is>
      </c>
      <c r="F3740" s="204" t="n">
        <v>7</v>
      </c>
      <c r="G3740" s="204" t="n">
        <v>8</v>
      </c>
      <c r="H3740" s="204" t="n">
        <v>10</v>
      </c>
      <c r="I3740" s="153" t="n"/>
      <c r="J3740" s="153" t="n"/>
      <c r="K3740" s="219" t="n"/>
      <c r="L3740" s="134" t="inlineStr">
        <is>
          <t>12/25</t>
        </is>
      </c>
      <c r="M3740" s="219" t="n"/>
      <c r="P3740" s="117" t="n"/>
      <c r="R3740" s="117" t="n"/>
      <c r="T3740" s="117" t="n"/>
    </row>
    <row r="3741">
      <c r="A3741" s="134" t="n"/>
      <c r="B3741" s="200" t="n"/>
      <c r="C3741" s="204" t="n">
        <v>43200</v>
      </c>
      <c r="D3741" s="204" t="n">
        <v>5</v>
      </c>
      <c r="E3741" s="204" t="n">
        <v>6</v>
      </c>
      <c r="F3741" s="204" t="n">
        <v>7</v>
      </c>
      <c r="G3741" s="204" t="n">
        <v>8</v>
      </c>
      <c r="H3741" s="204" t="n">
        <v>10</v>
      </c>
      <c r="I3741" s="153" t="n"/>
      <c r="J3741" s="205" t="n"/>
      <c r="K3741" s="219" t="n"/>
      <c r="L3741" s="219" t="n"/>
      <c r="M3741" s="219" t="n"/>
      <c r="P3741" s="117" t="n"/>
      <c r="R3741" s="117" t="n"/>
      <c r="T3741" s="117" t="n"/>
    </row>
    <row r="3742">
      <c r="A3742" s="134" t="n"/>
      <c r="B3742" s="246" t="n"/>
      <c r="C3742" s="22" t="n"/>
      <c r="D3742" s="153" t="n"/>
      <c r="E3742" s="153" t="n"/>
      <c r="F3742" s="153" t="n"/>
      <c r="G3742" s="219" t="n"/>
      <c r="H3742" s="153" t="n"/>
      <c r="I3742" s="153" t="n"/>
      <c r="J3742" s="205" t="n"/>
      <c r="K3742" s="219" t="n"/>
      <c r="L3742" s="219" t="n"/>
      <c r="M3742" s="219" t="n"/>
      <c r="P3742" s="117" t="n"/>
      <c r="R3742" s="117" t="n"/>
      <c r="S3742" s="118" t="n"/>
      <c r="T3742" s="117" t="n"/>
      <c r="U3742" s="118" t="n"/>
      <c r="V3742" s="118" t="n"/>
      <c r="W3742" s="118" t="n"/>
      <c r="X3742" s="118" t="n"/>
    </row>
    <row r="3743">
      <c r="A3743" s="134" t="inlineStr">
        <is>
          <t>300</t>
        </is>
      </c>
      <c r="B3743" s="246" t="inlineStr">
        <is>
          <t xml:space="preserve"> ESTAMPADA</t>
        </is>
      </c>
      <c r="C3743" s="22" t="n">
        <v>27900</v>
      </c>
      <c r="D3743" s="153">
        <f>ROUND((C3743*1.06)/100,0)*100</f>
        <v/>
      </c>
      <c r="E3743" s="153">
        <f>ROUND((C3743*1.13)/100,0)*100</f>
        <v/>
      </c>
      <c r="F3743" s="153">
        <f>ROUND((C3743*1.19)/100,0)*100</f>
        <v/>
      </c>
      <c r="G3743" s="219">
        <f>ROUND((C3743*1.25)/100,0)*100</f>
        <v/>
      </c>
      <c r="H3743" s="153">
        <f>ROUND((C3743*1.31)/100,0)*100</f>
        <v/>
      </c>
      <c r="I3743" s="153" t="n"/>
      <c r="J3743" s="205" t="n"/>
      <c r="K3743" s="219" t="n"/>
      <c r="L3743" s="219">
        <f>ROUND((M3743*C3743)/100,0)*100</f>
        <v/>
      </c>
      <c r="M3743" s="118" t="n">
        <v>1.05</v>
      </c>
      <c r="P3743" s="117" t="n"/>
      <c r="R3743" s="117" t="n"/>
      <c r="T3743" s="117" t="n"/>
    </row>
    <row r="3744">
      <c r="A3744" s="134" t="inlineStr">
        <is>
          <t>301</t>
        </is>
      </c>
      <c r="B3744" s="246" t="inlineStr">
        <is>
          <t xml:space="preserve"> CELESTE</t>
        </is>
      </c>
      <c r="C3744" s="22" t="n">
        <v>27000</v>
      </c>
      <c r="D3744" s="153">
        <f>ROUND((C3744*1.06)/100,0)*100</f>
        <v/>
      </c>
      <c r="E3744" s="153">
        <f>ROUND((C3744*1.13)/100,0)*100</f>
        <v/>
      </c>
      <c r="F3744" s="153">
        <f>ROUND((C3744*1.19)/100,0)*100</f>
        <v/>
      </c>
      <c r="G3744" s="219">
        <f>ROUND((C3744*1.25)/100,0)*100</f>
        <v/>
      </c>
      <c r="H3744" s="153">
        <f>ROUND((C3744*1.31)/100,0)*100</f>
        <v/>
      </c>
      <c r="I3744" s="153" t="n"/>
      <c r="J3744" s="205" t="n"/>
      <c r="K3744" s="219" t="n"/>
      <c r="L3744" s="219">
        <f>ROUND((M3744*C3744)/100,0)*100</f>
        <v/>
      </c>
      <c r="M3744" s="118" t="n">
        <v>1.05</v>
      </c>
      <c r="P3744" s="117" t="n"/>
      <c r="R3744" s="117" t="n"/>
      <c r="T3744" s="117" t="n"/>
    </row>
    <row r="3745">
      <c r="A3745" s="134" t="inlineStr">
        <is>
          <t>8636</t>
        </is>
      </c>
      <c r="B3745" s="246" t="inlineStr">
        <is>
          <t>LIENZO</t>
        </is>
      </c>
      <c r="C3745" s="88" t="n">
        <v>23200</v>
      </c>
      <c r="D3745" s="153">
        <f>ROUND((C3745*1.06)/100,0)*100</f>
        <v/>
      </c>
      <c r="E3745" s="153">
        <f>ROUND((C3745*1.13)/100,0)*100</f>
        <v/>
      </c>
      <c r="F3745" s="153">
        <f>ROUND((C3745*1.19)/100,0)*100</f>
        <v/>
      </c>
      <c r="G3745" s="219">
        <f>ROUND((C3745*1.25)/100,0)*100</f>
        <v/>
      </c>
      <c r="H3745" s="153">
        <f>ROUND((C3745*1.31)/100,0)*100</f>
        <v/>
      </c>
      <c r="I3745" s="153" t="n"/>
      <c r="J3745" s="205" t="n"/>
      <c r="K3745" s="219" t="n"/>
      <c r="L3745" s="219">
        <f>ROUND((M3745*C3745)/100,0)*100</f>
        <v/>
      </c>
      <c r="M3745" s="118" t="n">
        <v>1.05</v>
      </c>
      <c r="P3745" s="117" t="n"/>
      <c r="R3745" s="117" t="n"/>
      <c r="T3745" s="117" t="n"/>
    </row>
    <row r="3746">
      <c r="A3746" s="134" t="inlineStr">
        <is>
          <t>8638</t>
        </is>
      </c>
      <c r="B3746" s="246" t="inlineStr">
        <is>
          <t>BERM JEAN CHETA/GENERICA</t>
        </is>
      </c>
      <c r="C3746" s="88" t="n">
        <v>42100</v>
      </c>
      <c r="D3746" s="153">
        <f>ROUND((C3746*1.06)/100,0)*100</f>
        <v/>
      </c>
      <c r="E3746" s="153">
        <f>ROUND((C3746*1.13)/100,0)*100</f>
        <v/>
      </c>
      <c r="F3746" s="153">
        <f>ROUND((C3746*1.19)/100,0)*100</f>
        <v/>
      </c>
      <c r="G3746" s="219">
        <f>ROUND((C3746*1.25)/100,0)*100</f>
        <v/>
      </c>
      <c r="H3746" s="153">
        <f>ROUND((C3746*1.31)/100,0)*100</f>
        <v/>
      </c>
      <c r="I3746" s="153" t="n"/>
      <c r="J3746" s="205" t="n"/>
      <c r="K3746" s="219" t="n"/>
      <c r="L3746" s="219">
        <f>ROUND((M3746*C3746)/100,0)*100</f>
        <v/>
      </c>
      <c r="M3746" s="118" t="n">
        <v>1.05</v>
      </c>
      <c r="P3746" s="117" t="n"/>
      <c r="R3746" s="117" t="n"/>
      <c r="T3746" s="117" t="n"/>
    </row>
    <row r="3747">
      <c r="A3747" s="134" t="inlineStr">
        <is>
          <t>86381</t>
        </is>
      </c>
      <c r="B3747" s="246" t="inlineStr">
        <is>
          <t>BERM GAB  RASADA</t>
        </is>
      </c>
      <c r="C3747" s="88" t="n">
        <v>18300</v>
      </c>
      <c r="D3747" s="153">
        <f>ROUND((C3747*1.06)/100,0)*100</f>
        <v/>
      </c>
      <c r="E3747" s="153">
        <f>ROUND((C3747*1.13)/100,0)*100</f>
        <v/>
      </c>
      <c r="F3747" s="153">
        <f>ROUND((C3747*1.19)/100,0)*100</f>
        <v/>
      </c>
      <c r="G3747" s="219">
        <f>ROUND((C3747*1.25)/100,0)*100</f>
        <v/>
      </c>
      <c r="H3747" s="153">
        <f>ROUND((C3747*1.31)/100,0)*100</f>
        <v/>
      </c>
      <c r="I3747" s="153" t="n"/>
      <c r="J3747" s="205" t="n"/>
      <c r="K3747" s="219" t="n"/>
      <c r="L3747" s="219">
        <f>ROUND((M3747*C3747)/100,0)*100</f>
        <v/>
      </c>
      <c r="M3747" s="118" t="n">
        <v>1.05</v>
      </c>
      <c r="P3747" s="117" t="n"/>
      <c r="R3747" s="117" t="n"/>
      <c r="T3747" s="117" t="n"/>
    </row>
    <row r="3748">
      <c r="A3748" s="134" t="inlineStr">
        <is>
          <t>86382</t>
        </is>
      </c>
      <c r="B3748" s="246" t="inlineStr">
        <is>
          <t>NARA  GABARDINA</t>
        </is>
      </c>
      <c r="C3748" s="88" t="n">
        <v>22700</v>
      </c>
      <c r="D3748" s="153">
        <f>ROUND((C3748*1.06)/100,0)*100</f>
        <v/>
      </c>
      <c r="E3748" s="153">
        <f>ROUND((C3748*1.13)/100,0)*100</f>
        <v/>
      </c>
      <c r="F3748" s="153">
        <f>ROUND((C3748*1.19)/100,0)*100</f>
        <v/>
      </c>
      <c r="G3748" s="219">
        <f>ROUND((C3748*1.25)/100,0)*100</f>
        <v/>
      </c>
      <c r="H3748" s="153">
        <f>ROUND((C3748*1.31)/100,0)*100</f>
        <v/>
      </c>
      <c r="I3748" s="153" t="n"/>
      <c r="J3748" s="205" t="n"/>
      <c r="K3748" s="219" t="n"/>
      <c r="L3748" s="219">
        <f>ROUND((M3748*C3748)/100,0)*100</f>
        <v/>
      </c>
      <c r="M3748" s="118" t="n">
        <v>1.05</v>
      </c>
      <c r="P3748" s="117" t="n"/>
      <c r="R3748" s="117" t="n"/>
      <c r="T3748" s="117" t="n"/>
    </row>
    <row r="3749">
      <c r="A3749" s="134" t="inlineStr">
        <is>
          <t>86383</t>
        </is>
      </c>
      <c r="B3749" s="246" t="inlineStr">
        <is>
          <t>CHETA LOCALIZADO</t>
        </is>
      </c>
      <c r="C3749" s="88" t="n">
        <v>33600</v>
      </c>
      <c r="D3749" s="153">
        <f>ROUND((C3749*1.06)/100,0)*100</f>
        <v/>
      </c>
      <c r="E3749" s="153">
        <f>ROUND((C3749*1.13)/100,0)*100</f>
        <v/>
      </c>
      <c r="F3749" s="153">
        <f>ROUND((C3749*1.19)/100,0)*100</f>
        <v/>
      </c>
      <c r="G3749" s="219">
        <f>ROUND((C3749*1.25)/100,0)*100</f>
        <v/>
      </c>
      <c r="H3749" s="153">
        <f>ROUND((C3749*1.31)/100,0)*100</f>
        <v/>
      </c>
      <c r="I3749" s="153" t="n"/>
      <c r="J3749" s="205" t="n"/>
      <c r="K3749" s="219" t="n"/>
      <c r="L3749" s="219">
        <f>ROUND((M3749*C3749)/100,0)*100</f>
        <v/>
      </c>
      <c r="M3749" s="118" t="n">
        <v>1.05</v>
      </c>
      <c r="P3749" s="117" t="n"/>
      <c r="R3749" s="117" t="n"/>
      <c r="T3749" s="117" t="n"/>
    </row>
    <row r="3750">
      <c r="A3750" s="134" t="inlineStr">
        <is>
          <t>86284</t>
        </is>
      </c>
      <c r="B3750" s="246" t="inlineStr">
        <is>
          <t xml:space="preserve"> FIBRANA</t>
        </is>
      </c>
      <c r="C3750" s="88" t="n">
        <v>16300</v>
      </c>
      <c r="D3750" s="153">
        <f>ROUND((C3750*1.06)/100,0)*100</f>
        <v/>
      </c>
      <c r="E3750" s="153">
        <f>ROUND((C3750*1.13)/100,0)*100</f>
        <v/>
      </c>
      <c r="F3750" s="153">
        <f>ROUND((C3750*1.19)/100,0)*100</f>
        <v/>
      </c>
      <c r="G3750" s="219">
        <f>ROUND((C3750*1.25)/100,0)*100</f>
        <v/>
      </c>
      <c r="H3750" s="153">
        <f>ROUND((C3750*1.31)/100,0)*100</f>
        <v/>
      </c>
      <c r="I3750" s="153" t="n"/>
      <c r="J3750" s="205" t="n"/>
      <c r="K3750" s="219" t="n"/>
      <c r="L3750" s="219">
        <f>ROUND((M3750*C3750)/100,0)*100</f>
        <v/>
      </c>
      <c r="M3750" s="118" t="n">
        <v>1.05</v>
      </c>
      <c r="P3750" s="117" t="n"/>
      <c r="R3750" s="117" t="n"/>
      <c r="T3750" s="117" t="n"/>
    </row>
    <row r="3751">
      <c r="A3751" s="134" t="inlineStr">
        <is>
          <t>86248</t>
        </is>
      </c>
      <c r="B3751" s="246" t="inlineStr">
        <is>
          <t xml:space="preserve"> FIBRANA</t>
        </is>
      </c>
      <c r="C3751" s="88" t="n">
        <v>17900</v>
      </c>
      <c r="D3751" s="153">
        <f>ROUND((C3751*1.06)/100,0)*100</f>
        <v/>
      </c>
      <c r="E3751" s="153">
        <f>ROUND((C3751*1.13)/100,0)*100</f>
        <v/>
      </c>
      <c r="F3751" s="153">
        <f>ROUND((C3751*1.19)/100,0)*100</f>
        <v/>
      </c>
      <c r="G3751" s="219">
        <f>ROUND((C3751*1.25)/100,0)*100</f>
        <v/>
      </c>
      <c r="H3751" s="153">
        <f>ROUND((C3751*1.31)/100,0)*100</f>
        <v/>
      </c>
      <c r="I3751" s="153" t="n"/>
      <c r="J3751" s="205" t="n"/>
      <c r="K3751" s="219" t="n"/>
      <c r="L3751" s="219">
        <f>ROUND((M3751*C3751)/100,0)*100</f>
        <v/>
      </c>
      <c r="M3751" s="118" t="n">
        <v>1.05</v>
      </c>
      <c r="P3751" s="117" t="n"/>
      <c r="R3751" s="117" t="n"/>
      <c r="T3751" s="117" t="n"/>
    </row>
    <row r="3752">
      <c r="A3752" s="134" t="inlineStr">
        <is>
          <t>01781XXX</t>
        </is>
      </c>
      <c r="B3752" s="246" t="inlineStr">
        <is>
          <t xml:space="preserve"> TAVERNITI BERMUDA </t>
        </is>
      </c>
      <c r="C3752" s="88" t="n">
        <v>62500</v>
      </c>
      <c r="D3752" s="153" t="n"/>
      <c r="E3752" s="153" t="n"/>
      <c r="F3752" s="153" t="n"/>
      <c r="G3752" s="153" t="n"/>
      <c r="H3752" s="153" t="n"/>
      <c r="I3752" s="153" t="n"/>
      <c r="J3752" s="205" t="n"/>
      <c r="K3752" s="219" t="n"/>
      <c r="L3752" s="219">
        <f>ROUND((M3752*C3752)/100,0)*100</f>
        <v/>
      </c>
      <c r="M3752" s="118" t="n">
        <v>1.05</v>
      </c>
      <c r="P3752" s="117" t="n"/>
      <c r="R3752" s="117" t="n"/>
      <c r="T3752" s="117" t="n"/>
    </row>
    <row r="3753">
      <c r="A3753" s="134" t="inlineStr">
        <is>
          <t>10381XXX</t>
        </is>
      </c>
      <c r="B3753" s="246" t="inlineStr">
        <is>
          <t xml:space="preserve"> TAVERNITI BERMUDA </t>
        </is>
      </c>
      <c r="C3753" s="88" t="n">
        <v>62500</v>
      </c>
      <c r="D3753" s="153" t="n"/>
      <c r="E3753" s="153" t="n"/>
      <c r="F3753" s="153" t="n"/>
      <c r="G3753" s="153" t="n"/>
      <c r="H3753" s="153" t="n"/>
      <c r="I3753" s="153" t="n"/>
      <c r="J3753" s="205" t="n"/>
      <c r="K3753" s="219" t="n"/>
      <c r="L3753" s="219">
        <f>ROUND((M3753*C3753)/100,0)*100</f>
        <v/>
      </c>
      <c r="M3753" s="118" t="n">
        <v>1.05</v>
      </c>
      <c r="P3753" s="117" t="n"/>
      <c r="R3753" s="117" t="n"/>
      <c r="T3753" s="117" t="n"/>
    </row>
    <row r="3754">
      <c r="A3754" s="89" t="inlineStr">
        <is>
          <t>10471XXX</t>
        </is>
      </c>
      <c r="B3754" s="246" t="inlineStr">
        <is>
          <t xml:space="preserve"> TAVERNITI BERMUDA </t>
        </is>
      </c>
      <c r="C3754" s="88" t="n">
        <v>62500</v>
      </c>
      <c r="D3754" s="219" t="n"/>
      <c r="E3754" s="219" t="n"/>
      <c r="F3754" s="219" t="n"/>
      <c r="G3754" s="219" t="n"/>
      <c r="H3754" s="219" t="n"/>
      <c r="I3754" s="219" t="n"/>
      <c r="J3754" s="207" t="n"/>
      <c r="K3754" s="170" t="n"/>
      <c r="L3754" s="219">
        <f>ROUND((M3754*C3754)/100,0)*100</f>
        <v/>
      </c>
      <c r="M3754" s="118" t="n">
        <v>1.05</v>
      </c>
      <c r="N3754" s="96" t="n"/>
      <c r="O3754" s="96" t="n"/>
      <c r="P3754" s="150" t="n"/>
      <c r="Q3754" s="96" t="n"/>
      <c r="R3754" s="117" t="n"/>
      <c r="T3754" s="117" t="n"/>
      <c r="Y3754" s="30" t="n"/>
      <c r="Z3754" s="30" t="n"/>
      <c r="AA3754" s="30" t="n"/>
      <c r="AB3754" s="30" t="n"/>
      <c r="AC3754" s="30" t="n"/>
      <c r="AD3754" s="30" t="n"/>
      <c r="AE3754" s="30" t="n"/>
      <c r="AF3754" s="30" t="n"/>
      <c r="AG3754" s="30" t="n"/>
      <c r="AH3754" s="30" t="n"/>
      <c r="AI3754" s="30" t="n"/>
      <c r="AJ3754" s="30" t="n"/>
      <c r="AK3754" s="30" t="n"/>
      <c r="AL3754" s="30" t="n"/>
      <c r="AM3754" s="30" t="n"/>
      <c r="AN3754" s="30" t="n"/>
    </row>
    <row r="3755">
      <c r="A3755" s="89" t="inlineStr">
        <is>
          <t>10517XXX</t>
        </is>
      </c>
      <c r="B3755" s="246" t="inlineStr">
        <is>
          <t xml:space="preserve"> TAVERNITI BERMUDA </t>
        </is>
      </c>
      <c r="C3755" s="88" t="n">
        <v>79000</v>
      </c>
      <c r="D3755" s="219" t="n"/>
      <c r="E3755" s="219" t="n"/>
      <c r="F3755" s="219" t="n"/>
      <c r="G3755" s="219" t="n"/>
      <c r="H3755" s="219" t="n"/>
      <c r="I3755" s="219" t="n"/>
      <c r="J3755" s="207" t="n"/>
      <c r="K3755" s="170" t="n"/>
      <c r="L3755" s="219">
        <f>ROUND((M3755*C3755)/100,0)*100</f>
        <v/>
      </c>
      <c r="M3755" s="118" t="n">
        <v>1.05</v>
      </c>
      <c r="N3755" s="96" t="n"/>
      <c r="O3755" s="96" t="n"/>
      <c r="P3755" s="150" t="n"/>
      <c r="Q3755" s="96" t="n"/>
      <c r="R3755" s="117" t="n"/>
      <c r="T3755" s="117" t="n"/>
      <c r="Y3755" s="30" t="n"/>
      <c r="Z3755" s="30" t="n"/>
      <c r="AA3755" s="30" t="n"/>
      <c r="AB3755" s="30" t="n"/>
      <c r="AC3755" s="30" t="n"/>
      <c r="AD3755" s="30" t="n"/>
      <c r="AE3755" s="30" t="n"/>
      <c r="AF3755" s="30" t="n"/>
      <c r="AG3755" s="30" t="n"/>
      <c r="AH3755" s="30" t="n"/>
      <c r="AI3755" s="30" t="n"/>
      <c r="AJ3755" s="30" t="n"/>
      <c r="AK3755" s="30" t="n"/>
      <c r="AL3755" s="30" t="n"/>
      <c r="AM3755" s="30" t="n"/>
      <c r="AN3755" s="30" t="n"/>
    </row>
    <row r="3756">
      <c r="A3756" s="89" t="inlineStr">
        <is>
          <t>10573XXX</t>
        </is>
      </c>
      <c r="B3756" s="246" t="inlineStr">
        <is>
          <t xml:space="preserve"> TAVERNITI BERMUDA </t>
        </is>
      </c>
      <c r="C3756" s="88" t="n">
        <v>58800</v>
      </c>
      <c r="D3756" s="219" t="n"/>
      <c r="E3756" s="219" t="n"/>
      <c r="F3756" s="219" t="n"/>
      <c r="G3756" s="219" t="n"/>
      <c r="H3756" s="219" t="n"/>
      <c r="I3756" s="219" t="n"/>
      <c r="J3756" s="207" t="n"/>
      <c r="K3756" s="170" t="n"/>
      <c r="L3756" s="219">
        <f>ROUND((M3756*C3756)/100,0)*100</f>
        <v/>
      </c>
      <c r="M3756" s="118" t="n">
        <v>1.05</v>
      </c>
      <c r="N3756" s="96" t="n"/>
      <c r="O3756" s="96" t="n"/>
      <c r="P3756" s="150" t="n"/>
      <c r="Q3756" s="96" t="n"/>
      <c r="R3756" s="117" t="n"/>
      <c r="T3756" s="117" t="n"/>
      <c r="Y3756" s="30" t="n"/>
      <c r="Z3756" s="30" t="n"/>
      <c r="AA3756" s="30" t="n"/>
      <c r="AB3756" s="30" t="n"/>
      <c r="AC3756" s="30" t="n"/>
      <c r="AD3756" s="30" t="n"/>
      <c r="AE3756" s="30" t="n"/>
      <c r="AF3756" s="30" t="n"/>
      <c r="AG3756" s="30" t="n"/>
      <c r="AH3756" s="30" t="n"/>
      <c r="AI3756" s="30" t="n"/>
      <c r="AJ3756" s="30" t="n"/>
      <c r="AK3756" s="30" t="n"/>
      <c r="AL3756" s="30" t="n"/>
      <c r="AM3756" s="30" t="n"/>
      <c r="AN3756" s="30" t="n"/>
    </row>
    <row r="3757">
      <c r="A3757" s="134" t="inlineStr">
        <is>
          <t>10939XXX</t>
        </is>
      </c>
      <c r="B3757" s="246" t="inlineStr">
        <is>
          <t xml:space="preserve"> TAVERNITI BERMUDA </t>
        </is>
      </c>
      <c r="C3757" s="88" t="n">
        <v>69000</v>
      </c>
      <c r="D3757" s="153" t="n"/>
      <c r="E3757" s="153" t="n"/>
      <c r="F3757" s="153" t="n"/>
      <c r="G3757" s="153" t="n"/>
      <c r="H3757" s="153" t="n"/>
      <c r="I3757" s="153" t="n"/>
      <c r="J3757" s="205" t="n"/>
      <c r="K3757" s="219" t="n"/>
      <c r="L3757" s="219">
        <f>ROUND((M3757*C3757)/100,0)*100</f>
        <v/>
      </c>
      <c r="M3757" s="118" t="n">
        <v>1.05</v>
      </c>
      <c r="P3757" s="117" t="n"/>
      <c r="R3757" s="117" t="n"/>
      <c r="T3757" s="117" t="n"/>
    </row>
    <row r="3758">
      <c r="A3758" s="134" t="inlineStr">
        <is>
          <t>11395XXX</t>
        </is>
      </c>
      <c r="B3758" s="246" t="inlineStr">
        <is>
          <t xml:space="preserve"> TAVERNITI BERMUDA </t>
        </is>
      </c>
      <c r="C3758" s="88" t="n">
        <v>79900</v>
      </c>
      <c r="D3758" s="153" t="n"/>
      <c r="E3758" s="153" t="n"/>
      <c r="F3758" s="153" t="n"/>
      <c r="G3758" s="153" t="n"/>
      <c r="H3758" s="153" t="n"/>
      <c r="I3758" s="153" t="n"/>
      <c r="J3758" s="205" t="n"/>
      <c r="K3758" s="219" t="n"/>
      <c r="L3758" s="219">
        <f>ROUND((M3758*C3758)/100,0)*100</f>
        <v/>
      </c>
      <c r="M3758" s="118" t="n">
        <v>1.05</v>
      </c>
      <c r="P3758" s="117" t="n"/>
      <c r="R3758" s="117" t="n"/>
      <c r="T3758" s="117" t="n"/>
    </row>
    <row r="3759">
      <c r="A3759" s="134" t="inlineStr">
        <is>
          <t>11489XXX</t>
        </is>
      </c>
      <c r="B3759" s="246" t="inlineStr">
        <is>
          <t xml:space="preserve"> TAVERNITI BERMUDA </t>
        </is>
      </c>
      <c r="C3759" s="88" t="n">
        <v>69000</v>
      </c>
      <c r="D3759" s="153" t="n"/>
      <c r="E3759" s="153" t="n"/>
      <c r="F3759" s="153" t="n"/>
      <c r="G3759" s="153" t="n"/>
      <c r="H3759" s="153" t="n"/>
      <c r="I3759" s="153" t="n"/>
      <c r="J3759" s="205" t="n"/>
      <c r="K3759" s="219" t="n"/>
      <c r="L3759" s="219">
        <f>ROUND((M3759*C3759)/100,0)*100</f>
        <v/>
      </c>
      <c r="M3759" s="118" t="n">
        <v>1.05</v>
      </c>
      <c r="P3759" s="117" t="n"/>
      <c r="R3759" s="117" t="n"/>
      <c r="T3759" s="117" t="n"/>
    </row>
    <row r="3760">
      <c r="A3760" s="89" t="inlineStr">
        <is>
          <t>11493XXX</t>
        </is>
      </c>
      <c r="B3760" s="246" t="inlineStr">
        <is>
          <t xml:space="preserve"> TAVERNITI BERMUDA </t>
        </is>
      </c>
      <c r="C3760" s="88" t="n">
        <v>69000</v>
      </c>
      <c r="D3760" s="111" t="n"/>
      <c r="E3760" s="111" t="n"/>
      <c r="F3760" s="111" t="n"/>
      <c r="G3760" s="111" t="n"/>
      <c r="H3760" s="111" t="n"/>
      <c r="I3760" s="111" t="n"/>
      <c r="J3760" s="207" t="n"/>
      <c r="K3760" s="170" t="n"/>
      <c r="L3760" s="88">
        <f>ROUND((M3760*C3760)/100,0)*100</f>
        <v/>
      </c>
      <c r="M3760" s="118" t="n">
        <v>1.05</v>
      </c>
      <c r="N3760" s="30" t="n"/>
      <c r="O3760" s="30" t="n"/>
      <c r="P3760" s="170" t="n"/>
      <c r="Q3760" s="30" t="n"/>
      <c r="R3760" s="170" t="n"/>
      <c r="S3760" s="30" t="n"/>
      <c r="T3760" s="170" t="n"/>
      <c r="U3760" s="30" t="n"/>
      <c r="V3760" s="30" t="n"/>
      <c r="W3760" s="30" t="n"/>
      <c r="X3760" s="30" t="n"/>
      <c r="Y3760" s="30" t="n"/>
      <c r="Z3760" s="30" t="n"/>
      <c r="AA3760" s="30" t="n"/>
      <c r="AB3760" s="30" t="n"/>
      <c r="AC3760" s="30" t="n"/>
      <c r="AD3760" s="30" t="n"/>
      <c r="AE3760" s="30" t="n"/>
      <c r="AF3760" s="30" t="n"/>
      <c r="AG3760" s="30" t="n"/>
      <c r="AH3760" s="30" t="n"/>
      <c r="AI3760" s="30" t="n"/>
      <c r="AJ3760" s="30" t="n"/>
      <c r="AK3760" s="30" t="n"/>
      <c r="AL3760" s="30" t="n"/>
      <c r="AM3760" s="30" t="n"/>
      <c r="AN3760" s="30" t="n"/>
      <c r="AO3760" s="30" t="n"/>
    </row>
    <row r="3761">
      <c r="A3761" s="134" t="inlineStr">
        <is>
          <t>11497XXX</t>
        </is>
      </c>
      <c r="B3761" s="246" t="inlineStr">
        <is>
          <t xml:space="preserve"> TAVERNITI BERMUDA </t>
        </is>
      </c>
      <c r="C3761" s="88" t="n">
        <v>69000</v>
      </c>
      <c r="D3761" s="153" t="n"/>
      <c r="E3761" s="153" t="n"/>
      <c r="F3761" s="153" t="n"/>
      <c r="G3761" s="153" t="n"/>
      <c r="H3761" s="153" t="n"/>
      <c r="I3761" s="153" t="n"/>
      <c r="J3761" s="205" t="n"/>
      <c r="K3761" s="219" t="n"/>
      <c r="L3761" s="219">
        <f>ROUND((M3761*C3761)/100,0)*100</f>
        <v/>
      </c>
      <c r="M3761" s="118" t="n">
        <v>1.05</v>
      </c>
      <c r="P3761" s="117" t="n"/>
      <c r="R3761" s="117" t="n"/>
      <c r="T3761" s="117" t="n"/>
    </row>
    <row r="3762">
      <c r="A3762" s="134" t="inlineStr">
        <is>
          <t>11499XXX</t>
        </is>
      </c>
      <c r="B3762" s="246" t="inlineStr">
        <is>
          <t xml:space="preserve"> TAVERNITI BERMUDA </t>
        </is>
      </c>
      <c r="C3762" s="88" t="n">
        <v>69000</v>
      </c>
      <c r="D3762" s="153" t="n"/>
      <c r="E3762" s="153" t="n"/>
      <c r="F3762" s="153" t="n"/>
      <c r="G3762" s="153" t="n"/>
      <c r="H3762" s="153" t="n"/>
      <c r="I3762" s="153" t="n"/>
      <c r="J3762" s="205" t="n"/>
      <c r="K3762" s="219" t="n"/>
      <c r="L3762" s="219">
        <f>ROUND((M3762*C3762)/100,0)*100</f>
        <v/>
      </c>
      <c r="M3762" s="118" t="n">
        <v>1.05</v>
      </c>
      <c r="P3762" s="117" t="n"/>
      <c r="R3762" s="117" t="n"/>
      <c r="T3762" s="117" t="n"/>
    </row>
    <row r="3763">
      <c r="A3763" s="89" t="inlineStr">
        <is>
          <t>11517XXX</t>
        </is>
      </c>
      <c r="B3763" s="246" t="inlineStr">
        <is>
          <t xml:space="preserve"> TAVERNITI BERMUDA </t>
        </is>
      </c>
      <c r="C3763" s="88" t="n">
        <v>69000</v>
      </c>
      <c r="D3763" s="111" t="n"/>
      <c r="E3763" s="111" t="n"/>
      <c r="F3763" s="111" t="n"/>
      <c r="G3763" s="111" t="n"/>
      <c r="H3763" s="111" t="n"/>
      <c r="I3763" s="111" t="n"/>
      <c r="J3763" s="207" t="n"/>
      <c r="K3763" s="170" t="n"/>
      <c r="L3763" s="88">
        <f>ROUND((M3763*C3763)/100,0)*100</f>
        <v/>
      </c>
      <c r="M3763" s="118" t="n">
        <v>1.05</v>
      </c>
      <c r="N3763" s="30" t="n"/>
      <c r="O3763" s="30" t="n"/>
      <c r="P3763" s="170" t="n"/>
      <c r="Q3763" s="30" t="n"/>
      <c r="R3763" s="170" t="n"/>
      <c r="S3763" s="30" t="n"/>
      <c r="T3763" s="170" t="n"/>
      <c r="U3763" s="30" t="n"/>
      <c r="V3763" s="30" t="n"/>
      <c r="W3763" s="30" t="n"/>
      <c r="X3763" s="30" t="n"/>
      <c r="Y3763" s="30" t="n"/>
      <c r="Z3763" s="30" t="n"/>
      <c r="AA3763" s="30" t="n"/>
      <c r="AB3763" s="30" t="n"/>
      <c r="AC3763" s="30" t="n"/>
      <c r="AD3763" s="30" t="n"/>
      <c r="AE3763" s="30" t="n"/>
      <c r="AF3763" s="30" t="n"/>
      <c r="AG3763" s="30" t="n"/>
      <c r="AH3763" s="30" t="n"/>
      <c r="AI3763" s="30" t="n"/>
      <c r="AJ3763" s="30" t="n"/>
      <c r="AK3763" s="30" t="n"/>
      <c r="AL3763" s="30" t="n"/>
      <c r="AM3763" s="30" t="n"/>
      <c r="AN3763" s="30" t="n"/>
      <c r="AO3763" s="30" t="n"/>
    </row>
    <row r="3764">
      <c r="A3764" s="89" t="inlineStr">
        <is>
          <t>11577XXX</t>
        </is>
      </c>
      <c r="B3764" s="246" t="inlineStr">
        <is>
          <t xml:space="preserve"> TAVERNITI BERMUDA </t>
        </is>
      </c>
      <c r="C3764" s="88" t="n">
        <v>62500</v>
      </c>
      <c r="D3764" s="111" t="n"/>
      <c r="E3764" s="111" t="n"/>
      <c r="F3764" s="111" t="n"/>
      <c r="G3764" s="111" t="n"/>
      <c r="H3764" s="111" t="n"/>
      <c r="I3764" s="111" t="n"/>
      <c r="J3764" s="207" t="n"/>
      <c r="K3764" s="170" t="n"/>
      <c r="L3764" s="88">
        <f>ROUND((M3764*C3764)/100,0)*100</f>
        <v/>
      </c>
      <c r="M3764" s="118" t="n">
        <v>1.05</v>
      </c>
      <c r="N3764" s="30" t="n"/>
      <c r="O3764" s="30" t="n"/>
      <c r="P3764" s="170" t="n"/>
      <c r="Q3764" s="30" t="n"/>
      <c r="R3764" s="170" t="n"/>
      <c r="S3764" s="30" t="n"/>
      <c r="T3764" s="170" t="n"/>
      <c r="U3764" s="30" t="n"/>
      <c r="V3764" s="30" t="n"/>
      <c r="W3764" s="30" t="n"/>
      <c r="X3764" s="30" t="n"/>
      <c r="Y3764" s="30" t="n"/>
      <c r="Z3764" s="30" t="n"/>
      <c r="AA3764" s="30" t="n"/>
      <c r="AB3764" s="30" t="n"/>
      <c r="AC3764" s="30" t="n"/>
      <c r="AD3764" s="30" t="n"/>
      <c r="AE3764" s="30" t="n"/>
      <c r="AF3764" s="30" t="n"/>
      <c r="AG3764" s="30" t="n"/>
      <c r="AH3764" s="30" t="n"/>
      <c r="AI3764" s="30" t="n"/>
      <c r="AJ3764" s="30" t="n"/>
      <c r="AK3764" s="30" t="n"/>
      <c r="AL3764" s="30" t="n"/>
      <c r="AM3764" s="30" t="n"/>
      <c r="AN3764" s="30" t="n"/>
      <c r="AO3764" s="30" t="n"/>
    </row>
    <row r="3765">
      <c r="A3765" s="134" t="inlineStr">
        <is>
          <t>11589XXX</t>
        </is>
      </c>
      <c r="B3765" s="246" t="inlineStr">
        <is>
          <t xml:space="preserve"> TAVERNITI BERMUDA </t>
        </is>
      </c>
      <c r="C3765" s="88" t="n">
        <v>64600</v>
      </c>
      <c r="D3765" s="153" t="n"/>
      <c r="E3765" s="153" t="n"/>
      <c r="F3765" s="153" t="n"/>
      <c r="G3765" s="153" t="n"/>
      <c r="H3765" s="153" t="n"/>
      <c r="I3765" s="153" t="n"/>
      <c r="J3765" s="205" t="n"/>
      <c r="K3765" s="219" t="n"/>
      <c r="L3765" s="219">
        <f>ROUND((M3765*C3765)/100,0)*100</f>
        <v/>
      </c>
      <c r="M3765" s="118" t="n">
        <v>1.05</v>
      </c>
      <c r="P3765" s="117" t="n"/>
      <c r="R3765" s="117" t="n"/>
      <c r="T3765" s="117" t="n"/>
    </row>
    <row r="3766">
      <c r="A3766" s="89" t="inlineStr">
        <is>
          <t>11653XXX</t>
        </is>
      </c>
      <c r="B3766" s="135" t="inlineStr">
        <is>
          <t xml:space="preserve"> TAVERNITI BERMUDA </t>
        </is>
      </c>
      <c r="C3766" s="88" t="n">
        <v>83500</v>
      </c>
      <c r="D3766" s="170" t="n"/>
      <c r="E3766" s="170" t="n"/>
      <c r="F3766" s="170" t="n"/>
      <c r="G3766" s="170" t="n"/>
      <c r="H3766" s="170" t="n"/>
      <c r="I3766" s="170" t="n"/>
      <c r="J3766" s="208" t="n"/>
      <c r="K3766" s="170" t="n"/>
      <c r="L3766" s="88">
        <f>ROUND((M3766*C3766)/100,0)*100</f>
        <v/>
      </c>
      <c r="M3766" s="118" t="n">
        <v>1.05</v>
      </c>
      <c r="N3766" s="30" t="n"/>
      <c r="O3766" s="30" t="n"/>
      <c r="P3766" s="170" t="n"/>
      <c r="Q3766" s="30" t="n"/>
      <c r="R3766" s="170" t="n"/>
      <c r="S3766" s="30" t="n"/>
      <c r="T3766" s="170" t="n"/>
      <c r="U3766" s="30" t="n"/>
      <c r="V3766" s="30" t="n"/>
      <c r="W3766" s="30" t="n"/>
      <c r="X3766" s="30" t="n"/>
      <c r="Y3766" s="30" t="n"/>
      <c r="Z3766" s="30" t="n"/>
      <c r="AA3766" s="30" t="n"/>
      <c r="AB3766" s="30" t="n"/>
      <c r="AC3766" s="30" t="n"/>
      <c r="AD3766" s="30" t="n"/>
      <c r="AE3766" s="30" t="n"/>
      <c r="AF3766" s="30" t="n"/>
      <c r="AG3766" s="30" t="n"/>
      <c r="AH3766" s="30" t="n"/>
      <c r="AI3766" s="30" t="n"/>
      <c r="AJ3766" s="30" t="n"/>
      <c r="AK3766" s="30" t="n"/>
      <c r="AL3766" s="30" t="n"/>
      <c r="AM3766" s="30" t="n"/>
      <c r="AN3766" s="30" t="n"/>
      <c r="AO3766" s="30" t="n"/>
    </row>
    <row r="3767">
      <c r="A3767" s="89" t="inlineStr">
        <is>
          <t>11655XXX</t>
        </is>
      </c>
      <c r="B3767" s="135" t="inlineStr">
        <is>
          <t xml:space="preserve"> TAVERNITI BERMUDA </t>
        </is>
      </c>
      <c r="C3767" s="88" t="n">
        <v>82500</v>
      </c>
      <c r="D3767" s="170" t="n"/>
      <c r="E3767" s="170" t="n"/>
      <c r="F3767" s="170" t="n"/>
      <c r="G3767" s="170" t="n"/>
      <c r="H3767" s="170" t="n"/>
      <c r="I3767" s="170" t="n"/>
      <c r="J3767" s="208" t="n"/>
      <c r="K3767" s="170" t="n"/>
      <c r="L3767" s="88">
        <f>ROUND((M3767*C3767)/100,0)*100</f>
        <v/>
      </c>
      <c r="M3767" s="118" t="n">
        <v>1.05</v>
      </c>
      <c r="N3767" s="30" t="n"/>
      <c r="O3767" s="30" t="n"/>
      <c r="P3767" s="170" t="n"/>
      <c r="Q3767" s="30" t="n"/>
      <c r="R3767" s="170" t="n"/>
      <c r="S3767" s="30" t="n"/>
      <c r="T3767" s="170" t="n"/>
      <c r="U3767" s="30" t="n"/>
      <c r="V3767" s="30" t="n"/>
      <c r="W3767" s="30" t="n"/>
      <c r="X3767" s="30" t="n"/>
      <c r="Y3767" s="30" t="n"/>
      <c r="Z3767" s="30" t="n"/>
      <c r="AA3767" s="30" t="n"/>
      <c r="AB3767" s="30" t="n"/>
      <c r="AC3767" s="30" t="n"/>
      <c r="AD3767" s="30" t="n"/>
      <c r="AE3767" s="30" t="n"/>
      <c r="AF3767" s="30" t="n"/>
      <c r="AG3767" s="30" t="n"/>
      <c r="AH3767" s="30" t="n"/>
      <c r="AI3767" s="30" t="n"/>
      <c r="AJ3767" s="30" t="n"/>
      <c r="AK3767" s="30" t="n"/>
      <c r="AL3767" s="30" t="n"/>
      <c r="AM3767" s="30" t="n"/>
      <c r="AN3767" s="30" t="n"/>
      <c r="AO3767" s="30" t="n"/>
    </row>
    <row r="3768">
      <c r="A3768" s="89" t="inlineStr">
        <is>
          <t>11665XXX</t>
        </is>
      </c>
      <c r="B3768" s="246" t="inlineStr">
        <is>
          <t xml:space="preserve"> TAVERNITI BERMUDA </t>
        </is>
      </c>
      <c r="C3768" s="88" t="n">
        <v>70900</v>
      </c>
      <c r="D3768" s="111" t="n"/>
      <c r="E3768" s="111" t="n"/>
      <c r="F3768" s="111" t="n"/>
      <c r="G3768" s="111" t="n"/>
      <c r="H3768" s="111" t="n"/>
      <c r="I3768" s="111" t="n"/>
      <c r="J3768" s="207" t="n"/>
      <c r="K3768" s="170" t="n"/>
      <c r="L3768" s="88">
        <f>ROUND((M3768*C3768)/100,0)*100</f>
        <v/>
      </c>
      <c r="M3768" s="118" t="n">
        <v>1.05</v>
      </c>
      <c r="N3768" s="30" t="n"/>
      <c r="O3768" s="30" t="n"/>
      <c r="P3768" s="170" t="n"/>
      <c r="Q3768" s="30" t="n"/>
      <c r="R3768" s="170" t="n"/>
      <c r="S3768" s="30" t="n"/>
      <c r="T3768" s="170" t="n"/>
      <c r="U3768" s="30" t="n"/>
      <c r="V3768" s="30" t="n"/>
      <c r="W3768" s="30" t="n"/>
      <c r="X3768" s="30" t="n"/>
      <c r="Y3768" s="30" t="n"/>
      <c r="Z3768" s="30" t="n"/>
      <c r="AA3768" s="30" t="n"/>
      <c r="AB3768" s="30" t="n"/>
      <c r="AC3768" s="30" t="n"/>
      <c r="AD3768" s="30" t="n"/>
      <c r="AE3768" s="30" t="n"/>
      <c r="AF3768" s="30" t="n"/>
      <c r="AG3768" s="30" t="n"/>
      <c r="AH3768" s="30" t="n"/>
      <c r="AI3768" s="30" t="n"/>
      <c r="AJ3768" s="30" t="n"/>
      <c r="AK3768" s="30" t="n"/>
      <c r="AL3768" s="30" t="n"/>
      <c r="AM3768" s="30" t="n"/>
      <c r="AN3768" s="30" t="n"/>
      <c r="AO3768" s="30" t="n"/>
    </row>
    <row r="3769">
      <c r="A3769" s="134" t="inlineStr">
        <is>
          <t>11667XXX</t>
        </is>
      </c>
      <c r="B3769" s="246" t="inlineStr">
        <is>
          <t xml:space="preserve"> TAVERNITI BERMUDA </t>
        </is>
      </c>
      <c r="C3769" s="88" t="n">
        <v>70900</v>
      </c>
      <c r="D3769" s="153" t="n"/>
      <c r="E3769" s="153" t="n"/>
      <c r="F3769" s="153" t="n"/>
      <c r="G3769" s="153" t="n"/>
      <c r="H3769" s="153" t="n"/>
      <c r="I3769" s="153" t="n"/>
      <c r="J3769" s="205" t="n"/>
      <c r="K3769" s="219" t="n"/>
      <c r="L3769" s="219">
        <f>ROUND((M3769*C3769)/100,0)*100</f>
        <v/>
      </c>
      <c r="M3769" s="118" t="n">
        <v>1.05</v>
      </c>
      <c r="P3769" s="117" t="n"/>
      <c r="R3769" s="117" t="n"/>
      <c r="T3769" s="117" t="n"/>
    </row>
    <row r="3770">
      <c r="A3770" s="89" t="inlineStr">
        <is>
          <t>11683XXX</t>
        </is>
      </c>
      <c r="B3770" s="135" t="inlineStr">
        <is>
          <t xml:space="preserve"> TAVERNITI BERMUDA </t>
        </is>
      </c>
      <c r="C3770" s="88" t="n">
        <v>67700</v>
      </c>
      <c r="D3770" s="111" t="n"/>
      <c r="E3770" s="111" t="n"/>
      <c r="F3770" s="111" t="n"/>
      <c r="G3770" s="111" t="n"/>
      <c r="H3770" s="111" t="n"/>
      <c r="I3770" s="111" t="n"/>
      <c r="J3770" s="207" t="n"/>
      <c r="K3770" s="170" t="n"/>
      <c r="L3770" s="88">
        <f>ROUND((M3770*C3770)/100,0)*100</f>
        <v/>
      </c>
      <c r="M3770" s="118" t="n">
        <v>1.05</v>
      </c>
      <c r="N3770" s="30" t="n"/>
      <c r="O3770" s="30" t="n"/>
      <c r="P3770" s="170" t="n"/>
      <c r="Q3770" s="30" t="n"/>
      <c r="R3770" s="170" t="n"/>
      <c r="S3770" s="30" t="n"/>
      <c r="T3770" s="170" t="n"/>
      <c r="U3770" s="30" t="n"/>
      <c r="V3770" s="30" t="n"/>
      <c r="W3770" s="30" t="n"/>
      <c r="X3770" s="30" t="n"/>
      <c r="Y3770" s="30" t="n"/>
      <c r="Z3770" s="30" t="n"/>
      <c r="AA3770" s="30" t="n"/>
      <c r="AB3770" s="30" t="n"/>
      <c r="AC3770" s="30" t="n"/>
      <c r="AD3770" s="30" t="n"/>
      <c r="AE3770" s="30" t="n"/>
      <c r="AF3770" s="30" t="n"/>
      <c r="AG3770" s="30" t="n"/>
      <c r="AH3770" s="30" t="n"/>
      <c r="AI3770" s="30" t="n"/>
      <c r="AJ3770" s="30" t="n"/>
      <c r="AK3770" s="30" t="n"/>
      <c r="AL3770" s="30" t="n"/>
      <c r="AM3770" s="30" t="n"/>
      <c r="AN3770" s="30" t="n"/>
      <c r="AO3770" s="30" t="n"/>
    </row>
    <row r="3771">
      <c r="A3771" s="134" t="inlineStr">
        <is>
          <t>11695XXX</t>
        </is>
      </c>
      <c r="B3771" s="246" t="inlineStr">
        <is>
          <t xml:space="preserve"> TAVERNITI BERMUDA </t>
        </is>
      </c>
      <c r="C3771" s="88" t="n">
        <v>68500</v>
      </c>
      <c r="D3771" s="153" t="n"/>
      <c r="E3771" s="153" t="n"/>
      <c r="F3771" s="153" t="n"/>
      <c r="G3771" s="153" t="n"/>
      <c r="H3771" s="153" t="n"/>
      <c r="I3771" s="153" t="n"/>
      <c r="J3771" s="205" t="n"/>
      <c r="K3771" s="219" t="n"/>
      <c r="L3771" s="219">
        <f>ROUND((M3771*C3771)/100,0)*100</f>
        <v/>
      </c>
      <c r="M3771" s="118" t="n">
        <v>1.05</v>
      </c>
      <c r="P3771" s="117" t="n"/>
      <c r="R3771" s="117" t="n"/>
      <c r="T3771" s="117" t="n"/>
    </row>
    <row r="3772">
      <c r="A3772" s="134" t="inlineStr">
        <is>
          <t>11827XXX</t>
        </is>
      </c>
      <c r="B3772" s="246" t="inlineStr">
        <is>
          <t xml:space="preserve"> TAVERNITI BERMUDA </t>
        </is>
      </c>
      <c r="C3772" s="88" t="n">
        <v>70500</v>
      </c>
      <c r="D3772" s="153" t="n"/>
      <c r="E3772" s="153" t="n"/>
      <c r="F3772" s="153" t="n"/>
      <c r="G3772" s="153" t="n"/>
      <c r="H3772" s="153" t="n"/>
      <c r="I3772" s="153" t="n"/>
      <c r="J3772" s="205" t="n"/>
      <c r="K3772" s="219" t="n"/>
      <c r="L3772" s="219">
        <f>ROUND((M3772*C3772)/100,0)*100</f>
        <v/>
      </c>
      <c r="M3772" s="118" t="n">
        <v>1.05</v>
      </c>
      <c r="P3772" s="117" t="n"/>
      <c r="R3772" s="117" t="n"/>
      <c r="T3772" s="117" t="n"/>
    </row>
    <row r="3773">
      <c r="A3773" s="134" t="n"/>
      <c r="B3773" s="246" t="n"/>
      <c r="C3773" s="88" t="n"/>
      <c r="D3773" s="153" t="n"/>
      <c r="E3773" s="153" t="n"/>
      <c r="F3773" s="153" t="n"/>
      <c r="G3773" s="153" t="n"/>
      <c r="H3773" s="153" t="n"/>
      <c r="I3773" s="153" t="n"/>
      <c r="J3773" s="205" t="n"/>
      <c r="K3773" s="219" t="n"/>
      <c r="L3773" s="219" t="n"/>
      <c r="M3773" s="118" t="n"/>
      <c r="P3773" s="117" t="n"/>
      <c r="R3773" s="117" t="n"/>
      <c r="T3773" s="117" t="n"/>
    </row>
    <row r="3774">
      <c r="A3774" s="134" t="n"/>
      <c r="B3774" s="246" t="n"/>
      <c r="C3774" s="88" t="n"/>
      <c r="D3774" s="153" t="n"/>
      <c r="E3774" s="153" t="n"/>
      <c r="F3774" s="153" t="n"/>
      <c r="G3774" s="153" t="n"/>
      <c r="H3774" s="153" t="n"/>
      <c r="I3774" s="153" t="n"/>
      <c r="J3774" s="205" t="n"/>
      <c r="K3774" s="219" t="n"/>
      <c r="L3774" s="219" t="n"/>
      <c r="M3774" s="219" t="n"/>
      <c r="P3774" s="117" t="n"/>
      <c r="R3774" s="117" t="n"/>
      <c r="S3774" s="118" t="n"/>
      <c r="T3774" s="117" t="n"/>
      <c r="U3774" s="118" t="n"/>
      <c r="V3774" s="118" t="n"/>
      <c r="W3774" s="118" t="n"/>
      <c r="X3774" s="118" t="n"/>
    </row>
    <row r="3775">
      <c r="A3775" s="134" t="n"/>
      <c r="B3775" s="246" t="n"/>
      <c r="C3775" s="88" t="n"/>
      <c r="D3775" s="153" t="n"/>
      <c r="E3775" s="153" t="n"/>
      <c r="F3775" s="153" t="n"/>
      <c r="G3775" s="153" t="n"/>
      <c r="H3775" s="153" t="n"/>
      <c r="I3775" s="153" t="n"/>
      <c r="J3775" s="205" t="n"/>
      <c r="K3775" s="219" t="n"/>
      <c r="L3775" s="219" t="n"/>
      <c r="M3775" s="219" t="n"/>
      <c r="P3775" s="117" t="n"/>
      <c r="R3775" s="117" t="n"/>
      <c r="S3775" s="118" t="n"/>
      <c r="T3775" s="117" t="n"/>
      <c r="U3775" s="118" t="n"/>
      <c r="V3775" s="118" t="n"/>
      <c r="W3775" s="118" t="n"/>
      <c r="X3775" s="118" t="n"/>
    </row>
    <row r="3776">
      <c r="A3776" s="209" t="n"/>
      <c r="B3776" s="210" t="inlineStr">
        <is>
          <t>BLAZER DAMA</t>
        </is>
      </c>
      <c r="C3776" s="211" t="n">
        <v>43900</v>
      </c>
      <c r="D3776" s="212" t="n">
        <v>5</v>
      </c>
      <c r="E3776" s="211" t="n">
        <v>6</v>
      </c>
      <c r="F3776" s="213" t="n">
        <v>7</v>
      </c>
      <c r="G3776" s="213" t="n">
        <v>8</v>
      </c>
      <c r="H3776" s="213" t="n">
        <v>10</v>
      </c>
      <c r="I3776" s="111" t="n"/>
      <c r="J3776" s="209" t="inlineStr">
        <is>
          <t>04/25</t>
        </is>
      </c>
      <c r="K3776" s="170" t="n"/>
      <c r="L3776" s="170" t="n"/>
      <c r="M3776" s="170" t="n"/>
      <c r="N3776" s="30" t="n"/>
      <c r="O3776" s="30" t="n"/>
      <c r="P3776" s="170" t="n"/>
      <c r="Q3776" s="30" t="n"/>
      <c r="R3776" s="170" t="n"/>
      <c r="S3776" s="30" t="n"/>
      <c r="T3776" s="170" t="n"/>
      <c r="U3776" s="30" t="n"/>
      <c r="V3776" s="30" t="n"/>
      <c r="W3776" s="30" t="n"/>
      <c r="X3776" s="30" t="n"/>
      <c r="Y3776" s="30" t="n"/>
      <c r="Z3776" s="30" t="n"/>
      <c r="AA3776" s="30" t="n"/>
      <c r="AB3776" s="30" t="n"/>
      <c r="AC3776" s="30" t="n"/>
      <c r="AD3776" s="30" t="n"/>
      <c r="AE3776" s="30" t="n"/>
      <c r="AF3776" s="30" t="n"/>
      <c r="AG3776" s="30" t="n"/>
      <c r="AH3776" s="30" t="n"/>
      <c r="AI3776" s="30" t="n"/>
      <c r="AJ3776" s="30" t="n"/>
      <c r="AK3776" s="30" t="n"/>
      <c r="AL3776" s="30" t="n"/>
      <c r="AM3776" s="30" t="n"/>
      <c r="AN3776" s="30" t="n"/>
    </row>
    <row r="3777">
      <c r="A3777" s="134" t="inlineStr">
        <is>
          <t>3610</t>
        </is>
      </c>
      <c r="B3777" s="135" t="inlineStr">
        <is>
          <t>BLAZER MILLER</t>
        </is>
      </c>
      <c r="C3777" s="88" t="n">
        <v>40300</v>
      </c>
      <c r="D3777" s="153" t="n"/>
      <c r="E3777" s="153" t="n"/>
      <c r="F3777" s="153" t="n"/>
      <c r="G3777" s="153" t="n"/>
      <c r="H3777" s="153" t="n"/>
      <c r="I3777" s="153" t="n"/>
      <c r="J3777" s="205" t="n"/>
      <c r="K3777" s="219" t="n"/>
      <c r="L3777" s="150">
        <f>ROUND((M3777*C3777)/100,0)*100</f>
        <v/>
      </c>
      <c r="M3777" s="118" t="n">
        <v>1.15</v>
      </c>
      <c r="P3777" s="117" t="n"/>
      <c r="R3777" s="117" t="n"/>
      <c r="S3777" s="118" t="n"/>
      <c r="T3777" s="117" t="n"/>
      <c r="U3777" s="118" t="n"/>
      <c r="V3777" s="118" t="n"/>
      <c r="W3777" s="118" t="n"/>
      <c r="X3777" s="118" t="n"/>
    </row>
    <row r="3778">
      <c r="A3778" s="134" t="inlineStr">
        <is>
          <t>1444</t>
        </is>
      </c>
      <c r="B3778" s="135" t="inlineStr">
        <is>
          <t>BLAZER SABINA</t>
        </is>
      </c>
      <c r="C3778" s="88" t="n">
        <v>39100</v>
      </c>
      <c r="D3778" s="153" t="n"/>
      <c r="E3778" s="153" t="n"/>
      <c r="F3778" s="153" t="n"/>
      <c r="G3778" s="153" t="n"/>
      <c r="H3778" s="153" t="n"/>
      <c r="I3778" s="153" t="n"/>
      <c r="J3778" s="205" t="n"/>
      <c r="K3778" s="219" t="n"/>
      <c r="L3778" s="150">
        <f>ROUND((M3778*C3778)/100,0)*100</f>
        <v/>
      </c>
      <c r="M3778" s="118" t="n">
        <v>1.15</v>
      </c>
      <c r="P3778" s="117" t="n"/>
      <c r="R3778" s="117" t="n"/>
      <c r="S3778" s="118" t="n"/>
      <c r="T3778" s="117" t="n"/>
      <c r="U3778" s="118" t="n"/>
      <c r="V3778" s="118" t="n"/>
      <c r="W3778" s="118" t="n"/>
      <c r="X3778" s="118" t="n"/>
    </row>
    <row r="3779">
      <c r="A3779" s="134" t="n"/>
      <c r="B3779" s="246" t="n"/>
      <c r="C3779" s="88" t="n"/>
      <c r="D3779" s="153" t="n"/>
      <c r="E3779" s="153" t="n"/>
      <c r="F3779" s="153" t="n"/>
      <c r="G3779" s="153" t="n"/>
      <c r="H3779" s="153" t="n"/>
      <c r="I3779" s="153" t="n"/>
      <c r="J3779" s="205" t="n"/>
      <c r="K3779" s="219" t="n"/>
      <c r="L3779" s="219" t="n"/>
      <c r="M3779" s="219" t="n"/>
      <c r="P3779" s="117" t="n"/>
      <c r="R3779" s="117" t="n"/>
      <c r="S3779" s="118" t="n"/>
      <c r="T3779" s="117" t="n"/>
      <c r="U3779" s="118" t="n"/>
      <c r="V3779" s="118" t="n"/>
      <c r="W3779" s="118" t="n"/>
      <c r="X3779" s="118" t="n"/>
    </row>
    <row r="3780">
      <c r="A3780" s="134" t="n"/>
      <c r="B3780" s="246" t="n"/>
      <c r="C3780" s="88" t="n"/>
      <c r="D3780" s="153" t="n"/>
      <c r="E3780" s="153" t="n"/>
      <c r="F3780" s="153" t="n"/>
      <c r="G3780" s="153" t="n"/>
      <c r="H3780" s="153" t="n"/>
      <c r="I3780" s="153" t="n"/>
      <c r="J3780" s="205" t="n"/>
      <c r="K3780" s="219" t="n"/>
      <c r="L3780" s="219" t="n"/>
      <c r="M3780" s="219" t="n"/>
      <c r="P3780" s="117" t="n"/>
      <c r="R3780" s="117" t="n"/>
      <c r="S3780" s="118" t="n"/>
      <c r="T3780" s="117" t="n"/>
      <c r="U3780" s="118" t="n"/>
      <c r="V3780" s="118" t="n"/>
      <c r="W3780" s="118" t="n"/>
      <c r="X3780" s="118" t="n"/>
    </row>
    <row r="3781">
      <c r="A3781" s="134" t="n"/>
      <c r="B3781" s="200" t="inlineStr">
        <is>
          <t>SHORTS DAMA</t>
        </is>
      </c>
      <c r="C3781" s="214" t="inlineStr">
        <is>
          <t>40/48</t>
        </is>
      </c>
      <c r="D3781" s="204" t="inlineStr">
        <is>
          <t>50-54</t>
        </is>
      </c>
      <c r="E3781" s="204" t="n">
        <v>6</v>
      </c>
      <c r="F3781" s="204" t="n">
        <v>7</v>
      </c>
      <c r="G3781" s="204" t="n">
        <v>8</v>
      </c>
      <c r="H3781" s="202" t="n">
        <v>10</v>
      </c>
      <c r="I3781" s="215" t="n">
        <v>12</v>
      </c>
      <c r="J3781" s="134" t="inlineStr">
        <is>
          <t>12/25</t>
        </is>
      </c>
      <c r="K3781" s="219" t="n"/>
      <c r="L3781" s="219" t="n"/>
      <c r="M3781" s="219" t="n"/>
      <c r="P3781" s="117" t="n"/>
      <c r="R3781" s="117" t="n"/>
      <c r="T3781" s="117" t="n"/>
    </row>
    <row r="3782">
      <c r="A3782" s="134" t="inlineStr">
        <is>
          <t>350</t>
        </is>
      </c>
      <c r="B3782" s="246" t="inlineStr">
        <is>
          <t xml:space="preserve"> ESTAMPADO</t>
        </is>
      </c>
      <c r="C3782" s="22" t="n">
        <v>29800</v>
      </c>
      <c r="D3782" s="153">
        <f>ROUND((C3782*1.06)/100,0)*100</f>
        <v/>
      </c>
      <c r="E3782" s="153">
        <f>ROUND((C3782*1.13)/100,0)*100</f>
        <v/>
      </c>
      <c r="F3782" s="153">
        <f>ROUND((C3782*1.19)/100,0)*100</f>
        <v/>
      </c>
      <c r="G3782" s="153">
        <f>ROUND((C3782*1.25)/100,0)*100</f>
        <v/>
      </c>
      <c r="H3782" s="153" t="n"/>
      <c r="I3782" s="153" t="n"/>
      <c r="J3782" s="205" t="n"/>
      <c r="K3782" s="219" t="n"/>
      <c r="M3782" s="219" t="n"/>
      <c r="O3782" s="219">
        <f>P3782*C3782</f>
        <v/>
      </c>
      <c r="P3782" s="117" t="n">
        <v>1.05</v>
      </c>
      <c r="R3782" s="117" t="n"/>
      <c r="T3782" s="117" t="n"/>
    </row>
    <row r="3783">
      <c r="A3783" s="134" t="inlineStr">
        <is>
          <t>351</t>
        </is>
      </c>
      <c r="B3783" s="246" t="inlineStr">
        <is>
          <t xml:space="preserve"> AZUL</t>
        </is>
      </c>
      <c r="C3783" s="22" t="n">
        <v>27800</v>
      </c>
      <c r="D3783" s="153">
        <f>ROUND((C3783*1.06)/100,0)*100</f>
        <v/>
      </c>
      <c r="E3783" s="153">
        <f>ROUND((C3783*1.13)/100,0)*100</f>
        <v/>
      </c>
      <c r="F3783" s="153">
        <f>ROUND((C3783*1.19)/100,0)*100</f>
        <v/>
      </c>
      <c r="G3783" s="153">
        <f>ROUND((C3783*1.25)/100,0)*100</f>
        <v/>
      </c>
      <c r="H3783" s="153" t="n"/>
      <c r="I3783" s="153" t="n"/>
      <c r="J3783" s="205" t="n"/>
      <c r="K3783" s="219" t="n"/>
      <c r="M3783" s="219" t="n"/>
      <c r="O3783" s="219">
        <f>P3783*C3783</f>
        <v/>
      </c>
      <c r="P3783" s="117" t="n">
        <v>1.05</v>
      </c>
      <c r="R3783" s="117" t="n"/>
      <c r="T3783" s="117" t="n"/>
    </row>
    <row r="3784">
      <c r="A3784" s="134" t="inlineStr">
        <is>
          <t>35111</t>
        </is>
      </c>
      <c r="B3784" s="246" t="inlineStr">
        <is>
          <t>SHORT LISO NARA</t>
        </is>
      </c>
      <c r="C3784" s="88" t="n">
        <v>27500</v>
      </c>
      <c r="D3784" s="153">
        <f>ROUND((C3784*1.06)/100,0)*100</f>
        <v/>
      </c>
      <c r="E3784" s="153">
        <f>ROUND((C3784*1.13)/100,0)*100</f>
        <v/>
      </c>
      <c r="F3784" s="153">
        <f>ROUND((C3784*1.19)/100,0)*100</f>
        <v/>
      </c>
      <c r="G3784" s="153">
        <f>ROUND((C3784*1.25)/100,0)*100</f>
        <v/>
      </c>
      <c r="H3784" s="153" t="n"/>
      <c r="I3784" s="153" t="n"/>
      <c r="J3784" s="205" t="n"/>
      <c r="K3784" s="219" t="n"/>
      <c r="M3784" s="219" t="n"/>
      <c r="O3784" s="219">
        <f>P3784*C3784</f>
        <v/>
      </c>
      <c r="P3784" s="117" t="n">
        <v>1.05</v>
      </c>
      <c r="R3784" s="117" t="n"/>
      <c r="T3784" s="117" t="n"/>
    </row>
    <row r="3785">
      <c r="A3785" s="134" t="inlineStr">
        <is>
          <t>35112</t>
        </is>
      </c>
      <c r="B3785" s="246" t="inlineStr">
        <is>
          <t>SHORT BOLSILLO BORDADO</t>
        </is>
      </c>
      <c r="C3785" s="88" t="n">
        <v>33100</v>
      </c>
      <c r="D3785" s="153">
        <f>ROUND((C3785*1.06)/100,0)*100</f>
        <v/>
      </c>
      <c r="E3785" s="153">
        <f>ROUND((C3785*1.13)/100,0)*100</f>
        <v/>
      </c>
      <c r="F3785" s="153">
        <f>ROUND((C3785*1.19)/100,0)*100</f>
        <v/>
      </c>
      <c r="G3785" s="153">
        <f>ROUND((C3785*1.25)/100,0)*100</f>
        <v/>
      </c>
      <c r="H3785" s="153" t="n"/>
      <c r="I3785" s="153" t="n"/>
      <c r="J3785" s="205" t="n"/>
      <c r="K3785" s="219" t="n"/>
      <c r="M3785" s="219" t="n"/>
      <c r="O3785" s="219">
        <f>P3785*C3785</f>
        <v/>
      </c>
      <c r="P3785" s="117" t="n">
        <v>1.05</v>
      </c>
      <c r="R3785" s="117" t="n"/>
      <c r="T3785" s="117" t="n"/>
    </row>
    <row r="3786">
      <c r="A3786" s="134" t="inlineStr">
        <is>
          <t>35113</t>
        </is>
      </c>
      <c r="B3786" s="246" t="inlineStr">
        <is>
          <t>SHORT ESTAMPADO NARA</t>
        </is>
      </c>
      <c r="C3786" s="88" t="n">
        <v>27200</v>
      </c>
      <c r="D3786" s="153">
        <f>ROUND((C3786*1.06)/100,0)*100</f>
        <v/>
      </c>
      <c r="E3786" s="153">
        <f>ROUND((C3786*1.13)/100,0)*100</f>
        <v/>
      </c>
      <c r="F3786" s="153">
        <f>ROUND((C3786*1.19)/100,0)*100</f>
        <v/>
      </c>
      <c r="G3786" s="153">
        <f>ROUND((C3786*1.25)/100,0)*100</f>
        <v/>
      </c>
      <c r="H3786" s="153" t="n"/>
      <c r="I3786" s="153" t="n"/>
      <c r="J3786" s="205" t="n"/>
      <c r="K3786" s="219" t="n"/>
      <c r="M3786" s="219" t="n"/>
      <c r="O3786" s="219">
        <f>P3786*C3786</f>
        <v/>
      </c>
      <c r="P3786" s="117" t="n">
        <v>1.05</v>
      </c>
      <c r="R3786" s="117" t="n"/>
      <c r="T3786" s="117" t="n"/>
    </row>
    <row r="3787">
      <c r="A3787" s="134" t="inlineStr">
        <is>
          <t>35114</t>
        </is>
      </c>
      <c r="B3787" s="246" t="inlineStr">
        <is>
          <t>CHETA JEAN</t>
        </is>
      </c>
      <c r="C3787" s="88" t="n">
        <v>29000</v>
      </c>
      <c r="D3787" s="153">
        <f>ROUND((C3787*1.06)/100,0)*100</f>
        <v/>
      </c>
      <c r="E3787" s="153">
        <f>ROUND((C3787*1.13)/100,0)*100</f>
        <v/>
      </c>
      <c r="F3787" s="153">
        <f>ROUND((C3787*1.19)/100,0)*100</f>
        <v/>
      </c>
      <c r="G3787" s="153">
        <f>ROUND((C3787*1.25)/100,0)*100</f>
        <v/>
      </c>
      <c r="H3787" s="153" t="n"/>
      <c r="I3787" s="153" t="n"/>
      <c r="J3787" s="205" t="n"/>
      <c r="K3787" s="219" t="n"/>
      <c r="M3787" s="219" t="n"/>
      <c r="O3787" s="219">
        <f>P3787*C3787</f>
        <v/>
      </c>
      <c r="P3787" s="117" t="n">
        <v>1.05</v>
      </c>
      <c r="R3787" s="117" t="n"/>
      <c r="T3787" s="117" t="n"/>
    </row>
    <row r="3788">
      <c r="A3788" s="134" t="inlineStr">
        <is>
          <t>35115</t>
        </is>
      </c>
      <c r="B3788" s="246" t="inlineStr">
        <is>
          <t>SHORT NARA ANGOLA</t>
        </is>
      </c>
      <c r="C3788" s="88" t="n">
        <v>43300</v>
      </c>
      <c r="D3788" s="153">
        <f>ROUND((C3788*1.06)/100,0)*100</f>
        <v/>
      </c>
      <c r="E3788" s="153">
        <f>ROUND((C3788*1.13)/100,0)*100</f>
        <v/>
      </c>
      <c r="F3788" s="153">
        <f>ROUND((C3788*1.19)/100,0)*100</f>
        <v/>
      </c>
      <c r="G3788" s="153">
        <f>ROUND((C3788*1.25)/100,0)*100</f>
        <v/>
      </c>
      <c r="I3788" s="153" t="n"/>
      <c r="J3788" s="205" t="n"/>
      <c r="K3788" s="219" t="n"/>
      <c r="M3788" s="219" t="n"/>
      <c r="O3788" s="219">
        <f>P3788*C3788</f>
        <v/>
      </c>
      <c r="P3788" s="117" t="n">
        <v>1.05</v>
      </c>
      <c r="R3788" s="117" t="n"/>
      <c r="T3788" s="117" t="n"/>
    </row>
    <row r="3789">
      <c r="A3789" s="89" t="inlineStr">
        <is>
          <t>01961XXX</t>
        </is>
      </c>
      <c r="B3789" s="216" t="inlineStr">
        <is>
          <t>TAVERNITI SHORT</t>
        </is>
      </c>
      <c r="C3789" s="88" t="n">
        <v>59000</v>
      </c>
      <c r="D3789" s="111" t="n"/>
      <c r="E3789" s="111" t="n"/>
      <c r="F3789" s="111" t="n"/>
      <c r="G3789" s="111" t="n"/>
      <c r="H3789" s="111" t="n"/>
      <c r="I3789" s="111" t="n"/>
      <c r="J3789" s="207" t="n"/>
      <c r="K3789" s="170" t="n"/>
      <c r="L3789" s="170" t="n"/>
      <c r="M3789" s="170" t="n"/>
      <c r="N3789" s="30" t="n"/>
      <c r="O3789" s="150">
        <f>P3789*C3789</f>
        <v/>
      </c>
      <c r="P3789" s="117" t="n">
        <v>1.05</v>
      </c>
      <c r="R3789" s="117" t="n"/>
      <c r="T3789" s="170" t="n"/>
      <c r="U3789" s="30" t="n"/>
      <c r="V3789" s="30" t="n"/>
      <c r="W3789" s="30" t="n"/>
      <c r="X3789" s="30" t="n"/>
      <c r="Y3789" s="30" t="n"/>
      <c r="Z3789" s="30" t="n"/>
      <c r="AA3789" s="30" t="n"/>
      <c r="AB3789" s="30" t="n"/>
      <c r="AC3789" s="30" t="n"/>
      <c r="AD3789" s="30" t="n"/>
      <c r="AE3789" s="30" t="n"/>
      <c r="AF3789" s="30" t="n"/>
      <c r="AG3789" s="30" t="n"/>
      <c r="AH3789" s="30" t="n"/>
      <c r="AI3789" s="30" t="n"/>
      <c r="AJ3789" s="30" t="n"/>
      <c r="AK3789" s="30" t="n"/>
      <c r="AL3789" s="30" t="n"/>
      <c r="AM3789" s="30" t="n"/>
      <c r="AN3789" s="30" t="n"/>
    </row>
    <row r="3790">
      <c r="A3790" s="89" t="inlineStr">
        <is>
          <t>04157XXX</t>
        </is>
      </c>
      <c r="B3790" s="216" t="inlineStr">
        <is>
          <t>TAVERNITI SHORT</t>
        </is>
      </c>
      <c r="C3790" s="88" t="n">
        <v>50100</v>
      </c>
      <c r="D3790" s="170" t="n"/>
      <c r="E3790" s="170" t="n"/>
      <c r="F3790" s="170" t="n"/>
      <c r="G3790" s="170" t="n"/>
      <c r="H3790" s="170" t="n"/>
      <c r="I3790" s="170" t="n"/>
      <c r="J3790" s="208" t="n"/>
      <c r="K3790" s="170" t="n"/>
      <c r="L3790" s="170" t="n"/>
      <c r="M3790" s="170" t="n"/>
      <c r="N3790" s="30" t="n"/>
      <c r="O3790" s="150">
        <f>P3790*C3790</f>
        <v/>
      </c>
      <c r="P3790" s="117" t="n">
        <v>1.05</v>
      </c>
      <c r="Q3790" s="96" t="n"/>
      <c r="R3790" s="150" t="n"/>
      <c r="S3790" s="96" t="n"/>
      <c r="T3790" s="170" t="n"/>
      <c r="U3790" s="30" t="n"/>
      <c r="V3790" s="30" t="n"/>
      <c r="W3790" s="30" t="n"/>
      <c r="X3790" s="30" t="n"/>
      <c r="Y3790" s="30" t="n"/>
      <c r="Z3790" s="30" t="n"/>
      <c r="AA3790" s="30" t="n"/>
      <c r="AB3790" s="30" t="n"/>
      <c r="AC3790" s="30" t="n"/>
      <c r="AD3790" s="30" t="n"/>
      <c r="AE3790" s="30" t="n"/>
      <c r="AF3790" s="30" t="n"/>
      <c r="AG3790" s="30" t="n"/>
      <c r="AH3790" s="30" t="n"/>
      <c r="AI3790" s="30" t="n"/>
      <c r="AJ3790" s="30" t="n"/>
      <c r="AK3790" s="30" t="n"/>
      <c r="AL3790" s="30" t="n"/>
      <c r="AM3790" s="30" t="n"/>
      <c r="AN3790" s="30" t="n"/>
    </row>
    <row r="3791">
      <c r="A3791" s="89" t="inlineStr">
        <is>
          <t>05159XXX</t>
        </is>
      </c>
      <c r="B3791" s="216" t="inlineStr">
        <is>
          <t>TAVERNITI SHORT</t>
        </is>
      </c>
      <c r="C3791" s="88" t="n">
        <v>48100</v>
      </c>
      <c r="D3791" s="111" t="n"/>
      <c r="E3791" s="111" t="n"/>
      <c r="F3791" s="111" t="n"/>
      <c r="G3791" s="111" t="n"/>
      <c r="H3791" s="111" t="n"/>
      <c r="I3791" s="111" t="n"/>
      <c r="J3791" s="207" t="n"/>
      <c r="K3791" s="170" t="n"/>
      <c r="L3791" s="170" t="n"/>
      <c r="M3791" s="170" t="n"/>
      <c r="N3791" s="30" t="n"/>
      <c r="O3791" s="150">
        <f>P3791*C3791</f>
        <v/>
      </c>
      <c r="P3791" s="117" t="n">
        <v>1.05</v>
      </c>
      <c r="R3791" s="117" t="n"/>
      <c r="T3791" s="170" t="n"/>
      <c r="U3791" s="30" t="n"/>
      <c r="V3791" s="30" t="n"/>
      <c r="W3791" s="30" t="n"/>
      <c r="X3791" s="30" t="n"/>
      <c r="Y3791" s="30" t="n"/>
      <c r="Z3791" s="30" t="n"/>
      <c r="AA3791" s="30" t="n"/>
      <c r="AB3791" s="30" t="n"/>
      <c r="AC3791" s="30" t="n"/>
      <c r="AD3791" s="30" t="n"/>
      <c r="AE3791" s="30" t="n"/>
      <c r="AF3791" s="30" t="n"/>
      <c r="AG3791" s="30" t="n"/>
      <c r="AH3791" s="30" t="n"/>
      <c r="AI3791" s="30" t="n"/>
      <c r="AJ3791" s="30" t="n"/>
      <c r="AK3791" s="30" t="n"/>
      <c r="AL3791" s="30" t="n"/>
      <c r="AM3791" s="30" t="n"/>
      <c r="AN3791" s="30" t="n"/>
    </row>
    <row r="3792">
      <c r="A3792" s="89" t="inlineStr">
        <is>
          <t>05245XXX</t>
        </is>
      </c>
      <c r="B3792" s="216" t="inlineStr">
        <is>
          <t>TAVERNITI SHORT</t>
        </is>
      </c>
      <c r="C3792" s="88" t="n">
        <v>44700</v>
      </c>
      <c r="D3792" s="111" t="n"/>
      <c r="E3792" s="111" t="n"/>
      <c r="F3792" s="111" t="n"/>
      <c r="G3792" s="111" t="n"/>
      <c r="H3792" s="111" t="n"/>
      <c r="I3792" s="111" t="n"/>
      <c r="J3792" s="207" t="n"/>
      <c r="K3792" s="170" t="n"/>
      <c r="L3792" s="170" t="n"/>
      <c r="M3792" s="170" t="n"/>
      <c r="N3792" s="30" t="n"/>
      <c r="O3792" s="150">
        <f>P3792*C3792</f>
        <v/>
      </c>
      <c r="P3792" s="117" t="n">
        <v>1.05</v>
      </c>
      <c r="R3792" s="117" t="n"/>
      <c r="T3792" s="170" t="n"/>
      <c r="U3792" s="30" t="n"/>
      <c r="V3792" s="30" t="n"/>
      <c r="W3792" s="30" t="n"/>
      <c r="X3792" s="30" t="n"/>
      <c r="Y3792" s="30" t="n"/>
      <c r="Z3792" s="30" t="n"/>
      <c r="AA3792" s="30" t="n"/>
      <c r="AB3792" s="30" t="n"/>
      <c r="AC3792" s="30" t="n"/>
      <c r="AD3792" s="30" t="n"/>
      <c r="AE3792" s="30" t="n"/>
      <c r="AF3792" s="30" t="n"/>
      <c r="AG3792" s="30" t="n"/>
      <c r="AH3792" s="30" t="n"/>
      <c r="AI3792" s="30" t="n"/>
      <c r="AJ3792" s="30" t="n"/>
      <c r="AK3792" s="30" t="n"/>
      <c r="AL3792" s="30" t="n"/>
      <c r="AM3792" s="30" t="n"/>
      <c r="AN3792" s="30" t="n"/>
    </row>
    <row r="3793">
      <c r="A3793" s="89" t="inlineStr">
        <is>
          <t>05273XXX</t>
        </is>
      </c>
      <c r="B3793" s="216" t="inlineStr">
        <is>
          <t>TAVERNITI SHORT</t>
        </is>
      </c>
      <c r="C3793" s="88" t="n">
        <v>44700</v>
      </c>
      <c r="D3793" s="170" t="n"/>
      <c r="E3793" s="170" t="n"/>
      <c r="F3793" s="170" t="n"/>
      <c r="G3793" s="170" t="n"/>
      <c r="H3793" s="170" t="n"/>
      <c r="I3793" s="170" t="n"/>
      <c r="J3793" s="208" t="n"/>
      <c r="K3793" s="170" t="n"/>
      <c r="L3793" s="170" t="n"/>
      <c r="M3793" s="170" t="n"/>
      <c r="N3793" s="30" t="n"/>
      <c r="O3793" s="150">
        <f>P3793*C3793</f>
        <v/>
      </c>
      <c r="P3793" s="117" t="n">
        <v>1.05</v>
      </c>
      <c r="Q3793" s="96" t="n"/>
      <c r="R3793" s="150" t="n"/>
      <c r="S3793" s="96" t="n"/>
      <c r="T3793" s="170" t="n"/>
      <c r="U3793" s="30" t="n"/>
      <c r="V3793" s="30" t="n"/>
      <c r="W3793" s="30" t="n"/>
      <c r="X3793" s="30" t="n"/>
      <c r="Y3793" s="30" t="n"/>
      <c r="Z3793" s="30" t="n"/>
      <c r="AA3793" s="30" t="n"/>
      <c r="AB3793" s="30" t="n"/>
      <c r="AC3793" s="30" t="n"/>
      <c r="AD3793" s="30" t="n"/>
      <c r="AE3793" s="30" t="n"/>
      <c r="AF3793" s="30" t="n"/>
      <c r="AG3793" s="30" t="n"/>
      <c r="AH3793" s="30" t="n"/>
      <c r="AI3793" s="30" t="n"/>
      <c r="AJ3793" s="30" t="n"/>
      <c r="AK3793" s="30" t="n"/>
      <c r="AL3793" s="30" t="n"/>
      <c r="AM3793" s="30" t="n"/>
      <c r="AN3793" s="30" t="n"/>
    </row>
    <row r="3794">
      <c r="A3794" s="89" t="inlineStr">
        <is>
          <t>05275XXX</t>
        </is>
      </c>
      <c r="B3794" s="216" t="inlineStr">
        <is>
          <t>TAVERNITI SHORT</t>
        </is>
      </c>
      <c r="C3794" s="88" t="n">
        <v>44700</v>
      </c>
      <c r="D3794" s="170" t="n"/>
      <c r="E3794" s="170" t="n"/>
      <c r="F3794" s="170" t="n"/>
      <c r="G3794" s="170" t="n"/>
      <c r="H3794" s="170" t="n"/>
      <c r="I3794" s="170" t="n"/>
      <c r="J3794" s="208" t="n"/>
      <c r="K3794" s="170" t="n"/>
      <c r="L3794" s="170" t="n"/>
      <c r="M3794" s="170" t="n"/>
      <c r="N3794" s="30" t="n"/>
      <c r="O3794" s="150">
        <f>P3794*C3794</f>
        <v/>
      </c>
      <c r="P3794" s="117" t="n">
        <v>1.05</v>
      </c>
      <c r="Q3794" s="96" t="n"/>
      <c r="R3794" s="150" t="n"/>
      <c r="S3794" s="96" t="n"/>
      <c r="T3794" s="170" t="n"/>
      <c r="U3794" s="30" t="n"/>
      <c r="V3794" s="30" t="n"/>
      <c r="W3794" s="30" t="n"/>
      <c r="X3794" s="30" t="n"/>
      <c r="Y3794" s="30" t="n"/>
      <c r="Z3794" s="30" t="n"/>
      <c r="AA3794" s="30" t="n"/>
      <c r="AB3794" s="30" t="n"/>
      <c r="AC3794" s="30" t="n"/>
      <c r="AD3794" s="30" t="n"/>
      <c r="AE3794" s="30" t="n"/>
      <c r="AF3794" s="30" t="n"/>
      <c r="AG3794" s="30" t="n"/>
      <c r="AH3794" s="30" t="n"/>
      <c r="AI3794" s="30" t="n"/>
      <c r="AJ3794" s="30" t="n"/>
      <c r="AK3794" s="30" t="n"/>
      <c r="AL3794" s="30" t="n"/>
      <c r="AM3794" s="30" t="n"/>
      <c r="AN3794" s="30" t="n"/>
    </row>
    <row r="3795">
      <c r="A3795" s="89" t="inlineStr">
        <is>
          <t>05279XXX</t>
        </is>
      </c>
      <c r="B3795" s="216" t="inlineStr">
        <is>
          <t>TAVERNITI SHORT</t>
        </is>
      </c>
      <c r="C3795" s="88" t="n">
        <v>51200</v>
      </c>
      <c r="D3795" s="170" t="n"/>
      <c r="E3795" s="170" t="n"/>
      <c r="F3795" s="170" t="n"/>
      <c r="G3795" s="170" t="n"/>
      <c r="H3795" s="170" t="n"/>
      <c r="I3795" s="170" t="n"/>
      <c r="J3795" s="208" t="n"/>
      <c r="K3795" s="170" t="n"/>
      <c r="L3795" s="170" t="n"/>
      <c r="M3795" s="170" t="n"/>
      <c r="N3795" s="30" t="n"/>
      <c r="O3795" s="150">
        <f>P3795*C3795</f>
        <v/>
      </c>
      <c r="P3795" s="117" t="n">
        <v>1.05</v>
      </c>
      <c r="Q3795" s="96" t="n"/>
      <c r="R3795" s="150" t="n"/>
      <c r="S3795" s="96" t="n"/>
      <c r="T3795" s="170" t="n"/>
      <c r="U3795" s="30" t="n"/>
      <c r="V3795" s="30" t="n"/>
      <c r="W3795" s="30" t="n"/>
      <c r="X3795" s="30" t="n"/>
      <c r="Y3795" s="30" t="n"/>
      <c r="Z3795" s="30" t="n"/>
      <c r="AA3795" s="30" t="n"/>
      <c r="AB3795" s="30" t="n"/>
      <c r="AC3795" s="30" t="n"/>
      <c r="AD3795" s="30" t="n"/>
      <c r="AE3795" s="30" t="n"/>
      <c r="AF3795" s="30" t="n"/>
      <c r="AG3795" s="30" t="n"/>
      <c r="AH3795" s="30" t="n"/>
      <c r="AI3795" s="30" t="n"/>
      <c r="AJ3795" s="30" t="n"/>
      <c r="AK3795" s="30" t="n"/>
      <c r="AL3795" s="30" t="n"/>
      <c r="AM3795" s="30" t="n"/>
      <c r="AN3795" s="30" t="n"/>
    </row>
    <row r="3796">
      <c r="A3796" s="89" t="inlineStr">
        <is>
          <t>06021XXX</t>
        </is>
      </c>
      <c r="B3796" s="216" t="inlineStr">
        <is>
          <t>TAVERNITI SHORT</t>
        </is>
      </c>
      <c r="C3796" s="218" t="n">
        <v>50100</v>
      </c>
      <c r="D3796" s="111" t="n"/>
      <c r="E3796" s="111" t="n"/>
      <c r="F3796" s="111" t="n"/>
      <c r="G3796" s="111" t="n"/>
      <c r="H3796" s="111" t="n"/>
      <c r="I3796" s="111" t="n"/>
      <c r="J3796" s="207" t="n"/>
      <c r="K3796" s="170" t="n"/>
      <c r="L3796" s="170" t="n"/>
      <c r="M3796" s="170" t="n"/>
      <c r="N3796" s="30" t="n"/>
      <c r="O3796" s="150">
        <f>P3796*C3796</f>
        <v/>
      </c>
      <c r="P3796" s="117" t="n">
        <v>1.05</v>
      </c>
      <c r="R3796" s="117" t="n"/>
      <c r="T3796" s="170" t="n"/>
      <c r="U3796" s="30" t="n"/>
      <c r="V3796" s="30" t="n"/>
      <c r="W3796" s="30" t="n"/>
      <c r="X3796" s="30" t="n"/>
      <c r="Y3796" s="30" t="n"/>
      <c r="Z3796" s="30" t="n"/>
      <c r="AA3796" s="30" t="n"/>
      <c r="AB3796" s="30" t="n"/>
      <c r="AC3796" s="30" t="n"/>
      <c r="AD3796" s="30" t="n"/>
      <c r="AE3796" s="30" t="n"/>
      <c r="AF3796" s="30" t="n"/>
      <c r="AG3796" s="30" t="n"/>
      <c r="AH3796" s="30" t="n"/>
      <c r="AI3796" s="30" t="n"/>
      <c r="AJ3796" s="30" t="n"/>
      <c r="AK3796" s="30" t="n"/>
      <c r="AL3796" s="30" t="n"/>
      <c r="AM3796" s="30" t="n"/>
      <c r="AN3796" s="30" t="n"/>
    </row>
    <row r="3797">
      <c r="A3797" s="89" t="inlineStr">
        <is>
          <t>08173XXX</t>
        </is>
      </c>
      <c r="B3797" s="216" t="inlineStr">
        <is>
          <t>TAVERNITI SHORT</t>
        </is>
      </c>
      <c r="C3797" s="218" t="n">
        <v>49500</v>
      </c>
      <c r="D3797" s="111" t="n"/>
      <c r="E3797" s="111" t="n"/>
      <c r="F3797" s="111" t="n"/>
      <c r="G3797" s="111" t="n"/>
      <c r="H3797" s="111" t="n"/>
      <c r="I3797" s="111" t="n"/>
      <c r="J3797" s="207" t="n"/>
      <c r="K3797" s="170" t="n"/>
      <c r="L3797" s="170" t="n"/>
      <c r="M3797" s="170" t="n"/>
      <c r="N3797" s="30" t="n"/>
      <c r="O3797" s="150">
        <f>P3797*C3797</f>
        <v/>
      </c>
      <c r="P3797" s="117" t="n">
        <v>1.05</v>
      </c>
      <c r="R3797" s="117" t="n"/>
      <c r="T3797" s="170" t="n"/>
      <c r="U3797" s="30" t="n"/>
      <c r="V3797" s="30" t="n"/>
      <c r="W3797" s="30" t="n"/>
      <c r="X3797" s="30" t="n"/>
      <c r="Y3797" s="30" t="n"/>
      <c r="Z3797" s="30" t="n"/>
      <c r="AA3797" s="30" t="n"/>
      <c r="AB3797" s="30" t="n"/>
      <c r="AC3797" s="30" t="n"/>
      <c r="AD3797" s="30" t="n"/>
      <c r="AE3797" s="30" t="n"/>
      <c r="AF3797" s="30" t="n"/>
      <c r="AG3797" s="30" t="n"/>
      <c r="AH3797" s="30" t="n"/>
      <c r="AI3797" s="30" t="n"/>
      <c r="AJ3797" s="30" t="n"/>
      <c r="AK3797" s="30" t="n"/>
      <c r="AL3797" s="30" t="n"/>
      <c r="AM3797" s="30" t="n"/>
      <c r="AN3797" s="30" t="n"/>
    </row>
    <row r="3798">
      <c r="A3798" s="134" t="inlineStr">
        <is>
          <t>10171XXX</t>
        </is>
      </c>
      <c r="B3798" s="216" t="inlineStr">
        <is>
          <t>TAVERNITI SHORT</t>
        </is>
      </c>
      <c r="C3798" s="88" t="n">
        <v>47200</v>
      </c>
      <c r="D3798" s="153" t="n"/>
      <c r="E3798" s="153" t="n"/>
      <c r="F3798" s="153" t="n"/>
      <c r="G3798" s="153" t="n"/>
      <c r="H3798" s="153" t="n"/>
      <c r="I3798" s="153" t="n"/>
      <c r="J3798" s="205" t="n"/>
      <c r="K3798" s="219" t="n"/>
      <c r="L3798" s="219" t="n"/>
      <c r="M3798" s="219" t="n"/>
      <c r="O3798" s="117">
        <f>P3798*C3798</f>
        <v/>
      </c>
      <c r="P3798" s="117" t="n">
        <v>1.05</v>
      </c>
      <c r="R3798" s="117" t="n"/>
      <c r="T3798" s="117" t="n"/>
    </row>
    <row r="3799">
      <c r="A3799" s="134" t="inlineStr">
        <is>
          <t>10225XXX</t>
        </is>
      </c>
      <c r="B3799" s="216" t="inlineStr">
        <is>
          <t>TAVERNITI SHORT</t>
        </is>
      </c>
      <c r="C3799" s="88" t="n">
        <v>32600</v>
      </c>
      <c r="D3799" s="153" t="n"/>
      <c r="E3799" s="153" t="n"/>
      <c r="F3799" s="153" t="n"/>
      <c r="G3799" s="153" t="n"/>
      <c r="H3799" s="153" t="n"/>
      <c r="I3799" s="153" t="n"/>
      <c r="J3799" s="205" t="n"/>
      <c r="K3799" s="219" t="n"/>
      <c r="L3799" s="219" t="n"/>
      <c r="M3799" s="219" t="n"/>
      <c r="O3799" s="117">
        <f>P3799*C3799</f>
        <v/>
      </c>
      <c r="P3799" s="117" t="n">
        <v>1.05</v>
      </c>
      <c r="R3799" s="117" t="n"/>
      <c r="T3799" s="117" t="n"/>
    </row>
    <row r="3800">
      <c r="A3800" s="134" t="inlineStr">
        <is>
          <t>10287XXX</t>
        </is>
      </c>
      <c r="B3800" s="216" t="inlineStr">
        <is>
          <t>TAVERNITI SHORT</t>
        </is>
      </c>
      <c r="C3800" s="88" t="n">
        <v>40200</v>
      </c>
      <c r="D3800" s="153" t="n"/>
      <c r="E3800" s="153" t="n"/>
      <c r="F3800" s="153" t="n"/>
      <c r="G3800" s="153" t="n"/>
      <c r="H3800" s="153" t="n"/>
      <c r="I3800" s="153" t="n"/>
      <c r="J3800" s="205" t="n"/>
      <c r="K3800" s="219" t="n"/>
      <c r="L3800" s="219" t="n"/>
      <c r="M3800" s="219" t="n"/>
      <c r="O3800" s="117">
        <f>P3800*C3800</f>
        <v/>
      </c>
      <c r="P3800" s="117" t="n">
        <v>1.05</v>
      </c>
      <c r="R3800" s="117" t="n"/>
      <c r="T3800" s="117" t="n"/>
    </row>
    <row r="3801">
      <c r="A3801" s="89" t="inlineStr">
        <is>
          <t>10365XXX</t>
        </is>
      </c>
      <c r="B3801" s="216" t="inlineStr">
        <is>
          <t>TAVERNITI SHORT</t>
        </is>
      </c>
      <c r="C3801" s="88" t="n">
        <v>28600</v>
      </c>
      <c r="D3801" s="111" t="n"/>
      <c r="E3801" s="111" t="n"/>
      <c r="F3801" s="111" t="n"/>
      <c r="G3801" s="111" t="n"/>
      <c r="H3801" s="111" t="n"/>
      <c r="I3801" s="111" t="n"/>
      <c r="J3801" s="207" t="n"/>
      <c r="K3801" s="170" t="n"/>
      <c r="L3801" s="170" t="n"/>
      <c r="M3801" s="170" t="n"/>
      <c r="N3801" s="30" t="n"/>
      <c r="O3801" s="150">
        <f>P3801*C3801</f>
        <v/>
      </c>
      <c r="P3801" s="117" t="n">
        <v>1.05</v>
      </c>
      <c r="R3801" s="117" t="n"/>
      <c r="T3801" s="170" t="n"/>
      <c r="U3801" s="30" t="n"/>
      <c r="V3801" s="30" t="n"/>
      <c r="W3801" s="30" t="n"/>
      <c r="X3801" s="30" t="n"/>
      <c r="Y3801" s="30" t="n"/>
      <c r="Z3801" s="30" t="n"/>
      <c r="AA3801" s="30" t="n"/>
      <c r="AB3801" s="30" t="n"/>
      <c r="AC3801" s="30" t="n"/>
      <c r="AD3801" s="30" t="n"/>
      <c r="AE3801" s="30" t="n"/>
      <c r="AF3801" s="30" t="n"/>
      <c r="AG3801" s="30" t="n"/>
      <c r="AH3801" s="30" t="n"/>
      <c r="AI3801" s="30" t="n"/>
      <c r="AJ3801" s="30" t="n"/>
      <c r="AK3801" s="30" t="n"/>
      <c r="AL3801" s="30" t="n"/>
      <c r="AM3801" s="30" t="n"/>
      <c r="AN3801" s="30" t="n"/>
    </row>
    <row r="3802">
      <c r="A3802" s="89" t="inlineStr">
        <is>
          <t>10387XXX</t>
        </is>
      </c>
      <c r="B3802" s="216" t="inlineStr">
        <is>
          <t>TAVERNITI SHORT</t>
        </is>
      </c>
      <c r="C3802" s="88" t="n">
        <v>73500</v>
      </c>
      <c r="D3802" s="111" t="n"/>
      <c r="E3802" s="111" t="n"/>
      <c r="F3802" s="111" t="n"/>
      <c r="G3802" s="111" t="n"/>
      <c r="H3802" s="111" t="n"/>
      <c r="I3802" s="111" t="n"/>
      <c r="J3802" s="207" t="n"/>
      <c r="K3802" s="170" t="n"/>
      <c r="L3802" s="170" t="n"/>
      <c r="M3802" s="170" t="n"/>
      <c r="N3802" s="30" t="n"/>
      <c r="O3802" s="150">
        <f>P3802*C3802</f>
        <v/>
      </c>
      <c r="P3802" s="117" t="n">
        <v>1.05</v>
      </c>
      <c r="R3802" s="117" t="n"/>
      <c r="T3802" s="170" t="n"/>
      <c r="U3802" s="30" t="n"/>
      <c r="V3802" s="30" t="n"/>
      <c r="W3802" s="30" t="n"/>
      <c r="X3802" s="30" t="n"/>
      <c r="Y3802" s="30" t="n"/>
      <c r="Z3802" s="30" t="n"/>
      <c r="AA3802" s="30" t="n"/>
      <c r="AB3802" s="30" t="n"/>
      <c r="AC3802" s="30" t="n"/>
      <c r="AD3802" s="30" t="n"/>
      <c r="AE3802" s="30" t="n"/>
      <c r="AF3802" s="30" t="n"/>
      <c r="AG3802" s="30" t="n"/>
      <c r="AH3802" s="30" t="n"/>
      <c r="AI3802" s="30" t="n"/>
      <c r="AJ3802" s="30" t="n"/>
      <c r="AK3802" s="30" t="n"/>
      <c r="AL3802" s="30" t="n"/>
      <c r="AM3802" s="30" t="n"/>
      <c r="AN3802" s="30" t="n"/>
    </row>
    <row r="3803">
      <c r="A3803" s="89" t="inlineStr">
        <is>
          <t>10453XXX</t>
        </is>
      </c>
      <c r="B3803" s="216" t="inlineStr">
        <is>
          <t>TAVERNITI SHORT</t>
        </is>
      </c>
      <c r="C3803" s="88" t="n">
        <v>57600</v>
      </c>
      <c r="D3803" s="111" t="n"/>
      <c r="E3803" s="111" t="n"/>
      <c r="F3803" s="111" t="n"/>
      <c r="G3803" s="111" t="n"/>
      <c r="H3803" s="111" t="n"/>
      <c r="I3803" s="111" t="n"/>
      <c r="J3803" s="207" t="n"/>
      <c r="K3803" s="170" t="n"/>
      <c r="L3803" s="170" t="n"/>
      <c r="M3803" s="170" t="n"/>
      <c r="N3803" s="30" t="n"/>
      <c r="O3803" s="150">
        <f>P3803*C3803</f>
        <v/>
      </c>
      <c r="P3803" s="117" t="n">
        <v>1.05</v>
      </c>
      <c r="R3803" s="117" t="n"/>
      <c r="T3803" s="170" t="n"/>
      <c r="U3803" s="30" t="n"/>
      <c r="V3803" s="30" t="n"/>
      <c r="W3803" s="30" t="n"/>
      <c r="X3803" s="30" t="n"/>
      <c r="Y3803" s="30" t="n"/>
      <c r="Z3803" s="30" t="n"/>
      <c r="AA3803" s="30" t="n"/>
      <c r="AB3803" s="30" t="n"/>
      <c r="AC3803" s="30" t="n"/>
      <c r="AD3803" s="30" t="n"/>
      <c r="AE3803" s="30" t="n"/>
      <c r="AF3803" s="30" t="n"/>
      <c r="AG3803" s="30" t="n"/>
      <c r="AH3803" s="30" t="n"/>
      <c r="AI3803" s="30" t="n"/>
      <c r="AJ3803" s="30" t="n"/>
      <c r="AK3803" s="30" t="n"/>
      <c r="AL3803" s="30" t="n"/>
      <c r="AM3803" s="30" t="n"/>
      <c r="AN3803" s="30" t="n"/>
    </row>
    <row r="3804">
      <c r="A3804" s="89" t="inlineStr">
        <is>
          <t>10459XXX</t>
        </is>
      </c>
      <c r="B3804" s="216" t="inlineStr">
        <is>
          <t>TAVERNITI SHORT</t>
        </is>
      </c>
      <c r="C3804" s="88" t="n">
        <v>64100</v>
      </c>
      <c r="D3804" s="111" t="n"/>
      <c r="E3804" s="111" t="n"/>
      <c r="F3804" s="111" t="n"/>
      <c r="G3804" s="111" t="n"/>
      <c r="H3804" s="111" t="n"/>
      <c r="I3804" s="111" t="n"/>
      <c r="J3804" s="207" t="n"/>
      <c r="K3804" s="170" t="n"/>
      <c r="L3804" s="170" t="n"/>
      <c r="M3804" s="170" t="n"/>
      <c r="N3804" s="30" t="n"/>
      <c r="O3804" s="150">
        <f>P3804*C3804</f>
        <v/>
      </c>
      <c r="P3804" s="117" t="n">
        <v>1.05</v>
      </c>
      <c r="R3804" s="117" t="n"/>
      <c r="T3804" s="170" t="n"/>
      <c r="U3804" s="30" t="n"/>
      <c r="V3804" s="30" t="n"/>
      <c r="W3804" s="30" t="n"/>
      <c r="X3804" s="30" t="n"/>
      <c r="Y3804" s="30" t="n"/>
      <c r="Z3804" s="30" t="n"/>
      <c r="AA3804" s="30" t="n"/>
      <c r="AB3804" s="30" t="n"/>
      <c r="AC3804" s="30" t="n"/>
      <c r="AD3804" s="30" t="n"/>
      <c r="AE3804" s="30" t="n"/>
      <c r="AF3804" s="30" t="n"/>
      <c r="AG3804" s="30" t="n"/>
      <c r="AH3804" s="30" t="n"/>
      <c r="AI3804" s="30" t="n"/>
      <c r="AJ3804" s="30" t="n"/>
      <c r="AK3804" s="30" t="n"/>
      <c r="AL3804" s="30" t="n"/>
      <c r="AM3804" s="30" t="n"/>
      <c r="AN3804" s="30" t="n"/>
    </row>
    <row r="3805">
      <c r="A3805" s="134" t="inlineStr">
        <is>
          <t>10463XXX</t>
        </is>
      </c>
      <c r="B3805" s="216" t="inlineStr">
        <is>
          <t>TAVERNITI SHORT</t>
        </is>
      </c>
      <c r="C3805" s="88" t="n">
        <v>34900</v>
      </c>
      <c r="D3805" s="153" t="n"/>
      <c r="E3805" s="153" t="n"/>
      <c r="F3805" s="153" t="n"/>
      <c r="G3805" s="153" t="n"/>
      <c r="H3805" s="153" t="n"/>
      <c r="I3805" s="153" t="n"/>
      <c r="J3805" s="205" t="n"/>
      <c r="K3805" s="219" t="n"/>
      <c r="L3805" s="219" t="n"/>
      <c r="M3805" s="219" t="n"/>
      <c r="O3805" s="117">
        <f>P3805*C3805</f>
        <v/>
      </c>
      <c r="P3805" s="117" t="n">
        <v>1.05</v>
      </c>
      <c r="R3805" s="117" t="n"/>
      <c r="T3805" s="117" t="n"/>
    </row>
    <row r="3806">
      <c r="A3806" s="134" t="inlineStr">
        <is>
          <t>10463XXX</t>
        </is>
      </c>
      <c r="B3806" s="216" t="inlineStr">
        <is>
          <t>TAVERNITI SHORT</t>
        </is>
      </c>
      <c r="C3806" s="88" t="n">
        <v>49500</v>
      </c>
      <c r="D3806" s="153" t="n"/>
      <c r="E3806" s="153" t="n"/>
      <c r="F3806" s="153" t="n"/>
      <c r="G3806" s="153" t="n"/>
      <c r="H3806" s="153" t="n"/>
      <c r="I3806" s="153" t="n"/>
      <c r="J3806" s="205" t="n"/>
      <c r="K3806" s="219" t="n"/>
      <c r="L3806" s="219" t="n"/>
      <c r="M3806" s="219" t="n"/>
      <c r="O3806" s="117">
        <f>P3806*C3806</f>
        <v/>
      </c>
      <c r="P3806" s="117" t="n">
        <v>1.05</v>
      </c>
      <c r="R3806" s="117" t="n"/>
      <c r="T3806" s="117" t="n"/>
    </row>
    <row r="3807">
      <c r="A3807" s="89" t="inlineStr">
        <is>
          <t>10517XXX</t>
        </is>
      </c>
      <c r="B3807" s="216" t="inlineStr">
        <is>
          <t>TAVERNITI SHORT</t>
        </is>
      </c>
      <c r="C3807" s="88" t="n">
        <v>76500</v>
      </c>
      <c r="D3807" s="170" t="n"/>
      <c r="E3807" s="170" t="n"/>
      <c r="F3807" s="170" t="n"/>
      <c r="G3807" s="170" t="n"/>
      <c r="H3807" s="170" t="n"/>
      <c r="I3807" s="170" t="n"/>
      <c r="J3807" s="208" t="n"/>
      <c r="K3807" s="170" t="n"/>
      <c r="L3807" s="170" t="n"/>
      <c r="M3807" s="170" t="n"/>
      <c r="N3807" s="30" t="n"/>
      <c r="O3807" s="150">
        <f>P3807*C3807</f>
        <v/>
      </c>
      <c r="P3807" s="150" t="n">
        <v>1.05</v>
      </c>
      <c r="Q3807" s="30" t="n"/>
      <c r="R3807" s="170" t="n"/>
      <c r="S3807" s="30" t="n"/>
      <c r="T3807" s="170" t="n"/>
      <c r="U3807" s="30" t="n"/>
      <c r="V3807" s="30" t="n"/>
      <c r="W3807" s="30" t="n"/>
      <c r="X3807" s="30" t="n"/>
      <c r="Y3807" s="30" t="n"/>
      <c r="Z3807" s="30" t="n"/>
      <c r="AA3807" s="30" t="n"/>
      <c r="AB3807" s="30" t="n"/>
      <c r="AC3807" s="30" t="n"/>
      <c r="AD3807" s="30" t="n"/>
      <c r="AE3807" s="30" t="n"/>
      <c r="AF3807" s="30" t="n"/>
      <c r="AG3807" s="30" t="n"/>
      <c r="AH3807" s="30" t="n"/>
      <c r="AI3807" s="30" t="n"/>
      <c r="AJ3807" s="30" t="n"/>
      <c r="AK3807" s="30" t="n"/>
      <c r="AL3807" s="30" t="n"/>
      <c r="AM3807" s="30" t="n"/>
      <c r="AN3807" s="30" t="n"/>
      <c r="AO3807" s="30" t="n"/>
    </row>
    <row r="3808">
      <c r="A3808" s="89" t="inlineStr">
        <is>
          <t>10521XXX</t>
        </is>
      </c>
      <c r="B3808" s="216" t="inlineStr">
        <is>
          <t>TAVERNITI SHORT</t>
        </is>
      </c>
      <c r="C3808" s="88" t="n">
        <v>64100</v>
      </c>
      <c r="D3808" s="111" t="n"/>
      <c r="E3808" s="111" t="n"/>
      <c r="F3808" s="111" t="n"/>
      <c r="G3808" s="111" t="n"/>
      <c r="H3808" s="111" t="n"/>
      <c r="I3808" s="111" t="n"/>
      <c r="J3808" s="207" t="n"/>
      <c r="K3808" s="170" t="n"/>
      <c r="L3808" s="170" t="n"/>
      <c r="M3808" s="170" t="n"/>
      <c r="N3808" s="30" t="n"/>
      <c r="O3808" s="150">
        <f>P3808*C3808</f>
        <v/>
      </c>
      <c r="P3808" s="117" t="n">
        <v>1.05</v>
      </c>
      <c r="R3808" s="117" t="n"/>
      <c r="T3808" s="170" t="n"/>
      <c r="U3808" s="30" t="n"/>
      <c r="V3808" s="30" t="n"/>
      <c r="W3808" s="30" t="n"/>
      <c r="X3808" s="30" t="n"/>
      <c r="Y3808" s="30" t="n"/>
      <c r="Z3808" s="30" t="n"/>
      <c r="AA3808" s="30" t="n"/>
      <c r="AB3808" s="30" t="n"/>
      <c r="AC3808" s="30" t="n"/>
      <c r="AD3808" s="30" t="n"/>
      <c r="AE3808" s="30" t="n"/>
      <c r="AF3808" s="30" t="n"/>
      <c r="AG3808" s="30" t="n"/>
      <c r="AH3808" s="30" t="n"/>
      <c r="AI3808" s="30" t="n"/>
      <c r="AJ3808" s="30" t="n"/>
      <c r="AK3808" s="30" t="n"/>
      <c r="AL3808" s="30" t="n"/>
      <c r="AM3808" s="30" t="n"/>
      <c r="AN3808" s="30" t="n"/>
    </row>
    <row r="3809">
      <c r="A3809" s="89" t="inlineStr">
        <is>
          <t>10581XXX</t>
        </is>
      </c>
      <c r="B3809" s="216" t="inlineStr">
        <is>
          <t>TAVERNITI SHORT</t>
        </is>
      </c>
      <c r="C3809" s="88" t="n">
        <v>60100</v>
      </c>
      <c r="D3809" s="111" t="n"/>
      <c r="E3809" s="111" t="n"/>
      <c r="F3809" s="111" t="n"/>
      <c r="G3809" s="111" t="n"/>
      <c r="H3809" s="111" t="n"/>
      <c r="I3809" s="111" t="n"/>
      <c r="J3809" s="207" t="n"/>
      <c r="K3809" s="170" t="n"/>
      <c r="L3809" s="170" t="n"/>
      <c r="M3809" s="170" t="n"/>
      <c r="N3809" s="30" t="n"/>
      <c r="O3809" s="150">
        <f>P3809*C3809</f>
        <v/>
      </c>
      <c r="P3809" s="117" t="n">
        <v>1.05</v>
      </c>
      <c r="R3809" s="117" t="n"/>
      <c r="T3809" s="170" t="n"/>
      <c r="U3809" s="30" t="n"/>
      <c r="V3809" s="30" t="n"/>
      <c r="W3809" s="30" t="n"/>
      <c r="X3809" s="30" t="n"/>
      <c r="Y3809" s="30" t="n"/>
      <c r="Z3809" s="30" t="n"/>
      <c r="AA3809" s="30" t="n"/>
      <c r="AB3809" s="30" t="n"/>
      <c r="AC3809" s="30" t="n"/>
      <c r="AD3809" s="30" t="n"/>
      <c r="AE3809" s="30" t="n"/>
      <c r="AF3809" s="30" t="n"/>
      <c r="AG3809" s="30" t="n"/>
      <c r="AH3809" s="30" t="n"/>
      <c r="AI3809" s="30" t="n"/>
      <c r="AJ3809" s="30" t="n"/>
      <c r="AK3809" s="30" t="n"/>
      <c r="AL3809" s="30" t="n"/>
      <c r="AM3809" s="30" t="n"/>
      <c r="AN3809" s="30" t="n"/>
    </row>
    <row r="3810">
      <c r="A3810" s="89" t="inlineStr">
        <is>
          <t>10619XXX</t>
        </is>
      </c>
      <c r="B3810" s="216" t="inlineStr">
        <is>
          <t>TAVERNITI SHORT</t>
        </is>
      </c>
      <c r="C3810" s="88" t="n">
        <v>66100</v>
      </c>
      <c r="D3810" s="111" t="n"/>
      <c r="E3810" s="111" t="n"/>
      <c r="F3810" s="111" t="n"/>
      <c r="G3810" s="111" t="n"/>
      <c r="H3810" s="111" t="n"/>
      <c r="I3810" s="111" t="n"/>
      <c r="J3810" s="207" t="n"/>
      <c r="K3810" s="170" t="n"/>
      <c r="L3810" s="170" t="n"/>
      <c r="M3810" s="170" t="n"/>
      <c r="N3810" s="30" t="n"/>
      <c r="O3810" s="150">
        <f>P3810*C3810</f>
        <v/>
      </c>
      <c r="P3810" s="117" t="n">
        <v>1.05</v>
      </c>
      <c r="R3810" s="117" t="n"/>
      <c r="T3810" s="170" t="n"/>
      <c r="U3810" s="30" t="n"/>
      <c r="V3810" s="30" t="n"/>
      <c r="W3810" s="30" t="n"/>
      <c r="X3810" s="30" t="n"/>
      <c r="Y3810" s="30" t="n"/>
      <c r="Z3810" s="30" t="n"/>
      <c r="AA3810" s="30" t="n"/>
      <c r="AB3810" s="30" t="n"/>
      <c r="AC3810" s="30" t="n"/>
      <c r="AD3810" s="30" t="n"/>
      <c r="AE3810" s="30" t="n"/>
      <c r="AF3810" s="30" t="n"/>
      <c r="AG3810" s="30" t="n"/>
      <c r="AH3810" s="30" t="n"/>
      <c r="AI3810" s="30" t="n"/>
      <c r="AJ3810" s="30" t="n"/>
      <c r="AK3810" s="30" t="n"/>
      <c r="AL3810" s="30" t="n"/>
      <c r="AM3810" s="30" t="n"/>
      <c r="AN3810" s="30" t="n"/>
    </row>
    <row r="3811">
      <c r="A3811" s="89" t="inlineStr">
        <is>
          <t>10861XXX</t>
        </is>
      </c>
      <c r="B3811" s="216" t="inlineStr">
        <is>
          <t>TAVERNITI SHORT</t>
        </is>
      </c>
      <c r="C3811" s="88" t="n">
        <v>57600</v>
      </c>
      <c r="D3811" s="111" t="n"/>
      <c r="E3811" s="111" t="n"/>
      <c r="F3811" s="111" t="n"/>
      <c r="G3811" s="111" t="n"/>
      <c r="H3811" s="111" t="n"/>
      <c r="I3811" s="111" t="n"/>
      <c r="J3811" s="207" t="n"/>
      <c r="K3811" s="170" t="n"/>
      <c r="L3811" s="170" t="n"/>
      <c r="M3811" s="170" t="n"/>
      <c r="N3811" s="30" t="n"/>
      <c r="O3811" s="150">
        <f>P3811*C3811</f>
        <v/>
      </c>
      <c r="P3811" s="117" t="n">
        <v>1.05</v>
      </c>
      <c r="R3811" s="117" t="n"/>
      <c r="T3811" s="170" t="n"/>
      <c r="U3811" s="30" t="n"/>
      <c r="V3811" s="30" t="n"/>
      <c r="W3811" s="30" t="n"/>
      <c r="X3811" s="30" t="n"/>
      <c r="Y3811" s="30" t="n"/>
      <c r="Z3811" s="30" t="n"/>
      <c r="AA3811" s="30" t="n"/>
      <c r="AB3811" s="30" t="n"/>
      <c r="AC3811" s="30" t="n"/>
      <c r="AD3811" s="30" t="n"/>
      <c r="AE3811" s="30" t="n"/>
      <c r="AF3811" s="30" t="n"/>
      <c r="AG3811" s="30" t="n"/>
      <c r="AH3811" s="30" t="n"/>
      <c r="AI3811" s="30" t="n"/>
      <c r="AJ3811" s="30" t="n"/>
      <c r="AK3811" s="30" t="n"/>
      <c r="AL3811" s="30" t="n"/>
      <c r="AM3811" s="30" t="n"/>
      <c r="AN3811" s="30" t="n"/>
    </row>
    <row r="3812">
      <c r="A3812" s="89" t="inlineStr">
        <is>
          <t>10913XXX</t>
        </is>
      </c>
      <c r="B3812" s="216" t="inlineStr">
        <is>
          <t>TAVERNITI SHORT</t>
        </is>
      </c>
      <c r="C3812" s="88" t="n">
        <v>66100</v>
      </c>
      <c r="D3812" s="111" t="n"/>
      <c r="E3812" s="111" t="n"/>
      <c r="F3812" s="111" t="n"/>
      <c r="G3812" s="111" t="n"/>
      <c r="H3812" s="111" t="n"/>
      <c r="I3812" s="111" t="n"/>
      <c r="J3812" s="207" t="n"/>
      <c r="K3812" s="170" t="n"/>
      <c r="L3812" s="170" t="n"/>
      <c r="M3812" s="170" t="n"/>
      <c r="N3812" s="30" t="n"/>
      <c r="O3812" s="150">
        <f>P3812*C3812</f>
        <v/>
      </c>
      <c r="P3812" s="117" t="n">
        <v>1.05</v>
      </c>
      <c r="R3812" s="117" t="n"/>
      <c r="T3812" s="170" t="n"/>
      <c r="U3812" s="30" t="n"/>
      <c r="V3812" s="30" t="n"/>
      <c r="W3812" s="30" t="n"/>
      <c r="X3812" s="30" t="n"/>
      <c r="Y3812" s="30" t="n"/>
      <c r="Z3812" s="30" t="n"/>
      <c r="AA3812" s="30" t="n"/>
      <c r="AB3812" s="30" t="n"/>
      <c r="AC3812" s="30" t="n"/>
      <c r="AD3812" s="30" t="n"/>
      <c r="AE3812" s="30" t="n"/>
      <c r="AF3812" s="30" t="n"/>
      <c r="AG3812" s="30" t="n"/>
      <c r="AH3812" s="30" t="n"/>
      <c r="AI3812" s="30" t="n"/>
      <c r="AJ3812" s="30" t="n"/>
      <c r="AK3812" s="30" t="n"/>
      <c r="AL3812" s="30" t="n"/>
      <c r="AM3812" s="30" t="n"/>
      <c r="AN3812" s="30" t="n"/>
    </row>
    <row r="3813">
      <c r="A3813" s="89" t="inlineStr">
        <is>
          <t>11337XXX</t>
        </is>
      </c>
      <c r="B3813" s="216" t="inlineStr">
        <is>
          <t>TAVERNITI SHORT</t>
        </is>
      </c>
      <c r="C3813" s="88" t="n">
        <v>72300</v>
      </c>
      <c r="D3813" s="170" t="n"/>
      <c r="E3813" s="170" t="n"/>
      <c r="F3813" s="170" t="n"/>
      <c r="G3813" s="170" t="n"/>
      <c r="H3813" s="170" t="n"/>
      <c r="I3813" s="170" t="n"/>
      <c r="J3813" s="208" t="n"/>
      <c r="K3813" s="170" t="n"/>
      <c r="L3813" s="170" t="n"/>
      <c r="M3813" s="170" t="n"/>
      <c r="N3813" s="30" t="n"/>
      <c r="O3813" s="150">
        <f>P3813*C3813</f>
        <v/>
      </c>
      <c r="P3813" s="117" t="n">
        <v>1.05</v>
      </c>
      <c r="Q3813" s="96" t="n"/>
      <c r="R3813" s="150" t="n"/>
      <c r="S3813" s="96" t="n"/>
      <c r="T3813" s="170" t="n"/>
      <c r="U3813" s="30" t="n"/>
      <c r="V3813" s="30" t="n"/>
      <c r="W3813" s="30" t="n"/>
      <c r="X3813" s="30" t="n"/>
      <c r="Y3813" s="30" t="n"/>
      <c r="Z3813" s="30" t="n"/>
      <c r="AA3813" s="30" t="n"/>
      <c r="AB3813" s="30" t="n"/>
      <c r="AC3813" s="30" t="n"/>
      <c r="AD3813" s="30" t="n"/>
      <c r="AE3813" s="30" t="n"/>
      <c r="AF3813" s="30" t="n"/>
      <c r="AG3813" s="30" t="n"/>
      <c r="AH3813" s="30" t="n"/>
      <c r="AI3813" s="30" t="n"/>
      <c r="AJ3813" s="30" t="n"/>
      <c r="AK3813" s="30" t="n"/>
      <c r="AL3813" s="30" t="n"/>
      <c r="AM3813" s="30" t="n"/>
      <c r="AN3813" s="30" t="n"/>
    </row>
    <row r="3814">
      <c r="A3814" s="89" t="inlineStr">
        <is>
          <t>11337XXX</t>
        </is>
      </c>
      <c r="B3814" s="216" t="inlineStr">
        <is>
          <t>TAVERNITI SHORT</t>
        </is>
      </c>
      <c r="C3814" s="88" t="n">
        <v>59700</v>
      </c>
      <c r="D3814" s="170" t="n"/>
      <c r="E3814" s="170" t="n"/>
      <c r="F3814" s="170" t="n"/>
      <c r="G3814" s="170" t="n"/>
      <c r="H3814" s="170" t="n"/>
      <c r="I3814" s="170" t="n"/>
      <c r="J3814" s="208" t="n"/>
      <c r="K3814" s="170" t="n"/>
      <c r="L3814" s="170" t="n"/>
      <c r="M3814" s="170" t="n"/>
      <c r="N3814" s="30" t="n"/>
      <c r="O3814" s="150">
        <f>P3814*C3814</f>
        <v/>
      </c>
      <c r="P3814" s="117" t="n">
        <v>1.05</v>
      </c>
      <c r="Q3814" s="96" t="n"/>
      <c r="R3814" s="150" t="n"/>
      <c r="S3814" s="96" t="n"/>
      <c r="T3814" s="170" t="n"/>
      <c r="U3814" s="30" t="n"/>
      <c r="V3814" s="30" t="n"/>
      <c r="W3814" s="30" t="n"/>
      <c r="X3814" s="30" t="n"/>
      <c r="Y3814" s="30" t="n"/>
      <c r="Z3814" s="30" t="n"/>
      <c r="AA3814" s="30" t="n"/>
      <c r="AB3814" s="30" t="n"/>
      <c r="AC3814" s="30" t="n"/>
      <c r="AD3814" s="30" t="n"/>
      <c r="AE3814" s="30" t="n"/>
      <c r="AF3814" s="30" t="n"/>
      <c r="AG3814" s="30" t="n"/>
      <c r="AH3814" s="30" t="n"/>
      <c r="AI3814" s="30" t="n"/>
      <c r="AJ3814" s="30" t="n"/>
      <c r="AK3814" s="30" t="n"/>
      <c r="AL3814" s="30" t="n"/>
      <c r="AM3814" s="30" t="n"/>
      <c r="AN3814" s="30" t="n"/>
    </row>
    <row r="3815">
      <c r="A3815" s="89" t="inlineStr">
        <is>
          <t>11393XXX</t>
        </is>
      </c>
      <c r="B3815" s="216" t="inlineStr">
        <is>
          <t>TAVERNITI SHORT</t>
        </is>
      </c>
      <c r="C3815" s="88" t="n">
        <v>66000</v>
      </c>
      <c r="D3815" s="170" t="n"/>
      <c r="E3815" s="170" t="n"/>
      <c r="F3815" s="170" t="n"/>
      <c r="G3815" s="170" t="n"/>
      <c r="H3815" s="170" t="n"/>
      <c r="I3815" s="170" t="n"/>
      <c r="J3815" s="208" t="n"/>
      <c r="K3815" s="170" t="n"/>
      <c r="L3815" s="170" t="n"/>
      <c r="M3815" s="170" t="n"/>
      <c r="N3815" s="30" t="n"/>
      <c r="O3815" s="150">
        <f>P3815*C3815</f>
        <v/>
      </c>
      <c r="P3815" s="117" t="n">
        <v>1.05</v>
      </c>
      <c r="Q3815" s="96" t="n"/>
      <c r="R3815" s="150" t="n"/>
      <c r="S3815" s="96" t="n"/>
      <c r="T3815" s="170" t="n"/>
      <c r="U3815" s="30" t="n"/>
      <c r="V3815" s="30" t="n"/>
      <c r="W3815" s="30" t="n"/>
      <c r="X3815" s="30" t="n"/>
      <c r="Y3815" s="30" t="n"/>
      <c r="Z3815" s="30" t="n"/>
      <c r="AA3815" s="30" t="n"/>
      <c r="AB3815" s="30" t="n"/>
      <c r="AC3815" s="30" t="n"/>
      <c r="AD3815" s="30" t="n"/>
      <c r="AE3815" s="30" t="n"/>
      <c r="AF3815" s="30" t="n"/>
      <c r="AG3815" s="30" t="n"/>
      <c r="AH3815" s="30" t="n"/>
      <c r="AI3815" s="30" t="n"/>
      <c r="AJ3815" s="30" t="n"/>
      <c r="AK3815" s="30" t="n"/>
      <c r="AL3815" s="30" t="n"/>
      <c r="AM3815" s="30" t="n"/>
      <c r="AN3815" s="30" t="n"/>
    </row>
    <row r="3816">
      <c r="A3816" s="89" t="inlineStr">
        <is>
          <t>11403XXX</t>
        </is>
      </c>
      <c r="B3816" s="216" t="inlineStr">
        <is>
          <t>TAVERNITI SHORT</t>
        </is>
      </c>
      <c r="C3816" s="88" t="n">
        <v>65600</v>
      </c>
      <c r="D3816" s="170" t="n"/>
      <c r="E3816" s="170" t="n"/>
      <c r="F3816" s="170" t="n"/>
      <c r="G3816" s="170" t="n"/>
      <c r="H3816" s="170" t="n"/>
      <c r="I3816" s="170" t="n"/>
      <c r="J3816" s="208" t="n"/>
      <c r="K3816" s="170" t="n"/>
      <c r="L3816" s="170" t="n"/>
      <c r="M3816" s="170" t="n"/>
      <c r="N3816" s="30" t="n"/>
      <c r="O3816" s="150">
        <f>P3816*C3816</f>
        <v/>
      </c>
      <c r="P3816" s="117" t="n">
        <v>1.05</v>
      </c>
      <c r="R3816" s="117" t="n"/>
      <c r="T3816" s="170" t="n"/>
      <c r="U3816" s="30" t="n"/>
      <c r="V3816" s="30" t="n"/>
      <c r="W3816" s="30" t="n"/>
      <c r="X3816" s="30" t="n"/>
      <c r="Y3816" s="30" t="n"/>
      <c r="Z3816" s="30" t="n"/>
      <c r="AA3816" s="30" t="n"/>
      <c r="AB3816" s="30" t="n"/>
      <c r="AC3816" s="30" t="n"/>
      <c r="AD3816" s="30" t="n"/>
      <c r="AE3816" s="30" t="n"/>
      <c r="AF3816" s="30" t="n"/>
      <c r="AG3816" s="30" t="n"/>
      <c r="AH3816" s="30" t="n"/>
      <c r="AI3816" s="30" t="n"/>
      <c r="AJ3816" s="30" t="n"/>
      <c r="AK3816" s="30" t="n"/>
      <c r="AL3816" s="30" t="n"/>
      <c r="AM3816" s="30" t="n"/>
      <c r="AN3816" s="30" t="n"/>
    </row>
    <row r="3817">
      <c r="A3817" s="89" t="inlineStr">
        <is>
          <t>11487XXX</t>
        </is>
      </c>
      <c r="B3817" s="216" t="inlineStr">
        <is>
          <t>TAVERNITI SHORT</t>
        </is>
      </c>
      <c r="C3817" s="88" t="n">
        <v>65100</v>
      </c>
      <c r="D3817" s="170" t="n"/>
      <c r="E3817" s="170" t="n"/>
      <c r="F3817" s="170" t="n"/>
      <c r="G3817" s="170" t="n"/>
      <c r="H3817" s="170" t="n"/>
      <c r="I3817" s="170" t="n"/>
      <c r="J3817" s="208" t="n"/>
      <c r="K3817" s="170" t="n"/>
      <c r="L3817" s="170" t="n"/>
      <c r="M3817" s="170" t="n"/>
      <c r="N3817" s="30" t="n"/>
      <c r="O3817" s="150">
        <f>P3817*C3817</f>
        <v/>
      </c>
      <c r="P3817" s="117" t="n">
        <v>1.05</v>
      </c>
      <c r="R3817" s="117" t="n"/>
      <c r="T3817" s="170" t="n"/>
      <c r="U3817" s="30" t="n"/>
      <c r="V3817" s="30" t="n"/>
      <c r="W3817" s="30" t="n"/>
      <c r="X3817" s="30" t="n"/>
      <c r="Y3817" s="30" t="n"/>
      <c r="Z3817" s="30" t="n"/>
      <c r="AA3817" s="30" t="n"/>
      <c r="AB3817" s="30" t="n"/>
      <c r="AC3817" s="30" t="n"/>
      <c r="AD3817" s="30" t="n"/>
      <c r="AE3817" s="30" t="n"/>
      <c r="AF3817" s="30" t="n"/>
      <c r="AG3817" s="30" t="n"/>
      <c r="AH3817" s="30" t="n"/>
      <c r="AI3817" s="30" t="n"/>
      <c r="AJ3817" s="30" t="n"/>
      <c r="AK3817" s="30" t="n"/>
      <c r="AL3817" s="30" t="n"/>
      <c r="AM3817" s="30" t="n"/>
      <c r="AN3817" s="30" t="n"/>
    </row>
    <row r="3818">
      <c r="A3818" s="89" t="inlineStr">
        <is>
          <t>11491XXX</t>
        </is>
      </c>
      <c r="B3818" s="216" t="inlineStr">
        <is>
          <t>TAVERNITI SHORT</t>
        </is>
      </c>
      <c r="C3818" s="88" t="n">
        <v>65100</v>
      </c>
      <c r="D3818" s="170" t="n"/>
      <c r="E3818" s="170" t="n"/>
      <c r="F3818" s="170" t="n"/>
      <c r="G3818" s="170" t="n"/>
      <c r="H3818" s="170" t="n"/>
      <c r="I3818" s="170" t="n"/>
      <c r="J3818" s="208" t="n"/>
      <c r="K3818" s="170" t="n"/>
      <c r="L3818" s="170" t="n"/>
      <c r="M3818" s="170" t="n"/>
      <c r="N3818" s="30" t="n"/>
      <c r="O3818" s="150">
        <f>P3818*C3818</f>
        <v/>
      </c>
      <c r="P3818" s="117" t="n">
        <v>1.05</v>
      </c>
      <c r="R3818" s="117" t="n"/>
      <c r="T3818" s="170" t="n"/>
      <c r="U3818" s="30" t="n"/>
      <c r="V3818" s="30" t="n"/>
      <c r="W3818" s="30" t="n"/>
      <c r="X3818" s="30" t="n"/>
      <c r="Y3818" s="30" t="n"/>
      <c r="Z3818" s="30" t="n"/>
      <c r="AA3818" s="30" t="n"/>
      <c r="AB3818" s="30" t="n"/>
      <c r="AC3818" s="30" t="n"/>
      <c r="AD3818" s="30" t="n"/>
      <c r="AE3818" s="30" t="n"/>
      <c r="AF3818" s="30" t="n"/>
      <c r="AG3818" s="30" t="n"/>
      <c r="AH3818" s="30" t="n"/>
      <c r="AI3818" s="30" t="n"/>
      <c r="AJ3818" s="30" t="n"/>
      <c r="AK3818" s="30" t="n"/>
      <c r="AL3818" s="30" t="n"/>
      <c r="AM3818" s="30" t="n"/>
      <c r="AN3818" s="30" t="n"/>
    </row>
    <row r="3819">
      <c r="A3819" s="89" t="inlineStr">
        <is>
          <t>11575XXX</t>
        </is>
      </c>
      <c r="B3819" s="216" t="inlineStr">
        <is>
          <t>TAVERNITI SHORT</t>
        </is>
      </c>
      <c r="C3819" s="88" t="n">
        <v>64600</v>
      </c>
      <c r="D3819" s="170" t="n"/>
      <c r="E3819" s="170" t="n"/>
      <c r="F3819" s="170" t="n"/>
      <c r="G3819" s="170" t="n"/>
      <c r="H3819" s="170" t="n"/>
      <c r="I3819" s="170" t="n"/>
      <c r="J3819" s="208" t="n"/>
      <c r="K3819" s="170" t="n"/>
      <c r="L3819" s="170" t="n"/>
      <c r="M3819" s="170" t="n"/>
      <c r="N3819" s="30" t="n"/>
      <c r="O3819" s="150">
        <f>P3819*C3819</f>
        <v/>
      </c>
      <c r="P3819" s="117" t="n">
        <v>1.05</v>
      </c>
      <c r="R3819" s="117" t="n"/>
      <c r="T3819" s="170" t="n"/>
      <c r="U3819" s="30" t="n"/>
      <c r="V3819" s="30" t="n"/>
      <c r="W3819" s="30" t="n"/>
      <c r="X3819" s="30" t="n"/>
      <c r="Y3819" s="30" t="n"/>
      <c r="Z3819" s="30" t="n"/>
      <c r="AA3819" s="30" t="n"/>
      <c r="AB3819" s="30" t="n"/>
      <c r="AC3819" s="30" t="n"/>
      <c r="AD3819" s="30" t="n"/>
      <c r="AE3819" s="30" t="n"/>
      <c r="AF3819" s="30" t="n"/>
      <c r="AG3819" s="30" t="n"/>
      <c r="AH3819" s="30" t="n"/>
      <c r="AI3819" s="30" t="n"/>
      <c r="AJ3819" s="30" t="n"/>
      <c r="AK3819" s="30" t="n"/>
      <c r="AL3819" s="30" t="n"/>
      <c r="AM3819" s="30" t="n"/>
      <c r="AN3819" s="30" t="n"/>
    </row>
    <row r="3820">
      <c r="A3820" s="89" t="inlineStr">
        <is>
          <t>11697XXX</t>
        </is>
      </c>
      <c r="B3820" s="216" t="inlineStr">
        <is>
          <t>TAVERNITI SHORT</t>
        </is>
      </c>
      <c r="C3820" s="88" t="n">
        <v>66000</v>
      </c>
      <c r="D3820" s="170" t="n"/>
      <c r="E3820" s="170" t="n"/>
      <c r="F3820" s="170" t="n"/>
      <c r="G3820" s="170" t="n"/>
      <c r="H3820" s="170" t="n"/>
      <c r="I3820" s="170" t="n"/>
      <c r="J3820" s="208" t="n"/>
      <c r="K3820" s="170" t="n"/>
      <c r="L3820" s="170" t="n"/>
      <c r="M3820" s="170" t="n"/>
      <c r="N3820" s="30" t="n"/>
      <c r="O3820" s="150">
        <f>P3820*C3820</f>
        <v/>
      </c>
      <c r="P3820" s="117" t="n">
        <v>1.05</v>
      </c>
      <c r="Q3820" s="30" t="n"/>
      <c r="R3820" s="170" t="n"/>
      <c r="S3820" s="30" t="n"/>
      <c r="T3820" s="170" t="n"/>
      <c r="U3820" s="30" t="n"/>
      <c r="V3820" s="30" t="n"/>
      <c r="W3820" s="30" t="n"/>
      <c r="X3820" s="30" t="n"/>
      <c r="Y3820" s="30" t="n"/>
      <c r="Z3820" s="30" t="n"/>
      <c r="AA3820" s="30" t="n"/>
      <c r="AB3820" s="30" t="n"/>
      <c r="AC3820" s="30" t="n"/>
      <c r="AD3820" s="30" t="n"/>
      <c r="AE3820" s="30" t="n"/>
      <c r="AF3820" s="30" t="n"/>
      <c r="AG3820" s="30" t="n"/>
      <c r="AH3820" s="30" t="n"/>
      <c r="AI3820" s="30" t="n"/>
      <c r="AJ3820" s="30" t="n"/>
      <c r="AK3820" s="30" t="n"/>
      <c r="AL3820" s="30" t="n"/>
      <c r="AM3820" s="30" t="n"/>
      <c r="AN3820" s="30" t="n"/>
      <c r="AO3820" s="30" t="n"/>
    </row>
    <row r="3821">
      <c r="A3821" s="89" t="inlineStr">
        <is>
          <t>11699XXX</t>
        </is>
      </c>
      <c r="B3821" s="216" t="inlineStr">
        <is>
          <t>TAVERNITI SHORT</t>
        </is>
      </c>
      <c r="C3821" s="88" t="n">
        <v>68800</v>
      </c>
      <c r="D3821" s="170" t="n"/>
      <c r="E3821" s="170" t="n"/>
      <c r="F3821" s="170" t="n"/>
      <c r="G3821" s="170" t="n"/>
      <c r="H3821" s="170" t="n"/>
      <c r="I3821" s="170" t="n"/>
      <c r="J3821" s="208" t="n"/>
      <c r="K3821" s="170" t="n"/>
      <c r="L3821" s="170" t="n"/>
      <c r="M3821" s="170" t="n"/>
      <c r="N3821" s="30" t="n"/>
      <c r="O3821" s="150">
        <f>P3821*C3821</f>
        <v/>
      </c>
      <c r="P3821" s="117" t="n">
        <v>1.05</v>
      </c>
      <c r="R3821" s="117" t="n"/>
      <c r="T3821" s="170" t="n"/>
      <c r="U3821" s="30" t="n"/>
      <c r="V3821" s="30" t="n"/>
      <c r="W3821" s="30" t="n"/>
      <c r="X3821" s="30" t="n"/>
      <c r="Y3821" s="30" t="n"/>
      <c r="Z3821" s="30" t="n"/>
      <c r="AA3821" s="30" t="n"/>
      <c r="AB3821" s="30" t="n"/>
      <c r="AC3821" s="30" t="n"/>
      <c r="AD3821" s="30" t="n"/>
      <c r="AE3821" s="30" t="n"/>
      <c r="AF3821" s="30" t="n"/>
      <c r="AG3821" s="30" t="n"/>
      <c r="AH3821" s="30" t="n"/>
      <c r="AI3821" s="30" t="n"/>
      <c r="AJ3821" s="30" t="n"/>
      <c r="AK3821" s="30" t="n"/>
      <c r="AL3821" s="30" t="n"/>
      <c r="AM3821" s="30" t="n"/>
      <c r="AN3821" s="30" t="n"/>
    </row>
    <row r="3822">
      <c r="A3822" s="89" t="inlineStr">
        <is>
          <t>11811XXX</t>
        </is>
      </c>
      <c r="B3822" s="216" t="inlineStr">
        <is>
          <t>TAVERNITI SHORT</t>
        </is>
      </c>
      <c r="C3822" s="88" t="n">
        <v>77200</v>
      </c>
      <c r="D3822" s="170" t="n"/>
      <c r="E3822" s="170" t="n"/>
      <c r="F3822" s="170" t="n"/>
      <c r="G3822" s="170" t="n"/>
      <c r="H3822" s="170" t="n"/>
      <c r="I3822" s="170" t="n"/>
      <c r="J3822" s="208" t="n"/>
      <c r="K3822" s="170" t="n"/>
      <c r="L3822" s="170" t="n"/>
      <c r="M3822" s="170" t="n"/>
      <c r="N3822" s="30" t="n"/>
      <c r="O3822" s="150">
        <f>P3822*C3822</f>
        <v/>
      </c>
      <c r="P3822" s="117" t="n">
        <v>1.05</v>
      </c>
      <c r="R3822" s="117" t="n"/>
      <c r="T3822" s="170" t="n"/>
      <c r="U3822" s="30" t="n"/>
      <c r="V3822" s="30" t="n"/>
      <c r="W3822" s="30" t="n"/>
      <c r="X3822" s="30" t="n"/>
      <c r="Y3822" s="30" t="n"/>
      <c r="Z3822" s="30" t="n"/>
      <c r="AA3822" s="30" t="n"/>
      <c r="AB3822" s="30" t="n"/>
      <c r="AC3822" s="30" t="n"/>
      <c r="AD3822" s="30" t="n"/>
      <c r="AE3822" s="30" t="n"/>
      <c r="AF3822" s="30" t="n"/>
      <c r="AG3822" s="30" t="n"/>
      <c r="AH3822" s="30" t="n"/>
      <c r="AI3822" s="30" t="n"/>
      <c r="AJ3822" s="30" t="n"/>
      <c r="AK3822" s="30" t="n"/>
      <c r="AL3822" s="30" t="n"/>
      <c r="AM3822" s="30" t="n"/>
      <c r="AN3822" s="30" t="n"/>
    </row>
    <row r="3823">
      <c r="A3823" s="89" t="inlineStr">
        <is>
          <t>11813XXX</t>
        </is>
      </c>
      <c r="B3823" s="216" t="inlineStr">
        <is>
          <t>TAVERNITI SHORT</t>
        </is>
      </c>
      <c r="C3823" s="88" t="n">
        <v>79900</v>
      </c>
      <c r="D3823" s="170" t="n"/>
      <c r="E3823" s="170" t="n"/>
      <c r="F3823" s="170" t="n"/>
      <c r="G3823" s="170" t="n"/>
      <c r="H3823" s="170" t="n"/>
      <c r="I3823" s="170" t="n"/>
      <c r="J3823" s="208" t="n"/>
      <c r="K3823" s="170" t="n"/>
      <c r="L3823" s="170" t="n"/>
      <c r="M3823" s="170" t="n"/>
      <c r="N3823" s="30" t="n"/>
      <c r="O3823" s="150">
        <f>P3823*C3823</f>
        <v/>
      </c>
      <c r="P3823" s="150" t="n">
        <v>1.05</v>
      </c>
      <c r="Q3823" s="30" t="n"/>
      <c r="R3823" s="170" t="n"/>
      <c r="S3823" s="30" t="n"/>
      <c r="T3823" s="170" t="n"/>
      <c r="U3823" s="30" t="n"/>
      <c r="V3823" s="30" t="n"/>
      <c r="W3823" s="30" t="n"/>
      <c r="X3823" s="30" t="n"/>
      <c r="Y3823" s="30" t="n"/>
      <c r="Z3823" s="30" t="n"/>
      <c r="AA3823" s="30" t="n"/>
      <c r="AB3823" s="30" t="n"/>
      <c r="AC3823" s="30" t="n"/>
      <c r="AD3823" s="30" t="n"/>
      <c r="AE3823" s="30" t="n"/>
      <c r="AF3823" s="30" t="n"/>
      <c r="AG3823" s="30" t="n"/>
      <c r="AH3823" s="30" t="n"/>
      <c r="AI3823" s="30" t="n"/>
      <c r="AJ3823" s="30" t="n"/>
      <c r="AK3823" s="30" t="n"/>
      <c r="AL3823" s="30" t="n"/>
      <c r="AM3823" s="30" t="n"/>
      <c r="AN3823" s="30" t="n"/>
      <c r="AO3823" s="30" t="n"/>
    </row>
    <row r="3824">
      <c r="A3824" s="89" t="inlineStr">
        <is>
          <t>11815XXX</t>
        </is>
      </c>
      <c r="B3824" s="216" t="inlineStr">
        <is>
          <t>TAVERNITI SHORT</t>
        </is>
      </c>
      <c r="C3824" s="88" t="n">
        <v>77200</v>
      </c>
      <c r="D3824" s="170" t="n"/>
      <c r="E3824" s="170" t="n"/>
      <c r="F3824" s="170" t="n"/>
      <c r="G3824" s="170" t="n"/>
      <c r="H3824" s="170" t="n"/>
      <c r="I3824" s="170" t="n"/>
      <c r="J3824" s="208" t="n"/>
      <c r="K3824" s="170" t="n"/>
      <c r="L3824" s="170" t="n"/>
      <c r="M3824" s="170" t="n"/>
      <c r="N3824" s="30" t="n"/>
      <c r="O3824" s="150">
        <f>P3824*C3824</f>
        <v/>
      </c>
      <c r="P3824" s="117" t="n">
        <v>1.05</v>
      </c>
      <c r="R3824" s="117" t="n"/>
      <c r="T3824" s="170" t="n"/>
      <c r="U3824" s="30" t="n"/>
      <c r="V3824" s="30" t="n"/>
      <c r="W3824" s="30" t="n"/>
      <c r="X3824" s="30" t="n"/>
      <c r="Y3824" s="30" t="n"/>
      <c r="Z3824" s="30" t="n"/>
      <c r="AA3824" s="30" t="n"/>
      <c r="AB3824" s="30" t="n"/>
      <c r="AC3824" s="30" t="n"/>
      <c r="AD3824" s="30" t="n"/>
      <c r="AE3824" s="30" t="n"/>
      <c r="AF3824" s="30" t="n"/>
      <c r="AG3824" s="30" t="n"/>
      <c r="AH3824" s="30" t="n"/>
      <c r="AI3824" s="30" t="n"/>
      <c r="AJ3824" s="30" t="n"/>
      <c r="AK3824" s="30" t="n"/>
      <c r="AL3824" s="30" t="n"/>
      <c r="AM3824" s="30" t="n"/>
      <c r="AN3824" s="30" t="n"/>
    </row>
    <row r="3825">
      <c r="A3825" s="89" t="inlineStr">
        <is>
          <t>11821XXX</t>
        </is>
      </c>
      <c r="B3825" s="216" t="inlineStr">
        <is>
          <t>TAVERNITI SHORT</t>
        </is>
      </c>
      <c r="C3825" s="88" t="n">
        <v>73500</v>
      </c>
      <c r="D3825" s="170" t="n"/>
      <c r="E3825" s="170" t="n"/>
      <c r="F3825" s="170" t="n"/>
      <c r="G3825" s="170" t="n"/>
      <c r="H3825" s="170" t="n"/>
      <c r="I3825" s="170" t="n"/>
      <c r="J3825" s="208" t="n"/>
      <c r="K3825" s="170" t="n"/>
      <c r="L3825" s="170" t="n"/>
      <c r="M3825" s="170" t="n"/>
      <c r="N3825" s="30" t="n"/>
      <c r="O3825" s="150">
        <f>P3825*C3825</f>
        <v/>
      </c>
      <c r="P3825" s="117" t="n">
        <v>1.05</v>
      </c>
      <c r="R3825" s="117" t="n"/>
      <c r="T3825" s="170" t="n"/>
      <c r="U3825" s="30" t="n"/>
      <c r="V3825" s="30" t="n"/>
      <c r="W3825" s="30" t="n"/>
      <c r="X3825" s="30" t="n"/>
      <c r="Y3825" s="30" t="n"/>
      <c r="Z3825" s="30" t="n"/>
      <c r="AA3825" s="30" t="n"/>
      <c r="AB3825" s="30" t="n"/>
      <c r="AC3825" s="30" t="n"/>
      <c r="AD3825" s="30" t="n"/>
      <c r="AE3825" s="30" t="n"/>
      <c r="AF3825" s="30" t="n"/>
      <c r="AG3825" s="30" t="n"/>
      <c r="AH3825" s="30" t="n"/>
      <c r="AI3825" s="30" t="n"/>
      <c r="AJ3825" s="30" t="n"/>
      <c r="AK3825" s="30" t="n"/>
      <c r="AL3825" s="30" t="n"/>
      <c r="AM3825" s="30" t="n"/>
      <c r="AN3825" s="30" t="n"/>
    </row>
    <row r="3826">
      <c r="A3826" s="89" t="inlineStr">
        <is>
          <t>11827XXX</t>
        </is>
      </c>
      <c r="B3826" s="216" t="inlineStr">
        <is>
          <t>TAVERNITI SHORT</t>
        </is>
      </c>
      <c r="C3826" s="88" t="n">
        <v>71500</v>
      </c>
      <c r="D3826" s="170" t="n"/>
      <c r="E3826" s="170" t="n"/>
      <c r="F3826" s="170" t="n"/>
      <c r="G3826" s="170" t="n"/>
      <c r="H3826" s="170" t="n"/>
      <c r="I3826" s="170" t="n"/>
      <c r="J3826" s="208" t="n"/>
      <c r="K3826" s="170" t="n"/>
      <c r="L3826" s="170" t="n"/>
      <c r="M3826" s="170" t="n"/>
      <c r="N3826" s="30" t="n"/>
      <c r="O3826" s="150">
        <f>P3826*C3826</f>
        <v/>
      </c>
      <c r="P3826" s="117" t="n">
        <v>1.05</v>
      </c>
      <c r="R3826" s="117" t="n"/>
      <c r="T3826" s="170" t="n"/>
      <c r="U3826" s="30" t="n"/>
      <c r="V3826" s="30" t="n"/>
      <c r="W3826" s="30" t="n"/>
      <c r="X3826" s="30" t="n"/>
      <c r="Y3826" s="30" t="n"/>
      <c r="Z3826" s="30" t="n"/>
      <c r="AA3826" s="30" t="n"/>
      <c r="AB3826" s="30" t="n"/>
      <c r="AC3826" s="30" t="n"/>
      <c r="AD3826" s="30" t="n"/>
      <c r="AE3826" s="30" t="n"/>
      <c r="AF3826" s="30" t="n"/>
      <c r="AG3826" s="30" t="n"/>
      <c r="AH3826" s="30" t="n"/>
      <c r="AI3826" s="30" t="n"/>
      <c r="AJ3826" s="30" t="n"/>
      <c r="AK3826" s="30" t="n"/>
      <c r="AL3826" s="30" t="n"/>
      <c r="AM3826" s="30" t="n"/>
      <c r="AN3826" s="30" t="n"/>
    </row>
    <row r="3827">
      <c r="A3827" s="89" t="inlineStr">
        <is>
          <t>11885XXX</t>
        </is>
      </c>
      <c r="B3827" s="216" t="inlineStr">
        <is>
          <t>TAVERNITI SHORT</t>
        </is>
      </c>
      <c r="C3827" s="88" t="n">
        <v>71500</v>
      </c>
      <c r="D3827" s="170" t="n"/>
      <c r="E3827" s="170" t="n"/>
      <c r="F3827" s="170" t="n"/>
      <c r="G3827" s="170" t="n"/>
      <c r="H3827" s="170" t="n"/>
      <c r="I3827" s="170" t="n"/>
      <c r="J3827" s="208" t="n"/>
      <c r="K3827" s="170" t="n"/>
      <c r="L3827" s="170" t="n"/>
      <c r="M3827" s="170" t="n"/>
      <c r="N3827" s="30" t="n"/>
      <c r="O3827" s="150">
        <f>P3827*C3827</f>
        <v/>
      </c>
      <c r="P3827" s="117" t="n">
        <v>1.05</v>
      </c>
      <c r="R3827" s="117" t="n"/>
      <c r="T3827" s="170" t="n"/>
      <c r="U3827" s="30" t="n"/>
      <c r="V3827" s="30" t="n"/>
      <c r="W3827" s="30" t="n"/>
      <c r="X3827" s="30" t="n"/>
      <c r="Y3827" s="30" t="n"/>
      <c r="Z3827" s="30" t="n"/>
      <c r="AA3827" s="30" t="n"/>
      <c r="AB3827" s="30" t="n"/>
      <c r="AC3827" s="30" t="n"/>
      <c r="AD3827" s="30" t="n"/>
      <c r="AE3827" s="30" t="n"/>
      <c r="AF3827" s="30" t="n"/>
      <c r="AG3827" s="30" t="n"/>
      <c r="AH3827" s="30" t="n"/>
      <c r="AI3827" s="30" t="n"/>
      <c r="AJ3827" s="30" t="n"/>
      <c r="AK3827" s="30" t="n"/>
      <c r="AL3827" s="30" t="n"/>
      <c r="AM3827" s="30" t="n"/>
      <c r="AN3827" s="30" t="n"/>
    </row>
    <row r="3828">
      <c r="A3828" s="134" t="inlineStr">
        <is>
          <t>17399XXX</t>
        </is>
      </c>
      <c r="B3828" s="216" t="inlineStr">
        <is>
          <t>TAVERNITI SHORT</t>
        </is>
      </c>
      <c r="C3828" s="88" t="n">
        <v>67700</v>
      </c>
      <c r="D3828" s="153" t="n"/>
      <c r="E3828" s="153" t="n"/>
      <c r="F3828" s="153" t="n"/>
      <c r="G3828" s="153" t="n"/>
      <c r="H3828" s="153" t="n"/>
      <c r="I3828" s="153" t="n"/>
      <c r="J3828" s="205" t="n"/>
      <c r="K3828" s="219" t="n"/>
      <c r="L3828" s="219" t="n"/>
      <c r="M3828" s="219" t="n"/>
      <c r="O3828" s="117">
        <f>P3828*C3828</f>
        <v/>
      </c>
      <c r="P3828" s="117" t="n">
        <v>1.05</v>
      </c>
      <c r="R3828" s="117" t="n"/>
      <c r="T3828" s="117" t="n"/>
    </row>
    <row r="3829">
      <c r="A3829" s="134" t="n"/>
      <c r="B3829" s="216" t="n"/>
      <c r="C3829" s="88" t="n"/>
      <c r="D3829" s="153" t="n"/>
      <c r="E3829" s="153" t="n"/>
      <c r="F3829" s="153" t="n"/>
      <c r="G3829" s="153" t="n"/>
      <c r="H3829" s="153" t="n"/>
      <c r="I3829" s="153" t="n"/>
      <c r="J3829" s="205" t="n"/>
      <c r="K3829" s="219" t="n"/>
      <c r="L3829" s="219" t="n"/>
      <c r="M3829" s="219" t="n"/>
      <c r="O3829" s="117" t="n"/>
      <c r="P3829" s="117" t="n"/>
      <c r="R3829" s="117" t="n"/>
      <c r="T3829" s="117" t="n"/>
    </row>
    <row r="3830">
      <c r="A3830" s="134" t="n"/>
      <c r="B3830" s="246" t="n"/>
      <c r="C3830" s="88" t="n"/>
      <c r="D3830" s="153" t="n"/>
      <c r="E3830" s="153" t="n"/>
      <c r="F3830" s="153" t="n"/>
      <c r="G3830" s="153" t="n"/>
      <c r="H3830" s="153" t="n"/>
      <c r="I3830" s="153" t="n"/>
      <c r="J3830" s="205" t="n"/>
      <c r="K3830" s="219" t="n"/>
      <c r="L3830" s="219" t="n"/>
      <c r="M3830" s="219" t="n"/>
      <c r="P3830" s="117" t="n"/>
      <c r="R3830" s="117" t="n"/>
      <c r="T3830" s="117" t="n"/>
    </row>
    <row r="3831">
      <c r="A3831" s="134" t="n"/>
      <c r="B3831" s="246" t="n"/>
      <c r="C3831" s="88" t="n"/>
      <c r="D3831" s="153" t="n"/>
      <c r="E3831" s="153" t="n"/>
      <c r="F3831" s="153" t="n"/>
      <c r="G3831" s="153" t="n"/>
      <c r="H3831" s="153" t="n"/>
      <c r="I3831" s="153" t="n"/>
      <c r="J3831" s="205" t="n"/>
      <c r="K3831" s="219" t="n"/>
      <c r="L3831" s="219" t="n"/>
      <c r="M3831" s="219" t="n"/>
      <c r="P3831" s="117" t="n"/>
      <c r="R3831" s="117" t="n"/>
      <c r="T3831" s="117" t="n"/>
    </row>
    <row r="3832">
      <c r="A3832" s="134" t="n"/>
      <c r="B3832" s="200" t="inlineStr">
        <is>
          <t>CAMISAS DAMA</t>
        </is>
      </c>
      <c r="C3832" s="214" t="inlineStr">
        <is>
          <t>1 AL 4</t>
        </is>
      </c>
      <c r="D3832" s="204" t="n">
        <v>5</v>
      </c>
      <c r="E3832" s="204" t="n">
        <v>6</v>
      </c>
      <c r="F3832" s="204" t="n">
        <v>7</v>
      </c>
      <c r="G3832" s="204" t="n">
        <v>8</v>
      </c>
      <c r="H3832" s="205" t="n"/>
      <c r="I3832" s="134" t="inlineStr">
        <is>
          <t>04/25</t>
        </is>
      </c>
      <c r="J3832" s="153" t="n"/>
      <c r="K3832" s="219" t="n"/>
      <c r="L3832" s="219" t="n"/>
      <c r="M3832" s="219" t="n"/>
      <c r="P3832" s="117" t="n"/>
      <c r="R3832" s="117" t="n"/>
      <c r="T3832" s="117" t="n"/>
    </row>
    <row r="3833">
      <c r="A3833" s="134" t="inlineStr">
        <is>
          <t>31000</t>
        </is>
      </c>
      <c r="B3833" s="246" t="inlineStr">
        <is>
          <t xml:space="preserve"> JEAN CHETA O SIMILAR</t>
        </is>
      </c>
      <c r="C3833" s="88" t="n">
        <v>28000</v>
      </c>
      <c r="D3833" s="22">
        <f>ROUND((C3833*1.06)/100,0)*100</f>
        <v/>
      </c>
      <c r="E3833" s="88">
        <f>ROUND((C3833*1.13)/100,0)*100</f>
        <v/>
      </c>
      <c r="F3833" s="88">
        <f>ROUND((C3833*1.19)/100,0)*100</f>
        <v/>
      </c>
      <c r="G3833" s="153">
        <f>ROUND((C3833*1.25)/100,0)*100</f>
        <v/>
      </c>
      <c r="H3833" s="205" t="n"/>
      <c r="I3833" s="219" t="n"/>
      <c r="J3833" s="219">
        <f>ROUND((C3833*N3833)/100,0)*100</f>
        <v/>
      </c>
      <c r="K3833" s="219" t="n"/>
      <c r="L3833" s="219" t="n"/>
      <c r="M3833" s="219" t="n"/>
      <c r="N3833" s="118" t="n">
        <v>2</v>
      </c>
      <c r="P3833" s="117" t="n"/>
      <c r="R3833" s="117" t="n"/>
      <c r="T3833" s="117" t="n"/>
    </row>
    <row r="3834">
      <c r="A3834" s="134" t="inlineStr">
        <is>
          <t>31001</t>
        </is>
      </c>
      <c r="B3834" s="246" t="inlineStr">
        <is>
          <t>CAMISA LARGA SEMIJEAN</t>
        </is>
      </c>
      <c r="C3834" s="88" t="n">
        <v>28000</v>
      </c>
      <c r="D3834" s="22">
        <f>ROUND((C3834*1.06)/100,0)*100</f>
        <v/>
      </c>
      <c r="E3834" s="88">
        <f>ROUND((C3834*1.13)/100,0)*100</f>
        <v/>
      </c>
      <c r="F3834" s="88">
        <f>ROUND((C3834*1.19)/100,0)*100</f>
        <v/>
      </c>
      <c r="G3834" s="153">
        <f>ROUND((C3834*1.25)/100,0)*100</f>
        <v/>
      </c>
      <c r="H3834" s="205" t="n"/>
      <c r="I3834" s="153" t="n"/>
      <c r="J3834" s="153">
        <f>ROUND((C3834*N3834)/100,0)*100</f>
        <v/>
      </c>
      <c r="K3834" s="219" t="n"/>
      <c r="L3834" s="219" t="n"/>
      <c r="M3834" s="219" t="n"/>
      <c r="N3834" s="118" t="n">
        <v>2</v>
      </c>
      <c r="P3834" s="117" t="n"/>
      <c r="R3834" s="117" t="n"/>
      <c r="T3834" s="117" t="n"/>
    </row>
    <row r="3835">
      <c r="A3835" s="134" t="inlineStr">
        <is>
          <t>31002</t>
        </is>
      </c>
      <c r="B3835" s="246" t="inlineStr">
        <is>
          <t>OPR MANGA LARGA</t>
        </is>
      </c>
      <c r="C3835" s="88" t="n">
        <v>28000</v>
      </c>
      <c r="D3835" s="22">
        <f>ROUND((C3835*1.06)/100,0)*100</f>
        <v/>
      </c>
      <c r="E3835" s="88">
        <f>ROUND((C3835*1.13)/100,0)*100</f>
        <v/>
      </c>
      <c r="F3835" s="88">
        <f>ROUND((C3835*1.19)/100,0)*100</f>
        <v/>
      </c>
      <c r="G3835" s="153">
        <f>ROUND((C3835*1.25)/100,0)*100</f>
        <v/>
      </c>
      <c r="H3835" s="205" t="n"/>
      <c r="I3835" s="153" t="n"/>
      <c r="J3835" s="153">
        <f>ROUND((C3835*N3835)/100,0)*100</f>
        <v/>
      </c>
      <c r="K3835" s="219" t="n"/>
      <c r="L3835" s="219" t="n"/>
      <c r="M3835" s="219" t="n"/>
      <c r="N3835" s="118" t="n">
        <v>2</v>
      </c>
      <c r="P3835" s="117" t="n"/>
      <c r="R3835" s="117" t="n"/>
      <c r="T3835" s="117" t="n"/>
    </row>
    <row r="3836">
      <c r="A3836" s="134" t="inlineStr">
        <is>
          <t>31003</t>
        </is>
      </c>
      <c r="B3836" s="246" t="inlineStr">
        <is>
          <t>OPR BORDADA M LARGA</t>
        </is>
      </c>
      <c r="C3836" s="88" t="n">
        <v>28000</v>
      </c>
      <c r="D3836" s="22">
        <f>ROUND((C3836*1.06)/100,0)*100</f>
        <v/>
      </c>
      <c r="E3836" s="88">
        <f>ROUND((C3836*1.13)/100,0)*100</f>
        <v/>
      </c>
      <c r="F3836" s="88">
        <f>ROUND((C3836*1.19)/100,0)*100</f>
        <v/>
      </c>
      <c r="G3836" s="153">
        <f>ROUND((C3836*1.25)/100,0)*100</f>
        <v/>
      </c>
      <c r="H3836" s="205" t="n"/>
      <c r="I3836" s="153" t="n"/>
      <c r="J3836" s="153">
        <f>ROUND((C3836*N3836)/100,0)*100</f>
        <v/>
      </c>
      <c r="K3836" s="219" t="n"/>
      <c r="L3836" s="219" t="n"/>
      <c r="M3836" s="219" t="n"/>
      <c r="N3836" s="118" t="n">
        <v>2</v>
      </c>
      <c r="P3836" s="117" t="n"/>
      <c r="R3836" s="117" t="n"/>
      <c r="T3836" s="117" t="n"/>
    </row>
    <row r="3837">
      <c r="A3837" s="134" t="inlineStr">
        <is>
          <t>31004</t>
        </is>
      </c>
      <c r="B3837" s="246" t="inlineStr">
        <is>
          <t>CAMISA BORDADA M LARGA</t>
        </is>
      </c>
      <c r="C3837" s="88" t="n">
        <v>47300</v>
      </c>
      <c r="D3837" s="22">
        <f>ROUND((C3837*1.06)/100,0)*100</f>
        <v/>
      </c>
      <c r="E3837" s="88">
        <f>ROUND((C3837*1.13)/100,0)*100</f>
        <v/>
      </c>
      <c r="F3837" s="88">
        <f>ROUND((C3837*1.19)/100,0)*100</f>
        <v/>
      </c>
      <c r="G3837" s="153">
        <f>ROUND((C3837*1.25)/100,0)*100</f>
        <v/>
      </c>
      <c r="H3837" s="205" t="n"/>
      <c r="I3837" s="153" t="n"/>
      <c r="J3837" s="153">
        <f>ROUND((C3837*N3837)/100,0)*100</f>
        <v/>
      </c>
      <c r="K3837" s="219" t="n"/>
      <c r="L3837" s="219" t="n"/>
      <c r="M3837" s="219" t="n"/>
      <c r="N3837" s="118" t="n">
        <v>2</v>
      </c>
      <c r="P3837" s="117" t="n"/>
      <c r="R3837" s="117" t="n"/>
      <c r="T3837" s="117" t="n"/>
    </row>
    <row r="3838">
      <c r="A3838" s="134" t="inlineStr">
        <is>
          <t>31010</t>
        </is>
      </c>
      <c r="B3838" s="246" t="inlineStr">
        <is>
          <t>MANGA CORTA==aaaaaaaa.</t>
        </is>
      </c>
      <c r="C3838" s="88" t="n">
        <v>16900</v>
      </c>
      <c r="D3838" s="22">
        <f>ROUND((C3838*1.06)/100,0)*100</f>
        <v/>
      </c>
      <c r="E3838" s="88">
        <f>ROUND((C3838*1.13)/100,0)*100</f>
        <v/>
      </c>
      <c r="F3838" s="88">
        <f>ROUND((C3838*1.19)/100,0)*100</f>
        <v/>
      </c>
      <c r="G3838" s="153">
        <f>ROUND((C3838*1.25)/100,0)*100</f>
        <v/>
      </c>
      <c r="H3838" s="205" t="n"/>
      <c r="I3838" s="153" t="n"/>
      <c r="J3838" s="153">
        <f>ROUND((C3838*N3838)/100,0)*100</f>
        <v/>
      </c>
      <c r="K3838" s="219" t="n"/>
      <c r="L3838" s="219" t="n"/>
      <c r="M3838" s="219" t="n"/>
      <c r="N3838" s="118" t="n">
        <v>2</v>
      </c>
      <c r="P3838" s="117" t="n"/>
      <c r="R3838" s="117" t="n"/>
      <c r="T3838" s="117" t="n"/>
    </row>
    <row r="3839">
      <c r="A3839" s="134" t="inlineStr">
        <is>
          <t>31011</t>
        </is>
      </c>
      <c r="B3839" s="246" t="inlineStr">
        <is>
          <t>SIN MANGA</t>
        </is>
      </c>
      <c r="C3839" s="88" t="n">
        <v>16900</v>
      </c>
      <c r="D3839" s="22">
        <f>ROUND((C3839*1.06)/100,0)*100</f>
        <v/>
      </c>
      <c r="E3839" s="88">
        <f>ROUND((C3839*1.13)/100,0)*100</f>
        <v/>
      </c>
      <c r="F3839" s="88">
        <f>ROUND((C3839*1.19)/100,0)*100</f>
        <v/>
      </c>
      <c r="G3839" s="153">
        <f>ROUND((C3839*1.25)/100,0)*100</f>
        <v/>
      </c>
      <c r="H3839" s="205" t="n"/>
      <c r="I3839" s="153" t="n"/>
      <c r="J3839" s="153">
        <f>ROUND((C3839*N3839)/100,0)*100</f>
        <v/>
      </c>
      <c r="K3839" s="219" t="n"/>
      <c r="L3839" s="219" t="n"/>
      <c r="M3839" s="219" t="n"/>
      <c r="N3839" s="118" t="n">
        <v>2</v>
      </c>
      <c r="P3839" s="117" t="n"/>
      <c r="R3839" s="117" t="n"/>
      <c r="T3839" s="117" t="n"/>
    </row>
    <row r="3840">
      <c r="A3840" s="134" t="inlineStr">
        <is>
          <t>31012</t>
        </is>
      </c>
      <c r="B3840" s="246" t="inlineStr">
        <is>
          <t>CAMISOLA MAR Y MAR</t>
        </is>
      </c>
      <c r="C3840" s="88" t="n">
        <v>31500</v>
      </c>
      <c r="D3840" s="22">
        <f>ROUND((C3840*1.06)/100,0)*100</f>
        <v/>
      </c>
      <c r="E3840" s="88">
        <f>ROUND((C3840*1.13)/100,0)*100</f>
        <v/>
      </c>
      <c r="F3840" s="88">
        <f>ROUND((C3840*1.19)/100,0)*100</f>
        <v/>
      </c>
      <c r="G3840" s="153">
        <f>ROUND((C3840*1.25)/100,0)*100</f>
        <v/>
      </c>
      <c r="H3840" s="205" t="n"/>
      <c r="I3840" s="153" t="n"/>
      <c r="J3840" s="153">
        <f>ROUND((C3840*N3840)/100,0)*100</f>
        <v/>
      </c>
      <c r="K3840" s="219" t="n"/>
      <c r="L3840" s="219" t="n"/>
      <c r="M3840" s="219" t="n"/>
      <c r="N3840" s="118" t="n">
        <v>2</v>
      </c>
      <c r="P3840" s="117" t="n"/>
      <c r="R3840" s="117" t="n"/>
      <c r="T3840" s="117" t="n"/>
    </row>
    <row r="3841">
      <c r="A3841" s="134" t="inlineStr">
        <is>
          <t>31013</t>
        </is>
      </c>
      <c r="B3841" s="246" t="inlineStr">
        <is>
          <t>CAMISOLA PB</t>
        </is>
      </c>
      <c r="C3841" s="88" t="n">
        <v>26100</v>
      </c>
      <c r="D3841" s="22">
        <f>ROUND((C3841*1.06)/100,0)*100</f>
        <v/>
      </c>
      <c r="E3841" s="88">
        <f>ROUND((C3841*1.13)/100,0)*100</f>
        <v/>
      </c>
      <c r="F3841" s="88">
        <f>ROUND((C3841*1.19)/100,0)*100</f>
        <v/>
      </c>
      <c r="G3841" s="153">
        <f>ROUND((C3841*1.25)/100,0)*100</f>
        <v/>
      </c>
      <c r="H3841" s="205" t="n"/>
      <c r="I3841" s="153" t="n"/>
      <c r="J3841" s="153">
        <f>ROUND((C3841*N3841)/100,0)*100</f>
        <v/>
      </c>
      <c r="K3841" s="219" t="n"/>
      <c r="L3841" s="219" t="n"/>
      <c r="M3841" s="219" t="n"/>
      <c r="N3841" s="118" t="n">
        <v>2</v>
      </c>
      <c r="P3841" s="117" t="n"/>
      <c r="R3841" s="117" t="n"/>
      <c r="T3841" s="117" t="n"/>
    </row>
    <row r="3842">
      <c r="A3842" s="134" t="inlineStr">
        <is>
          <t>31014</t>
        </is>
      </c>
      <c r="B3842" s="246" t="inlineStr">
        <is>
          <t>JEAN MANGA CORTA</t>
        </is>
      </c>
      <c r="C3842" s="88" t="n">
        <v>26100</v>
      </c>
      <c r="D3842" s="22">
        <f>ROUND((C3842*1.06)/100,0)*100</f>
        <v/>
      </c>
      <c r="E3842" s="88">
        <f>ROUND((C3842*1.13)/100,0)*100</f>
        <v/>
      </c>
      <c r="F3842" s="88">
        <f>ROUND((C3842*1.19)/100,0)*100</f>
        <v/>
      </c>
      <c r="G3842" s="153">
        <f>ROUND((C3842*1.25)/100,0)*100</f>
        <v/>
      </c>
      <c r="H3842" s="205" t="n"/>
      <c r="I3842" s="153" t="n"/>
      <c r="J3842" s="153">
        <f>ROUND((C3842*N3842)/100,0)*100</f>
        <v/>
      </c>
      <c r="K3842" s="219" t="n"/>
      <c r="L3842" s="219" t="n"/>
      <c r="M3842" s="219" t="n"/>
      <c r="N3842" s="118" t="n">
        <v>2</v>
      </c>
      <c r="P3842" s="117" t="n"/>
      <c r="R3842" s="117" t="n"/>
      <c r="T3842" s="117" t="n"/>
    </row>
    <row r="3843">
      <c r="A3843" s="134" t="inlineStr">
        <is>
          <t>31015</t>
        </is>
      </c>
      <c r="B3843" s="246" t="inlineStr">
        <is>
          <t>CAMISA ESTAMPADA</t>
        </is>
      </c>
      <c r="C3843" s="88" t="n">
        <v>26100</v>
      </c>
      <c r="D3843" s="22">
        <f>ROUND((C3843*1.06)/100,0)*100</f>
        <v/>
      </c>
      <c r="E3843" s="88">
        <f>ROUND((C3843*1.13)/100,0)*100</f>
        <v/>
      </c>
      <c r="F3843" s="88">
        <f>ROUND((C3843*1.19)/100,0)*100</f>
        <v/>
      </c>
      <c r="G3843" s="153">
        <f>ROUND((C3843*1.25)/100,0)*100</f>
        <v/>
      </c>
      <c r="H3843" s="205" t="n"/>
      <c r="I3843" s="153" t="n"/>
      <c r="J3843" s="153">
        <f>ROUND((C3843*N3843)/100,0)*100</f>
        <v/>
      </c>
      <c r="K3843" s="219" t="n"/>
      <c r="L3843" s="219" t="n"/>
      <c r="M3843" s="219" t="n"/>
      <c r="N3843" s="118" t="n">
        <v>2</v>
      </c>
      <c r="P3843" s="117" t="n"/>
      <c r="R3843" s="117" t="n"/>
      <c r="T3843" s="117" t="n"/>
    </row>
    <row r="3844">
      <c r="A3844" s="134" t="inlineStr">
        <is>
          <t>31016</t>
        </is>
      </c>
      <c r="B3844" s="246" t="inlineStr">
        <is>
          <t>CAMISA IMPORTADA</t>
        </is>
      </c>
      <c r="C3844" s="88" t="n">
        <v>33500</v>
      </c>
      <c r="D3844" s="22">
        <f>ROUND((C3844*1.06)/100,0)*100</f>
        <v/>
      </c>
      <c r="E3844" s="88">
        <f>ROUND((C3844*1.13)/100,0)*100</f>
        <v/>
      </c>
      <c r="F3844" s="88">
        <f>ROUND((C3844*1.19)/100,0)*100</f>
        <v/>
      </c>
      <c r="G3844" s="153">
        <f>ROUND((C3844*1.25)/100,0)*100</f>
        <v/>
      </c>
      <c r="H3844" s="205" t="n"/>
      <c r="I3844" s="153" t="n"/>
      <c r="J3844" s="153">
        <f>ROUND((C3844*N3844)/100,0)*100</f>
        <v/>
      </c>
      <c r="K3844" s="219" t="n"/>
      <c r="L3844" s="219" t="n"/>
      <c r="M3844" s="219" t="n"/>
      <c r="N3844" s="118" t="n">
        <v>2</v>
      </c>
      <c r="P3844" s="117" t="n"/>
      <c r="R3844" s="117" t="n"/>
      <c r="T3844" s="117" t="n"/>
    </row>
    <row r="3845">
      <c r="A3845" s="134" t="inlineStr">
        <is>
          <t>31017</t>
        </is>
      </c>
      <c r="B3845" s="246" t="inlineStr">
        <is>
          <t>CAMISA GASA</t>
        </is>
      </c>
      <c r="C3845" s="88" t="n">
        <v>30000</v>
      </c>
      <c r="D3845" s="22">
        <f>ROUND((C3845*1.06)/100,0)*100</f>
        <v/>
      </c>
      <c r="E3845" s="88">
        <f>ROUND((C3845*1.13)/100,0)*100</f>
        <v/>
      </c>
      <c r="F3845" s="88">
        <f>ROUND((C3845*1.19)/100,0)*100</f>
        <v/>
      </c>
      <c r="G3845" s="153">
        <f>ROUND((C3845*1.25)/100,0)*100</f>
        <v/>
      </c>
      <c r="H3845" s="205" t="n"/>
      <c r="I3845" s="153" t="n"/>
      <c r="J3845" s="153">
        <f>ROUND((C3845*N3845)/100,0)*100</f>
        <v/>
      </c>
      <c r="K3845" s="219" t="n"/>
      <c r="L3845" s="219" t="n"/>
      <c r="M3845" s="219" t="n"/>
      <c r="N3845" s="118" t="n">
        <v>2</v>
      </c>
      <c r="P3845" s="117" t="n"/>
      <c r="R3845" s="117" t="n"/>
      <c r="T3845" s="117" t="n"/>
    </row>
    <row r="3846">
      <c r="A3846" s="134" t="inlineStr">
        <is>
          <t>310</t>
        </is>
      </c>
      <c r="B3846" s="246" t="inlineStr">
        <is>
          <t>CAMISA GASA</t>
        </is>
      </c>
      <c r="C3846" s="88" t="n">
        <v>19900</v>
      </c>
      <c r="D3846" s="22">
        <f>ROUND((C3846*1.06)/100,0)*100</f>
        <v/>
      </c>
      <c r="E3846" s="88">
        <f>ROUND((C3846*1.13)/100,0)*100</f>
        <v/>
      </c>
      <c r="F3846" s="88">
        <f>ROUND((C3846*1.19)/100,0)*100</f>
        <v/>
      </c>
      <c r="G3846" s="153">
        <f>ROUND((C3846*1.25)/100,0)*100</f>
        <v/>
      </c>
      <c r="H3846" s="205" t="n"/>
      <c r="I3846" s="153" t="n"/>
      <c r="J3846" s="153">
        <f>ROUND((C3846*N3846)/100,0)*100</f>
        <v/>
      </c>
      <c r="K3846" s="219" t="n"/>
      <c r="L3846" s="219" t="n"/>
      <c r="M3846" s="219" t="n"/>
      <c r="N3846" s="118" t="n">
        <v>2</v>
      </c>
      <c r="P3846" s="117" t="n"/>
      <c r="R3846" s="117" t="n"/>
      <c r="T3846" s="117" t="n"/>
    </row>
    <row r="3847">
      <c r="A3847" s="134" t="inlineStr">
        <is>
          <t>31019</t>
        </is>
      </c>
      <c r="B3847" s="246" t="inlineStr">
        <is>
          <t>CAMISA ESTAMPADA</t>
        </is>
      </c>
      <c r="C3847" s="88" t="n">
        <v>17400</v>
      </c>
      <c r="D3847" s="22">
        <f>ROUND((C3847*1.06)/100,0)*100</f>
        <v/>
      </c>
      <c r="E3847" s="88">
        <f>ROUND((C3847*1.13)/100,0)*100</f>
        <v/>
      </c>
      <c r="F3847" s="88">
        <f>ROUND((C3847*1.19)/100,0)*100</f>
        <v/>
      </c>
      <c r="G3847" s="153">
        <f>ROUND((C3847*1.25)/100,0)*100</f>
        <v/>
      </c>
      <c r="H3847" s="205" t="n"/>
      <c r="I3847" s="153" t="n"/>
      <c r="J3847" s="153">
        <f>ROUND((C3847*N3847)/100,0)*100</f>
        <v/>
      </c>
      <c r="K3847" s="219" t="n"/>
      <c r="L3847" s="219" t="n"/>
      <c r="M3847" s="219" t="n"/>
      <c r="N3847" s="118" t="n">
        <v>2</v>
      </c>
      <c r="P3847" s="117" t="n"/>
      <c r="R3847" s="117" t="n"/>
      <c r="T3847" s="117" t="n"/>
    </row>
    <row r="3848">
      <c r="A3848" s="134" t="inlineStr">
        <is>
          <t>31020</t>
        </is>
      </c>
      <c r="B3848" s="246" t="inlineStr">
        <is>
          <t xml:space="preserve">CAMISA </t>
        </is>
      </c>
      <c r="C3848" s="88" t="n">
        <v>21500</v>
      </c>
      <c r="D3848" s="22">
        <f>ROUND((C3848*1.06)/100,0)*100</f>
        <v/>
      </c>
      <c r="E3848" s="88">
        <f>ROUND((C3848*1.13)/100,0)*100</f>
        <v/>
      </c>
      <c r="F3848" s="88">
        <f>ROUND((C3848*1.19)/100,0)*100</f>
        <v/>
      </c>
      <c r="G3848" s="153">
        <f>ROUND((C3848*1.25)/100,0)*100</f>
        <v/>
      </c>
      <c r="H3848" s="205" t="n"/>
      <c r="I3848" s="153" t="n"/>
      <c r="J3848" s="153">
        <f>ROUND((C3848*N3848)/100,0)*100</f>
        <v/>
      </c>
      <c r="K3848" s="219" t="n"/>
      <c r="L3848" s="219" t="n"/>
      <c r="M3848" s="219" t="n"/>
      <c r="N3848" s="118" t="n">
        <v>2</v>
      </c>
      <c r="P3848" s="117" t="n"/>
      <c r="R3848" s="117" t="n"/>
      <c r="T3848" s="117" t="n"/>
    </row>
    <row r="3849">
      <c r="A3849" s="134" t="inlineStr">
        <is>
          <t>31021</t>
        </is>
      </c>
      <c r="B3849" s="246" t="inlineStr">
        <is>
          <t>CAMISA GASA BRILLO</t>
        </is>
      </c>
      <c r="C3849" s="88" t="n">
        <v>40500</v>
      </c>
      <c r="D3849" s="22">
        <f>ROUND((C3849*1.06)/100,0)*100</f>
        <v/>
      </c>
      <c r="E3849" s="88">
        <f>ROUND((C3849*1.13)/100,0)*100</f>
        <v/>
      </c>
      <c r="F3849" s="88">
        <f>ROUND((C3849*1.19)/100,0)*100</f>
        <v/>
      </c>
      <c r="G3849" s="153">
        <f>ROUND((C3849*1.25)/100,0)*100</f>
        <v/>
      </c>
      <c r="H3849" s="205" t="n"/>
      <c r="I3849" s="153" t="n"/>
      <c r="J3849" s="153">
        <f>ROUND((C3849*N3849)/100,0)*100</f>
        <v/>
      </c>
      <c r="K3849" s="219" t="n"/>
      <c r="L3849" s="219" t="n"/>
      <c r="M3849" s="219" t="n"/>
      <c r="N3849" s="118" t="n">
        <v>2</v>
      </c>
      <c r="P3849" s="117" t="n"/>
      <c r="R3849" s="117" t="n"/>
      <c r="T3849" s="117" t="n"/>
    </row>
    <row r="3850">
      <c r="A3850" s="134" t="inlineStr">
        <is>
          <t>31022</t>
        </is>
      </c>
      <c r="B3850" s="246" t="inlineStr">
        <is>
          <t>CAMISA RAYAS</t>
        </is>
      </c>
      <c r="C3850" s="88" t="n">
        <v>22000</v>
      </c>
      <c r="D3850" s="22">
        <f>ROUND((C3850*1.06)/100,0)*100</f>
        <v/>
      </c>
      <c r="E3850" s="88">
        <f>ROUND((C3850*1.13)/100,0)*100</f>
        <v/>
      </c>
      <c r="F3850" s="88">
        <f>ROUND((C3850*1.19)/100,0)*100</f>
        <v/>
      </c>
      <c r="G3850" s="153">
        <f>ROUND((C3850*1.25)/100,0)*100</f>
        <v/>
      </c>
      <c r="H3850" s="205" t="n"/>
      <c r="I3850" s="153" t="n"/>
      <c r="J3850" s="153">
        <f>ROUND((C3850*N3850)/100,0)*100</f>
        <v/>
      </c>
      <c r="K3850" s="219" t="n"/>
      <c r="L3850" s="219" t="n"/>
      <c r="M3850" s="219" t="n"/>
      <c r="N3850" s="118" t="n">
        <v>2</v>
      </c>
      <c r="P3850" s="117" t="n"/>
      <c r="R3850" s="117" t="n"/>
      <c r="T3850" s="117" t="n"/>
    </row>
    <row r="3851">
      <c r="A3851" s="134" t="inlineStr">
        <is>
          <t>31023</t>
        </is>
      </c>
      <c r="B3851" s="246" t="inlineStr">
        <is>
          <t>CAMISA COLORES</t>
        </is>
      </c>
      <c r="C3851" s="88" t="n">
        <v>42900</v>
      </c>
      <c r="D3851" s="22">
        <f>ROUND((C3851*1.06)/100,0)*100</f>
        <v/>
      </c>
      <c r="E3851" s="88">
        <f>ROUND((C3851*1.13)/100,0)*100</f>
        <v/>
      </c>
      <c r="F3851" s="88">
        <f>ROUND((C3851*1.19)/100,0)*100</f>
        <v/>
      </c>
      <c r="G3851" s="153">
        <f>ROUND((C3851*1.25)/100,0)*100</f>
        <v/>
      </c>
      <c r="H3851" s="205" t="n"/>
      <c r="I3851" s="153" t="n"/>
      <c r="J3851" s="153">
        <f>ROUND((C3851*N3851)/100,0)*100</f>
        <v/>
      </c>
      <c r="K3851" s="219" t="n"/>
      <c r="L3851" s="219" t="n"/>
      <c r="M3851" s="219" t="n"/>
      <c r="N3851" s="118" t="n">
        <v>2</v>
      </c>
      <c r="P3851" s="117" t="n"/>
      <c r="R3851" s="117" t="n"/>
      <c r="T3851" s="117" t="n"/>
    </row>
    <row r="3852">
      <c r="A3852" s="134" t="inlineStr">
        <is>
          <t>31024</t>
        </is>
      </c>
      <c r="B3852" s="246" t="inlineStr">
        <is>
          <t>CAMISA VIVI</t>
        </is>
      </c>
      <c r="C3852" s="88" t="n">
        <v>33400</v>
      </c>
      <c r="D3852" s="22">
        <f>ROUND((C3852*1.06)/100,0)*100</f>
        <v/>
      </c>
      <c r="E3852" s="88">
        <f>ROUND((C3852*1.13)/100,0)*100</f>
        <v/>
      </c>
      <c r="F3852" s="88">
        <f>ROUND((C3852*1.19)/100,0)*100</f>
        <v/>
      </c>
      <c r="G3852" s="153">
        <f>ROUND((C3852*1.25)/100,0)*100</f>
        <v/>
      </c>
      <c r="H3852" s="205" t="n"/>
      <c r="I3852" s="153" t="n"/>
      <c r="J3852" s="153">
        <f>ROUND((C3852*N3852)/100,0)*100</f>
        <v/>
      </c>
      <c r="K3852" s="219" t="n"/>
      <c r="L3852" s="219" t="n"/>
      <c r="M3852" s="219" t="n"/>
      <c r="N3852" s="118" t="n">
        <v>2</v>
      </c>
      <c r="P3852" s="117" t="n"/>
      <c r="R3852" s="117" t="n"/>
      <c r="T3852" s="117" t="n"/>
    </row>
    <row r="3853">
      <c r="A3853" s="134" t="inlineStr">
        <is>
          <t>31025</t>
        </is>
      </c>
      <c r="B3853" s="246" t="inlineStr">
        <is>
          <t>CAMISOLA CON PERLAS</t>
        </is>
      </c>
      <c r="C3853" s="88" t="n">
        <v>47000</v>
      </c>
      <c r="D3853" s="22">
        <f>ROUND((C3853*1.06)/100,0)*100</f>
        <v/>
      </c>
      <c r="E3853" s="88">
        <f>ROUND((C3853*1.13)/100,0)*100</f>
        <v/>
      </c>
      <c r="F3853" s="88">
        <f>ROUND((C3853*1.19)/100,0)*100</f>
        <v/>
      </c>
      <c r="G3853" s="153">
        <f>ROUND((C3853*1.25)/100,0)*100</f>
        <v/>
      </c>
      <c r="H3853" s="205" t="n"/>
      <c r="I3853" s="153" t="n"/>
      <c r="J3853" s="153">
        <f>ROUND((C3853*N3853)/100,0)*100</f>
        <v/>
      </c>
      <c r="K3853" s="219" t="n"/>
      <c r="L3853" s="219" t="n"/>
      <c r="M3853" s="219" t="n"/>
      <c r="N3853" s="118" t="n">
        <v>2</v>
      </c>
      <c r="P3853" s="117" t="n"/>
      <c r="R3853" s="117" t="n"/>
      <c r="T3853" s="117" t="n"/>
    </row>
    <row r="3854">
      <c r="A3854" s="134" t="inlineStr">
        <is>
          <t>31026</t>
        </is>
      </c>
      <c r="B3854" s="246" t="inlineStr">
        <is>
          <t>CAMISA JEAN BORDADA</t>
        </is>
      </c>
      <c r="C3854" s="88" t="n">
        <v>30000</v>
      </c>
      <c r="D3854" s="22">
        <f>ROUND((C3854*1.06)/100,0)*100</f>
        <v/>
      </c>
      <c r="E3854" s="88">
        <f>ROUND((C3854*1.13)/100,0)*100</f>
        <v/>
      </c>
      <c r="F3854" s="88">
        <f>ROUND((C3854*1.19)/100,0)*100</f>
        <v/>
      </c>
      <c r="G3854" s="153">
        <f>ROUND((C3854*1.25)/100,0)*100</f>
        <v/>
      </c>
      <c r="H3854" s="205" t="n"/>
      <c r="I3854" s="153" t="n"/>
      <c r="J3854" s="153">
        <f>ROUND((C3854*N3854)/100,0)*100</f>
        <v/>
      </c>
      <c r="K3854" s="219" t="n"/>
      <c r="L3854" s="219" t="n"/>
      <c r="M3854" s="219" t="n"/>
      <c r="N3854" s="118" t="n">
        <v>2</v>
      </c>
      <c r="P3854" s="117" t="n"/>
      <c r="R3854" s="117" t="n"/>
      <c r="T3854" s="117" t="n"/>
    </row>
    <row r="3855">
      <c r="A3855" s="134" t="inlineStr">
        <is>
          <t>31027</t>
        </is>
      </c>
      <c r="B3855" s="246" t="inlineStr">
        <is>
          <t>CAMISOLA IMPORTADA</t>
        </is>
      </c>
      <c r="C3855" s="88" t="n">
        <v>31700</v>
      </c>
      <c r="D3855" s="22">
        <f>ROUND((C3855*1.06)/100,0)*100</f>
        <v/>
      </c>
      <c r="E3855" s="88">
        <f>ROUND((C3855*1.13)/100,0)*100</f>
        <v/>
      </c>
      <c r="F3855" s="88">
        <f>ROUND((C3855*1.19)/100,0)*100</f>
        <v/>
      </c>
      <c r="G3855" s="153">
        <f>ROUND((C3855*1.25)/100,0)*100</f>
        <v/>
      </c>
      <c r="H3855" s="205" t="n"/>
      <c r="I3855" s="153" t="n"/>
      <c r="J3855" s="153">
        <f>ROUND((C3855*N3855)/100,0)*100</f>
        <v/>
      </c>
      <c r="K3855" s="219" t="n"/>
      <c r="L3855" s="219" t="n"/>
      <c r="M3855" s="219" t="n"/>
      <c r="N3855" s="118" t="n">
        <v>2</v>
      </c>
      <c r="P3855" s="117" t="n"/>
      <c r="R3855" s="117" t="n"/>
      <c r="T3855" s="117" t="n"/>
    </row>
    <row r="3856">
      <c r="A3856" s="134" t="inlineStr">
        <is>
          <t>31028</t>
        </is>
      </c>
      <c r="B3856" s="246" t="inlineStr">
        <is>
          <t>CAMISOLA IMPORTADA</t>
        </is>
      </c>
      <c r="C3856" s="88" t="n">
        <v>19800</v>
      </c>
      <c r="D3856" s="22">
        <f>ROUND((C3856*1.06)/100,0)*100</f>
        <v/>
      </c>
      <c r="E3856" s="88">
        <f>ROUND((C3856*1.13)/100,0)*100</f>
        <v/>
      </c>
      <c r="F3856" s="88">
        <f>ROUND((C3856*1.19)/100,0)*100</f>
        <v/>
      </c>
      <c r="G3856" s="153">
        <f>ROUND((C3856*1.25)/100,0)*100</f>
        <v/>
      </c>
      <c r="H3856" s="205" t="n"/>
      <c r="I3856" s="153" t="n"/>
      <c r="J3856" s="153">
        <f>ROUND((C3856*N3856)/100,0)*100</f>
        <v/>
      </c>
      <c r="K3856" s="219" t="n"/>
      <c r="L3856" s="219" t="n"/>
      <c r="M3856" s="219" t="n"/>
      <c r="N3856" s="118" t="n">
        <v>2</v>
      </c>
      <c r="P3856" s="117" t="n"/>
      <c r="R3856" s="117" t="n"/>
      <c r="T3856" s="117" t="n"/>
    </row>
    <row r="3857">
      <c r="A3857" s="134" t="inlineStr">
        <is>
          <t>020XXX</t>
        </is>
      </c>
      <c r="B3857" s="246" t="inlineStr">
        <is>
          <t>CAMISA SANTA FE</t>
        </is>
      </c>
      <c r="C3857" s="88" t="n">
        <v>26500</v>
      </c>
      <c r="D3857" s="22" t="n"/>
      <c r="E3857" s="22" t="n"/>
      <c r="F3857" s="22" t="n"/>
      <c r="G3857" s="153" t="n"/>
      <c r="H3857" s="205" t="n"/>
      <c r="I3857" s="153" t="n"/>
      <c r="J3857" s="153">
        <f>ROUND((C3857*N3857)/100,0)*100</f>
        <v/>
      </c>
      <c r="K3857" s="219" t="n"/>
      <c r="L3857" s="219" t="n"/>
      <c r="M3857" s="219" t="n"/>
      <c r="N3857" s="118" t="n">
        <v>2</v>
      </c>
      <c r="P3857" s="117" t="n"/>
      <c r="R3857" s="117" t="n"/>
      <c r="T3857" s="117" t="n"/>
    </row>
    <row r="3858">
      <c r="A3858" s="134" t="inlineStr">
        <is>
          <t>11576XXX</t>
        </is>
      </c>
      <c r="B3858" s="246" t="inlineStr">
        <is>
          <t>CAMISA KALMAR</t>
        </is>
      </c>
      <c r="C3858" s="88" t="n">
        <v>18300</v>
      </c>
      <c r="D3858" s="22" t="n"/>
      <c r="E3858" s="22" t="n"/>
      <c r="F3858" s="22" t="n"/>
      <c r="G3858" s="153" t="n"/>
      <c r="H3858" s="205" t="n"/>
      <c r="I3858" s="153" t="n"/>
      <c r="J3858" s="153">
        <f>ROUND((C3858*N3858)/100,0)*100</f>
        <v/>
      </c>
      <c r="K3858" s="219" t="n"/>
      <c r="L3858" s="219" t="n"/>
      <c r="M3858" s="219" t="n"/>
      <c r="N3858" s="118" t="n">
        <v>2</v>
      </c>
      <c r="P3858" s="117" t="n"/>
      <c r="R3858" s="117" t="n"/>
      <c r="T3858" s="117" t="n"/>
    </row>
    <row r="3859">
      <c r="A3859" s="134" t="inlineStr">
        <is>
          <t>11591</t>
        </is>
      </c>
      <c r="B3859" s="246" t="inlineStr">
        <is>
          <t>CAMISA KALMAR</t>
        </is>
      </c>
      <c r="C3859" s="88" t="n">
        <v>18300</v>
      </c>
      <c r="D3859" s="22" t="n"/>
      <c r="E3859" s="22" t="n"/>
      <c r="F3859" s="22" t="n"/>
      <c r="G3859" s="153" t="n"/>
      <c r="H3859" s="205" t="n"/>
      <c r="I3859" s="153" t="n"/>
      <c r="J3859" s="153">
        <f>ROUND((C3859*N3859)/100,0)*100</f>
        <v/>
      </c>
      <c r="K3859" s="219" t="n"/>
      <c r="L3859" s="219" t="n"/>
      <c r="M3859" s="219" t="n"/>
      <c r="N3859" s="118" t="n">
        <v>2</v>
      </c>
      <c r="P3859" s="117" t="n"/>
      <c r="R3859" s="117" t="n"/>
      <c r="T3859" s="117" t="n"/>
    </row>
    <row r="3860">
      <c r="A3860" s="134" t="inlineStr">
        <is>
          <t>5907</t>
        </is>
      </c>
      <c r="B3860" s="246" t="inlineStr">
        <is>
          <t>CAMISA PORTAL</t>
        </is>
      </c>
      <c r="C3860" s="88" t="n">
        <v>30900</v>
      </c>
      <c r="D3860" s="22" t="n"/>
      <c r="E3860" s="22" t="n"/>
      <c r="F3860" s="22" t="n"/>
      <c r="G3860" s="153" t="n"/>
      <c r="H3860" s="205" t="n"/>
      <c r="I3860" s="153" t="n"/>
      <c r="J3860" s="153">
        <f>ROUND((C3860*N3860)/100,0)*100</f>
        <v/>
      </c>
      <c r="K3860" s="219" t="n"/>
      <c r="L3860" s="219" t="n"/>
      <c r="M3860" s="219" t="n"/>
      <c r="N3860" s="118" t="n">
        <v>2</v>
      </c>
      <c r="P3860" s="117" t="n"/>
      <c r="R3860" s="117" t="n"/>
      <c r="T3860" s="117" t="n"/>
    </row>
    <row r="3861">
      <c r="A3861" s="134" t="inlineStr">
        <is>
          <t>2253XXX</t>
        </is>
      </c>
      <c r="B3861" s="246" t="inlineStr">
        <is>
          <t>TAVERNITI-</t>
        </is>
      </c>
      <c r="C3861" s="88" t="n">
        <v>49200</v>
      </c>
      <c r="D3861" s="22" t="n"/>
      <c r="E3861" s="22" t="n"/>
      <c r="F3861" s="22" t="n"/>
      <c r="G3861" s="153" t="n"/>
      <c r="H3861" s="205" t="n"/>
      <c r="I3861" s="153" t="n"/>
      <c r="J3861" s="153">
        <f>ROUND((C3861*N3861)/100,0)*100</f>
        <v/>
      </c>
      <c r="K3861" s="219" t="n"/>
      <c r="L3861" s="219" t="n"/>
      <c r="M3861" s="219" t="n"/>
      <c r="N3861" s="118" t="n">
        <v>2</v>
      </c>
      <c r="P3861" s="117" t="n"/>
      <c r="R3861" s="117" t="n"/>
      <c r="T3861" s="117" t="n"/>
    </row>
    <row r="3862">
      <c r="A3862" s="134" t="inlineStr">
        <is>
          <t>2305631</t>
        </is>
      </c>
      <c r="B3862" s="246" t="inlineStr">
        <is>
          <t>TAVERNITI-</t>
        </is>
      </c>
      <c r="C3862" s="88" t="n">
        <v>49200</v>
      </c>
      <c r="D3862" s="22" t="n"/>
      <c r="E3862" s="22" t="n"/>
      <c r="F3862" s="22" t="n"/>
      <c r="G3862" s="153" t="n"/>
      <c r="H3862" s="205" t="n"/>
      <c r="I3862" s="153" t="n"/>
      <c r="J3862" s="153">
        <f>ROUND((C3862*N3862)/100,0)*100</f>
        <v/>
      </c>
      <c r="K3862" s="219" t="n"/>
      <c r="L3862" s="219" t="n"/>
      <c r="M3862" s="219" t="n"/>
      <c r="N3862" s="118" t="n">
        <v>2</v>
      </c>
      <c r="P3862" s="117" t="n"/>
      <c r="R3862" s="117" t="n"/>
      <c r="T3862" s="117" t="n"/>
    </row>
    <row r="3863">
      <c r="A3863" s="134" t="inlineStr">
        <is>
          <t>2326301</t>
        </is>
      </c>
      <c r="B3863" s="246" t="inlineStr">
        <is>
          <t>TAVERNITI-</t>
        </is>
      </c>
      <c r="C3863" s="88" t="n">
        <v>56700</v>
      </c>
      <c r="D3863" s="22" t="n"/>
      <c r="E3863" s="22" t="n"/>
      <c r="F3863" s="22" t="n"/>
      <c r="G3863" s="153" t="n"/>
      <c r="H3863" s="205" t="n"/>
      <c r="I3863" s="153" t="n"/>
      <c r="J3863" s="153">
        <f>ROUND((C3863*N3863)/100,0)*100</f>
        <v/>
      </c>
      <c r="K3863" s="219" t="n"/>
      <c r="L3863" s="219" t="n"/>
      <c r="M3863" s="219" t="n"/>
      <c r="N3863" s="118" t="n">
        <v>2</v>
      </c>
      <c r="P3863" s="117" t="n"/>
      <c r="R3863" s="117" t="n"/>
      <c r="T3863" s="117" t="n"/>
    </row>
    <row r="3864">
      <c r="A3864" s="134" t="inlineStr">
        <is>
          <t>2363XXX</t>
        </is>
      </c>
      <c r="B3864" s="246" t="inlineStr">
        <is>
          <t>TAVERNITI-</t>
        </is>
      </c>
      <c r="C3864" s="88" t="n">
        <v>45100</v>
      </c>
      <c r="D3864" s="22" t="n"/>
      <c r="E3864" s="22" t="n"/>
      <c r="F3864" s="22" t="n"/>
      <c r="G3864" s="153" t="n"/>
      <c r="H3864" s="205" t="n"/>
      <c r="I3864" s="153" t="n"/>
      <c r="J3864" s="153">
        <f>ROUND((C3864*N3864)/100,0)*100</f>
        <v/>
      </c>
      <c r="K3864" s="219" t="n"/>
      <c r="L3864" s="219" t="n"/>
      <c r="M3864" s="219" t="n"/>
      <c r="N3864" s="118" t="n">
        <v>2</v>
      </c>
      <c r="P3864" s="117" t="n"/>
      <c r="R3864" s="117" t="n"/>
      <c r="T3864" s="117" t="n"/>
    </row>
    <row r="3865">
      <c r="A3865" s="134" t="inlineStr">
        <is>
          <t>2439XXX</t>
        </is>
      </c>
      <c r="B3865" s="246" t="inlineStr">
        <is>
          <t>TAVERNITI-</t>
        </is>
      </c>
      <c r="C3865" s="153" t="n">
        <v>50600</v>
      </c>
      <c r="D3865" s="153" t="n"/>
      <c r="E3865" s="153" t="n"/>
      <c r="F3865" s="153" t="n"/>
      <c r="G3865" s="153" t="n"/>
      <c r="H3865" s="205" t="n"/>
      <c r="I3865" s="153" t="n"/>
      <c r="J3865" s="153">
        <f>ROUND((C3865*N3865)/100,0)*100</f>
        <v/>
      </c>
      <c r="K3865" s="219" t="n"/>
      <c r="L3865" s="219" t="n"/>
      <c r="M3865" s="219" t="n"/>
      <c r="N3865" s="118" t="n">
        <v>2</v>
      </c>
      <c r="P3865" s="117" t="n"/>
      <c r="R3865" s="117" t="n"/>
      <c r="T3865" s="117" t="n"/>
    </row>
    <row r="3866">
      <c r="A3866" s="134" t="inlineStr">
        <is>
          <t>2445XXX</t>
        </is>
      </c>
      <c r="B3866" s="246" t="inlineStr">
        <is>
          <t>TAVERNITI-</t>
        </is>
      </c>
      <c r="C3866" s="153" t="n">
        <v>48300</v>
      </c>
      <c r="D3866" s="153" t="n"/>
      <c r="E3866" s="153" t="n"/>
      <c r="F3866" s="153" t="n"/>
      <c r="G3866" s="153" t="n"/>
      <c r="H3866" s="205" t="n"/>
      <c r="I3866" s="153" t="n"/>
      <c r="J3866" s="153">
        <f>ROUND((C3866*N3866)/100,0)*100</f>
        <v/>
      </c>
      <c r="K3866" s="219" t="n"/>
      <c r="L3866" s="219" t="n"/>
      <c r="M3866" s="219" t="n"/>
      <c r="N3866" s="118" t="n">
        <v>2</v>
      </c>
      <c r="P3866" s="117" t="n"/>
      <c r="R3866" s="117" t="n"/>
      <c r="T3866" s="117" t="n"/>
    </row>
    <row r="3867">
      <c r="A3867" s="134" t="inlineStr">
        <is>
          <t>2461XXX</t>
        </is>
      </c>
      <c r="B3867" s="246" t="inlineStr">
        <is>
          <t>TAVERNITI-</t>
        </is>
      </c>
      <c r="C3867" s="153" t="n">
        <v>51600</v>
      </c>
      <c r="D3867" s="153" t="n"/>
      <c r="E3867" s="153" t="n"/>
      <c r="F3867" s="153" t="n"/>
      <c r="G3867" s="153" t="n"/>
      <c r="H3867" s="205" t="n"/>
      <c r="I3867" s="153" t="n"/>
      <c r="J3867" s="153">
        <f>ROUND((C3867*N3867)/100,0)*100</f>
        <v/>
      </c>
      <c r="K3867" s="219" t="n"/>
      <c r="L3867" s="219" t="n"/>
      <c r="M3867" s="219" t="n"/>
      <c r="N3867" s="118" t="n">
        <v>2</v>
      </c>
      <c r="P3867" s="117" t="n"/>
      <c r="R3867" s="117" t="n"/>
      <c r="T3867" s="117" t="n"/>
    </row>
    <row r="3868">
      <c r="A3868" s="134" t="inlineStr">
        <is>
          <t>2469XXX</t>
        </is>
      </c>
      <c r="B3868" s="246" t="inlineStr">
        <is>
          <t>TAVERNITI-</t>
        </is>
      </c>
      <c r="C3868" s="153" t="n">
        <v>72100</v>
      </c>
      <c r="D3868" s="153" t="n"/>
      <c r="E3868" s="153" t="n"/>
      <c r="F3868" s="153" t="n"/>
      <c r="G3868" s="153" t="n"/>
      <c r="H3868" s="205" t="n"/>
      <c r="I3868" s="153" t="n"/>
      <c r="J3868" s="153">
        <f>ROUND((C3868*N3868)/100,0)*100</f>
        <v/>
      </c>
      <c r="K3868" s="219" t="n"/>
      <c r="L3868" s="219" t="n"/>
      <c r="M3868" s="219" t="n"/>
      <c r="N3868" s="118" t="n">
        <v>2</v>
      </c>
      <c r="P3868" s="117" t="n"/>
      <c r="R3868" s="117" t="n"/>
      <c r="T3868" s="117" t="n"/>
    </row>
    <row r="3869">
      <c r="A3869" s="134" t="inlineStr">
        <is>
          <t>2509568</t>
        </is>
      </c>
      <c r="B3869" s="246" t="inlineStr">
        <is>
          <t>TAVERNITI-</t>
        </is>
      </c>
      <c r="C3869" s="153" t="n">
        <v>49500</v>
      </c>
      <c r="D3869" s="153" t="n"/>
      <c r="E3869" s="153" t="n"/>
      <c r="F3869" s="153" t="n"/>
      <c r="G3869" s="153" t="n"/>
      <c r="H3869" s="205" t="n"/>
      <c r="I3869" s="153" t="n"/>
      <c r="J3869" s="153">
        <f>ROUND((C3869*N3869)/100,0)*100</f>
        <v/>
      </c>
      <c r="K3869" s="219" t="n"/>
      <c r="L3869" s="219" t="n"/>
      <c r="M3869" s="219" t="n"/>
      <c r="N3869" s="118" t="n">
        <v>2</v>
      </c>
      <c r="P3869" s="117" t="n"/>
      <c r="R3869" s="117" t="n"/>
      <c r="T3869" s="117" t="n"/>
    </row>
    <row r="3870">
      <c r="A3870" s="134" t="inlineStr">
        <is>
          <t>2509705</t>
        </is>
      </c>
      <c r="B3870" s="246" t="inlineStr">
        <is>
          <t>TAVERNITI-</t>
        </is>
      </c>
      <c r="C3870" s="153" t="n">
        <v>49500</v>
      </c>
      <c r="D3870" s="153" t="n"/>
      <c r="E3870" s="153" t="n"/>
      <c r="F3870" s="153" t="n"/>
      <c r="G3870" s="153" t="n"/>
      <c r="H3870" s="205" t="n"/>
      <c r="I3870" s="153" t="n"/>
      <c r="J3870" s="153">
        <f>ROUND((C3870*N3870)/100,0)*100</f>
        <v/>
      </c>
      <c r="K3870" s="219" t="n"/>
      <c r="L3870" s="219" t="n"/>
      <c r="M3870" s="219" t="n"/>
      <c r="N3870" s="118" t="n">
        <v>2</v>
      </c>
      <c r="P3870" s="117" t="n"/>
      <c r="R3870" s="117" t="n"/>
      <c r="T3870" s="117" t="n"/>
    </row>
    <row r="3871">
      <c r="A3871" s="134" t="inlineStr">
        <is>
          <t>2543603</t>
        </is>
      </c>
      <c r="B3871" s="246" t="inlineStr">
        <is>
          <t>TAVERNITI-</t>
        </is>
      </c>
      <c r="C3871" s="153" t="n">
        <v>49500</v>
      </c>
      <c r="D3871" s="153" t="n"/>
      <c r="E3871" s="153" t="n"/>
      <c r="F3871" s="153" t="n"/>
      <c r="G3871" s="153" t="n"/>
      <c r="H3871" s="205" t="n"/>
      <c r="I3871" s="153" t="n"/>
      <c r="J3871" s="153">
        <f>ROUND((C3871*N3871)/100,0)*100</f>
        <v/>
      </c>
      <c r="K3871" s="219" t="n"/>
      <c r="L3871" s="219" t="n"/>
      <c r="M3871" s="219" t="n"/>
      <c r="N3871" s="118" t="n">
        <v>2</v>
      </c>
      <c r="P3871" s="117" t="n"/>
      <c r="R3871" s="117" t="n"/>
      <c r="T3871" s="117" t="n"/>
    </row>
    <row r="3872">
      <c r="A3872" s="134" t="inlineStr">
        <is>
          <t>2561964</t>
        </is>
      </c>
      <c r="B3872" s="246" t="inlineStr">
        <is>
          <t>TAVERNITI-</t>
        </is>
      </c>
      <c r="C3872" s="153" t="n">
        <v>49500</v>
      </c>
      <c r="D3872" s="153" t="n"/>
      <c r="E3872" s="153" t="n"/>
      <c r="F3872" s="153" t="n"/>
      <c r="G3872" s="153" t="n"/>
      <c r="H3872" s="205" t="n"/>
      <c r="I3872" s="153" t="n"/>
      <c r="J3872" s="153">
        <f>ROUND((C3872*N3872)/100,0)*100</f>
        <v/>
      </c>
      <c r="K3872" s="219" t="n"/>
      <c r="L3872" s="219" t="n"/>
      <c r="M3872" s="219" t="n"/>
      <c r="N3872" s="118" t="n">
        <v>2</v>
      </c>
      <c r="P3872" s="117" t="n"/>
      <c r="R3872" s="117" t="n"/>
      <c r="T3872" s="117" t="n"/>
    </row>
    <row r="3873">
      <c r="A3873" s="89" t="inlineStr">
        <is>
          <t>2621XXX</t>
        </is>
      </c>
      <c r="B3873" s="135" t="inlineStr">
        <is>
          <t>TAVERNITI-</t>
        </is>
      </c>
      <c r="C3873" s="88" t="n">
        <v>56900</v>
      </c>
      <c r="D3873" s="170" t="n"/>
      <c r="E3873" s="170" t="n"/>
      <c r="F3873" s="170" t="n"/>
      <c r="G3873" s="170" t="n"/>
      <c r="H3873" s="208" t="n"/>
      <c r="I3873" s="170" t="n"/>
      <c r="J3873" s="150">
        <f>ROUND((C3873*N3873)/100,0)*100</f>
        <v/>
      </c>
      <c r="K3873" s="170" t="n"/>
      <c r="L3873" s="170" t="n"/>
      <c r="M3873" s="170" t="n"/>
      <c r="N3873" s="96" t="n">
        <v>2</v>
      </c>
      <c r="O3873" s="30" t="n"/>
      <c r="P3873" s="170" t="n"/>
      <c r="Q3873" s="30" t="n"/>
      <c r="R3873" s="170" t="n"/>
      <c r="S3873" s="30" t="n"/>
      <c r="T3873" s="170" t="n"/>
      <c r="U3873" s="30" t="n"/>
      <c r="V3873" s="30" t="n"/>
      <c r="W3873" s="30" t="n"/>
      <c r="X3873" s="30" t="n"/>
      <c r="Y3873" s="30" t="n"/>
      <c r="Z3873" s="30" t="n"/>
      <c r="AA3873" s="30" t="n"/>
      <c r="AB3873" s="30" t="n"/>
      <c r="AC3873" s="30" t="n"/>
      <c r="AD3873" s="30" t="n"/>
      <c r="AE3873" s="30" t="n"/>
      <c r="AF3873" s="30" t="n"/>
      <c r="AG3873" s="30" t="n"/>
      <c r="AH3873" s="30" t="n"/>
      <c r="AI3873" s="30" t="n"/>
      <c r="AJ3873" s="30" t="n"/>
      <c r="AK3873" s="30" t="n"/>
      <c r="AL3873" s="30" t="n"/>
      <c r="AM3873" s="30" t="n"/>
      <c r="AN3873" s="30" t="n"/>
      <c r="AO3873" s="30" t="n"/>
    </row>
    <row r="3874">
      <c r="A3874" s="89" t="inlineStr">
        <is>
          <t>2621XXX</t>
        </is>
      </c>
      <c r="B3874" s="135" t="inlineStr">
        <is>
          <t>TAVERNITI-</t>
        </is>
      </c>
      <c r="C3874" s="219" t="n">
        <v>56900</v>
      </c>
      <c r="D3874" s="111" t="n"/>
      <c r="E3874" s="111" t="n"/>
      <c r="F3874" s="111" t="n"/>
      <c r="G3874" s="111" t="n"/>
      <c r="H3874" s="207" t="n"/>
      <c r="I3874" s="111" t="n"/>
      <c r="J3874" s="111">
        <f>ROUND((C3874*N3874)/100,0)*100</f>
        <v/>
      </c>
      <c r="K3874" s="170" t="n"/>
      <c r="L3874" s="170" t="n"/>
      <c r="M3874" s="170" t="n"/>
      <c r="N3874" s="118" t="n">
        <v>2</v>
      </c>
      <c r="P3874" s="117" t="n"/>
      <c r="R3874" s="117" t="n"/>
      <c r="T3874" s="117" t="n"/>
      <c r="X3874" s="30" t="n"/>
      <c r="Y3874" s="30" t="n"/>
      <c r="Z3874" s="30" t="n"/>
      <c r="AA3874" s="30" t="n"/>
      <c r="AB3874" s="30" t="n"/>
      <c r="AC3874" s="30" t="n"/>
      <c r="AD3874" s="30" t="n"/>
      <c r="AE3874" s="30" t="n"/>
      <c r="AF3874" s="30" t="n"/>
      <c r="AG3874" s="30" t="n"/>
      <c r="AH3874" s="30" t="n"/>
      <c r="AI3874" s="30" t="n"/>
      <c r="AJ3874" s="30" t="n"/>
      <c r="AK3874" s="30" t="n"/>
      <c r="AL3874" s="30" t="n"/>
      <c r="AM3874" s="30" t="n"/>
      <c r="AN3874" s="30" t="n"/>
    </row>
    <row r="3875">
      <c r="A3875" s="134" t="inlineStr">
        <is>
          <t>2623XXX</t>
        </is>
      </c>
      <c r="B3875" s="246" t="inlineStr">
        <is>
          <t>TAVERNITI-</t>
        </is>
      </c>
      <c r="C3875" s="153" t="n">
        <v>45700</v>
      </c>
      <c r="D3875" s="153" t="n"/>
      <c r="E3875" s="153" t="n"/>
      <c r="F3875" s="153" t="n"/>
      <c r="G3875" s="153" t="n"/>
      <c r="H3875" s="205" t="n"/>
      <c r="I3875" s="153" t="n"/>
      <c r="J3875" s="153">
        <f>ROUND((C3875*N3875)/100,0)*100</f>
        <v/>
      </c>
      <c r="K3875" s="219" t="n"/>
      <c r="L3875" s="219" t="n"/>
      <c r="M3875" s="219" t="n"/>
      <c r="N3875" s="118" t="n">
        <v>2</v>
      </c>
      <c r="P3875" s="117" t="n"/>
      <c r="R3875" s="117" t="n"/>
      <c r="T3875" s="117" t="n"/>
    </row>
    <row r="3876">
      <c r="A3876" s="134" t="inlineStr">
        <is>
          <t>2631XXX</t>
        </is>
      </c>
      <c r="B3876" s="246" t="inlineStr">
        <is>
          <t>TAVERNITI-</t>
        </is>
      </c>
      <c r="C3876" s="153" t="n">
        <v>56900</v>
      </c>
      <c r="D3876" s="153" t="n"/>
      <c r="E3876" s="153" t="n"/>
      <c r="F3876" s="153" t="n"/>
      <c r="G3876" s="153" t="n"/>
      <c r="H3876" s="205" t="n"/>
      <c r="I3876" s="153" t="n"/>
      <c r="J3876" s="153">
        <f>ROUND((C3876*N3876)/100,0)*100</f>
        <v/>
      </c>
      <c r="K3876" s="219" t="n"/>
      <c r="L3876" s="219" t="n"/>
      <c r="M3876" s="219" t="n"/>
      <c r="N3876" s="118" t="n">
        <v>2</v>
      </c>
      <c r="P3876" s="117" t="n"/>
      <c r="R3876" s="117" t="n"/>
      <c r="T3876" s="117" t="n"/>
    </row>
    <row r="3877">
      <c r="A3877" s="89" t="inlineStr">
        <is>
          <t>02633XXX</t>
        </is>
      </c>
      <c r="B3877" s="135" t="inlineStr">
        <is>
          <t>TAVERNITI-</t>
        </is>
      </c>
      <c r="C3877" s="219" t="n">
        <v>59200</v>
      </c>
      <c r="D3877" s="111" t="n"/>
      <c r="E3877" s="111" t="n"/>
      <c r="F3877" s="111" t="n"/>
      <c r="G3877" s="111" t="n"/>
      <c r="H3877" s="207" t="n"/>
      <c r="I3877" s="111" t="n"/>
      <c r="J3877" s="111">
        <f>ROUND((C3877*N3877)/100,0)*100</f>
        <v/>
      </c>
      <c r="K3877" s="170" t="n"/>
      <c r="L3877" s="170" t="n"/>
      <c r="M3877" s="170" t="n"/>
      <c r="N3877" s="118" t="n">
        <v>2</v>
      </c>
      <c r="O3877" s="96" t="n"/>
      <c r="P3877" s="150" t="n"/>
      <c r="Q3877" s="96" t="n"/>
      <c r="R3877" s="150" t="n"/>
      <c r="S3877" s="96" t="n"/>
      <c r="T3877" s="150" t="n"/>
      <c r="U3877" s="96" t="n"/>
      <c r="V3877" s="96" t="n"/>
      <c r="W3877" s="96" t="n"/>
      <c r="X3877" s="30" t="n"/>
      <c r="Y3877" s="30" t="n"/>
      <c r="Z3877" s="30" t="n"/>
      <c r="AA3877" s="30" t="n"/>
      <c r="AB3877" s="30" t="n"/>
      <c r="AC3877" s="30" t="n"/>
      <c r="AD3877" s="30" t="n"/>
      <c r="AE3877" s="30" t="n"/>
      <c r="AF3877" s="30" t="n"/>
      <c r="AG3877" s="30" t="n"/>
      <c r="AH3877" s="30" t="n"/>
      <c r="AI3877" s="30" t="n"/>
      <c r="AJ3877" s="30" t="n"/>
      <c r="AK3877" s="30" t="n"/>
      <c r="AL3877" s="30" t="n"/>
      <c r="AM3877" s="30" t="n"/>
      <c r="AN3877" s="30" t="n"/>
    </row>
    <row r="3878">
      <c r="A3878" s="89" t="inlineStr">
        <is>
          <t>02667XXX</t>
        </is>
      </c>
      <c r="B3878" s="135" t="inlineStr">
        <is>
          <t>TAVERNITI-</t>
        </is>
      </c>
      <c r="C3878" s="219" t="n">
        <v>56400</v>
      </c>
      <c r="D3878" s="111" t="n"/>
      <c r="E3878" s="111" t="n"/>
      <c r="F3878" s="111" t="n"/>
      <c r="G3878" s="111" t="n"/>
      <c r="H3878" s="207" t="n"/>
      <c r="I3878" s="111" t="n"/>
      <c r="J3878" s="111">
        <f>ROUND((C3878*N3878)/100,0)*100</f>
        <v/>
      </c>
      <c r="K3878" s="170" t="n"/>
      <c r="L3878" s="170" t="n"/>
      <c r="M3878" s="170" t="n"/>
      <c r="N3878" s="118" t="n">
        <v>2</v>
      </c>
      <c r="O3878" s="96" t="n"/>
      <c r="P3878" s="150" t="n"/>
      <c r="Q3878" s="96" t="n"/>
      <c r="R3878" s="150" t="n"/>
      <c r="S3878" s="96" t="n"/>
      <c r="T3878" s="150" t="n"/>
      <c r="U3878" s="96" t="n"/>
      <c r="V3878" s="96" t="n"/>
      <c r="W3878" s="96" t="n"/>
      <c r="X3878" s="30" t="n"/>
      <c r="Y3878" s="30" t="n"/>
      <c r="Z3878" s="30" t="n"/>
      <c r="AA3878" s="30" t="n"/>
      <c r="AB3878" s="30" t="n"/>
      <c r="AC3878" s="30" t="n"/>
      <c r="AD3878" s="30" t="n"/>
      <c r="AE3878" s="30" t="n"/>
      <c r="AF3878" s="30" t="n"/>
      <c r="AG3878" s="30" t="n"/>
      <c r="AH3878" s="30" t="n"/>
      <c r="AI3878" s="30" t="n"/>
      <c r="AJ3878" s="30" t="n"/>
      <c r="AK3878" s="30" t="n"/>
      <c r="AL3878" s="30" t="n"/>
      <c r="AM3878" s="30" t="n"/>
      <c r="AN3878" s="30" t="n"/>
    </row>
    <row r="3879">
      <c r="A3879" s="89" t="inlineStr">
        <is>
          <t>02677XXX</t>
        </is>
      </c>
      <c r="B3879" s="135" t="inlineStr">
        <is>
          <t>TAVERNITI-</t>
        </is>
      </c>
      <c r="C3879" s="219" t="n">
        <v>56200</v>
      </c>
      <c r="D3879" s="111" t="n"/>
      <c r="E3879" s="111" t="n"/>
      <c r="F3879" s="111" t="n"/>
      <c r="G3879" s="111" t="n"/>
      <c r="H3879" s="207" t="n"/>
      <c r="I3879" s="111" t="n"/>
      <c r="J3879" s="111">
        <f>ROUND((C3879*N3879)/100,0)*100</f>
        <v/>
      </c>
      <c r="K3879" s="170" t="n"/>
      <c r="L3879" s="170" t="n"/>
      <c r="M3879" s="170" t="n"/>
      <c r="N3879" s="118" t="n">
        <v>2</v>
      </c>
      <c r="O3879" s="96" t="n"/>
      <c r="P3879" s="150" t="n"/>
      <c r="Q3879" s="96" t="n"/>
      <c r="R3879" s="150" t="n"/>
      <c r="S3879" s="96" t="n"/>
      <c r="T3879" s="150" t="n"/>
      <c r="U3879" s="96" t="n"/>
      <c r="V3879" s="96" t="n"/>
      <c r="W3879" s="96" t="n"/>
      <c r="X3879" s="30" t="n"/>
      <c r="Y3879" s="30" t="n"/>
      <c r="Z3879" s="30" t="n"/>
      <c r="AA3879" s="30" t="n"/>
      <c r="AB3879" s="30" t="n"/>
      <c r="AC3879" s="30" t="n"/>
      <c r="AD3879" s="30" t="n"/>
      <c r="AE3879" s="30" t="n"/>
      <c r="AF3879" s="30" t="n"/>
      <c r="AG3879" s="30" t="n"/>
      <c r="AH3879" s="30" t="n"/>
      <c r="AI3879" s="30" t="n"/>
      <c r="AJ3879" s="30" t="n"/>
      <c r="AK3879" s="30" t="n"/>
      <c r="AL3879" s="30" t="n"/>
      <c r="AM3879" s="30" t="n"/>
      <c r="AN3879" s="30" t="n"/>
    </row>
    <row r="3880">
      <c r="A3880" s="134" t="inlineStr">
        <is>
          <t>02683XXX</t>
        </is>
      </c>
      <c r="B3880" s="246" t="inlineStr">
        <is>
          <t>TAVERNITI-</t>
        </is>
      </c>
      <c r="C3880" s="153" t="n">
        <v>53900</v>
      </c>
      <c r="D3880" s="153" t="n"/>
      <c r="E3880" s="153" t="n"/>
      <c r="F3880" s="153" t="n"/>
      <c r="G3880" s="153" t="n"/>
      <c r="H3880" s="205" t="n"/>
      <c r="I3880" s="153" t="n"/>
      <c r="J3880" s="153">
        <f>ROUND((C3880*N3880)/100,0)*100</f>
        <v/>
      </c>
      <c r="K3880" s="219" t="n"/>
      <c r="L3880" s="219" t="n"/>
      <c r="M3880" s="219" t="n"/>
      <c r="N3880" s="118" t="n">
        <v>2</v>
      </c>
      <c r="P3880" s="117" t="n"/>
      <c r="R3880" s="117" t="n"/>
      <c r="T3880" s="117" t="n"/>
    </row>
    <row r="3881">
      <c r="A3881" s="134" t="inlineStr">
        <is>
          <t>02685XXX</t>
        </is>
      </c>
      <c r="B3881" s="246" t="inlineStr">
        <is>
          <t>TAVERNITI-</t>
        </is>
      </c>
      <c r="C3881" s="153" t="n">
        <v>59500</v>
      </c>
      <c r="D3881" s="153" t="n"/>
      <c r="E3881" s="153" t="n"/>
      <c r="F3881" s="153" t="n"/>
      <c r="G3881" s="153" t="n"/>
      <c r="H3881" s="205" t="n"/>
      <c r="I3881" s="153" t="n"/>
      <c r="J3881" s="153">
        <f>ROUND((C3881*N3881)/100,0)*100</f>
        <v/>
      </c>
      <c r="K3881" s="219" t="n"/>
      <c r="L3881" s="219" t="n"/>
      <c r="M3881" s="219" t="n"/>
      <c r="N3881" s="118" t="n">
        <v>2</v>
      </c>
      <c r="P3881" s="117" t="n"/>
      <c r="R3881" s="117" t="n"/>
      <c r="T3881" s="117" t="n"/>
    </row>
    <row r="3882">
      <c r="A3882" s="134" t="inlineStr">
        <is>
          <t>26093XXX</t>
        </is>
      </c>
      <c r="B3882" s="246" t="inlineStr">
        <is>
          <t>TAVERNITI-</t>
        </is>
      </c>
      <c r="C3882" s="153" t="n">
        <v>86300</v>
      </c>
      <c r="D3882" s="153" t="n"/>
      <c r="E3882" s="153" t="n"/>
      <c r="F3882" s="153" t="n"/>
      <c r="G3882" s="153" t="n"/>
      <c r="H3882" s="205" t="n"/>
      <c r="I3882" s="153" t="n"/>
      <c r="J3882" s="153">
        <f>ROUND((C3882*N3882)/100,0)*100</f>
        <v/>
      </c>
      <c r="K3882" s="219" t="n"/>
      <c r="L3882" s="219" t="n"/>
      <c r="M3882" s="219" t="n"/>
      <c r="N3882" s="118" t="n">
        <v>2</v>
      </c>
      <c r="P3882" s="117" t="n"/>
      <c r="R3882" s="117" t="n"/>
      <c r="T3882" s="117" t="n"/>
    </row>
    <row r="3883">
      <c r="A3883" s="134" t="n"/>
      <c r="B3883" s="246" t="n"/>
      <c r="C3883" s="153" t="n"/>
      <c r="D3883" s="153" t="n"/>
      <c r="E3883" s="153" t="n"/>
      <c r="F3883" s="153" t="n"/>
      <c r="G3883" s="153" t="n"/>
      <c r="H3883" s="153" t="n"/>
      <c r="I3883" s="153" t="n"/>
      <c r="J3883" s="153" t="n"/>
      <c r="K3883" s="219" t="n"/>
      <c r="L3883" s="219" t="n"/>
      <c r="M3883" s="219" t="n"/>
      <c r="P3883" s="117" t="n"/>
      <c r="R3883" s="117" t="n"/>
      <c r="T3883" s="117" t="n"/>
    </row>
    <row r="3884">
      <c r="A3884" s="134" t="n"/>
      <c r="B3884" s="246" t="n"/>
      <c r="C3884" s="153" t="n"/>
      <c r="D3884" s="153" t="n"/>
      <c r="E3884" s="153" t="n"/>
      <c r="F3884" s="153" t="n"/>
      <c r="G3884" s="153" t="n"/>
      <c r="H3884" s="153" t="n"/>
      <c r="I3884" s="153" t="n"/>
      <c r="J3884" s="153" t="n"/>
      <c r="K3884" s="219" t="n"/>
      <c r="L3884" s="219" t="n"/>
      <c r="M3884" s="219" t="n"/>
      <c r="P3884" s="117" t="n"/>
      <c r="R3884" s="117" t="n"/>
      <c r="T3884" s="117" t="n"/>
    </row>
    <row r="3885">
      <c r="A3885" s="134" t="n"/>
      <c r="B3885" s="200" t="inlineStr">
        <is>
          <t>CAMPERAS DAMA</t>
        </is>
      </c>
      <c r="C3885" s="204" t="inlineStr">
        <is>
          <t>1 AL 4</t>
        </is>
      </c>
      <c r="D3885" s="204" t="inlineStr">
        <is>
          <t>XXL</t>
        </is>
      </c>
      <c r="E3885" s="204" t="inlineStr">
        <is>
          <t>3XL al 6XL</t>
        </is>
      </c>
      <c r="F3885" s="204" t="n">
        <v>7</v>
      </c>
      <c r="G3885" s="204" t="n">
        <v>8</v>
      </c>
      <c r="H3885" s="153" t="n"/>
      <c r="I3885" s="153" t="n"/>
      <c r="J3885" s="134" t="inlineStr">
        <is>
          <t>04/25</t>
        </is>
      </c>
      <c r="K3885" s="219" t="n"/>
      <c r="L3885" s="219" t="n"/>
      <c r="M3885" s="219" t="n"/>
      <c r="P3885" s="117" t="n"/>
      <c r="R3885" s="117" t="n"/>
      <c r="T3885" s="117" t="n"/>
    </row>
    <row r="3886">
      <c r="A3886" s="134" t="inlineStr">
        <is>
          <t>27319</t>
        </is>
      </c>
      <c r="B3886" s="246" t="inlineStr">
        <is>
          <t>AROMA ALGODÓN</t>
        </is>
      </c>
      <c r="C3886" s="220" t="n">
        <v>49700</v>
      </c>
      <c r="D3886" s="220">
        <f>ROUND((C3886*1.06)/100,0)*100</f>
        <v/>
      </c>
      <c r="E3886" s="220">
        <f>ROUND((C3886*1.13)/100,0)*100</f>
        <v/>
      </c>
      <c r="F3886" s="220">
        <f>ROUND((C3886*1.19)/100,0)*100</f>
        <v/>
      </c>
      <c r="G3886" s="220">
        <f>ROUND((C3886*1.25)/100,0)*100</f>
        <v/>
      </c>
      <c r="H3886" s="220">
        <f>ROUND((C3886*1.32)/100,0)*100</f>
        <v/>
      </c>
      <c r="I3886" s="221" t="n"/>
      <c r="J3886" s="205" t="n"/>
      <c r="K3886" s="219">
        <f>ROUND((C3886*Q3886)/100,0)*100</f>
        <v/>
      </c>
      <c r="L3886" s="219" t="n"/>
      <c r="M3886" s="219" t="n"/>
      <c r="P3886" s="117" t="n"/>
      <c r="Q3886" s="118" t="n">
        <v>1.15</v>
      </c>
      <c r="R3886" s="117" t="n"/>
      <c r="T3886" s="117" t="n"/>
      <c r="Z3886" s="222" t="n"/>
    </row>
    <row r="3887">
      <c r="A3887" s="134" t="inlineStr">
        <is>
          <t>27320</t>
        </is>
      </c>
      <c r="B3887" s="246" t="inlineStr">
        <is>
          <t>TWIN SET LYCRA</t>
        </is>
      </c>
      <c r="C3887" s="220" t="n">
        <v>56300</v>
      </c>
      <c r="D3887" s="220">
        <f>ROUND((C3887*1.06)/100,0)*100</f>
        <v/>
      </c>
      <c r="E3887" s="220">
        <f>ROUND((C3887*1.13)/100,0)*100</f>
        <v/>
      </c>
      <c r="F3887" s="220">
        <f>ROUND((C3887*1.19)/100,0)*100</f>
        <v/>
      </c>
      <c r="G3887" s="220">
        <f>ROUND((C3887*1.25)/100,0)*100</f>
        <v/>
      </c>
      <c r="H3887" s="220">
        <f>ROUND((C3887*1.32)/100,0)*100</f>
        <v/>
      </c>
      <c r="I3887" s="221" t="n"/>
      <c r="J3887" s="205" t="n"/>
      <c r="K3887" s="219">
        <f>ROUND((C3887*Q3887)/100,0)*100</f>
        <v/>
      </c>
      <c r="L3887" s="219" t="n"/>
      <c r="M3887" s="219" t="n"/>
      <c r="P3887" s="117" t="n"/>
      <c r="Q3887" s="118" t="n">
        <v>1.15</v>
      </c>
      <c r="R3887" s="117" t="n"/>
      <c r="T3887" s="117" t="n"/>
    </row>
    <row r="3888">
      <c r="A3888" s="134" t="inlineStr">
        <is>
          <t>27321</t>
        </is>
      </c>
      <c r="B3888" s="246" t="inlineStr">
        <is>
          <t>LYCRA</t>
        </is>
      </c>
      <c r="C3888" s="220" t="n">
        <v>30800</v>
      </c>
      <c r="D3888" s="220">
        <f>ROUND((C3888*1.06)/100,0)*100</f>
        <v/>
      </c>
      <c r="E3888" s="220">
        <f>ROUND((C3888*1.13)/100,0)*100</f>
        <v/>
      </c>
      <c r="F3888" s="220">
        <f>ROUND((C3888*1.19)/100,0)*100</f>
        <v/>
      </c>
      <c r="G3888" s="220">
        <f>ROUND((C3888*1.25)/100,0)*100</f>
        <v/>
      </c>
      <c r="H3888" s="220">
        <f>ROUND((C3888*1.32)/100,0)*100</f>
        <v/>
      </c>
      <c r="I3888" s="221" t="n"/>
      <c r="J3888" s="205" t="n"/>
      <c r="K3888" s="219">
        <f>ROUND((C3888*Q3888)/100,0)*100</f>
        <v/>
      </c>
      <c r="L3888" s="219" t="n"/>
      <c r="M3888" s="219" t="n"/>
      <c r="P3888" s="117" t="n"/>
      <c r="Q3888" s="118" t="n">
        <v>1.15</v>
      </c>
      <c r="R3888" s="117" t="n"/>
      <c r="T3888" s="117" t="n"/>
    </row>
    <row r="3889">
      <c r="A3889" s="134" t="inlineStr">
        <is>
          <t>27322</t>
        </is>
      </c>
      <c r="B3889" s="246" t="inlineStr">
        <is>
          <t>CAMPERA LANILLA</t>
        </is>
      </c>
      <c r="C3889" s="220" t="n">
        <v>22300</v>
      </c>
      <c r="D3889" s="220">
        <f>ROUND((C3889*1.06)/100,0)*100</f>
        <v/>
      </c>
      <c r="E3889" s="220">
        <f>ROUND((C3889*1.13)/100,0)*100</f>
        <v/>
      </c>
      <c r="F3889" s="220">
        <f>ROUND((C3889*1.19)/100,0)*100</f>
        <v/>
      </c>
      <c r="G3889" s="220">
        <f>ROUND((C3889*1.25)/100,0)*100</f>
        <v/>
      </c>
      <c r="H3889" s="220">
        <f>ROUND((C3889*1.32)/100,0)*100</f>
        <v/>
      </c>
      <c r="I3889" s="221" t="n"/>
      <c r="J3889" s="205" t="n"/>
      <c r="K3889" s="219">
        <f>ROUND((C3889*Q3889)/100,0)*100</f>
        <v/>
      </c>
      <c r="L3889" s="219" t="n"/>
      <c r="M3889" s="219" t="n"/>
      <c r="P3889" s="117" t="n"/>
      <c r="Q3889" s="118" t="n">
        <v>1.15</v>
      </c>
      <c r="R3889" s="117" t="n"/>
      <c r="T3889" s="117" t="n"/>
    </row>
    <row r="3890">
      <c r="A3890" s="134" t="inlineStr">
        <is>
          <t>27323</t>
        </is>
      </c>
      <c r="B3890" s="246" t="inlineStr">
        <is>
          <t>CAMPERA LANILLA</t>
        </is>
      </c>
      <c r="C3890" s="220" t="n">
        <v>61900</v>
      </c>
      <c r="D3890" s="220">
        <f>ROUND((C3890*1.06)/100,0)*100</f>
        <v/>
      </c>
      <c r="E3890" s="220">
        <f>ROUND((C3890*1.13)/100,0)*100</f>
        <v/>
      </c>
      <c r="F3890" s="220">
        <f>ROUND((C3890*1.19)/100,0)*100</f>
        <v/>
      </c>
      <c r="G3890" s="220">
        <f>ROUND((C3890*1.25)/100,0)*100</f>
        <v/>
      </c>
      <c r="H3890" s="220">
        <f>ROUND((C3890*1.32)/100,0)*100</f>
        <v/>
      </c>
      <c r="I3890" s="221" t="n"/>
      <c r="J3890" s="205" t="n"/>
      <c r="K3890" s="219">
        <f>ROUND((C3890*Q3890)/100,0)*100</f>
        <v/>
      </c>
      <c r="L3890" s="219" t="n"/>
      <c r="M3890" s="219" t="n"/>
      <c r="P3890" s="117" t="n"/>
      <c r="Q3890" s="118" t="n">
        <v>1.15</v>
      </c>
      <c r="R3890" s="117" t="n"/>
      <c r="T3890" s="117" t="n"/>
    </row>
    <row r="3891">
      <c r="A3891" s="134" t="inlineStr">
        <is>
          <t>2732</t>
        </is>
      </c>
      <c r="B3891" s="246" t="inlineStr">
        <is>
          <t>LYCRA</t>
        </is>
      </c>
      <c r="C3891" s="220" t="n">
        <v>52800</v>
      </c>
      <c r="D3891" s="220">
        <f>ROUND((C3891*1.06)/100,0)*100</f>
        <v/>
      </c>
      <c r="E3891" s="220">
        <f>ROUND((C3891*1.13)/100,0)*100</f>
        <v/>
      </c>
      <c r="F3891" s="220">
        <f>ROUND((C3891*1.19)/100,0)*100</f>
        <v/>
      </c>
      <c r="G3891" s="220">
        <f>ROUND((C3891*1.25)/100,0)*100</f>
        <v/>
      </c>
      <c r="H3891" s="220">
        <f>ROUND((C3891*1.32)/100,0)*100</f>
        <v/>
      </c>
      <c r="I3891" s="221" t="n"/>
      <c r="J3891" s="205" t="n"/>
      <c r="K3891" s="219">
        <f>ROUND((C3891*Q3891)/100,0)*100</f>
        <v/>
      </c>
      <c r="L3891" s="219" t="n"/>
      <c r="M3891" s="219" t="n"/>
      <c r="P3891" s="117" t="n"/>
      <c r="Q3891" s="118" t="n">
        <v>1.15</v>
      </c>
      <c r="R3891" s="117" t="n"/>
      <c r="T3891" s="117" t="n"/>
    </row>
    <row r="3892">
      <c r="A3892" s="134" t="inlineStr">
        <is>
          <t>2733</t>
        </is>
      </c>
      <c r="B3892" s="246" t="inlineStr">
        <is>
          <t>LYCRA</t>
        </is>
      </c>
      <c r="C3892" s="220" t="n">
        <v>38300</v>
      </c>
      <c r="D3892" s="220">
        <f>ROUND((C3892*1.06)/100,0)*100</f>
        <v/>
      </c>
      <c r="E3892" s="220">
        <f>ROUND((C3892*1.13)/100,0)*100</f>
        <v/>
      </c>
      <c r="F3892" s="220">
        <f>ROUND((C3892*1.19)/100,0)*100</f>
        <v/>
      </c>
      <c r="G3892" s="220">
        <f>ROUND((C3892*1.25)/100,0)*100</f>
        <v/>
      </c>
      <c r="H3892" s="220">
        <f>ROUND((C3892*1.32)/100,0)*100</f>
        <v/>
      </c>
      <c r="I3892" s="221" t="n"/>
      <c r="J3892" s="205" t="n"/>
      <c r="K3892" s="219">
        <f>ROUND((C3892*Q3892)/100,0)*100</f>
        <v/>
      </c>
      <c r="L3892" s="219" t="n"/>
      <c r="M3892" s="219" t="n"/>
      <c r="P3892" s="117" t="n"/>
      <c r="Q3892" s="118" t="n">
        <v>1.15</v>
      </c>
      <c r="R3892" s="117" t="n"/>
      <c r="T3892" s="117" t="n"/>
    </row>
    <row r="3893">
      <c r="A3893" s="134" t="inlineStr">
        <is>
          <t>2734</t>
        </is>
      </c>
      <c r="B3893" s="246" t="inlineStr">
        <is>
          <t>LYCRA</t>
        </is>
      </c>
      <c r="C3893" s="220" t="n">
        <v>37900</v>
      </c>
      <c r="D3893" s="220">
        <f>ROUND((C3893*1.06)/100,0)*100</f>
        <v/>
      </c>
      <c r="E3893" s="220">
        <f>ROUND((C3893*1.13)/100,0)*100</f>
        <v/>
      </c>
      <c r="F3893" s="220">
        <f>ROUND((C3893*1.19)/100,0)*100</f>
        <v/>
      </c>
      <c r="G3893" s="220">
        <f>ROUND((C3893*1.25)/100,0)*100</f>
        <v/>
      </c>
      <c r="H3893" s="220">
        <f>ROUND((C3893*1.32)/100,0)*100</f>
        <v/>
      </c>
      <c r="I3893" s="221" t="n"/>
      <c r="J3893" s="205" t="n"/>
      <c r="K3893" s="219">
        <f>ROUND((C3893*Q3893)/100,0)*100</f>
        <v/>
      </c>
      <c r="L3893" s="219" t="n"/>
      <c r="M3893" s="219" t="n"/>
      <c r="P3893" s="117" t="n"/>
      <c r="Q3893" s="118" t="n">
        <v>1.15</v>
      </c>
      <c r="R3893" s="117" t="n"/>
      <c r="T3893" s="117" t="n"/>
    </row>
    <row r="3894">
      <c r="A3894" s="134" t="inlineStr">
        <is>
          <t>2735</t>
        </is>
      </c>
      <c r="B3894" s="246" t="inlineStr">
        <is>
          <t>LYCRA</t>
        </is>
      </c>
      <c r="C3894" s="220" t="n">
        <v>50100</v>
      </c>
      <c r="D3894" s="220">
        <f>ROUND((C3894*1.06)/100,0)*100</f>
        <v/>
      </c>
      <c r="E3894" s="220">
        <f>ROUND((C3894*1.13)/100,0)*100</f>
        <v/>
      </c>
      <c r="F3894" s="220">
        <f>ROUND((C3894*1.19)/100,0)*100</f>
        <v/>
      </c>
      <c r="G3894" s="220">
        <f>ROUND((C3894*1.25)/100,0)*100</f>
        <v/>
      </c>
      <c r="H3894" s="220">
        <f>ROUND((C3894*1.32)/100,0)*100</f>
        <v/>
      </c>
      <c r="I3894" s="221" t="n"/>
      <c r="J3894" s="205" t="n"/>
      <c r="K3894" s="219">
        <f>ROUND((C3894*Q3894)/100,0)*100</f>
        <v/>
      </c>
      <c r="L3894" s="219" t="n"/>
      <c r="M3894" s="219" t="n"/>
      <c r="P3894" s="117" t="n"/>
      <c r="Q3894" s="118" t="n">
        <v>1.15</v>
      </c>
      <c r="R3894" s="117" t="n"/>
      <c r="T3894" s="117" t="n"/>
    </row>
    <row r="3895">
      <c r="A3895" s="134" t="inlineStr">
        <is>
          <t>2736</t>
        </is>
      </c>
      <c r="B3895" s="246" t="inlineStr">
        <is>
          <t>LYCRA</t>
        </is>
      </c>
      <c r="C3895" s="220" t="n">
        <v>52100</v>
      </c>
      <c r="D3895" s="220">
        <f>ROUND((C3895*1.06)/100,0)*100</f>
        <v/>
      </c>
      <c r="E3895" s="220">
        <f>ROUND((C3895*1.13)/100,0)*100</f>
        <v/>
      </c>
      <c r="F3895" s="220">
        <f>ROUND((C3895*1.19)/100,0)*100</f>
        <v/>
      </c>
      <c r="G3895" s="220">
        <f>ROUND((C3895*1.25)/100,0)*100</f>
        <v/>
      </c>
      <c r="H3895" s="220">
        <f>ROUND((C3895*1.32)/100,0)*100</f>
        <v/>
      </c>
      <c r="I3895" s="221" t="n"/>
      <c r="J3895" s="205" t="n"/>
      <c r="K3895" s="219">
        <f>ROUND((C3895*Q3895)/100,0)*100</f>
        <v/>
      </c>
      <c r="L3895" s="219" t="n"/>
      <c r="M3895" s="219" t="n"/>
      <c r="P3895" s="117" t="n"/>
      <c r="Q3895" s="118" t="n">
        <v>1.15</v>
      </c>
      <c r="R3895" s="117" t="n"/>
      <c r="T3895" s="117" t="n"/>
    </row>
    <row r="3896">
      <c r="A3896" s="134" t="inlineStr">
        <is>
          <t>2737</t>
        </is>
      </c>
      <c r="B3896" s="246" t="inlineStr">
        <is>
          <t>CAMPERA</t>
        </is>
      </c>
      <c r="C3896" s="220" t="n">
        <v>46200</v>
      </c>
      <c r="D3896" s="220">
        <f>ROUND((C3896*1.06)/100,0)*100</f>
        <v/>
      </c>
      <c r="E3896" s="220">
        <f>ROUND((C3896*1.13)/100,0)*100</f>
        <v/>
      </c>
      <c r="F3896" s="220">
        <f>ROUND((C3896*1.19)/100,0)*100</f>
        <v/>
      </c>
      <c r="G3896" s="220">
        <f>ROUND((C3896*1.25)/100,0)*100</f>
        <v/>
      </c>
      <c r="H3896" s="220">
        <f>ROUND((C3896*1.32)/100,0)*100</f>
        <v/>
      </c>
      <c r="I3896" s="221" t="n"/>
      <c r="J3896" s="205" t="n"/>
      <c r="K3896" s="219">
        <f>ROUND((C3896*Q3896)/100,0)*100</f>
        <v/>
      </c>
      <c r="L3896" s="219" t="n"/>
      <c r="M3896" s="219" t="n"/>
      <c r="P3896" s="117" t="n"/>
      <c r="Q3896" s="118" t="n">
        <v>1.15</v>
      </c>
      <c r="R3896" s="117" t="n"/>
      <c r="T3896" s="117" t="n"/>
    </row>
    <row r="3897">
      <c r="A3897" s="134" t="inlineStr">
        <is>
          <t>2738</t>
        </is>
      </c>
      <c r="B3897" s="246" t="inlineStr">
        <is>
          <t>LYCRA</t>
        </is>
      </c>
      <c r="C3897" s="227" t="n">
        <v>59800</v>
      </c>
      <c r="D3897" s="220">
        <f>ROUND((C3897*1.06)/100,0)*100</f>
        <v/>
      </c>
      <c r="E3897" s="220">
        <f>ROUND((C3897*1.13)/100,0)*100</f>
        <v/>
      </c>
      <c r="F3897" s="220">
        <f>ROUND((C3897*1.19)/100,0)*100</f>
        <v/>
      </c>
      <c r="G3897" s="220">
        <f>ROUND((C3897*1.25)/100,0)*100</f>
        <v/>
      </c>
      <c r="H3897" s="220">
        <f>ROUND((C3897*1.32)/100,0)*100</f>
        <v/>
      </c>
      <c r="I3897" s="221" t="n"/>
      <c r="J3897" s="205" t="n"/>
      <c r="K3897" s="219">
        <f>ROUND((C3897*Q3897)/100,0)*100</f>
        <v/>
      </c>
      <c r="L3897" s="219" t="n"/>
      <c r="M3897" s="219" t="n"/>
      <c r="P3897" s="117" t="n"/>
      <c r="Q3897" s="118" t="n">
        <v>1.15</v>
      </c>
      <c r="R3897" s="117" t="n"/>
      <c r="T3897" s="117" t="n"/>
    </row>
    <row r="3898">
      <c r="A3898" s="134" t="inlineStr">
        <is>
          <t>2739</t>
        </is>
      </c>
      <c r="B3898" s="246" t="inlineStr">
        <is>
          <t>LYCRA</t>
        </is>
      </c>
      <c r="C3898" s="227" t="n">
        <v>44100</v>
      </c>
      <c r="D3898" s="220">
        <f>ROUND((C3898*1.06)/100,0)*100</f>
        <v/>
      </c>
      <c r="E3898" s="220">
        <f>ROUND((C3898*1.13)/100,0)*100</f>
        <v/>
      </c>
      <c r="F3898" s="220">
        <f>ROUND((C3898*1.19)/100,0)*100</f>
        <v/>
      </c>
      <c r="G3898" s="220">
        <f>ROUND((C3898*1.25)/100,0)*100</f>
        <v/>
      </c>
      <c r="H3898" s="220">
        <f>ROUND((C3898*1.32)/100,0)*100</f>
        <v/>
      </c>
      <c r="I3898" s="221" t="n"/>
      <c r="J3898" s="205" t="n"/>
      <c r="K3898" s="219">
        <f>ROUND((C3898*Q3898)/100,0)*100</f>
        <v/>
      </c>
      <c r="L3898" s="219" t="n"/>
      <c r="M3898" s="219" t="n"/>
      <c r="P3898" s="117" t="n"/>
      <c r="Q3898" s="118" t="n">
        <v>1.15</v>
      </c>
      <c r="R3898" s="117" t="n"/>
      <c r="T3898" s="117" t="n"/>
    </row>
    <row r="3899">
      <c r="A3899" s="134" t="inlineStr">
        <is>
          <t>2740</t>
        </is>
      </c>
      <c r="B3899" s="246" t="inlineStr">
        <is>
          <t>LYCRA</t>
        </is>
      </c>
      <c r="C3899" s="227" t="n">
        <v>50800</v>
      </c>
      <c r="D3899" s="220">
        <f>ROUND((C3899*1.06)/100,0)*100</f>
        <v/>
      </c>
      <c r="E3899" s="220">
        <f>ROUND((C3899*1.13)/100,0)*100</f>
        <v/>
      </c>
      <c r="F3899" s="220">
        <f>ROUND((C3899*1.19)/100,0)*100</f>
        <v/>
      </c>
      <c r="G3899" s="220">
        <f>ROUND((C3899*1.25)/100,0)*100</f>
        <v/>
      </c>
      <c r="H3899" s="220">
        <f>ROUND((C3899*1.32)/100,0)*100</f>
        <v/>
      </c>
      <c r="I3899" s="221" t="n"/>
      <c r="J3899" s="205" t="n"/>
      <c r="K3899" s="219">
        <f>ROUND((C3899*Q3899)/100,0)*100</f>
        <v/>
      </c>
      <c r="L3899" s="219" t="n"/>
      <c r="M3899" s="219" t="n"/>
      <c r="P3899" s="117" t="n"/>
      <c r="Q3899" s="118" t="n">
        <v>1.15</v>
      </c>
      <c r="R3899" s="117" t="n"/>
      <c r="T3899" s="117" t="n"/>
    </row>
    <row r="3900">
      <c r="A3900" s="134" t="inlineStr">
        <is>
          <t>2741</t>
        </is>
      </c>
      <c r="B3900" s="246" t="inlineStr">
        <is>
          <t>TATIER LYCRA C/LUNARES</t>
        </is>
      </c>
      <c r="C3900" s="227" t="n">
        <v>41800</v>
      </c>
      <c r="D3900" s="220">
        <f>ROUND((C3900*1.06)/100,0)*100</f>
        <v/>
      </c>
      <c r="E3900" s="220">
        <f>ROUND((C3900*1.13)/100,0)*100</f>
        <v/>
      </c>
      <c r="F3900" s="220">
        <f>ROUND((C3900*1.19)/100,0)*100</f>
        <v/>
      </c>
      <c r="G3900" s="220">
        <f>ROUND((C3900*1.25)/100,0)*100</f>
        <v/>
      </c>
      <c r="H3900" s="220">
        <f>ROUND((C3900*1.32)/100,0)*100</f>
        <v/>
      </c>
      <c r="I3900" s="221" t="n"/>
      <c r="J3900" s="205" t="n"/>
      <c r="K3900" s="219">
        <f>ROUND((C3900*Q3900)/100,0)*100</f>
        <v/>
      </c>
      <c r="L3900" s="219" t="n"/>
      <c r="M3900" s="219" t="n"/>
      <c r="P3900" s="117" t="n"/>
      <c r="Q3900" s="118" t="n">
        <v>1.15</v>
      </c>
      <c r="R3900" s="117" t="n"/>
      <c r="T3900" s="117" t="n"/>
    </row>
    <row r="3901">
      <c r="A3901" s="134" t="inlineStr">
        <is>
          <t>2742</t>
        </is>
      </c>
      <c r="B3901" s="246" t="inlineStr">
        <is>
          <t>LYCRA</t>
        </is>
      </c>
      <c r="C3901" s="227" t="n">
        <v>57900</v>
      </c>
      <c r="D3901" s="220">
        <f>ROUND((C3901*1.06)/100,0)*100</f>
        <v/>
      </c>
      <c r="E3901" s="220">
        <f>ROUND((C3901*1.13)/100,0)*100</f>
        <v/>
      </c>
      <c r="F3901" s="220">
        <f>ROUND((C3901*1.19)/100,0)*100</f>
        <v/>
      </c>
      <c r="G3901" s="220">
        <f>ROUND((C3901*1.25)/100,0)*100</f>
        <v/>
      </c>
      <c r="H3901" s="220">
        <f>ROUND((C3901*1.32)/100,0)*100</f>
        <v/>
      </c>
      <c r="I3901" s="221" t="n"/>
      <c r="J3901" s="205" t="n"/>
      <c r="K3901" s="219">
        <f>ROUND((C3901*Q3901)/100,0)*100</f>
        <v/>
      </c>
      <c r="L3901" s="219" t="n"/>
      <c r="M3901" s="219" t="n"/>
      <c r="P3901" s="117" t="n"/>
      <c r="Q3901" s="118" t="n">
        <v>1.15</v>
      </c>
      <c r="R3901" s="117" t="n"/>
      <c r="T3901" s="117" t="n"/>
    </row>
    <row r="3902">
      <c r="A3902" s="134" t="inlineStr">
        <is>
          <t>2743</t>
        </is>
      </c>
      <c r="B3902" s="246" t="inlineStr">
        <is>
          <t>TATIER LYCRA DEGRADE</t>
        </is>
      </c>
      <c r="C3902" s="227" t="n">
        <v>52700</v>
      </c>
      <c r="D3902" s="220">
        <f>ROUND((C3902*1.06)/100,0)*100</f>
        <v/>
      </c>
      <c r="E3902" s="220">
        <f>ROUND((C3902*1.13)/100,0)*100</f>
        <v/>
      </c>
      <c r="F3902" s="220">
        <f>ROUND((C3902*1.19)/100,0)*100</f>
        <v/>
      </c>
      <c r="G3902" s="220">
        <f>ROUND((C3902*1.25)/100,0)*100</f>
        <v/>
      </c>
      <c r="H3902" s="220">
        <f>ROUND((C3902*1.32)/100,0)*100</f>
        <v/>
      </c>
      <c r="I3902" s="221" t="n"/>
      <c r="J3902" s="205" t="n"/>
      <c r="K3902" s="219">
        <f>ROUND((C3902*Q3902)/100,0)*100</f>
        <v/>
      </c>
      <c r="L3902" s="219" t="n"/>
      <c r="M3902" s="219" t="n"/>
      <c r="P3902" s="117" t="n"/>
      <c r="Q3902" s="118" t="n">
        <v>1.15</v>
      </c>
      <c r="R3902" s="117" t="n"/>
      <c r="T3902" s="117" t="n"/>
    </row>
    <row r="3903">
      <c r="A3903" s="134" t="inlineStr">
        <is>
          <t>2744</t>
        </is>
      </c>
      <c r="B3903" s="246" t="inlineStr">
        <is>
          <t>LYCRA</t>
        </is>
      </c>
      <c r="C3903" s="227" t="n">
        <v>52700</v>
      </c>
      <c r="D3903" s="220">
        <f>ROUND((C3903*1.06)/100,0)*100</f>
        <v/>
      </c>
      <c r="E3903" s="220">
        <f>ROUND((C3903*1.13)/100,0)*100</f>
        <v/>
      </c>
      <c r="F3903" s="220">
        <f>ROUND((C3903*1.19)/100,0)*100</f>
        <v/>
      </c>
      <c r="G3903" s="220">
        <f>ROUND((C3903*1.25)/100,0)*100</f>
        <v/>
      </c>
      <c r="H3903" s="220">
        <f>ROUND((C3903*1.32)/100,0)*100</f>
        <v/>
      </c>
      <c r="I3903" s="221" t="n"/>
      <c r="J3903" s="205" t="n"/>
      <c r="K3903" s="219">
        <f>ROUND((C3903*Q3903)/100,0)*100</f>
        <v/>
      </c>
      <c r="L3903" s="219" t="n"/>
      <c r="M3903" s="219" t="n"/>
      <c r="P3903" s="117" t="n"/>
      <c r="Q3903" s="118" t="n">
        <v>1.15</v>
      </c>
      <c r="R3903" s="117" t="n"/>
      <c r="T3903" s="117" t="n"/>
    </row>
    <row r="3904">
      <c r="A3904" s="134" t="inlineStr">
        <is>
          <t>2745</t>
        </is>
      </c>
      <c r="B3904" s="246" t="inlineStr">
        <is>
          <t xml:space="preserve">TATIER LYCRA </t>
        </is>
      </c>
      <c r="C3904" s="227" t="n">
        <v>48600</v>
      </c>
      <c r="D3904" s="220">
        <f>ROUND((C3904*1.06)/100,0)*100</f>
        <v/>
      </c>
      <c r="E3904" s="220">
        <f>ROUND((C3904*1.13)/100,0)*100</f>
        <v/>
      </c>
      <c r="F3904" s="220">
        <f>ROUND((C3904*1.19)/100,0)*100</f>
        <v/>
      </c>
      <c r="G3904" s="220">
        <f>ROUND((C3904*1.25)/100,0)*100</f>
        <v/>
      </c>
      <c r="H3904" s="220">
        <f>ROUND((C3904*1.32)/100,0)*100</f>
        <v/>
      </c>
      <c r="I3904" s="221" t="n"/>
      <c r="J3904" s="205" t="n"/>
      <c r="K3904" s="219">
        <f>ROUND((C3904*Q3904)/100,0)*100</f>
        <v/>
      </c>
      <c r="L3904" s="219" t="n"/>
      <c r="M3904" s="219" t="n"/>
      <c r="P3904" s="117" t="n"/>
      <c r="Q3904" s="118" t="n">
        <v>1.15</v>
      </c>
      <c r="R3904" s="117" t="n"/>
      <c r="T3904" s="117" t="n"/>
    </row>
    <row r="3905">
      <c r="A3905" s="134" t="inlineStr">
        <is>
          <t>2746</t>
        </is>
      </c>
      <c r="B3905" s="246" t="inlineStr">
        <is>
          <t>LYCRA</t>
        </is>
      </c>
      <c r="C3905" s="227" t="n">
        <v>14300</v>
      </c>
      <c r="D3905" s="220">
        <f>ROUND((C3905*1.06)/100,0)*100</f>
        <v/>
      </c>
      <c r="E3905" s="220">
        <f>ROUND((C3905*1.13)/100,0)*100</f>
        <v/>
      </c>
      <c r="F3905" s="220">
        <f>ROUND((C3905*1.19)/100,0)*100</f>
        <v/>
      </c>
      <c r="G3905" s="220">
        <f>ROUND((C3905*1.25)/100,0)*100</f>
        <v/>
      </c>
      <c r="H3905" s="220">
        <f>ROUND((C3905*1.32)/100,0)*100</f>
        <v/>
      </c>
      <c r="I3905" s="221" t="n"/>
      <c r="J3905" s="205" t="n"/>
      <c r="K3905" s="219" t="n">
        <v>14300</v>
      </c>
      <c r="L3905" s="219" t="n"/>
      <c r="M3905" s="219" t="n"/>
      <c r="P3905" s="117" t="n"/>
      <c r="Q3905" s="118" t="n">
        <v>1.15</v>
      </c>
      <c r="R3905" s="117" t="n"/>
      <c r="T3905" s="117" t="n"/>
    </row>
    <row r="3906">
      <c r="A3906" s="134" t="inlineStr">
        <is>
          <t>2747</t>
        </is>
      </c>
      <c r="B3906" s="246" t="inlineStr">
        <is>
          <t>SACO LYCRA BASICO</t>
        </is>
      </c>
      <c r="C3906" s="220" t="n">
        <v>54500</v>
      </c>
      <c r="D3906" s="220">
        <f>ROUND((C3906*1.06)/100,0)*100</f>
        <v/>
      </c>
      <c r="E3906" s="220">
        <f>ROUND((C3906*1.13)/100,0)*100</f>
        <v/>
      </c>
      <c r="F3906" s="220">
        <f>ROUND((C3906*1.19)/100,0)*100</f>
        <v/>
      </c>
      <c r="G3906" s="220">
        <f>ROUND((C3906*1.25)/100,0)*100</f>
        <v/>
      </c>
      <c r="H3906" s="220">
        <f>ROUND((C3906*1.32)/100,0)*100</f>
        <v/>
      </c>
      <c r="I3906" s="221" t="n"/>
      <c r="J3906" s="205" t="n"/>
      <c r="K3906" s="219">
        <f>ROUND((C3906*Q3906)/100,0)*100</f>
        <v/>
      </c>
      <c r="L3906" s="219" t="n"/>
      <c r="M3906" s="219" t="n"/>
      <c r="P3906" s="117" t="n"/>
      <c r="Q3906" s="118" t="n">
        <v>1.15</v>
      </c>
      <c r="R3906" s="117" t="n"/>
      <c r="T3906" s="117" t="n"/>
    </row>
    <row r="3907">
      <c r="A3907" s="134" t="inlineStr">
        <is>
          <t>2748</t>
        </is>
      </c>
      <c r="B3907" s="246" t="inlineStr">
        <is>
          <t>CAMPERA MODAL</t>
        </is>
      </c>
      <c r="C3907" s="227" t="n">
        <v>50800</v>
      </c>
      <c r="D3907" s="220">
        <f>ROUND((C3907*1.06)/100,0)*100</f>
        <v/>
      </c>
      <c r="E3907" s="220">
        <f>ROUND((C3907*1.13)/100,0)*100</f>
        <v/>
      </c>
      <c r="F3907" s="220">
        <f>ROUND((C3907*1.19)/100,0)*100</f>
        <v/>
      </c>
      <c r="G3907" s="220">
        <f>ROUND((C3907*1.25)/100,0)*100</f>
        <v/>
      </c>
      <c r="H3907" s="220">
        <f>ROUND((C3907*1.32)/100,0)*100</f>
        <v/>
      </c>
      <c r="I3907" s="221" t="n"/>
      <c r="J3907" s="205" t="n"/>
      <c r="K3907" s="219">
        <f>ROUND((C3907*Q3907)/100,0)*100</f>
        <v/>
      </c>
      <c r="L3907" s="219" t="n"/>
      <c r="M3907" s="219" t="n"/>
      <c r="P3907" s="117" t="n"/>
      <c r="Q3907" s="118" t="n">
        <v>1.15</v>
      </c>
      <c r="R3907" s="117" t="n"/>
      <c r="T3907" s="117" t="n"/>
    </row>
    <row r="3908">
      <c r="A3908" s="134" t="inlineStr">
        <is>
          <t>2749</t>
        </is>
      </c>
      <c r="B3908" s="246" t="inlineStr">
        <is>
          <t>O BOTONES AZUL FRANCIA</t>
        </is>
      </c>
      <c r="C3908" s="227" t="n">
        <v>48200</v>
      </c>
      <c r="D3908" s="220">
        <f>ROUND((C3908*1.06)/100,0)*100</f>
        <v/>
      </c>
      <c r="E3908" s="220">
        <f>ROUND((C3908*1.13)/100,0)*100</f>
        <v/>
      </c>
      <c r="F3908" s="220">
        <f>ROUND((C3908*1.19)/100,0)*100</f>
        <v/>
      </c>
      <c r="G3908" s="220">
        <f>ROUND((C3908*1.25)/100,0)*100</f>
        <v/>
      </c>
      <c r="H3908" s="220">
        <f>ROUND((C3908*1.32)/100,0)*100</f>
        <v/>
      </c>
      <c r="I3908" s="221" t="n"/>
      <c r="J3908" s="205" t="n"/>
      <c r="K3908" s="219">
        <f>ROUND((C3908*Q3908)/100,0)*100</f>
        <v/>
      </c>
      <c r="L3908" s="219" t="n"/>
      <c r="M3908" s="219" t="n"/>
      <c r="P3908" s="117" t="n"/>
      <c r="Q3908" s="118" t="n">
        <v>1.15</v>
      </c>
      <c r="R3908" s="117" t="n"/>
      <c r="T3908" s="117" t="n"/>
    </row>
    <row r="3909">
      <c r="A3909" s="134" t="inlineStr">
        <is>
          <t>2750</t>
        </is>
      </c>
      <c r="B3909" s="246" t="inlineStr">
        <is>
          <t>V C YABOT CUELLO HASTA ABAJO</t>
        </is>
      </c>
      <c r="C3909" s="227" t="n">
        <v>60900</v>
      </c>
      <c r="D3909" s="220">
        <f>ROUND((C3909*1.06)/100,0)*100</f>
        <v/>
      </c>
      <c r="E3909" s="220">
        <f>ROUND((C3909*1.13)/100,0)*100</f>
        <v/>
      </c>
      <c r="F3909" s="220">
        <f>ROUND((C3909*1.19)/100,0)*100</f>
        <v/>
      </c>
      <c r="G3909" s="220">
        <f>ROUND((C3909*1.25)/100,0)*100</f>
        <v/>
      </c>
      <c r="H3909" s="220">
        <f>ROUND((C3909*1.32)/100,0)*100</f>
        <v/>
      </c>
      <c r="I3909" s="221" t="n"/>
      <c r="J3909" s="205" t="n"/>
      <c r="K3909" s="219">
        <f>ROUND((C3909*Q3909)/100,0)*100</f>
        <v/>
      </c>
      <c r="L3909" s="219" t="n"/>
      <c r="M3909" s="219" t="n"/>
      <c r="P3909" s="117" t="n"/>
      <c r="Q3909" s="118" t="n">
        <v>1.15</v>
      </c>
      <c r="R3909" s="117" t="n"/>
      <c r="T3909" s="117" t="n"/>
    </row>
    <row r="3910">
      <c r="A3910" s="134" t="inlineStr">
        <is>
          <t>2751</t>
        </is>
      </c>
      <c r="B3910" s="246" t="inlineStr">
        <is>
          <t>V BOTONES TRENSADO</t>
        </is>
      </c>
      <c r="C3910" s="227" t="n">
        <v>38600</v>
      </c>
      <c r="D3910" s="220">
        <f>ROUND((C3910*1.06)/100,0)*100</f>
        <v/>
      </c>
      <c r="E3910" s="220">
        <f>ROUND((C3910*1.13)/100,0)*100</f>
        <v/>
      </c>
      <c r="F3910" s="220">
        <f>ROUND((C3910*1.19)/100,0)*100</f>
        <v/>
      </c>
      <c r="G3910" s="220">
        <f>ROUND((C3910*1.25)/100,0)*100</f>
        <v/>
      </c>
      <c r="H3910" s="220">
        <f>ROUND((C3910*1.32)/100,0)*100</f>
        <v/>
      </c>
      <c r="I3910" s="221" t="n"/>
      <c r="J3910" s="205" t="n"/>
      <c r="K3910" s="219">
        <f>ROUND((C3910*Q3910)/100,0)*100</f>
        <v/>
      </c>
      <c r="L3910" s="219" t="n"/>
      <c r="M3910" s="219" t="n"/>
      <c r="P3910" s="117" t="n"/>
      <c r="Q3910" s="118" t="n">
        <v>1.15</v>
      </c>
      <c r="R3910" s="117" t="n"/>
      <c r="T3910" s="117" t="n"/>
    </row>
    <row r="3911">
      <c r="A3911" s="134" t="inlineStr">
        <is>
          <t>2752</t>
        </is>
      </c>
      <c r="B3911" s="246" t="inlineStr">
        <is>
          <t>BOTONES CALADA</t>
        </is>
      </c>
      <c r="C3911" s="227" t="n">
        <v>48200</v>
      </c>
      <c r="D3911" s="220">
        <f>ROUND((C3911*1.06)/100,0)*100</f>
        <v/>
      </c>
      <c r="E3911" s="220">
        <f>ROUND((C3911*1.13)/100,0)*100</f>
        <v/>
      </c>
      <c r="F3911" s="220">
        <f>ROUND((C3911*1.19)/100,0)*100</f>
        <v/>
      </c>
      <c r="G3911" s="220">
        <f>ROUND((C3911*1.25)/100,0)*100</f>
        <v/>
      </c>
      <c r="H3911" s="220">
        <f>ROUND((C3911*1.32)/100,0)*100</f>
        <v/>
      </c>
      <c r="I3911" s="221" t="n"/>
      <c r="J3911" s="205" t="n"/>
      <c r="K3911" s="219">
        <f>ROUND((C3911*Q3911)/100,0)*100</f>
        <v/>
      </c>
      <c r="L3911" s="219" t="n"/>
      <c r="M3911" s="219" t="n"/>
      <c r="P3911" s="117" t="n"/>
      <c r="Q3911" s="118" t="n">
        <v>1.15</v>
      </c>
      <c r="R3911" s="117" t="n"/>
      <c r="T3911" s="117" t="n"/>
    </row>
    <row r="3912">
      <c r="A3912" s="134" t="inlineStr">
        <is>
          <t>2753</t>
        </is>
      </c>
      <c r="B3912" s="246" t="inlineStr">
        <is>
          <t>V QUIMICO BOT LISO GRIS</t>
        </is>
      </c>
      <c r="C3912" s="227" t="n">
        <v>41800</v>
      </c>
      <c r="D3912" s="220">
        <f>ROUND((C3912*1.06)/100,0)*100</f>
        <v/>
      </c>
      <c r="E3912" s="220">
        <f>ROUND((C3912*1.13)/100,0)*100</f>
        <v/>
      </c>
      <c r="F3912" s="220">
        <f>ROUND((C3912*1.19)/100,0)*100</f>
        <v/>
      </c>
      <c r="G3912" s="220">
        <f>ROUND((C3912*1.25)/100,0)*100</f>
        <v/>
      </c>
      <c r="H3912" s="220">
        <f>ROUND((C3912*1.32)/100,0)*100</f>
        <v/>
      </c>
      <c r="I3912" s="221" t="n"/>
      <c r="J3912" s="205" t="n"/>
      <c r="K3912" s="219">
        <f>ROUND((C3912*Q3912)/100,0)*100</f>
        <v/>
      </c>
      <c r="L3912" s="219" t="n"/>
      <c r="M3912" s="219" t="n"/>
      <c r="P3912" s="117" t="n"/>
      <c r="Q3912" s="118" t="n">
        <v>1.15</v>
      </c>
      <c r="R3912" s="117" t="n"/>
      <c r="T3912" s="117" t="n"/>
    </row>
    <row r="3913">
      <c r="A3913" s="134" t="inlineStr">
        <is>
          <t>2754</t>
        </is>
      </c>
      <c r="B3913" s="246" t="inlineStr">
        <is>
          <t>O O BOT LISO CROCHET CUELLO</t>
        </is>
      </c>
      <c r="C3913" s="227" t="n">
        <v>50800</v>
      </c>
      <c r="D3913" s="220">
        <f>ROUND((C3913*1.06)/100,0)*100</f>
        <v/>
      </c>
      <c r="E3913" s="220">
        <f>ROUND((C3913*1.13)/100,0)*100</f>
        <v/>
      </c>
      <c r="F3913" s="220">
        <f>ROUND((C3913*1.19)/100,0)*100</f>
        <v/>
      </c>
      <c r="G3913" s="220">
        <f>ROUND((C3913*1.25)/100,0)*100</f>
        <v/>
      </c>
      <c r="H3913" s="220">
        <f>ROUND((C3913*1.32)/100,0)*100</f>
        <v/>
      </c>
      <c r="I3913" s="221" t="n"/>
      <c r="J3913" s="205" t="n"/>
      <c r="K3913" s="219">
        <f>ROUND((C3913*Q3913)/100,0)*100</f>
        <v/>
      </c>
      <c r="L3913" s="219" t="n"/>
      <c r="M3913" s="219" t="n"/>
      <c r="P3913" s="117" t="n"/>
      <c r="Q3913" s="118" t="n">
        <v>1.15</v>
      </c>
      <c r="R3913" s="117" t="n"/>
      <c r="T3913" s="117" t="n"/>
    </row>
    <row r="3914">
      <c r="A3914" s="134" t="inlineStr">
        <is>
          <t>2755</t>
        </is>
      </c>
      <c r="B3914" s="246" t="inlineStr">
        <is>
          <t>O BOT LISO MOÑITOS A MARINO</t>
        </is>
      </c>
      <c r="C3914" s="227" t="n">
        <v>43700</v>
      </c>
      <c r="D3914" s="220">
        <f>ROUND((C3914*1.06)/100,0)*100</f>
        <v/>
      </c>
      <c r="E3914" s="220">
        <f>ROUND((C3914*1.13)/100,0)*100</f>
        <v/>
      </c>
      <c r="F3914" s="220">
        <f>ROUND((C3914*1.19)/100,0)*100</f>
        <v/>
      </c>
      <c r="G3914" s="220">
        <f>ROUND((C3914*1.25)/100,0)*100</f>
        <v/>
      </c>
      <c r="H3914" s="220">
        <f>ROUND((C3914*1.32)/100,0)*100</f>
        <v/>
      </c>
      <c r="I3914" s="221" t="n"/>
      <c r="J3914" s="205" t="n"/>
      <c r="K3914" s="219">
        <f>ROUND((C3914*Q3914)/100,0)*100</f>
        <v/>
      </c>
      <c r="L3914" s="219" t="n"/>
      <c r="M3914" s="219" t="n"/>
      <c r="P3914" s="117" t="n"/>
      <c r="Q3914" s="118" t="n">
        <v>1.15</v>
      </c>
      <c r="R3914" s="117" t="n"/>
      <c r="T3914" s="117" t="n"/>
    </row>
    <row r="3915">
      <c r="A3915" s="134" t="inlineStr">
        <is>
          <t>2756</t>
        </is>
      </c>
      <c r="B3915" s="246" t="inlineStr">
        <is>
          <t>V BOT CALADO</t>
        </is>
      </c>
      <c r="C3915" s="227" t="n">
        <v>12900</v>
      </c>
      <c r="D3915" s="220">
        <f>ROUND((C3915*1.06)/100,0)*100</f>
        <v/>
      </c>
      <c r="E3915" s="220">
        <f>ROUND((C3915*1.13)/100,0)*100</f>
        <v/>
      </c>
      <c r="F3915" s="220">
        <f>ROUND((C3915*1.19)/100,0)*100</f>
        <v/>
      </c>
      <c r="G3915" s="220">
        <f>ROUND((C3915*1.25)/100,0)*100</f>
        <v/>
      </c>
      <c r="H3915" s="220">
        <f>ROUND((C3915*1.32)/100,0)*100</f>
        <v/>
      </c>
      <c r="I3915" s="221" t="n"/>
      <c r="J3915" s="205" t="n"/>
      <c r="K3915" s="219" t="n">
        <v>12900</v>
      </c>
      <c r="L3915" s="219" t="n"/>
      <c r="M3915" s="219" t="n"/>
      <c r="P3915" s="117" t="n"/>
      <c r="Q3915" s="118" t="n">
        <v>1.15</v>
      </c>
      <c r="R3915" s="117" t="n"/>
      <c r="T3915" s="117" t="n"/>
    </row>
    <row r="3916">
      <c r="A3916" s="134" t="inlineStr">
        <is>
          <t>2757</t>
        </is>
      </c>
      <c r="B3916" s="246" t="inlineStr">
        <is>
          <t>V BOT TRAMADO TOSTADO</t>
        </is>
      </c>
      <c r="C3916" s="220" t="n">
        <v>12900</v>
      </c>
      <c r="D3916" s="220">
        <f>ROUND((C3916*1.06)/100,0)*100</f>
        <v/>
      </c>
      <c r="E3916" s="220">
        <f>ROUND((C3916*1.13)/100,0)*100</f>
        <v/>
      </c>
      <c r="F3916" s="220">
        <f>ROUND((C3916*1.19)/100,0)*100</f>
        <v/>
      </c>
      <c r="G3916" s="220">
        <f>ROUND((C3916*1.25)/100,0)*100</f>
        <v/>
      </c>
      <c r="H3916" s="220">
        <f>ROUND((C3916*1.32)/100,0)*100</f>
        <v/>
      </c>
      <c r="I3916" s="221" t="n"/>
      <c r="J3916" s="205" t="n"/>
      <c r="K3916" s="219" t="n">
        <v>12900</v>
      </c>
      <c r="L3916" s="219" t="n"/>
      <c r="M3916" s="219" t="n"/>
      <c r="P3916" s="117" t="n"/>
      <c r="Q3916" s="118" t="n">
        <v>1.15</v>
      </c>
      <c r="R3916" s="117" t="n"/>
      <c r="T3916" s="117" t="n"/>
    </row>
    <row r="3917">
      <c r="A3917" s="134" t="inlineStr">
        <is>
          <t>4807</t>
        </is>
      </c>
      <c r="B3917" s="246" t="inlineStr">
        <is>
          <t>1/2 POLERA C CIERRE LISO MARINO</t>
        </is>
      </c>
      <c r="C3917" s="220" t="n">
        <v>33400</v>
      </c>
      <c r="D3917" s="220">
        <f>ROUND((C3917*1.06)/100,0)*100</f>
        <v/>
      </c>
      <c r="E3917" s="220">
        <f>ROUND((C3917*1.13)/100,0)*100</f>
        <v/>
      </c>
      <c r="F3917" s="220">
        <f>ROUND((C3917*1.19)/100,0)*100</f>
        <v/>
      </c>
      <c r="G3917" s="220">
        <f>ROUND((C3917*1.25)/100,0)*100</f>
        <v/>
      </c>
      <c r="H3917" s="220">
        <f>ROUND((C3917*1.32)/100,0)*100</f>
        <v/>
      </c>
      <c r="I3917" s="221" t="n"/>
      <c r="J3917" s="205" t="n"/>
      <c r="K3917" s="219">
        <f>ROUND((C3917*Q3917)/100,0)*100</f>
        <v/>
      </c>
      <c r="L3917" s="219" t="n"/>
      <c r="M3917" s="219" t="n"/>
      <c r="P3917" s="117" t="n"/>
      <c r="Q3917" s="118" t="n">
        <v>1.15</v>
      </c>
      <c r="R3917" s="117" t="n"/>
      <c r="T3917" s="117" t="n"/>
    </row>
    <row r="3918">
      <c r="A3918" s="134" t="n"/>
      <c r="B3918" s="246" t="inlineStr">
        <is>
          <t>HILO CALADA S BOT LAZO CINTURA BCO.</t>
        </is>
      </c>
      <c r="C3918" s="227" t="n">
        <v>27000</v>
      </c>
      <c r="D3918" s="220">
        <f>ROUND((C3918*1.06)/100,0)*100</f>
        <v/>
      </c>
      <c r="E3918" s="220">
        <f>ROUND((C3918*1.13)/100,0)*100</f>
        <v/>
      </c>
      <c r="F3918" s="220">
        <f>ROUND((C3918*1.19)/100,0)*100</f>
        <v/>
      </c>
      <c r="G3918" s="220">
        <f>ROUND((C3918*1.25)/100,0)*100</f>
        <v/>
      </c>
      <c r="H3918" s="220">
        <f>ROUND((C3918*1.32)/100,0)*100</f>
        <v/>
      </c>
      <c r="I3918" s="221" t="n"/>
      <c r="J3918" s="205" t="n"/>
      <c r="K3918" s="219">
        <f>ROUND((C3918*Q3918)/100,0)*100</f>
        <v/>
      </c>
      <c r="L3918" s="219" t="n"/>
      <c r="M3918" s="219" t="n"/>
      <c r="P3918" s="117" t="n"/>
      <c r="Q3918" s="118" t="n">
        <v>1.15</v>
      </c>
      <c r="R3918" s="117" t="n"/>
      <c r="T3918" s="117" t="n"/>
    </row>
    <row r="3919">
      <c r="A3919" s="134" t="inlineStr">
        <is>
          <t>2760</t>
        </is>
      </c>
      <c r="B3919" s="246" t="inlineStr">
        <is>
          <t>MODAL ESTAMP C BOT ESC V</t>
        </is>
      </c>
      <c r="C3919" s="227" t="n">
        <v>28900</v>
      </c>
      <c r="D3919" s="220">
        <f>ROUND((C3919*1.06)/100,0)*100</f>
        <v/>
      </c>
      <c r="E3919" s="220">
        <f>ROUND((C3919*1.13)/100,0)*100</f>
        <v/>
      </c>
      <c r="F3919" s="220">
        <f>ROUND((C3919*1.19)/100,0)*100</f>
        <v/>
      </c>
      <c r="G3919" s="220">
        <f>ROUND((C3919*1.25)/100,0)*100</f>
        <v/>
      </c>
      <c r="H3919" s="220">
        <f>ROUND((C3919*1.32)/100,0)*100</f>
        <v/>
      </c>
      <c r="I3919" s="221" t="n"/>
      <c r="J3919" s="205" t="n"/>
      <c r="K3919" s="219">
        <f>ROUND((C3919*Q3919)/100,0)*100</f>
        <v/>
      </c>
      <c r="L3919" s="219" t="n"/>
      <c r="M3919" s="219" t="n"/>
      <c r="P3919" s="117" t="n"/>
      <c r="Q3919" s="118" t="n">
        <v>1.15</v>
      </c>
      <c r="R3919" s="117" t="n"/>
      <c r="T3919" s="117" t="n"/>
    </row>
    <row r="3920">
      <c r="A3920" s="134" t="inlineStr">
        <is>
          <t>2761</t>
        </is>
      </c>
      <c r="B3920" s="246" t="inlineStr">
        <is>
          <t>MODAL LISA C CIERRE CANESU PINZAS Y BOLS</t>
        </is>
      </c>
      <c r="C3920" s="227" t="n">
        <v>38600</v>
      </c>
      <c r="D3920" s="220">
        <f>ROUND((C3920*1.06)/100,0)*100</f>
        <v/>
      </c>
      <c r="E3920" s="220">
        <f>ROUND((C3920*1.13)/100,0)*100</f>
        <v/>
      </c>
      <c r="F3920" s="220">
        <f>ROUND((C3920*1.19)/100,0)*100</f>
        <v/>
      </c>
      <c r="G3920" s="220">
        <f>ROUND((C3920*1.25)/100,0)*100</f>
        <v/>
      </c>
      <c r="H3920" s="220">
        <f>ROUND((C3920*1.32)/100,0)*100</f>
        <v/>
      </c>
      <c r="I3920" s="221" t="n"/>
      <c r="J3920" s="205" t="n"/>
      <c r="K3920" s="219">
        <f>ROUND((C3920*Q3920)/100,0)*100</f>
        <v/>
      </c>
      <c r="L3920" s="219" t="n"/>
      <c r="M3920" s="219" t="n"/>
      <c r="P3920" s="117" t="n"/>
      <c r="Q3920" s="118" t="n">
        <v>1.15</v>
      </c>
      <c r="R3920" s="117" t="n"/>
      <c r="T3920" s="117" t="n"/>
    </row>
    <row r="3921">
      <c r="A3921" s="134" t="inlineStr">
        <is>
          <t>2762</t>
        </is>
      </c>
      <c r="B3921" s="246" t="inlineStr">
        <is>
          <t>NODAL LISA C CIERRE CUELLO MAO Y BOLS</t>
        </is>
      </c>
      <c r="C3921" s="220" t="n">
        <v>44400</v>
      </c>
      <c r="D3921" s="220">
        <f>ROUND((C3921*1.06)/100,0)*100</f>
        <v/>
      </c>
      <c r="E3921" s="220">
        <f>ROUND((C3921*1.13)/100,0)*100</f>
        <v/>
      </c>
      <c r="F3921" s="220">
        <f>ROUND((C3921*1.19)/100,0)*100</f>
        <v/>
      </c>
      <c r="G3921" s="220">
        <f>ROUND((C3921*1.25)/100,0)*100</f>
        <v/>
      </c>
      <c r="H3921" s="220">
        <f>ROUND((C3921*1.32)/100,0)*100</f>
        <v/>
      </c>
      <c r="I3921" s="221" t="n"/>
      <c r="J3921" s="205" t="n"/>
      <c r="K3921" s="219">
        <f>ROUND((C3921*Q3921)/100,0)*100</f>
        <v/>
      </c>
      <c r="L3921" s="219" t="n"/>
      <c r="M3921" s="219" t="n"/>
      <c r="P3921" s="117" t="n"/>
      <c r="Q3921" s="118" t="n">
        <v>1.15</v>
      </c>
      <c r="R3921" s="117" t="n"/>
      <c r="T3921" s="117" t="n"/>
    </row>
    <row r="3922">
      <c r="A3922" s="134" t="inlineStr">
        <is>
          <t>2763</t>
        </is>
      </c>
      <c r="B3922" s="246" t="inlineStr">
        <is>
          <t>SACO CANELON LARGO LYCRA CHOCO</t>
        </is>
      </c>
      <c r="C3922" s="227" t="n">
        <v>43700</v>
      </c>
      <c r="D3922" s="220">
        <f>ROUND((C3922*1.06)/100,0)*100</f>
        <v/>
      </c>
      <c r="E3922" s="220">
        <f>ROUND((C3922*1.13)/100,0)*100</f>
        <v/>
      </c>
      <c r="F3922" s="220">
        <f>ROUND((C3922*1.19)/100,0)*100</f>
        <v/>
      </c>
      <c r="G3922" s="220">
        <f>ROUND((C3922*1.25)/100,0)*100</f>
        <v/>
      </c>
      <c r="H3922" s="220">
        <f>ROUND((C3922*1.32)/100,0)*100</f>
        <v/>
      </c>
      <c r="I3922" s="221" t="n"/>
      <c r="J3922" s="205" t="n"/>
      <c r="K3922" s="219">
        <f>ROUND((C3922*Q3922)/100,0)*100</f>
        <v/>
      </c>
      <c r="L3922" s="219" t="n"/>
      <c r="M3922" s="219" t="n"/>
      <c r="P3922" s="117" t="n"/>
      <c r="Q3922" s="118" t="n">
        <v>1.15</v>
      </c>
      <c r="R3922" s="117" t="n"/>
      <c r="T3922" s="117" t="n"/>
    </row>
    <row r="3923">
      <c r="A3923" s="134" t="inlineStr">
        <is>
          <t>2764</t>
        </is>
      </c>
      <c r="B3923" s="246" t="inlineStr">
        <is>
          <t>SACO HILO LYCRA CONTORNOS VOLADOS</t>
        </is>
      </c>
      <c r="C3923" s="227" t="n">
        <v>37100</v>
      </c>
      <c r="D3923" s="220">
        <f>ROUND((C3923*1.06)/100,0)*100</f>
        <v/>
      </c>
      <c r="E3923" s="220">
        <f>ROUND((C3923*1.13)/100,0)*100</f>
        <v/>
      </c>
      <c r="F3923" s="220">
        <f>ROUND((C3923*1.19)/100,0)*100</f>
        <v/>
      </c>
      <c r="G3923" s="220">
        <f>ROUND((C3923*1.25)/100,0)*100</f>
        <v/>
      </c>
      <c r="H3923" s="220">
        <f>ROUND((C3923*1.32)/100,0)*100</f>
        <v/>
      </c>
      <c r="I3923" s="221" t="n"/>
      <c r="J3923" s="205" t="n"/>
      <c r="K3923" s="219">
        <f>ROUND((C3923*Q3923)/100,0)*100</f>
        <v/>
      </c>
      <c r="L3923" s="219" t="n"/>
      <c r="M3923" s="219" t="n"/>
      <c r="P3923" s="117" t="n"/>
      <c r="Q3923" s="118" t="n">
        <v>1.15</v>
      </c>
      <c r="R3923" s="117" t="n"/>
      <c r="T3923" s="117" t="n"/>
    </row>
    <row r="3924">
      <c r="A3924" s="134" t="inlineStr">
        <is>
          <t>2765</t>
        </is>
      </c>
      <c r="B3924" s="246" t="inlineStr">
        <is>
          <t>SACO H LYCRA CALADO ROMBO C BOT</t>
        </is>
      </c>
      <c r="C3924" s="227" t="n">
        <v>23800</v>
      </c>
      <c r="D3924" s="220">
        <f>ROUND((C3924*1.06)/100,0)*100</f>
        <v/>
      </c>
      <c r="E3924" s="220">
        <f>ROUND((C3924*1.13)/100,0)*100</f>
        <v/>
      </c>
      <c r="F3924" s="220">
        <f>ROUND((C3924*1.19)/100,0)*100</f>
        <v/>
      </c>
      <c r="G3924" s="220">
        <f>ROUND((C3924*1.25)/100,0)*100</f>
        <v/>
      </c>
      <c r="H3924" s="220">
        <f>ROUND((C3924*1.32)/100,0)*100</f>
        <v/>
      </c>
      <c r="I3924" s="221" t="n"/>
      <c r="J3924" s="205" t="n"/>
      <c r="K3924" s="219">
        <f>ROUND((C3924*Q3924)/100,0)*100</f>
        <v/>
      </c>
      <c r="L3924" s="219" t="n"/>
      <c r="M3924" s="219" t="n"/>
      <c r="P3924" s="117" t="n"/>
      <c r="Q3924" s="118" t="n">
        <v>1.15</v>
      </c>
      <c r="R3924" s="117" t="n"/>
      <c r="T3924" s="117" t="n"/>
    </row>
    <row r="3925">
      <c r="A3925" s="134" t="inlineStr">
        <is>
          <t>2766</t>
        </is>
      </c>
      <c r="B3925" s="246" t="inlineStr">
        <is>
          <t>SACO CANELON LARGO HILO COMUN</t>
        </is>
      </c>
      <c r="C3925" s="227" t="n">
        <v>61200</v>
      </c>
      <c r="D3925" s="220">
        <f>ROUND((C3925*1.06)/100,0)*100</f>
        <v/>
      </c>
      <c r="E3925" s="220">
        <f>ROUND((C3925*1.13)/100,0)*100</f>
        <v/>
      </c>
      <c r="F3925" s="220">
        <f>ROUND((C3925*1.19)/100,0)*100</f>
        <v/>
      </c>
      <c r="G3925" s="220">
        <f>ROUND((C3925*1.25)/100,0)*100</f>
        <v/>
      </c>
      <c r="H3925" s="220">
        <f>ROUND((C3925*1.32)/100,0)*100</f>
        <v/>
      </c>
      <c r="I3925" s="221" t="n"/>
      <c r="J3925" s="205" t="n"/>
      <c r="K3925" s="219">
        <f>ROUND((C3925*Q3925)/100,0)*100</f>
        <v/>
      </c>
      <c r="L3925" s="219" t="n"/>
      <c r="M3925" s="219" t="n"/>
      <c r="P3925" s="117" t="n"/>
      <c r="Q3925" s="118" t="n">
        <v>1.15</v>
      </c>
      <c r="R3925" s="117" t="n"/>
      <c r="T3925" s="117" t="n"/>
    </row>
    <row r="3926">
      <c r="A3926" s="134" t="inlineStr">
        <is>
          <t>2767</t>
        </is>
      </c>
      <c r="B3926" s="246" t="inlineStr">
        <is>
          <t>AROMA ALG MONTGOMERY</t>
        </is>
      </c>
      <c r="C3926" s="227" t="n">
        <v>53800</v>
      </c>
      <c r="D3926" s="220">
        <f>ROUND((C3926*1.06)/100,0)*100</f>
        <v/>
      </c>
      <c r="E3926" s="220">
        <f>ROUND((C3926*1.13)/100,0)*100</f>
        <v/>
      </c>
      <c r="F3926" s="220">
        <f>ROUND((C3926*1.19)/100,0)*100</f>
        <v/>
      </c>
      <c r="G3926" s="220">
        <f>ROUND((C3926*1.25)/100,0)*100</f>
        <v/>
      </c>
      <c r="H3926" s="220">
        <f>ROUND((C3926*1.32)/100,0)*100</f>
        <v/>
      </c>
      <c r="I3926" s="221" t="n"/>
      <c r="J3926" s="205" t="n"/>
      <c r="K3926" s="219">
        <f>ROUND((C3926*Q3926)/100,0)*100</f>
        <v/>
      </c>
      <c r="L3926" s="219" t="n"/>
      <c r="M3926" s="219" t="n"/>
      <c r="P3926" s="117" t="n"/>
      <c r="Q3926" s="118" t="n">
        <v>1.15</v>
      </c>
      <c r="R3926" s="117" t="n"/>
      <c r="T3926" s="117" t="n"/>
    </row>
    <row r="3927">
      <c r="A3927" s="134" t="inlineStr">
        <is>
          <t>2768</t>
        </is>
      </c>
      <c r="B3927" s="246" t="inlineStr">
        <is>
          <t>CAMP ALGODON AROMA</t>
        </is>
      </c>
      <c r="C3927" s="227" t="n">
        <v>41800</v>
      </c>
      <c r="D3927" s="220">
        <f>ROUND((C3927*1.06)/100,0)*100</f>
        <v/>
      </c>
      <c r="E3927" s="220">
        <f>ROUND((C3927*1.13)/100,0)*100</f>
        <v/>
      </c>
      <c r="F3927" s="220">
        <f>ROUND((C3927*1.19)/100,0)*100</f>
        <v/>
      </c>
      <c r="G3927" s="220">
        <f>ROUND((C3927*1.25)/100,0)*100</f>
        <v/>
      </c>
      <c r="H3927" s="220">
        <f>ROUND((C3927*1.32)/100,0)*100</f>
        <v/>
      </c>
      <c r="I3927" s="221" t="n"/>
      <c r="J3927" s="205" t="n"/>
      <c r="K3927" s="219">
        <f>ROUND((C3927*Q3927)/100,0)*100</f>
        <v/>
      </c>
      <c r="L3927" s="219" t="n"/>
      <c r="M3927" s="219" t="n"/>
      <c r="P3927" s="117" t="n"/>
      <c r="Q3927" s="118" t="n">
        <v>1.15</v>
      </c>
      <c r="R3927" s="117" t="n"/>
      <c r="T3927" s="117" t="n"/>
    </row>
    <row r="3928">
      <c r="A3928" s="134" t="inlineStr">
        <is>
          <t>27702</t>
        </is>
      </c>
      <c r="B3928" s="246" t="inlineStr">
        <is>
          <t>YD SIMIL CUERO LARGA C/CINTO</t>
        </is>
      </c>
      <c r="C3928" s="88" t="n">
        <v>95000</v>
      </c>
      <c r="D3928" s="220">
        <f>ROUND((C3928*1.06)/100,0)*100</f>
        <v/>
      </c>
      <c r="E3928" s="220">
        <f>ROUND((C3928*1.13)/100,0)*100</f>
        <v/>
      </c>
      <c r="F3928" s="220">
        <f>ROUND((C3928*1.19)/100,0)*100</f>
        <v/>
      </c>
      <c r="G3928" s="220">
        <f>ROUND((C3928*1.25)/100,0)*100</f>
        <v/>
      </c>
      <c r="H3928" s="220">
        <f>ROUND((C3928*1.32)/100,0)*100</f>
        <v/>
      </c>
      <c r="I3928" s="221" t="n"/>
      <c r="J3928" s="205" t="n"/>
      <c r="K3928" s="219">
        <f>ROUND((C3928*Q3928)/100,0)*100</f>
        <v/>
      </c>
      <c r="L3928" s="219" t="n"/>
      <c r="M3928" s="219" t="n"/>
      <c r="P3928" s="117" t="n"/>
      <c r="Q3928" s="118" t="n">
        <v>1.15</v>
      </c>
      <c r="R3928" s="117" t="n"/>
      <c r="T3928" s="117" t="n"/>
    </row>
    <row r="3929">
      <c r="A3929" s="134" t="inlineStr">
        <is>
          <t>27701</t>
        </is>
      </c>
      <c r="B3929" s="246" t="inlineStr">
        <is>
          <t xml:space="preserve">YD/TMILL SIMIL CUERO </t>
        </is>
      </c>
      <c r="C3929" s="88" t="n">
        <v>79000</v>
      </c>
      <c r="D3929" s="220">
        <f>ROUND((C3929*1.06)/100,0)*100</f>
        <v/>
      </c>
      <c r="E3929" s="220">
        <f>ROUND((C3929*1.13)/100,0)*100</f>
        <v/>
      </c>
      <c r="F3929" s="220">
        <f>ROUND((C3929*1.19)/100,0)*100</f>
        <v/>
      </c>
      <c r="G3929" s="220">
        <f>ROUND((C3929*1.25)/100,0)*100</f>
        <v/>
      </c>
      <c r="H3929" s="220">
        <f>ROUND((C3929*1.32)/100,0)*100</f>
        <v/>
      </c>
      <c r="I3929" s="221" t="n"/>
      <c r="J3929" s="205" t="n"/>
      <c r="K3929" s="219">
        <f>ROUND((C3929*Q3929)/100,0)*100</f>
        <v/>
      </c>
      <c r="L3929" s="219" t="n"/>
      <c r="M3929" s="219" t="n"/>
      <c r="P3929" s="117" t="n"/>
      <c r="Q3929" s="118" t="n">
        <v>1.15</v>
      </c>
      <c r="R3929" s="117" t="n"/>
      <c r="T3929" s="117" t="n"/>
    </row>
    <row r="3930">
      <c r="A3930" s="134" t="inlineStr">
        <is>
          <t>27702</t>
        </is>
      </c>
      <c r="B3930" s="246" t="inlineStr">
        <is>
          <t>YD SIMIL CUERO LARGA C/CINTO</t>
        </is>
      </c>
      <c r="C3930" s="227" t="n">
        <v>117500</v>
      </c>
      <c r="D3930" s="220">
        <f>ROUND((C3930*1.06)/100,0)*100</f>
        <v/>
      </c>
      <c r="E3930" s="220">
        <f>ROUND((C3930*1.13)/100,0)*100</f>
        <v/>
      </c>
      <c r="F3930" s="220">
        <f>ROUND((C3930*1.19)/100,0)*100</f>
        <v/>
      </c>
      <c r="G3930" s="220">
        <f>ROUND((C3930*1.25)/100,0)*100</f>
        <v/>
      </c>
      <c r="H3930" s="220">
        <f>ROUND((C3930*1.32)/100,0)*100</f>
        <v/>
      </c>
      <c r="I3930" s="221" t="n"/>
      <c r="J3930" s="205" t="n"/>
      <c r="K3930" s="219">
        <f>ROUND((C3930*Q3930)/100,0)*100</f>
        <v/>
      </c>
      <c r="L3930" s="219" t="n"/>
      <c r="M3930" s="219" t="n"/>
      <c r="P3930" s="117" t="n"/>
      <c r="Q3930" s="118" t="n">
        <v>1.15</v>
      </c>
      <c r="R3930" s="117" t="n"/>
      <c r="T3930" s="117" t="n"/>
    </row>
    <row r="3931">
      <c r="A3931" s="134" t="inlineStr">
        <is>
          <t>27703</t>
        </is>
      </c>
      <c r="B3931" s="246" t="inlineStr">
        <is>
          <t xml:space="preserve">SIMIL CUERO C/PIEL </t>
        </is>
      </c>
      <c r="C3931" s="227" t="n">
        <v>122700</v>
      </c>
      <c r="D3931" s="220">
        <f>ROUND((C3931*1.06)/100,0)*100</f>
        <v/>
      </c>
      <c r="E3931" s="220">
        <f>ROUND((C3931*1.13)/100,0)*100</f>
        <v/>
      </c>
      <c r="F3931" s="220">
        <f>ROUND((C3931*1.19)/100,0)*100</f>
        <v/>
      </c>
      <c r="G3931" s="220">
        <f>ROUND((C3931*1.25)/100,0)*100</f>
        <v/>
      </c>
      <c r="H3931" s="220">
        <f>ROUND((C3931*1.32)/100,0)*100</f>
        <v/>
      </c>
      <c r="I3931" s="221" t="n"/>
      <c r="J3931" s="205" t="n"/>
      <c r="K3931" s="219">
        <f>ROUND((C3931*Q3931)/100,0)*100</f>
        <v/>
      </c>
      <c r="L3931" s="219" t="n"/>
      <c r="M3931" s="219" t="n"/>
      <c r="P3931" s="117" t="n"/>
      <c r="Q3931" s="118" t="n">
        <v>1.15</v>
      </c>
      <c r="R3931" s="117" t="n"/>
      <c r="T3931" s="117" t="n"/>
    </row>
    <row r="3932">
      <c r="A3932" s="134" t="inlineStr">
        <is>
          <t>27704</t>
        </is>
      </c>
      <c r="B3932" s="246" t="inlineStr">
        <is>
          <t>YD INFLABLES GLOBO</t>
        </is>
      </c>
      <c r="C3932" s="227" t="n">
        <v>122700</v>
      </c>
      <c r="D3932" s="220">
        <f>ROUND((C3932*1.06)/100,0)*100</f>
        <v/>
      </c>
      <c r="E3932" s="220">
        <f>ROUND((C3932*1.13)/100,0)*100</f>
        <v/>
      </c>
      <c r="F3932" s="220">
        <f>ROUND((C3932*1.19)/100,0)*100</f>
        <v/>
      </c>
      <c r="G3932" s="220">
        <f>ROUND((C3932*1.25)/100,0)*100</f>
        <v/>
      </c>
      <c r="H3932" s="220">
        <f>ROUND((C3932*1.32)/100,0)*100</f>
        <v/>
      </c>
      <c r="I3932" s="221" t="n"/>
      <c r="J3932" s="205" t="n"/>
      <c r="K3932" s="219">
        <f>ROUND((C3932*Q3932)/100,0)*100</f>
        <v/>
      </c>
      <c r="L3932" s="219" t="n"/>
      <c r="M3932" s="219" t="n"/>
      <c r="P3932" s="117" t="n"/>
      <c r="Q3932" s="118" t="n">
        <v>1.15</v>
      </c>
      <c r="R3932" s="117" t="n"/>
      <c r="T3932" s="117" t="n"/>
    </row>
    <row r="3933">
      <c r="A3933" s="134" t="inlineStr">
        <is>
          <t>27705</t>
        </is>
      </c>
      <c r="B3933" s="246" t="inlineStr">
        <is>
          <t>Inflables importadas finas</t>
        </is>
      </c>
      <c r="C3933" s="227" t="n">
        <v>122700</v>
      </c>
      <c r="D3933" s="220">
        <f>ROUND((C3933*1.06)/100,0)*100</f>
        <v/>
      </c>
      <c r="E3933" s="220">
        <f>ROUND((C3933*1.13)/100,0)*100</f>
        <v/>
      </c>
      <c r="F3933" s="220">
        <f>ROUND((C3933*1.19)/100,0)*100</f>
        <v/>
      </c>
      <c r="G3933" s="220">
        <f>ROUND((C3933*1.25)/100,0)*100</f>
        <v/>
      </c>
      <c r="H3933" s="220">
        <f>ROUND((C3933*1.32)/100,0)*100</f>
        <v/>
      </c>
      <c r="I3933" s="221" t="n"/>
      <c r="J3933" s="205" t="n"/>
      <c r="K3933" s="219">
        <f>ROUND((C3933*Q3933)/100,0)*100</f>
        <v/>
      </c>
      <c r="L3933" s="219" t="n"/>
      <c r="M3933" s="219" t="n"/>
      <c r="P3933" s="117" t="n"/>
      <c r="Q3933" s="118" t="n">
        <v>1.15</v>
      </c>
      <c r="R3933" s="117" t="n"/>
      <c r="T3933" s="117" t="n"/>
    </row>
    <row r="3934">
      <c r="A3934" s="134" t="inlineStr">
        <is>
          <t>27706</t>
        </is>
      </c>
      <c r="B3934" s="225" t="inlineStr">
        <is>
          <t>TMILL GLOBO S/PIEL</t>
        </is>
      </c>
      <c r="C3934" s="227" t="n">
        <v>104800</v>
      </c>
      <c r="D3934" s="220">
        <f>ROUND((C3934*1.06)/100,0)*100</f>
        <v/>
      </c>
      <c r="E3934" s="220">
        <f>ROUND((C3934*1.13)/100,0)*100</f>
        <v/>
      </c>
      <c r="F3934" s="220">
        <f>ROUND((C3934*1.19)/100,0)*100</f>
        <v/>
      </c>
      <c r="G3934" s="220">
        <f>ROUND((C3934*1.25)/100,0)*100</f>
        <v/>
      </c>
      <c r="H3934" s="220">
        <f>ROUND((C3934*1.32)/100,0)*100</f>
        <v/>
      </c>
      <c r="I3934" s="221" t="n"/>
      <c r="J3934" s="205" t="n"/>
      <c r="K3934" s="219">
        <f>ROUND((C3934*Q3934)/100,0)*100</f>
        <v/>
      </c>
      <c r="L3934" s="219" t="n"/>
      <c r="M3934" s="219" t="n"/>
      <c r="P3934" s="117" t="n"/>
      <c r="Q3934" s="118" t="n">
        <v>1.15</v>
      </c>
      <c r="R3934" s="117" t="n"/>
      <c r="T3934" s="117" t="n"/>
    </row>
    <row r="3935">
      <c r="A3935" s="134" t="inlineStr">
        <is>
          <t>27707</t>
        </is>
      </c>
      <c r="B3935" s="225" t="inlineStr">
        <is>
          <t>GLOBO REVERSIBLE</t>
        </is>
      </c>
      <c r="C3935" s="227" t="n">
        <v>112900</v>
      </c>
      <c r="D3935" s="220">
        <f>ROUND((C3935*1.06)/100,0)*100</f>
        <v/>
      </c>
      <c r="E3935" s="220">
        <f>ROUND((C3935*1.13)/100,0)*100</f>
        <v/>
      </c>
      <c r="F3935" s="220">
        <f>ROUND((C3935*1.19)/100,0)*100</f>
        <v/>
      </c>
      <c r="G3935" s="220">
        <f>ROUND((C3935*1.25)/100,0)*100</f>
        <v/>
      </c>
      <c r="H3935" s="220">
        <f>ROUND((C3935*1.32)/100,0)*100</f>
        <v/>
      </c>
      <c r="I3935" s="221" t="n"/>
      <c r="J3935" s="205" t="n"/>
      <c r="K3935" s="219">
        <f>ROUND((C3935*Q3935)/100,0)*100</f>
        <v/>
      </c>
      <c r="L3935" s="219" t="n"/>
      <c r="M3935" s="219" t="n"/>
      <c r="P3935" s="117" t="n"/>
      <c r="Q3935" s="118" t="n">
        <v>1.15</v>
      </c>
      <c r="R3935" s="117" t="n"/>
      <c r="T3935" s="117" t="n"/>
    </row>
    <row r="3936">
      <c r="A3936" s="134" t="inlineStr">
        <is>
          <t>27708</t>
        </is>
      </c>
      <c r="B3936" s="225" t="inlineStr">
        <is>
          <t>TEJIDA LUREX</t>
        </is>
      </c>
      <c r="C3936" s="227" t="n">
        <v>59400</v>
      </c>
      <c r="D3936" s="220">
        <f>ROUND((C3936*1.06)/100,0)*100</f>
        <v/>
      </c>
      <c r="E3936" s="220">
        <f>ROUND((C3936*1.13)/100,0)*100</f>
        <v/>
      </c>
      <c r="F3936" s="220">
        <f>ROUND((C3936*1.19)/100,0)*100</f>
        <v/>
      </c>
      <c r="G3936" s="220">
        <f>ROUND((C3936*1.25)/100,0)*100</f>
        <v/>
      </c>
      <c r="H3936" s="220">
        <f>ROUND((C3936*1.32)/100,0)*100</f>
        <v/>
      </c>
      <c r="I3936" s="221" t="n"/>
      <c r="J3936" s="205" t="n"/>
      <c r="K3936" s="219">
        <f>ROUND((C3936*Q3936)/100,0)*100</f>
        <v/>
      </c>
      <c r="L3936" s="219" t="n"/>
      <c r="M3936" s="219" t="n"/>
      <c r="P3936" s="117" t="n"/>
      <c r="Q3936" s="118" t="n">
        <v>1.15</v>
      </c>
      <c r="R3936" s="117" t="n"/>
      <c r="T3936" s="117" t="n"/>
    </row>
    <row r="3937">
      <c r="A3937" s="134" t="inlineStr">
        <is>
          <t>27709</t>
        </is>
      </c>
      <c r="B3937" s="225" t="inlineStr">
        <is>
          <t>PILOTO GAB/MICROF</t>
        </is>
      </c>
      <c r="C3937" s="227" t="n">
        <v>95000</v>
      </c>
      <c r="D3937" s="220">
        <f>ROUND((C3937*1.06)/100,0)*100</f>
        <v/>
      </c>
      <c r="E3937" s="220">
        <f>ROUND((C3937*1.13)/100,0)*100</f>
        <v/>
      </c>
      <c r="F3937" s="220">
        <f>ROUND((C3937*1.19)/100,0)*100</f>
        <v/>
      </c>
      <c r="G3937" s="220">
        <f>ROUND((C3937*1.25)/100,0)*100</f>
        <v/>
      </c>
      <c r="H3937" s="220">
        <f>ROUND((C3937*1.32)/100,0)*100</f>
        <v/>
      </c>
      <c r="I3937" s="221" t="n"/>
      <c r="J3937" s="205" t="n"/>
      <c r="K3937" s="219">
        <f>ROUND((C3937*Q3937)/100,0)*100</f>
        <v/>
      </c>
      <c r="L3937" s="219" t="n"/>
      <c r="M3937" s="219" t="n"/>
      <c r="P3937" s="117" t="n"/>
      <c r="Q3937" s="118" t="n">
        <v>1.15</v>
      </c>
      <c r="R3937" s="117" t="n"/>
      <c r="T3937" s="117" t="n"/>
    </row>
    <row r="3938">
      <c r="A3938" s="134" t="inlineStr">
        <is>
          <t>27710</t>
        </is>
      </c>
      <c r="B3938" s="246" t="inlineStr">
        <is>
          <t>PARKA PIEL IMPORTADA</t>
        </is>
      </c>
      <c r="C3938" s="88" t="n">
        <v>125000</v>
      </c>
      <c r="D3938" s="220">
        <f>ROUND((C3938*1.06)/100,0)*100</f>
        <v/>
      </c>
      <c r="E3938" s="220" t="n"/>
      <c r="F3938" s="220" t="n"/>
      <c r="G3938" s="220" t="n"/>
      <c r="H3938" s="220" t="n"/>
      <c r="I3938" s="221" t="n"/>
      <c r="J3938" s="205" t="n"/>
      <c r="K3938" s="219">
        <f>ROUND((C3938*Q3938)/100,0)*100</f>
        <v/>
      </c>
      <c r="L3938" s="219" t="n"/>
      <c r="M3938" s="219" t="n"/>
      <c r="P3938" s="117" t="n"/>
      <c r="Q3938" s="118" t="n">
        <v>1.15</v>
      </c>
      <c r="R3938" s="117" t="n"/>
      <c r="T3938" s="117" t="n"/>
    </row>
    <row r="3939">
      <c r="A3939" s="134" t="inlineStr">
        <is>
          <t>27711</t>
        </is>
      </c>
      <c r="B3939" s="246" t="inlineStr">
        <is>
          <t>GLOBO IMPORTADA</t>
        </is>
      </c>
      <c r="C3939" s="88" t="n">
        <v>84000</v>
      </c>
      <c r="D3939" s="220">
        <f>ROUND((C3939*1.06)/100,0)*100</f>
        <v/>
      </c>
      <c r="E3939" s="220" t="n"/>
      <c r="F3939" s="220" t="n"/>
      <c r="G3939" s="220" t="n"/>
      <c r="H3939" s="220" t="n"/>
      <c r="I3939" s="221" t="n"/>
      <c r="J3939" s="205" t="n"/>
      <c r="K3939" s="219">
        <f>ROUND((C3939*Q3939)/100,0)*100</f>
        <v/>
      </c>
      <c r="L3939" s="219" t="n"/>
      <c r="M3939" s="219" t="n"/>
      <c r="P3939" s="117" t="n"/>
      <c r="Q3939" s="118" t="n">
        <v>1.15</v>
      </c>
      <c r="R3939" s="117" t="n"/>
      <c r="T3939" s="117" t="n"/>
    </row>
    <row r="3940">
      <c r="A3940" s="134" t="inlineStr">
        <is>
          <t>27712</t>
        </is>
      </c>
      <c r="B3940" s="246" t="inlineStr">
        <is>
          <t>MICROFIBRA REVERSIBLE</t>
        </is>
      </c>
      <c r="C3940" s="88" t="n">
        <v>89000</v>
      </c>
      <c r="D3940" s="220">
        <f>ROUND((C3940*1.06)/100,0)*100</f>
        <v/>
      </c>
      <c r="E3940" s="220" t="n"/>
      <c r="F3940" s="220" t="n"/>
      <c r="G3940" s="220" t="n"/>
      <c r="H3940" s="220" t="n"/>
      <c r="I3940" s="221" t="n"/>
      <c r="J3940" s="205" t="n"/>
      <c r="K3940" s="219">
        <f>ROUND((C3940*Q3940)/100,0)*100</f>
        <v/>
      </c>
      <c r="L3940" s="219" t="n"/>
      <c r="M3940" s="219" t="n"/>
      <c r="P3940" s="117" t="n"/>
      <c r="Q3940" s="118" t="n">
        <v>1.15</v>
      </c>
      <c r="R3940" s="117" t="n"/>
      <c r="T3940" s="117" t="n"/>
    </row>
    <row r="3941">
      <c r="A3941" s="134" t="inlineStr">
        <is>
          <t>27713</t>
        </is>
      </c>
      <c r="B3941" s="246" t="inlineStr">
        <is>
          <t>MATELASE IMPORTADA GRAN ORIENTE</t>
        </is>
      </c>
      <c r="C3941" s="88" t="n">
        <v>99000</v>
      </c>
      <c r="D3941" s="220">
        <f>ROUND((C3941*1.06)/100,0)*100</f>
        <v/>
      </c>
      <c r="E3941" s="220">
        <f>ROUND((D3941*1.06)/100,0)*100</f>
        <v/>
      </c>
      <c r="F3941" s="220">
        <f>ROUND((E3941*1.06)/100,0)*100</f>
        <v/>
      </c>
      <c r="G3941" s="220">
        <f>ROUND((F3941*1.06)/100,0)*100</f>
        <v/>
      </c>
      <c r="H3941" s="220">
        <f>ROUND((G3941*1.06)/100,0)*100</f>
        <v/>
      </c>
      <c r="I3941" s="220">
        <f>ROUND((H3941*1.06)/100,0)*100</f>
        <v/>
      </c>
      <c r="J3941" s="205" t="n"/>
      <c r="K3941" s="219">
        <f>ROUND((C3941*Q3941)/100,0)*100</f>
        <v/>
      </c>
      <c r="L3941" s="219" t="n"/>
      <c r="M3941" s="219" t="n"/>
      <c r="P3941" s="117" t="n"/>
      <c r="Q3941" s="118" t="n">
        <v>1.15</v>
      </c>
      <c r="R3941" s="117" t="n"/>
      <c r="T3941" s="117" t="n"/>
    </row>
    <row r="3942">
      <c r="A3942" s="134" t="inlineStr">
        <is>
          <t>27714</t>
        </is>
      </c>
      <c r="B3942" s="246" t="inlineStr">
        <is>
          <t>CAMPERA 2 EN 1 IMPORTADA</t>
        </is>
      </c>
      <c r="C3942" s="88" t="n">
        <v>95000</v>
      </c>
      <c r="D3942" s="220">
        <f>ROUND((C3942*1.1)/100,0)*100</f>
        <v/>
      </c>
      <c r="E3942" s="220">
        <f>ROUND((D3942)/100,0)*100</f>
        <v/>
      </c>
      <c r="F3942" s="220">
        <f>ROUND((E3942)/100,0)*100</f>
        <v/>
      </c>
      <c r="G3942" s="220">
        <f>ROUND((F3942)/100,0)*100</f>
        <v/>
      </c>
      <c r="H3942" s="220">
        <f>ROUND((G3942)/100,0)*100</f>
        <v/>
      </c>
      <c r="I3942" s="220">
        <f>ROUND((H3942)/100,0)*100</f>
        <v/>
      </c>
      <c r="J3942" s="205" t="n"/>
      <c r="K3942" s="219">
        <f>ROUND((C3942*Q3942)/100,0)*100</f>
        <v/>
      </c>
      <c r="L3942" s="219" t="n"/>
      <c r="M3942" s="219" t="n"/>
      <c r="P3942" s="117" t="n"/>
      <c r="Q3942" s="118" t="n">
        <v>1.15</v>
      </c>
      <c r="R3942" s="117" t="n"/>
      <c r="T3942" s="117" t="n"/>
    </row>
    <row r="3943">
      <c r="A3943" s="134" t="inlineStr">
        <is>
          <t>27715</t>
        </is>
      </c>
      <c r="B3943" s="246" t="inlineStr">
        <is>
          <t>PILOTO IMPORTADA T ESP</t>
        </is>
      </c>
      <c r="C3943" s="88" t="n">
        <v>89000</v>
      </c>
      <c r="D3943" s="220">
        <f>ROUND((C3943*1.1)/100,0)*100</f>
        <v/>
      </c>
      <c r="E3943" s="220">
        <f>ROUND((D3943)/100,0)*100</f>
        <v/>
      </c>
      <c r="F3943" s="220">
        <f>ROUND((E3943)/100,0)*100</f>
        <v/>
      </c>
      <c r="G3943" s="220">
        <f>ROUND((F3943)/100,0)*100</f>
        <v/>
      </c>
      <c r="H3943" s="220">
        <f>ROUND((G3943)/100,0)*100</f>
        <v/>
      </c>
      <c r="I3943" s="220">
        <f>ROUND((H3943)/100,0)*100</f>
        <v/>
      </c>
      <c r="J3943" s="205" t="n"/>
      <c r="K3943" s="219">
        <f>ROUND((C3943*Q3943)/100,0)*100</f>
        <v/>
      </c>
      <c r="L3943" s="219" t="n"/>
      <c r="M3943" s="219" t="n"/>
      <c r="P3943" s="117" t="n"/>
      <c r="Q3943" s="118" t="n">
        <v>1.15</v>
      </c>
      <c r="R3943" s="117" t="n"/>
      <c r="T3943" s="117" t="n"/>
    </row>
    <row r="3944">
      <c r="A3944" s="134" t="inlineStr">
        <is>
          <t>27716</t>
        </is>
      </c>
      <c r="B3944" s="246" t="inlineStr">
        <is>
          <t>2 EN 1 IMPORTADA DAMA</t>
        </is>
      </c>
      <c r="C3944" s="88" t="n">
        <v>98000</v>
      </c>
      <c r="D3944" s="220">
        <f>ROUND((C3944*1.1)/100,0)*100</f>
        <v/>
      </c>
      <c r="E3944" s="220">
        <f>ROUND((D3944)/100,0)*100</f>
        <v/>
      </c>
      <c r="F3944" s="220">
        <f>ROUND((E3944)/100,0)*100</f>
        <v/>
      </c>
      <c r="G3944" s="220">
        <f>ROUND((F3944)/100,0)*100</f>
        <v/>
      </c>
      <c r="H3944" s="220">
        <f>ROUND((G3944)/100,0)*100</f>
        <v/>
      </c>
      <c r="I3944" s="220">
        <f>ROUND((H3944)/100,0)*100</f>
        <v/>
      </c>
      <c r="J3944" s="205" t="n"/>
      <c r="K3944" s="219">
        <f>ROUND((C3944*Q3944)/100,0)*100</f>
        <v/>
      </c>
      <c r="L3944" s="219" t="n"/>
      <c r="M3944" s="219" t="n"/>
      <c r="P3944" s="117" t="n"/>
      <c r="Q3944" s="118" t="n">
        <v>1.15</v>
      </c>
      <c r="R3944" s="117" t="n"/>
      <c r="T3944" s="117" t="n"/>
    </row>
    <row r="3945">
      <c r="A3945" s="134" t="inlineStr">
        <is>
          <t>2771</t>
        </is>
      </c>
      <c r="B3945" s="246" t="inlineStr">
        <is>
          <t>TMILL SIMIL CUERO CORTA L/6XL</t>
        </is>
      </c>
      <c r="C3945" s="227" t="n">
        <v>94600</v>
      </c>
      <c r="D3945" s="220">
        <f>ROUND((C3945*1.06)/100,0)*100</f>
        <v/>
      </c>
      <c r="E3945" s="220" t="n"/>
      <c r="F3945" s="220" t="n"/>
      <c r="G3945" s="220" t="n"/>
      <c r="H3945" s="220" t="n"/>
      <c r="I3945" s="221" t="n"/>
      <c r="J3945" s="205" t="n"/>
      <c r="K3945" s="219">
        <f>ROUND((C3945*Q3945)/100,0)*100</f>
        <v/>
      </c>
      <c r="L3945" s="219" t="n"/>
      <c r="M3945" s="219" t="n"/>
      <c r="P3945" s="117" t="n"/>
      <c r="Q3945" s="118" t="n">
        <v>1.15</v>
      </c>
      <c r="R3945" s="117" t="n"/>
      <c r="T3945" s="117" t="n"/>
    </row>
    <row r="3946">
      <c r="A3946" s="134" t="inlineStr">
        <is>
          <t>27721</t>
        </is>
      </c>
      <c r="B3946" s="246" t="inlineStr">
        <is>
          <t>INFLABLES GLOBO LARGA</t>
        </is>
      </c>
      <c r="C3946" s="227" t="n">
        <v>95000</v>
      </c>
      <c r="D3946" s="220">
        <f>ROUND((C3946*1.06)/100,0)*100</f>
        <v/>
      </c>
      <c r="E3946" s="220" t="n"/>
      <c r="F3946" s="220" t="n"/>
      <c r="G3946" s="220" t="n"/>
      <c r="H3946" s="220" t="n"/>
      <c r="I3946" s="221" t="n"/>
      <c r="J3946" s="205" t="n"/>
      <c r="K3946" s="219">
        <f>ROUND((C3946*Q3946)/100,0)*100</f>
        <v/>
      </c>
      <c r="L3946" s="219" t="n"/>
      <c r="M3946" s="219" t="n"/>
      <c r="P3946" s="117" t="n"/>
      <c r="Q3946" s="118" t="n">
        <v>1.15</v>
      </c>
      <c r="R3946" s="117" t="n"/>
      <c r="T3946" s="117" t="n"/>
    </row>
    <row r="3947">
      <c r="A3947" s="89" t="inlineStr">
        <is>
          <t>22072</t>
        </is>
      </c>
      <c r="B3947" s="226" t="inlineStr">
        <is>
          <t>GLOBO  S-XXL</t>
        </is>
      </c>
      <c r="C3947" s="227" t="n">
        <v>69000</v>
      </c>
      <c r="D3947" s="220" t="n"/>
      <c r="E3947" s="220" t="n"/>
      <c r="F3947" s="220" t="n"/>
      <c r="G3947" s="220" t="n"/>
      <c r="H3947" s="220" t="n"/>
      <c r="I3947" s="228" t="n"/>
      <c r="J3947" s="207" t="n"/>
      <c r="K3947" s="88">
        <f>ROUND((C3947*Q3947)/100,0)*100</f>
        <v/>
      </c>
      <c r="L3947" s="88" t="n"/>
      <c r="M3947" s="88" t="n"/>
      <c r="N3947" s="96" t="n"/>
      <c r="O3947" s="96" t="n"/>
      <c r="P3947" s="150" t="n"/>
      <c r="Q3947" s="118" t="n">
        <v>1.15</v>
      </c>
      <c r="R3947" s="150" t="n"/>
      <c r="S3947" s="96" t="n"/>
      <c r="T3947" s="150" t="n"/>
      <c r="U3947" s="96" t="n"/>
      <c r="V3947" s="96" t="n"/>
      <c r="W3947" s="96" t="n"/>
      <c r="X3947" s="96" t="n"/>
      <c r="Y3947" s="30" t="n"/>
      <c r="Z3947" s="30" t="n"/>
      <c r="AA3947" s="30" t="n"/>
      <c r="AB3947" s="30" t="n"/>
      <c r="AC3947" s="30" t="n"/>
      <c r="AD3947" s="30" t="n"/>
      <c r="AE3947" s="30" t="n"/>
      <c r="AF3947" s="30" t="n"/>
      <c r="AG3947" s="30" t="n"/>
      <c r="AH3947" s="30" t="n"/>
      <c r="AI3947" s="30" t="n"/>
      <c r="AJ3947" s="30" t="n"/>
      <c r="AK3947" s="30" t="n"/>
      <c r="AL3947" s="30" t="n"/>
      <c r="AM3947" s="30" t="n"/>
      <c r="AN3947" s="30" t="n"/>
    </row>
    <row r="3948">
      <c r="A3948" s="89" t="inlineStr">
        <is>
          <t>22073</t>
        </is>
      </c>
      <c r="B3948" s="226" t="inlineStr">
        <is>
          <t>GLOBO  S-XXL</t>
        </is>
      </c>
      <c r="C3948" s="227" t="n">
        <v>59000</v>
      </c>
      <c r="D3948" s="220" t="n"/>
      <c r="E3948" s="220" t="n"/>
      <c r="F3948" s="220" t="n"/>
      <c r="G3948" s="220" t="n"/>
      <c r="H3948" s="220" t="n"/>
      <c r="I3948" s="228" t="n"/>
      <c r="J3948" s="207" t="n"/>
      <c r="K3948" s="88">
        <f>ROUND((C3948*Q3948)/100,0)*100</f>
        <v/>
      </c>
      <c r="L3948" s="88" t="n"/>
      <c r="M3948" s="88" t="n"/>
      <c r="N3948" s="96" t="n"/>
      <c r="O3948" s="96" t="n"/>
      <c r="P3948" s="150" t="n"/>
      <c r="Q3948" s="118" t="n">
        <v>1.15</v>
      </c>
      <c r="R3948" s="150" t="n"/>
      <c r="S3948" s="96" t="n"/>
      <c r="T3948" s="150" t="n"/>
      <c r="U3948" s="96" t="n"/>
      <c r="V3948" s="96" t="n"/>
      <c r="W3948" s="96" t="n"/>
      <c r="X3948" s="96" t="n"/>
      <c r="Y3948" s="30" t="n"/>
      <c r="Z3948" s="30" t="n"/>
      <c r="AA3948" s="30" t="n"/>
      <c r="AB3948" s="30" t="n"/>
      <c r="AC3948" s="30" t="n"/>
      <c r="AD3948" s="30" t="n"/>
      <c r="AE3948" s="30" t="n"/>
      <c r="AF3948" s="30" t="n"/>
      <c r="AG3948" s="30" t="n"/>
      <c r="AH3948" s="30" t="n"/>
      <c r="AI3948" s="30" t="n"/>
      <c r="AJ3948" s="30" t="n"/>
      <c r="AK3948" s="30" t="n"/>
      <c r="AL3948" s="30" t="n"/>
      <c r="AM3948" s="30" t="n"/>
      <c r="AN3948" s="30" t="n"/>
    </row>
    <row r="3949">
      <c r="A3949" s="89" t="inlineStr">
        <is>
          <t>22074</t>
        </is>
      </c>
      <c r="B3949" s="226" t="inlineStr">
        <is>
          <t>GAMULAN IMPORT</t>
        </is>
      </c>
      <c r="C3949" s="227" t="n">
        <v>97000</v>
      </c>
      <c r="D3949" s="220" t="n"/>
      <c r="E3949" s="220" t="n"/>
      <c r="F3949" s="220" t="n"/>
      <c r="G3949" s="220" t="n"/>
      <c r="H3949" s="220" t="n"/>
      <c r="I3949" s="228" t="n"/>
      <c r="J3949" s="207" t="n"/>
      <c r="K3949" s="88">
        <f>ROUND((C3949*Q3949)/100,0)*100</f>
        <v/>
      </c>
      <c r="L3949" s="88" t="n"/>
      <c r="M3949" s="88" t="n"/>
      <c r="N3949" s="96" t="n"/>
      <c r="O3949" s="96" t="n"/>
      <c r="P3949" s="150" t="n"/>
      <c r="Q3949" s="118" t="n">
        <v>1.15</v>
      </c>
      <c r="R3949" s="150" t="n"/>
      <c r="S3949" s="96" t="n"/>
      <c r="T3949" s="150" t="n"/>
      <c r="U3949" s="96" t="n"/>
      <c r="V3949" s="96" t="n"/>
      <c r="W3949" s="96" t="n"/>
      <c r="X3949" s="96" t="n"/>
      <c r="Y3949" s="30" t="n"/>
      <c r="Z3949" s="30" t="n"/>
      <c r="AA3949" s="30" t="n"/>
      <c r="AB3949" s="30" t="n"/>
      <c r="AC3949" s="30" t="n"/>
      <c r="AD3949" s="30" t="n"/>
      <c r="AE3949" s="30" t="n"/>
      <c r="AF3949" s="30" t="n"/>
      <c r="AG3949" s="30" t="n"/>
      <c r="AH3949" s="30" t="n"/>
      <c r="AI3949" s="30" t="n"/>
      <c r="AJ3949" s="30" t="n"/>
      <c r="AK3949" s="30" t="n"/>
      <c r="AL3949" s="30" t="n"/>
      <c r="AM3949" s="30" t="n"/>
      <c r="AN3949" s="30" t="n"/>
    </row>
    <row r="3950">
      <c r="A3950" s="89" t="inlineStr">
        <is>
          <t>27720</t>
        </is>
      </c>
      <c r="B3950" s="226" t="inlineStr">
        <is>
          <t>GLOBO  S-XXL</t>
        </is>
      </c>
      <c r="C3950" s="227" t="n">
        <v>65000</v>
      </c>
      <c r="D3950" s="220" t="n"/>
      <c r="E3950" s="220" t="n"/>
      <c r="F3950" s="220" t="n"/>
      <c r="G3950" s="220" t="n"/>
      <c r="H3950" s="220" t="n"/>
      <c r="I3950" s="228" t="n"/>
      <c r="J3950" s="207" t="n"/>
      <c r="K3950" s="88">
        <f>ROUND((C3950*Q3950)/100,0)*100</f>
        <v/>
      </c>
      <c r="L3950" s="88" t="n"/>
      <c r="M3950" s="88" t="n"/>
      <c r="N3950" s="96" t="n"/>
      <c r="O3950" s="96" t="n"/>
      <c r="P3950" s="150" t="n"/>
      <c r="Q3950" s="118" t="n">
        <v>1.15</v>
      </c>
      <c r="R3950" s="150" t="n"/>
      <c r="S3950" s="96" t="n"/>
      <c r="T3950" s="150" t="n"/>
      <c r="U3950" s="96" t="n"/>
      <c r="V3950" s="96" t="n"/>
      <c r="W3950" s="96" t="n"/>
      <c r="X3950" s="96" t="n"/>
      <c r="Y3950" s="30" t="n"/>
      <c r="Z3950" s="30" t="n"/>
      <c r="AA3950" s="30" t="n"/>
      <c r="AB3950" s="30" t="n"/>
      <c r="AC3950" s="30" t="n"/>
      <c r="AD3950" s="30" t="n"/>
      <c r="AE3950" s="30" t="n"/>
      <c r="AF3950" s="30" t="n"/>
      <c r="AG3950" s="30" t="n"/>
      <c r="AH3950" s="30" t="n"/>
      <c r="AI3950" s="30" t="n"/>
      <c r="AJ3950" s="30" t="n"/>
      <c r="AK3950" s="30" t="n"/>
      <c r="AL3950" s="30" t="n"/>
      <c r="AM3950" s="30" t="n"/>
      <c r="AN3950" s="30" t="n"/>
    </row>
    <row r="3951">
      <c r="A3951" s="134" t="inlineStr">
        <is>
          <t>27721</t>
        </is>
      </c>
      <c r="B3951" s="225" t="inlineStr">
        <is>
          <t>GLOBO 3XL-6XL</t>
        </is>
      </c>
      <c r="C3951" s="227" t="n">
        <v>127900</v>
      </c>
      <c r="D3951" s="220" t="n"/>
      <c r="E3951" s="220" t="n"/>
      <c r="F3951" s="220" t="n"/>
      <c r="G3951" s="220" t="n"/>
      <c r="H3951" s="220" t="n"/>
      <c r="I3951" s="221" t="n"/>
      <c r="J3951" s="205" t="n"/>
      <c r="K3951" s="219">
        <f>ROUND((C3951*Q3951)/100,0)*100</f>
        <v/>
      </c>
      <c r="L3951" s="219" t="n"/>
      <c r="M3951" s="219" t="n"/>
      <c r="P3951" s="117" t="n"/>
      <c r="Q3951" s="118" t="n">
        <v>1.15</v>
      </c>
      <c r="R3951" s="117" t="n"/>
      <c r="T3951" s="117" t="n"/>
    </row>
    <row r="3952">
      <c r="A3952" s="134" t="inlineStr">
        <is>
          <t>27722</t>
        </is>
      </c>
      <c r="B3952" s="246" t="inlineStr">
        <is>
          <t>CAMPERA SANGARFINE</t>
        </is>
      </c>
      <c r="C3952" s="227" t="n">
        <v>52300</v>
      </c>
      <c r="D3952" s="220">
        <f>ROUND((C3952*1.06)/100,0)*100</f>
        <v/>
      </c>
      <c r="E3952" s="220" t="n"/>
      <c r="F3952" s="220" t="n"/>
      <c r="G3952" s="220" t="n"/>
      <c r="H3952" s="220" t="n"/>
      <c r="I3952" s="221" t="n"/>
      <c r="J3952" s="205" t="n"/>
      <c r="K3952" s="219">
        <f>ROUND((C3952*Q3952)/100,0)*100</f>
        <v/>
      </c>
      <c r="L3952" s="219" t="n"/>
      <c r="M3952" s="219" t="n"/>
      <c r="P3952" s="117" t="n"/>
      <c r="Q3952" s="118" t="n">
        <v>1.15</v>
      </c>
      <c r="R3952" s="117" t="n"/>
      <c r="T3952" s="117" t="n"/>
    </row>
    <row r="3953">
      <c r="A3953" s="134" t="inlineStr">
        <is>
          <t>2773</t>
        </is>
      </c>
      <c r="B3953" s="246" t="inlineStr">
        <is>
          <t>YD GABARDINA FINA CON CINTO YZ75721/22/32</t>
        </is>
      </c>
      <c r="C3953" s="227" t="n">
        <v>122500</v>
      </c>
      <c r="D3953" s="220">
        <f>ROUND((C3953*1.06)/100,0)*100</f>
        <v/>
      </c>
      <c r="E3953" s="220" t="n"/>
      <c r="F3953" s="220" t="n"/>
      <c r="G3953" s="220" t="n"/>
      <c r="H3953" s="220" t="n"/>
      <c r="I3953" s="221" t="n"/>
      <c r="J3953" s="205" t="n"/>
      <c r="K3953" s="219">
        <f>ROUND((C3953*Q3953)/100,0)*100</f>
        <v/>
      </c>
      <c r="L3953" s="219" t="n"/>
      <c r="M3953" s="219" t="n"/>
      <c r="P3953" s="117" t="n"/>
      <c r="Q3953" s="118" t="n">
        <v>1.15</v>
      </c>
      <c r="R3953" s="117" t="n"/>
      <c r="T3953" s="117" t="n"/>
    </row>
    <row r="3954">
      <c r="A3954" s="134" t="inlineStr">
        <is>
          <t>2774</t>
        </is>
      </c>
      <c r="B3954" s="246" t="inlineStr">
        <is>
          <t>TMILL GABARDINA FINA HA10-70</t>
        </is>
      </c>
      <c r="C3954" s="227" t="n">
        <v>104700</v>
      </c>
      <c r="D3954" s="220">
        <f>ROUND((C3954*1.06)/100,0)*100</f>
        <v/>
      </c>
      <c r="E3954" s="220">
        <f>ROUND((C3954*1.13)/100,0)*100</f>
        <v/>
      </c>
      <c r="F3954" s="220">
        <f>ROUND((C3954*1.19)/100,0)*100</f>
        <v/>
      </c>
      <c r="G3954" s="220">
        <f>ROUND((C3954*1.25)/100,0)*100</f>
        <v/>
      </c>
      <c r="H3954" s="220">
        <f>ROUND((C3954*1.32)/100,0)*100</f>
        <v/>
      </c>
      <c r="I3954" s="221" t="n"/>
      <c r="J3954" s="205" t="n"/>
      <c r="K3954" s="219">
        <f>ROUND((C3954*Q3954)/100,0)*100</f>
        <v/>
      </c>
      <c r="L3954" s="219" t="n"/>
      <c r="M3954" s="219" t="n"/>
      <c r="P3954" s="117" t="n"/>
      <c r="Q3954" s="118" t="n">
        <v>1.15</v>
      </c>
      <c r="R3954" s="117" t="n"/>
      <c r="T3954" s="117" t="n"/>
    </row>
    <row r="3955">
      <c r="A3955" s="134" t="inlineStr">
        <is>
          <t>27741</t>
        </is>
      </c>
      <c r="B3955" s="246" t="inlineStr">
        <is>
          <t xml:space="preserve">GABARDINA ECON. </t>
        </is>
      </c>
      <c r="C3955" s="227" t="n">
        <v>1200</v>
      </c>
      <c r="D3955" s="220">
        <f>ROUND((C3955*1.06)/100,0)*100</f>
        <v/>
      </c>
      <c r="E3955" s="220">
        <f>ROUND((C3955*1.13)/100,0)*100</f>
        <v/>
      </c>
      <c r="F3955" s="220">
        <f>ROUND((C3955*1.19)/100,0)*100</f>
        <v/>
      </c>
      <c r="G3955" s="220">
        <f>ROUND((C3955*1.25)/100,0)*100</f>
        <v/>
      </c>
      <c r="H3955" s="220">
        <f>ROUND((C3955*1.32)/100,0)*100</f>
        <v/>
      </c>
      <c r="I3955" s="221" t="n"/>
      <c r="J3955" s="205" t="n"/>
      <c r="K3955" s="219">
        <f>ROUND((C3955*Q3955)/100,0)*100</f>
        <v/>
      </c>
      <c r="L3955" s="219" t="n"/>
      <c r="M3955" s="219" t="n"/>
      <c r="P3955" s="117" t="n"/>
      <c r="Q3955" s="118" t="n">
        <v>1.15</v>
      </c>
      <c r="R3955" s="117" t="n"/>
      <c r="T3955" s="117" t="n"/>
    </row>
    <row r="3956">
      <c r="A3956" s="134" t="inlineStr">
        <is>
          <t>27742</t>
        </is>
      </c>
      <c r="B3956" s="246" t="inlineStr">
        <is>
          <t>GABARDINA ELASTIZADA</t>
        </is>
      </c>
      <c r="C3956" s="227" t="n">
        <v>44700</v>
      </c>
      <c r="D3956" s="220">
        <f>ROUND((C3956*1.06)/100,0)*100</f>
        <v/>
      </c>
      <c r="E3956" s="220">
        <f>ROUND((C3956*1.13)/100,0)*100</f>
        <v/>
      </c>
      <c r="F3956" s="220">
        <f>ROUND((C3956*1.19)/100,0)*100</f>
        <v/>
      </c>
      <c r="G3956" s="220">
        <f>ROUND((C3956*1.25)/100,0)*100</f>
        <v/>
      </c>
      <c r="H3956" s="220">
        <f>ROUND((C3956*1.32)/100,0)*100</f>
        <v/>
      </c>
      <c r="I3956" s="221" t="n"/>
      <c r="J3956" s="205" t="n"/>
      <c r="K3956" s="219">
        <f>ROUND((C3956*Q3956)/100,0)*100</f>
        <v/>
      </c>
      <c r="L3956" s="219" t="n"/>
      <c r="M3956" s="219" t="n"/>
      <c r="P3956" s="117" t="n"/>
      <c r="Q3956" s="118" t="n">
        <v>1.15</v>
      </c>
      <c r="R3956" s="117" t="n"/>
      <c r="T3956" s="117" t="n"/>
    </row>
    <row r="3957">
      <c r="A3957" s="134" t="inlineStr">
        <is>
          <t>27749</t>
        </is>
      </c>
      <c r="B3957" s="246" t="inlineStr">
        <is>
          <t>CAMPERA IMPERMEABLE</t>
        </is>
      </c>
      <c r="C3957" s="227" t="n">
        <v>21900</v>
      </c>
      <c r="D3957" s="220">
        <f>ROUND((C3957*1.06)/100,0)*100</f>
        <v/>
      </c>
      <c r="E3957" s="220">
        <f>ROUND((C3957*1.13)/100,0)*100</f>
        <v/>
      </c>
      <c r="F3957" s="220">
        <f>ROUND((C3957*1.19)/100,0)*100</f>
        <v/>
      </c>
      <c r="G3957" s="220">
        <f>ROUND((C3957*1.25)/100,0)*100</f>
        <v/>
      </c>
      <c r="H3957" s="220">
        <f>ROUND((C3957*1.32)/100,0)*100</f>
        <v/>
      </c>
      <c r="I3957" s="221" t="n"/>
      <c r="J3957" s="205" t="n"/>
      <c r="K3957" s="219" t="n">
        <v>21900</v>
      </c>
      <c r="L3957" s="219" t="n"/>
      <c r="M3957" s="219" t="n"/>
      <c r="P3957" s="117" t="n"/>
      <c r="Q3957" s="118" t="n">
        <v>1.15</v>
      </c>
      <c r="R3957" s="117" t="n"/>
      <c r="T3957" s="117" t="n"/>
    </row>
    <row r="3958">
      <c r="A3958" s="134" t="inlineStr">
        <is>
          <t>27750</t>
        </is>
      </c>
      <c r="B3958" s="246" t="inlineStr">
        <is>
          <t>CAMPERA IMPERMEABLE</t>
        </is>
      </c>
      <c r="C3958" s="227" t="n">
        <v>78500</v>
      </c>
      <c r="D3958" s="220">
        <f>ROUND((C3958*1.06)/100,0)*100</f>
        <v/>
      </c>
      <c r="E3958" s="220">
        <f>ROUND((C3958*1.13)/100,0)*100</f>
        <v/>
      </c>
      <c r="F3958" s="220">
        <f>ROUND((C3958*1.19)/100,0)*100</f>
        <v/>
      </c>
      <c r="G3958" s="220">
        <f>ROUND((C3958*1.25)/100,0)*100</f>
        <v/>
      </c>
      <c r="H3958" s="220">
        <f>ROUND((C3958*1.32)/100,0)*100</f>
        <v/>
      </c>
      <c r="I3958" s="221" t="n"/>
      <c r="J3958" s="205" t="n"/>
      <c r="K3958" s="219">
        <f>ROUND((C3958*Q3958)/100,0)*100</f>
        <v/>
      </c>
      <c r="L3958" s="219" t="n"/>
      <c r="M3958" s="219" t="n"/>
      <c r="P3958" s="117" t="n"/>
      <c r="Q3958" s="118" t="n">
        <v>1.15</v>
      </c>
      <c r="R3958" s="117" t="n"/>
      <c r="T3958" s="117" t="n"/>
    </row>
    <row r="3959">
      <c r="A3959" s="134" t="inlineStr">
        <is>
          <t>27751</t>
        </is>
      </c>
      <c r="B3959" s="246" t="inlineStr">
        <is>
          <t>CAMPERA IMPERMEABLE</t>
        </is>
      </c>
      <c r="C3959" s="229" t="n">
        <v>71900</v>
      </c>
      <c r="D3959" s="220">
        <f>ROUND((C3959*1.06)/100,0)*100</f>
        <v/>
      </c>
      <c r="E3959" s="220">
        <f>ROUND((C3959*1.13)/100,0)*100</f>
        <v/>
      </c>
      <c r="F3959" s="220">
        <f>ROUND((C3959*1.19)/100,0)*100</f>
        <v/>
      </c>
      <c r="G3959" s="220">
        <f>ROUND((C3959*1.25)/100,0)*100</f>
        <v/>
      </c>
      <c r="H3959" s="220">
        <f>ROUND((C3959*1.32)/100,0)*100</f>
        <v/>
      </c>
      <c r="I3959" s="221" t="n"/>
      <c r="J3959" s="205" t="n"/>
      <c r="K3959" s="219">
        <f>ROUND((C3959*Q3959)/100,0)*100</f>
        <v/>
      </c>
      <c r="L3959" s="219" t="n"/>
      <c r="M3959" s="219" t="n"/>
      <c r="P3959" s="117" t="n"/>
      <c r="Q3959" s="118" t="n">
        <v>1.15</v>
      </c>
      <c r="R3959" s="117" t="n"/>
      <c r="T3959" s="117" t="n"/>
    </row>
    <row r="3960">
      <c r="A3960" s="134" t="inlineStr">
        <is>
          <t>27752</t>
        </is>
      </c>
      <c r="B3960" s="246" t="inlineStr">
        <is>
          <t>CAMPERA IMPERMEABLE</t>
        </is>
      </c>
      <c r="C3960" s="229" t="n">
        <v>71900</v>
      </c>
      <c r="D3960" s="220">
        <f>ROUND((C3960*1.06)/100,0)*100</f>
        <v/>
      </c>
      <c r="E3960" s="220">
        <f>ROUND((C3960*1.13)/100,0)*100</f>
        <v/>
      </c>
      <c r="F3960" s="220">
        <f>ROUND((C3960*1.19)/100,0)*100</f>
        <v/>
      </c>
      <c r="G3960" s="220">
        <f>ROUND((C3960*1.25)/100,0)*100</f>
        <v/>
      </c>
      <c r="H3960" s="220">
        <f>ROUND((C3960*1.32)/100,0)*100</f>
        <v/>
      </c>
      <c r="I3960" s="221" t="n"/>
      <c r="J3960" s="205" t="n"/>
      <c r="K3960" s="219">
        <f>ROUND((C3960*Q3960)/100,0)*100</f>
        <v/>
      </c>
      <c r="L3960" s="219" t="n"/>
      <c r="M3960" s="219" t="n"/>
      <c r="P3960" s="117" t="n"/>
      <c r="Q3960" s="118" t="n">
        <v>1.15</v>
      </c>
      <c r="R3960" s="117" t="n"/>
      <c r="T3960" s="117" t="n"/>
    </row>
    <row r="3961">
      <c r="A3961" s="134" t="inlineStr">
        <is>
          <t>27753</t>
        </is>
      </c>
      <c r="B3961" s="246" t="inlineStr">
        <is>
          <t>CAMPERA IMPERMEABLE</t>
        </is>
      </c>
      <c r="C3961" s="227" t="n">
        <v>77900</v>
      </c>
      <c r="D3961" s="220">
        <f>ROUND((C3961*1.06)/100,0)*100</f>
        <v/>
      </c>
      <c r="E3961" s="220">
        <f>ROUND((C3961*1.13)/100,0)*100</f>
        <v/>
      </c>
      <c r="F3961" s="220">
        <f>ROUND((C3961*1.19)/100,0)*100</f>
        <v/>
      </c>
      <c r="G3961" s="220">
        <f>ROUND((C3961*1.25)/100,0)*100</f>
        <v/>
      </c>
      <c r="H3961" s="220">
        <f>ROUND((C3961*1.32)/100,0)*100</f>
        <v/>
      </c>
      <c r="I3961" s="221" t="n"/>
      <c r="J3961" s="205" t="n"/>
      <c r="K3961" s="219">
        <f>ROUND((C3961*Q3961)/100,0)*100</f>
        <v/>
      </c>
      <c r="L3961" s="219" t="n"/>
      <c r="M3961" s="219" t="n"/>
      <c r="P3961" s="117" t="n"/>
      <c r="Q3961" s="118" t="n">
        <v>1.15</v>
      </c>
      <c r="R3961" s="117" t="n"/>
      <c r="T3961" s="117" t="n"/>
    </row>
    <row r="3962">
      <c r="A3962" s="134" t="inlineStr">
        <is>
          <t>27754</t>
        </is>
      </c>
      <c r="B3962" s="246" t="inlineStr">
        <is>
          <t>CAMPERA IMPERMEABLE</t>
        </is>
      </c>
      <c r="C3962" s="227" t="n">
        <v>57200</v>
      </c>
      <c r="D3962" s="220">
        <f>ROUND((C3962*1.06)/100,0)*100</f>
        <v/>
      </c>
      <c r="E3962" s="220">
        <f>ROUND((C3962*1.13)/100,0)*100</f>
        <v/>
      </c>
      <c r="F3962" s="220">
        <f>ROUND((C3962*1.19)/100,0)*100</f>
        <v/>
      </c>
      <c r="G3962" s="220">
        <f>ROUND((C3962*1.25)/100,0)*100</f>
        <v/>
      </c>
      <c r="H3962" s="220">
        <f>ROUND((C3962*1.32)/100,0)*100</f>
        <v/>
      </c>
      <c r="I3962" s="221" t="n"/>
      <c r="J3962" s="205" t="n"/>
      <c r="K3962" s="219">
        <f>ROUND((C3962*Q3962)/100,0)*100</f>
        <v/>
      </c>
      <c r="L3962" s="219" t="n"/>
      <c r="M3962" s="219" t="n"/>
      <c r="P3962" s="117" t="n"/>
      <c r="Q3962" s="118" t="n">
        <v>1.15</v>
      </c>
      <c r="R3962" s="117" t="n"/>
      <c r="T3962" s="117" t="n"/>
    </row>
    <row r="3963">
      <c r="A3963" s="134" t="inlineStr">
        <is>
          <t>27755</t>
        </is>
      </c>
      <c r="B3963" s="246" t="inlineStr">
        <is>
          <t>CAMPERA GEMIX</t>
        </is>
      </c>
      <c r="C3963" s="227" t="n">
        <v>48300</v>
      </c>
      <c r="D3963" s="220">
        <f>ROUND((C3963*1.06)/100,0)*100</f>
        <v/>
      </c>
      <c r="E3963" s="220">
        <f>ROUND((C3963*1.13)/100,0)*100</f>
        <v/>
      </c>
      <c r="F3963" s="220">
        <f>ROUND((C3963*1.19)/100,0)*100</f>
        <v/>
      </c>
      <c r="G3963" s="220">
        <f>ROUND((C3963*1.25)/100,0)*100</f>
        <v/>
      </c>
      <c r="H3963" s="220">
        <f>ROUND((C3963*1.32)/100,0)*100</f>
        <v/>
      </c>
      <c r="I3963" s="221" t="n"/>
      <c r="J3963" s="205" t="n"/>
      <c r="K3963" s="219">
        <f>ROUND((C3963*Q3963)/100,0)*100</f>
        <v/>
      </c>
      <c r="L3963" s="219" t="n"/>
      <c r="M3963" s="219" t="n"/>
      <c r="P3963" s="117" t="n"/>
      <c r="Q3963" s="118" t="n">
        <v>1.15</v>
      </c>
      <c r="R3963" s="117" t="n"/>
      <c r="T3963" s="117" t="n"/>
    </row>
    <row r="3964">
      <c r="A3964" s="134" t="inlineStr">
        <is>
          <t>27756/2535</t>
        </is>
      </c>
      <c r="B3964" s="246" t="inlineStr">
        <is>
          <t>CAMPERA KRATER</t>
        </is>
      </c>
      <c r="C3964" s="227" t="n">
        <v>96600</v>
      </c>
      <c r="D3964" s="220">
        <f>ROUND((C3964*1.06)/100,0)*100</f>
        <v/>
      </c>
      <c r="E3964" s="220">
        <f>ROUND((C3964*1.13)/100,0)*100</f>
        <v/>
      </c>
      <c r="F3964" s="220">
        <f>ROUND((C3964*1.19)/100,0)*100</f>
        <v/>
      </c>
      <c r="G3964" s="220">
        <f>ROUND((C3964*1.25)/100,0)*100</f>
        <v/>
      </c>
      <c r="H3964" s="220">
        <f>ROUND((C3964*1.32)/100,0)*100</f>
        <v/>
      </c>
      <c r="I3964" s="221" t="n"/>
      <c r="J3964" s="205" t="n"/>
      <c r="K3964" s="219">
        <f>ROUND((C3964*Q3964)/100,0)*100</f>
        <v/>
      </c>
      <c r="L3964" s="219" t="n"/>
      <c r="M3964" s="219" t="n"/>
      <c r="P3964" s="117" t="n"/>
      <c r="Q3964" s="118" t="n">
        <v>1.15</v>
      </c>
      <c r="R3964" s="117" t="n"/>
      <c r="T3964" s="117" t="n"/>
    </row>
    <row r="3965">
      <c r="A3965" s="134" t="inlineStr">
        <is>
          <t>27757</t>
        </is>
      </c>
      <c r="B3965" s="246" t="inlineStr">
        <is>
          <t>CAMPERA MATELASE NAITE</t>
        </is>
      </c>
      <c r="C3965" s="227" t="n">
        <v>47400</v>
      </c>
      <c r="D3965" s="220">
        <f>ROUND((C3965*1.06)/100,0)*100</f>
        <v/>
      </c>
      <c r="E3965" s="220">
        <f>ROUND((C3965*1.13)/100,0)*100</f>
        <v/>
      </c>
      <c r="F3965" s="220">
        <f>ROUND((C3965*1.19)/100,0)*100</f>
        <v/>
      </c>
      <c r="G3965" s="220">
        <f>ROUND((C3965*1.25)/100,0)*100</f>
        <v/>
      </c>
      <c r="H3965" s="220">
        <f>ROUND((C3965*1.32)/100,0)*100</f>
        <v/>
      </c>
      <c r="I3965" s="221" t="n"/>
      <c r="J3965" s="205" t="n"/>
      <c r="K3965" s="219">
        <f>ROUND((C3965*Q3965)/100,0)*100</f>
        <v/>
      </c>
      <c r="L3965" s="219" t="n"/>
      <c r="M3965" s="219" t="n"/>
      <c r="P3965" s="117" t="n"/>
      <c r="Q3965" s="118" t="n">
        <v>1.15</v>
      </c>
      <c r="R3965" s="117" t="n"/>
      <c r="T3965" s="117" t="n"/>
    </row>
    <row r="3966">
      <c r="A3966" s="134" t="inlineStr">
        <is>
          <t>27758</t>
        </is>
      </c>
      <c r="B3966" s="246" t="inlineStr">
        <is>
          <t>CHALECO NAITE</t>
        </is>
      </c>
      <c r="C3966" s="227" t="n">
        <v>54900</v>
      </c>
      <c r="D3966" s="220">
        <f>ROUND((C3966*1.06)/100,0)*100</f>
        <v/>
      </c>
      <c r="E3966" s="220">
        <f>ROUND((C3966*1.13)/100,0)*100</f>
        <v/>
      </c>
      <c r="F3966" s="220">
        <f>ROUND((C3966*1.19)/100,0)*100</f>
        <v/>
      </c>
      <c r="G3966" s="220">
        <f>ROUND((C3966*1.25)/100,0)*100</f>
        <v/>
      </c>
      <c r="H3966" s="220">
        <f>ROUND((C3966*1.32)/100,0)*100</f>
        <v/>
      </c>
      <c r="I3966" s="221" t="n"/>
      <c r="J3966" s="205" t="n"/>
      <c r="K3966" s="219">
        <f>ROUND((C3966*Q3966)/100,0)*100</f>
        <v/>
      </c>
      <c r="L3966" s="219" t="n"/>
      <c r="M3966" s="219" t="n"/>
      <c r="P3966" s="117" t="n"/>
      <c r="Q3966" s="118" t="n">
        <v>1.15</v>
      </c>
      <c r="R3966" s="117" t="n"/>
      <c r="T3966" s="117" t="n"/>
    </row>
    <row r="3967">
      <c r="A3967" s="134" t="inlineStr">
        <is>
          <t>27759</t>
        </is>
      </c>
      <c r="B3967" s="246" t="inlineStr">
        <is>
          <t>TAPADOS BOTONES NAITE</t>
        </is>
      </c>
      <c r="C3967" s="227" t="n">
        <v>25900</v>
      </c>
      <c r="D3967" s="220">
        <f>ROUND((C3967*1.06)/100,0)*100</f>
        <v/>
      </c>
      <c r="E3967" s="220">
        <f>ROUND((C3967*1.13)/100,0)*100</f>
        <v/>
      </c>
      <c r="F3967" s="220">
        <f>ROUND((C3967*1.19)/100,0)*100</f>
        <v/>
      </c>
      <c r="G3967" s="220">
        <f>ROUND((C3967*1.25)/100,0)*100</f>
        <v/>
      </c>
      <c r="H3967" s="220">
        <f>ROUND((C3967*1.32)/100,0)*100</f>
        <v/>
      </c>
      <c r="I3967" s="221" t="n"/>
      <c r="J3967" s="205" t="n"/>
      <c r="K3967" s="219" t="n">
        <v>25900</v>
      </c>
      <c r="L3967" s="219" t="n"/>
      <c r="M3967" s="219" t="n"/>
      <c r="P3967" s="117" t="n"/>
      <c r="Q3967" s="118" t="n">
        <v>1.15</v>
      </c>
      <c r="R3967" s="117" t="n"/>
      <c r="T3967" s="117" t="n"/>
    </row>
    <row r="3968">
      <c r="A3968" s="134" t="inlineStr">
        <is>
          <t>27760</t>
        </is>
      </c>
      <c r="B3968" s="246" t="inlineStr">
        <is>
          <t>CAMPERA NAITE</t>
        </is>
      </c>
      <c r="C3968" s="88" t="n">
        <v>53900</v>
      </c>
      <c r="D3968" s="220">
        <f>ROUND((C3968*1.06)/100,0)*100</f>
        <v/>
      </c>
      <c r="E3968" s="220">
        <f>ROUND((C3968*1.13)/100,0)*100</f>
        <v/>
      </c>
      <c r="F3968" s="220">
        <f>ROUND((C3968*1.19)/100,0)*100</f>
        <v/>
      </c>
      <c r="G3968" s="220">
        <f>ROUND((C3968*1.25)/100,0)*100</f>
        <v/>
      </c>
      <c r="H3968" s="220">
        <f>ROUND((C3968*1.32)/100,0)*100</f>
        <v/>
      </c>
      <c r="I3968" s="153" t="n"/>
      <c r="J3968" s="205" t="n"/>
      <c r="K3968" s="219">
        <f>ROUND((C3968*Q3968)/100,0)*100</f>
        <v/>
      </c>
      <c r="L3968" s="219" t="n"/>
      <c r="M3968" s="219" t="n"/>
      <c r="P3968" s="117" t="n"/>
      <c r="Q3968" s="118" t="n">
        <v>1.15</v>
      </c>
      <c r="R3968" s="117" t="n"/>
      <c r="T3968" s="117" t="n"/>
    </row>
    <row r="3969">
      <c r="A3969" s="134" t="inlineStr">
        <is>
          <t>27761</t>
        </is>
      </c>
      <c r="B3969" s="246" t="inlineStr">
        <is>
          <t>TAPADO CON FORRO</t>
        </is>
      </c>
      <c r="C3969" s="88" t="n">
        <v>82000</v>
      </c>
      <c r="D3969" s="220">
        <f>ROUND((C3969*1.06)/100,0)*100</f>
        <v/>
      </c>
      <c r="E3969" s="220">
        <f>ROUND((C3969*1.13)/100,0)*100</f>
        <v/>
      </c>
      <c r="F3969" s="220">
        <f>ROUND((C3969*1.19)/100,0)*100</f>
        <v/>
      </c>
      <c r="G3969" s="220">
        <f>ROUND((C3969*1.25)/100,0)*100</f>
        <v/>
      </c>
      <c r="H3969" s="220">
        <f>ROUND((C3969*1.32)/100,0)*100</f>
        <v/>
      </c>
      <c r="I3969" s="153" t="n"/>
      <c r="J3969" s="205" t="n"/>
      <c r="K3969" s="219">
        <f>ROUND((C3969*Q3969)/100,0)*100</f>
        <v/>
      </c>
      <c r="L3969" s="219" t="n"/>
      <c r="M3969" s="219" t="n"/>
      <c r="P3969" s="117" t="n"/>
      <c r="Q3969" s="118" t="n">
        <v>1.15</v>
      </c>
      <c r="R3969" s="117" t="n"/>
      <c r="T3969" s="117" t="n"/>
    </row>
    <row r="3970">
      <c r="A3970" s="134" t="inlineStr">
        <is>
          <t>27762</t>
        </is>
      </c>
      <c r="B3970" s="246" t="inlineStr">
        <is>
          <t>CAMPERA IMPERMEABLE</t>
        </is>
      </c>
      <c r="C3970" s="227" t="n">
        <v>85000</v>
      </c>
      <c r="D3970" s="220">
        <f>ROUND((C3970*1.06)/100,0)*100</f>
        <v/>
      </c>
      <c r="E3970" s="220">
        <f>ROUND((C3970*1.13)/100,0)*100</f>
        <v/>
      </c>
      <c r="F3970" s="220">
        <f>ROUND((C3970*1.19)/100,0)*100</f>
        <v/>
      </c>
      <c r="G3970" s="220">
        <f>ROUND((C3970*1.25)/100,0)*100</f>
        <v/>
      </c>
      <c r="H3970" s="220">
        <f>ROUND((C3970*1.32)/100,0)*100</f>
        <v/>
      </c>
      <c r="I3970" s="221" t="n"/>
      <c r="J3970" s="205" t="n"/>
      <c r="K3970" s="219">
        <f>ROUND((C3970*Q3970)/100,0)*100</f>
        <v/>
      </c>
      <c r="L3970" s="219" t="n"/>
      <c r="M3970" s="219" t="n"/>
      <c r="P3970" s="117" t="n"/>
      <c r="Q3970" s="118" t="n">
        <v>1.15</v>
      </c>
      <c r="R3970" s="117" t="n"/>
      <c r="T3970" s="117" t="n"/>
    </row>
    <row r="3971">
      <c r="A3971" s="134" t="inlineStr">
        <is>
          <t>27763</t>
        </is>
      </c>
      <c r="B3971" s="246" t="inlineStr">
        <is>
          <t>TAPADO SIN FORRO</t>
        </is>
      </c>
      <c r="C3971" s="227" t="n">
        <v>79000</v>
      </c>
      <c r="D3971" s="220">
        <f>ROUND((C3971*1.06)/100,0)*100</f>
        <v/>
      </c>
      <c r="E3971" s="220">
        <f>ROUND((C3971*1.13)/100,0)*100</f>
        <v/>
      </c>
      <c r="F3971" s="220">
        <f>ROUND((C3971*1.19)/100,0)*100</f>
        <v/>
      </c>
      <c r="G3971" s="220">
        <f>ROUND((C3971*1.25)/100,0)*100</f>
        <v/>
      </c>
      <c r="H3971" s="220">
        <f>ROUND((C3971*1.32)/100,0)*100</f>
        <v/>
      </c>
      <c r="I3971" s="221" t="n"/>
      <c r="J3971" s="205" t="n"/>
      <c r="K3971" s="219">
        <f>ROUND((C3971*Q3971)/100,0)*100</f>
        <v/>
      </c>
      <c r="L3971" s="219" t="n"/>
      <c r="M3971" s="219" t="n"/>
      <c r="P3971" s="117" t="n"/>
      <c r="Q3971" s="118" t="n">
        <v>1.15</v>
      </c>
      <c r="R3971" s="117" t="n"/>
      <c r="T3971" s="117" t="n"/>
    </row>
    <row r="3972">
      <c r="A3972" s="134" t="inlineStr">
        <is>
          <t>27764</t>
        </is>
      </c>
      <c r="B3972" s="246" t="inlineStr">
        <is>
          <t>CAMPERA PELUCHE</t>
        </is>
      </c>
      <c r="C3972" s="227" t="n">
        <v>52200</v>
      </c>
      <c r="D3972" s="220">
        <f>ROUND((C3972*1.06)/100,0)*100</f>
        <v/>
      </c>
      <c r="E3972" s="220">
        <f>ROUND((C3972*1.13)/100,0)*100</f>
        <v/>
      </c>
      <c r="F3972" s="220">
        <f>ROUND((C3972*1.19)/100,0)*100</f>
        <v/>
      </c>
      <c r="G3972" s="220">
        <f>ROUND((C3972*1.25)/100,0)*100</f>
        <v/>
      </c>
      <c r="H3972" s="220">
        <f>ROUND((C3972*1.32)/100,0)*100</f>
        <v/>
      </c>
      <c r="I3972" s="221" t="n"/>
      <c r="J3972" s="205" t="n"/>
      <c r="K3972" s="219">
        <f>ROUND((C3972*Q3972)/100,0)*100</f>
        <v/>
      </c>
      <c r="L3972" s="219" t="n"/>
      <c r="M3972" s="219" t="n"/>
      <c r="P3972" s="117" t="n"/>
      <c r="Q3972" s="118" t="n">
        <v>1.15</v>
      </c>
      <c r="R3972" s="117" t="n"/>
      <c r="T3972" s="117" t="n"/>
    </row>
    <row r="3973">
      <c r="A3973" s="134" t="inlineStr">
        <is>
          <t>27765</t>
        </is>
      </c>
      <c r="B3973" s="246" t="inlineStr">
        <is>
          <t>CAMPERA PUFFER LARGA</t>
        </is>
      </c>
      <c r="C3973" s="227" t="n">
        <v>149700</v>
      </c>
      <c r="D3973" s="220" t="n"/>
      <c r="E3973" s="220" t="n"/>
      <c r="F3973" s="220" t="n"/>
      <c r="G3973" s="220" t="n"/>
      <c r="H3973" s="220" t="n"/>
      <c r="I3973" s="221" t="n"/>
      <c r="J3973" s="205" t="n"/>
      <c r="K3973" s="219">
        <f>ROUND((C3973*Q3973)/100,0)*100</f>
        <v/>
      </c>
      <c r="L3973" s="219" t="n"/>
      <c r="M3973" s="219" t="n"/>
      <c r="P3973" s="117" t="n"/>
      <c r="Q3973" s="118" t="n">
        <v>1.15</v>
      </c>
      <c r="R3973" s="117" t="n"/>
      <c r="T3973" s="117" t="n"/>
    </row>
    <row r="3974">
      <c r="A3974" s="134" t="inlineStr">
        <is>
          <t>27766</t>
        </is>
      </c>
      <c r="B3974" s="246" t="inlineStr">
        <is>
          <t>PUFFER CORTA ENGOMADA</t>
        </is>
      </c>
      <c r="C3974" s="227" t="n">
        <v>124100</v>
      </c>
      <c r="D3974" s="220" t="n"/>
      <c r="E3974" s="220" t="n"/>
      <c r="F3974" s="220" t="n"/>
      <c r="G3974" s="220" t="n"/>
      <c r="H3974" s="220" t="n"/>
      <c r="I3974" s="221" t="n"/>
      <c r="J3974" s="205" t="n"/>
      <c r="K3974" s="219">
        <f>ROUND((C3974*Q3974)/100,0)*100</f>
        <v/>
      </c>
      <c r="L3974" s="219" t="n"/>
      <c r="M3974" s="219" t="n"/>
      <c r="P3974" s="117" t="n"/>
      <c r="Q3974" s="118" t="n">
        <v>1.15</v>
      </c>
      <c r="R3974" s="117" t="n"/>
      <c r="T3974" s="117" t="n"/>
    </row>
    <row r="3975">
      <c r="A3975" s="134" t="inlineStr">
        <is>
          <t>27780</t>
        </is>
      </c>
      <c r="B3975" s="246" t="inlineStr">
        <is>
          <t>CAMP ALGODON MAR Y MAR</t>
        </is>
      </c>
      <c r="C3975" s="88" t="n">
        <v>12900</v>
      </c>
      <c r="D3975" s="220">
        <f>ROUND((C3975*1.06)/100,0)*100</f>
        <v/>
      </c>
      <c r="E3975" s="220">
        <f>ROUND((C3975*1.13)/100,0)*100</f>
        <v/>
      </c>
      <c r="F3975" s="220">
        <f>ROUND((C3975*1.19)/100,0)*100</f>
        <v/>
      </c>
      <c r="G3975" s="220">
        <f>ROUND((C3975*1.25)/100,0)*100</f>
        <v/>
      </c>
      <c r="H3975" s="220">
        <f>ROUND((C3975*1.32)/100,0)*100</f>
        <v/>
      </c>
      <c r="I3975" s="153" t="n"/>
      <c r="J3975" s="205" t="n"/>
      <c r="K3975" s="219" t="n">
        <v>12900</v>
      </c>
      <c r="L3975" s="219" t="n"/>
      <c r="M3975" s="219" t="n"/>
      <c r="P3975" s="117" t="n"/>
      <c r="Q3975" s="118" t="n">
        <v>1.15</v>
      </c>
      <c r="R3975" s="117" t="n"/>
      <c r="T3975" s="117" t="n"/>
    </row>
    <row r="3976">
      <c r="A3976" s="134" t="inlineStr">
        <is>
          <t>27780</t>
        </is>
      </c>
      <c r="B3976" s="246" t="inlineStr">
        <is>
          <t>KABA LINE MATELASSE</t>
        </is>
      </c>
      <c r="C3976" s="88" t="n">
        <v>144000</v>
      </c>
      <c r="D3976" s="220" t="n"/>
      <c r="E3976" s="220" t="n"/>
      <c r="F3976" s="220" t="n"/>
      <c r="G3976" s="220" t="n"/>
      <c r="H3976" s="220" t="n"/>
      <c r="I3976" s="153" t="n"/>
      <c r="J3976" s="205" t="n"/>
      <c r="K3976" s="219">
        <f>ROUND((C3976*Q3976)/100,0)*100</f>
        <v/>
      </c>
      <c r="L3976" s="219" t="n"/>
      <c r="M3976" s="219" t="n"/>
      <c r="P3976" s="117" t="n"/>
      <c r="Q3976" s="118" t="n">
        <v>1.15</v>
      </c>
      <c r="R3976" s="117" t="n"/>
      <c r="T3976" s="117" t="n"/>
    </row>
    <row r="3977">
      <c r="A3977" s="134" t="inlineStr">
        <is>
          <t>27781(1232)</t>
        </is>
      </c>
      <c r="B3977" s="246" t="inlineStr">
        <is>
          <t>KABA LINE MATELASSE</t>
        </is>
      </c>
      <c r="C3977" s="88" t="n">
        <v>144000</v>
      </c>
      <c r="D3977" s="220" t="n"/>
      <c r="E3977" s="220" t="n"/>
      <c r="F3977" s="220" t="n"/>
      <c r="G3977" s="220" t="n"/>
      <c r="H3977" s="220" t="n"/>
      <c r="I3977" s="153" t="n"/>
      <c r="J3977" s="153" t="n"/>
      <c r="K3977" s="219">
        <f>ROUND((C3977*Q3977)/100,0)*100</f>
        <v/>
      </c>
      <c r="L3977" s="219" t="n"/>
      <c r="M3977" s="219" t="n"/>
      <c r="P3977" s="117" t="n"/>
      <c r="Q3977" s="118" t="n">
        <v>1.15</v>
      </c>
      <c r="R3977" s="117" t="n"/>
      <c r="T3977" s="117" t="n"/>
    </row>
    <row r="3978">
      <c r="A3978" s="134" t="inlineStr">
        <is>
          <t>27782(2002)</t>
        </is>
      </c>
      <c r="B3978" s="246" t="inlineStr">
        <is>
          <t>KABA LINE MATELASSE</t>
        </is>
      </c>
      <c r="C3978" s="88" t="n">
        <v>144000</v>
      </c>
      <c r="D3978" s="220" t="n"/>
      <c r="E3978" s="220" t="n"/>
      <c r="F3978" s="220" t="n"/>
      <c r="G3978" s="220" t="n"/>
      <c r="H3978" s="220" t="n"/>
      <c r="I3978" s="153" t="n"/>
      <c r="J3978" s="153" t="n"/>
      <c r="K3978" s="219">
        <f>ROUND((C3978*Q3978)/100,0)*100</f>
        <v/>
      </c>
      <c r="L3978" s="219" t="n"/>
      <c r="M3978" s="219" t="n"/>
      <c r="P3978" s="117" t="n"/>
      <c r="Q3978" s="118" t="n">
        <v>1.15</v>
      </c>
      <c r="R3978" s="117" t="n"/>
      <c r="T3978" s="117" t="n"/>
    </row>
    <row r="3979">
      <c r="A3979" s="134" t="inlineStr">
        <is>
          <t>27783(17)</t>
        </is>
      </c>
      <c r="B3979" s="246" t="inlineStr">
        <is>
          <t>KABA LINE MATELASSE</t>
        </is>
      </c>
      <c r="C3979" s="88" t="n">
        <v>144000</v>
      </c>
      <c r="D3979" s="220" t="n"/>
      <c r="E3979" s="220" t="n"/>
      <c r="F3979" s="220" t="n"/>
      <c r="G3979" s="220" t="n"/>
      <c r="H3979" s="220" t="n"/>
      <c r="I3979" s="153" t="n"/>
      <c r="J3979" s="153" t="n"/>
      <c r="K3979" s="219">
        <f>ROUND((C3979*Q3979)/100,0)*100</f>
        <v/>
      </c>
      <c r="L3979" s="219" t="n"/>
      <c r="M3979" s="219" t="n"/>
      <c r="P3979" s="117" t="n"/>
      <c r="Q3979" s="118" t="n">
        <v>1.15</v>
      </c>
      <c r="R3979" s="117" t="n"/>
      <c r="T3979" s="117" t="n"/>
    </row>
    <row r="3980">
      <c r="A3980" s="134" t="inlineStr">
        <is>
          <t>27784(1211)</t>
        </is>
      </c>
      <c r="B3980" s="246" t="inlineStr">
        <is>
          <t>KABA LINE desmontable</t>
        </is>
      </c>
      <c r="C3980" s="88" t="n">
        <v>144000</v>
      </c>
      <c r="D3980" s="220" t="n"/>
      <c r="E3980" s="220" t="n"/>
      <c r="F3980" s="220" t="n"/>
      <c r="G3980" s="220" t="n"/>
      <c r="H3980" s="220" t="n"/>
      <c r="I3980" s="153" t="n"/>
      <c r="J3980" s="153" t="n"/>
      <c r="K3980" s="219">
        <f>ROUND((C3980*Q3980)/100,0)*100</f>
        <v/>
      </c>
      <c r="L3980" s="219" t="n"/>
      <c r="M3980" s="219" t="n"/>
      <c r="P3980" s="117" t="n"/>
      <c r="Q3980" s="118" t="n">
        <v>1.15</v>
      </c>
      <c r="R3980" s="117" t="n"/>
      <c r="T3980" s="117" t="n"/>
    </row>
    <row r="3981">
      <c r="A3981" s="134" t="inlineStr">
        <is>
          <t>27785(2001)</t>
        </is>
      </c>
      <c r="B3981" s="246" t="inlineStr">
        <is>
          <t>KABA LINE REVERSIBLE</t>
        </is>
      </c>
      <c r="C3981" s="88" t="n">
        <v>144000</v>
      </c>
      <c r="D3981" s="220" t="n"/>
      <c r="E3981" s="220" t="n"/>
      <c r="F3981" s="220" t="n"/>
      <c r="G3981" s="220" t="n"/>
      <c r="H3981" s="220" t="n"/>
      <c r="I3981" s="153" t="n"/>
      <c r="J3981" s="153" t="n"/>
      <c r="K3981" s="219">
        <f>ROUND((C3981*Q3981)/100,0)*100</f>
        <v/>
      </c>
      <c r="L3981" s="219" t="n"/>
      <c r="M3981" s="219" t="n"/>
      <c r="P3981" s="117" t="n"/>
      <c r="Q3981" s="118" t="n">
        <v>1.15</v>
      </c>
      <c r="R3981" s="117" t="n"/>
      <c r="T3981" s="117" t="n"/>
    </row>
    <row r="3982">
      <c r="A3982" s="134" t="inlineStr">
        <is>
          <t>15180XXX</t>
        </is>
      </c>
      <c r="B3982" s="246" t="inlineStr">
        <is>
          <t>CAMPERA SEXTIO</t>
        </is>
      </c>
      <c r="C3982" s="88" t="n">
        <v>98100</v>
      </c>
      <c r="D3982" s="220" t="n"/>
      <c r="E3982" s="220" t="n"/>
      <c r="F3982" s="220" t="n"/>
      <c r="G3982" s="220" t="n"/>
      <c r="H3982" s="220" t="n"/>
      <c r="I3982" s="153" t="n"/>
      <c r="J3982" s="153" t="n"/>
      <c r="K3982" s="219">
        <f>ROUND((C3982*Q3982)/100,0)*100</f>
        <v/>
      </c>
      <c r="L3982" s="219" t="n"/>
      <c r="M3982" s="219" t="n"/>
      <c r="P3982" s="117" t="n"/>
      <c r="Q3982" s="118" t="n">
        <v>1.15</v>
      </c>
      <c r="R3982" s="117" t="n"/>
      <c r="T3982" s="117" t="n"/>
    </row>
    <row r="3983">
      <c r="A3983" s="134" t="inlineStr">
        <is>
          <t>20087XXX</t>
        </is>
      </c>
      <c r="B3983" s="246" t="inlineStr">
        <is>
          <t>TAVERNITI</t>
        </is>
      </c>
      <c r="C3983" s="88" t="n">
        <v>71000</v>
      </c>
      <c r="D3983" s="22" t="n"/>
      <c r="E3983" s="22" t="n"/>
      <c r="F3983" s="22" t="n"/>
      <c r="G3983" s="22" t="n"/>
      <c r="H3983" s="22" t="n"/>
      <c r="I3983" s="153" t="n"/>
      <c r="J3983" s="153" t="n"/>
      <c r="K3983" s="219">
        <f>ROUND((C3983*Q3983)/100,0)*100</f>
        <v/>
      </c>
      <c r="L3983" s="219" t="n"/>
      <c r="M3983" s="219" t="n"/>
      <c r="P3983" s="117" t="n"/>
      <c r="Q3983" s="118" t="n">
        <v>1.15</v>
      </c>
      <c r="R3983" s="117" t="n"/>
      <c r="T3983" s="117" t="n"/>
    </row>
    <row r="3984">
      <c r="A3984" s="89" t="inlineStr">
        <is>
          <t>2831XXX</t>
        </is>
      </c>
      <c r="B3984" s="135" t="inlineStr">
        <is>
          <t>TAVERNITI</t>
        </is>
      </c>
      <c r="C3984" s="88" t="n">
        <v>115000</v>
      </c>
      <c r="D3984" s="170" t="n"/>
      <c r="E3984" s="170" t="n"/>
      <c r="F3984" s="170" t="n"/>
      <c r="G3984" s="170" t="n"/>
      <c r="H3984" s="170" t="n"/>
      <c r="I3984" s="111" t="n"/>
      <c r="J3984" s="111" t="n"/>
      <c r="K3984" s="88">
        <f>ROUND((C3984*Q3984)/100,0)*100</f>
        <v/>
      </c>
      <c r="L3984" s="170" t="n"/>
      <c r="M3984" s="170" t="n"/>
      <c r="N3984" s="30" t="n"/>
      <c r="O3984" s="30" t="n"/>
      <c r="P3984" s="170" t="n"/>
      <c r="Q3984" s="96" t="n">
        <v>1.15</v>
      </c>
      <c r="R3984" s="170" t="n"/>
      <c r="S3984" s="30" t="n"/>
      <c r="T3984" s="170" t="n"/>
      <c r="U3984" s="30" t="n"/>
      <c r="V3984" s="30" t="n"/>
      <c r="W3984" s="30" t="n"/>
      <c r="X3984" s="30" t="n"/>
      <c r="Y3984" s="30" t="n"/>
      <c r="Z3984" s="30" t="n"/>
      <c r="AA3984" s="30" t="n"/>
      <c r="AB3984" s="30" t="n"/>
      <c r="AC3984" s="30" t="n"/>
      <c r="AD3984" s="30" t="n"/>
      <c r="AE3984" s="30" t="n"/>
      <c r="AF3984" s="30" t="n"/>
      <c r="AG3984" s="30" t="n"/>
      <c r="AH3984" s="30" t="n"/>
      <c r="AI3984" s="30" t="n"/>
      <c r="AJ3984" s="30" t="n"/>
      <c r="AK3984" s="30" t="n"/>
      <c r="AL3984" s="30" t="n"/>
      <c r="AM3984" s="30" t="n"/>
      <c r="AN3984" s="30" t="n"/>
      <c r="AO3984" s="30" t="n"/>
    </row>
    <row r="3985">
      <c r="A3985" s="134" t="inlineStr">
        <is>
          <t>3001XXX</t>
        </is>
      </c>
      <c r="B3985" s="246" t="inlineStr">
        <is>
          <t>TAVERNITI</t>
        </is>
      </c>
      <c r="C3985" s="88" t="n">
        <v>134300</v>
      </c>
      <c r="D3985" s="22" t="n"/>
      <c r="E3985" s="22" t="n"/>
      <c r="F3985" s="22" t="n"/>
      <c r="G3985" s="22" t="n"/>
      <c r="H3985" s="22" t="n"/>
      <c r="I3985" s="153" t="n"/>
      <c r="J3985" s="153" t="n"/>
      <c r="K3985" s="219">
        <f>ROUND((C3985*Q3985)/100,0)*100</f>
        <v/>
      </c>
      <c r="L3985" s="219" t="n"/>
      <c r="M3985" s="219" t="n"/>
      <c r="P3985" s="117" t="n"/>
      <c r="Q3985" s="118" t="n">
        <v>1.15</v>
      </c>
      <c r="R3985" s="117" t="n"/>
      <c r="T3985" s="117" t="n"/>
    </row>
    <row r="3986">
      <c r="A3986" s="134" t="inlineStr">
        <is>
          <t>3003XXX</t>
        </is>
      </c>
      <c r="B3986" s="246" t="inlineStr">
        <is>
          <t>TAVERNITI</t>
        </is>
      </c>
      <c r="C3986" s="88" t="n">
        <v>134300</v>
      </c>
      <c r="D3986" s="22" t="n"/>
      <c r="E3986" s="22" t="n"/>
      <c r="F3986" s="22" t="n"/>
      <c r="G3986" s="22" t="n"/>
      <c r="H3986" s="22" t="n"/>
      <c r="I3986" s="153" t="n"/>
      <c r="J3986" s="153" t="n"/>
      <c r="K3986" s="219">
        <f>ROUND((C3986*Q3986)/100,0)*100</f>
        <v/>
      </c>
      <c r="L3986" s="219" t="n"/>
      <c r="M3986" s="219" t="n"/>
      <c r="P3986" s="117" t="n"/>
      <c r="Q3986" s="118" t="n">
        <v>1.15</v>
      </c>
      <c r="R3986" s="117" t="n"/>
      <c r="T3986" s="117" t="n"/>
    </row>
    <row r="3987">
      <c r="A3987" s="134" t="inlineStr">
        <is>
          <t>3005XXX</t>
        </is>
      </c>
      <c r="B3987" s="248" t="inlineStr">
        <is>
          <t>TAVERNITI</t>
        </is>
      </c>
      <c r="C3987" s="88" t="n">
        <v>143700</v>
      </c>
      <c r="D3987" s="22" t="n"/>
      <c r="E3987" s="22" t="n"/>
      <c r="F3987" s="22" t="n"/>
      <c r="G3987" s="22" t="n"/>
      <c r="H3987" s="22" t="n"/>
      <c r="I3987" s="153" t="n"/>
      <c r="J3987" s="153" t="n"/>
      <c r="K3987" s="219">
        <f>ROUND((C3987*Q3987)/100,0)*100</f>
        <v/>
      </c>
      <c r="L3987" s="219" t="n"/>
      <c r="M3987" s="219" t="n"/>
      <c r="P3987" s="117" t="n"/>
      <c r="Q3987" s="118" t="n">
        <v>1.15</v>
      </c>
      <c r="R3987" s="117" t="n"/>
      <c r="T3987" s="117" t="n"/>
    </row>
    <row r="3988">
      <c r="A3988" s="134" t="inlineStr">
        <is>
          <t>3007XXX</t>
        </is>
      </c>
      <c r="B3988" s="118" t="inlineStr">
        <is>
          <t>TAVERNITI</t>
        </is>
      </c>
      <c r="C3988" s="88" t="n">
        <v>143700</v>
      </c>
      <c r="D3988" s="22" t="n"/>
      <c r="E3988" s="22" t="n"/>
      <c r="F3988" s="22" t="n"/>
      <c r="G3988" s="22" t="n"/>
      <c r="H3988" s="22" t="n"/>
      <c r="I3988" s="153" t="n"/>
      <c r="J3988" s="153" t="n"/>
      <c r="K3988" s="219">
        <f>ROUND((C3988*Q3988)/100,0)*100</f>
        <v/>
      </c>
      <c r="L3988" s="219" t="n"/>
      <c r="M3988" s="219" t="n"/>
      <c r="P3988" s="117" t="n"/>
      <c r="Q3988" s="118" t="n">
        <v>1.15</v>
      </c>
      <c r="R3988" s="117" t="n"/>
      <c r="T3988" s="117" t="n"/>
    </row>
    <row r="3989">
      <c r="A3989" s="134" t="inlineStr">
        <is>
          <t>3013323</t>
        </is>
      </c>
      <c r="B3989" s="118" t="inlineStr">
        <is>
          <t>TAVERNITI</t>
        </is>
      </c>
      <c r="C3989" s="88" t="n">
        <v>144900</v>
      </c>
      <c r="D3989" s="22" t="n"/>
      <c r="E3989" s="22" t="n"/>
      <c r="F3989" s="22" t="n"/>
      <c r="G3989" s="22" t="n"/>
      <c r="H3989" s="22" t="n"/>
      <c r="I3989" s="153" t="n"/>
      <c r="J3989" s="153" t="n"/>
      <c r="K3989" s="219">
        <f>ROUND((C3989*Q3989)/100,0)*100</f>
        <v/>
      </c>
      <c r="L3989" s="219" t="n"/>
      <c r="M3989" s="219" t="n"/>
      <c r="P3989" s="117" t="n"/>
      <c r="Q3989" s="118" t="n">
        <v>1.15</v>
      </c>
      <c r="R3989" s="117" t="n"/>
      <c r="T3989" s="117" t="n"/>
    </row>
    <row r="3990">
      <c r="A3990" s="134" t="inlineStr">
        <is>
          <t>3013603</t>
        </is>
      </c>
      <c r="B3990" s="118" t="inlineStr">
        <is>
          <t>TAVERNITI</t>
        </is>
      </c>
      <c r="C3990" s="88" t="n">
        <v>136700</v>
      </c>
      <c r="D3990" s="22" t="n"/>
      <c r="E3990" s="22" t="n"/>
      <c r="F3990" s="22" t="n"/>
      <c r="G3990" s="22" t="n"/>
      <c r="H3990" s="22" t="n"/>
      <c r="I3990" s="153" t="n"/>
      <c r="J3990" s="153" t="n"/>
      <c r="K3990" s="219">
        <f>ROUND((C3990*Q3990)/100,0)*100</f>
        <v/>
      </c>
      <c r="L3990" s="219" t="n"/>
      <c r="M3990" s="219" t="n"/>
      <c r="P3990" s="117" t="n"/>
      <c r="Q3990" s="118" t="n">
        <v>1.15</v>
      </c>
      <c r="R3990" s="117" t="n"/>
      <c r="T3990" s="117" t="n"/>
    </row>
    <row r="3991">
      <c r="A3991" s="134" t="inlineStr">
        <is>
          <t>3035XXX</t>
        </is>
      </c>
      <c r="B3991" s="118" t="inlineStr">
        <is>
          <t>TAVERNITI</t>
        </is>
      </c>
      <c r="C3991" s="88" t="n">
        <v>147500</v>
      </c>
      <c r="D3991" s="22" t="n"/>
      <c r="E3991" s="22" t="n"/>
      <c r="F3991" s="22" t="n"/>
      <c r="G3991" s="22" t="n"/>
      <c r="H3991" s="22" t="n"/>
      <c r="I3991" s="153" t="n"/>
      <c r="J3991" s="153" t="n"/>
      <c r="K3991" s="219">
        <f>ROUND((C3991*Q3991)/100,0)*100</f>
        <v/>
      </c>
      <c r="L3991" s="219" t="n"/>
      <c r="M3991" s="219" t="n"/>
      <c r="P3991" s="117" t="n"/>
      <c r="Q3991" s="118" t="n">
        <v>1.15</v>
      </c>
      <c r="R3991" s="117" t="n"/>
      <c r="T3991" s="117" t="n"/>
    </row>
    <row r="3992">
      <c r="A3992" s="134" t="inlineStr">
        <is>
          <t>3037XXX</t>
        </is>
      </c>
      <c r="B3992" s="118" t="inlineStr">
        <is>
          <t>TAVERNITI</t>
        </is>
      </c>
      <c r="C3992" s="88" t="n">
        <v>138900</v>
      </c>
      <c r="D3992" s="118" t="n"/>
      <c r="E3992" s="22" t="n"/>
      <c r="F3992" s="22" t="n"/>
      <c r="G3992" s="22" t="n"/>
      <c r="H3992" s="22" t="n"/>
      <c r="I3992" s="153" t="n"/>
      <c r="J3992" s="153" t="n"/>
      <c r="K3992" s="219">
        <f>ROUND((C3992*Q3992)/100,0)*100</f>
        <v/>
      </c>
      <c r="L3992" s="219" t="n"/>
      <c r="M3992" s="219" t="n"/>
      <c r="P3992" s="117" t="n"/>
      <c r="Q3992" s="118" t="n">
        <v>1.15</v>
      </c>
      <c r="R3992" s="117" t="n"/>
      <c r="T3992" s="117" t="n"/>
    </row>
    <row r="3993">
      <c r="A3993" s="134" t="inlineStr">
        <is>
          <t>3067XXX</t>
        </is>
      </c>
      <c r="B3993" s="118" t="inlineStr">
        <is>
          <t>TAVERNITI</t>
        </is>
      </c>
      <c r="C3993" s="88" t="n">
        <v>144000</v>
      </c>
      <c r="D3993" s="118" t="n"/>
      <c r="E3993" s="22" t="n"/>
      <c r="F3993" s="22" t="n"/>
      <c r="G3993" s="22" t="n"/>
      <c r="H3993" s="22" t="n"/>
      <c r="I3993" s="153" t="n"/>
      <c r="J3993" s="153" t="n"/>
      <c r="K3993" s="219">
        <f>ROUND((C3993*Q3993)/100,0)*100</f>
        <v/>
      </c>
      <c r="L3993" s="219" t="n"/>
      <c r="M3993" s="219" t="n"/>
      <c r="P3993" s="117" t="n"/>
      <c r="Q3993" s="118" t="n">
        <v>1.15</v>
      </c>
      <c r="R3993" s="117" t="n"/>
      <c r="T3993" s="117" t="n"/>
    </row>
    <row r="3994">
      <c r="A3994" s="134" t="inlineStr">
        <is>
          <t>3071XXX</t>
        </is>
      </c>
      <c r="B3994" s="118" t="inlineStr">
        <is>
          <t>TAVERNITI</t>
        </is>
      </c>
      <c r="C3994" s="88" t="n">
        <v>119000</v>
      </c>
      <c r="D3994" s="118" t="n"/>
      <c r="E3994" s="22" t="n"/>
      <c r="F3994" s="22" t="n"/>
      <c r="G3994" s="22" t="n"/>
      <c r="H3994" s="22" t="n"/>
      <c r="I3994" s="153" t="n"/>
      <c r="J3994" s="153" t="n"/>
      <c r="K3994" s="219">
        <f>ROUND((C3994*Q3994)/100,0)*100</f>
        <v/>
      </c>
      <c r="L3994" s="219" t="n"/>
      <c r="M3994" s="219" t="n"/>
      <c r="P3994" s="117" t="n"/>
      <c r="Q3994" s="118" t="n">
        <v>1.15</v>
      </c>
      <c r="R3994" s="117" t="n"/>
      <c r="T3994" s="117" t="n"/>
    </row>
    <row r="3995">
      <c r="A3995" s="89" t="inlineStr">
        <is>
          <t>3075XXX</t>
        </is>
      </c>
      <c r="B3995" s="30" t="inlineStr">
        <is>
          <t>TAVERNITI</t>
        </is>
      </c>
      <c r="C3995" s="88" t="n">
        <v>149000</v>
      </c>
      <c r="D3995" s="30" t="n"/>
      <c r="E3995" s="170" t="n"/>
      <c r="F3995" s="170" t="n"/>
      <c r="G3995" s="170" t="n"/>
      <c r="H3995" s="170" t="n"/>
      <c r="I3995" s="111" t="n"/>
      <c r="J3995" s="111" t="n"/>
      <c r="K3995" s="88">
        <f>ROUND((C3995*Q3995)/100,0)*100</f>
        <v/>
      </c>
      <c r="L3995" s="170" t="n"/>
      <c r="M3995" s="170" t="n"/>
      <c r="N3995" s="30" t="n"/>
      <c r="O3995" s="30" t="n"/>
      <c r="P3995" s="170" t="n"/>
      <c r="Q3995" s="118" t="n">
        <v>1.15</v>
      </c>
      <c r="R3995" s="170" t="n"/>
      <c r="S3995" s="30" t="n"/>
      <c r="T3995" s="170" t="n"/>
      <c r="U3995" s="30" t="n"/>
      <c r="V3995" s="30" t="n"/>
      <c r="W3995" s="30" t="n"/>
      <c r="X3995" s="30" t="n"/>
      <c r="Y3995" s="30" t="n"/>
      <c r="Z3995" s="30" t="n"/>
      <c r="AA3995" s="30" t="n"/>
      <c r="AB3995" s="30" t="n"/>
      <c r="AC3995" s="30" t="n"/>
      <c r="AD3995" s="30" t="n"/>
      <c r="AE3995" s="30" t="n"/>
      <c r="AF3995" s="30" t="n"/>
      <c r="AG3995" s="30" t="n"/>
      <c r="AH3995" s="30" t="n"/>
      <c r="AI3995" s="30" t="n"/>
      <c r="AJ3995" s="30" t="n"/>
      <c r="AK3995" s="30" t="n"/>
      <c r="AL3995" s="30" t="n"/>
      <c r="AM3995" s="30" t="n"/>
      <c r="AN3995" s="30" t="n"/>
      <c r="AO3995" s="30" t="n"/>
    </row>
    <row r="3996">
      <c r="A3996" s="134" t="inlineStr">
        <is>
          <t>3077XXX</t>
        </is>
      </c>
      <c r="B3996" s="118" t="inlineStr">
        <is>
          <t>TAVERNITI</t>
        </is>
      </c>
      <c r="C3996" s="88" t="n">
        <v>129300</v>
      </c>
      <c r="D3996" s="118" t="n"/>
      <c r="E3996" s="22" t="n"/>
      <c r="F3996" s="22" t="n"/>
      <c r="G3996" s="22" t="n"/>
      <c r="H3996" s="22" t="n"/>
      <c r="I3996" s="153" t="n"/>
      <c r="J3996" s="153" t="n"/>
      <c r="K3996" s="219">
        <f>ROUND((C3996*Q3996)/100,0)*100</f>
        <v/>
      </c>
      <c r="L3996" s="219" t="n"/>
      <c r="M3996" s="219" t="n"/>
      <c r="P3996" s="117" t="n"/>
      <c r="Q3996" s="118" t="n">
        <v>1.15</v>
      </c>
      <c r="R3996" s="117" t="n"/>
      <c r="T3996" s="117" t="n"/>
    </row>
    <row r="3997">
      <c r="A3997" s="134" t="inlineStr">
        <is>
          <t>3089XXX</t>
        </is>
      </c>
      <c r="B3997" s="118" t="inlineStr">
        <is>
          <t>TAVERNITI</t>
        </is>
      </c>
      <c r="C3997" s="88" t="n">
        <v>114700</v>
      </c>
      <c r="D3997" s="22" t="n"/>
      <c r="E3997" s="22" t="n"/>
      <c r="F3997" s="22" t="n"/>
      <c r="G3997" s="22" t="n"/>
      <c r="H3997" s="22" t="n"/>
      <c r="I3997" s="153" t="n"/>
      <c r="J3997" s="153" t="n"/>
      <c r="K3997" s="219">
        <f>ROUND((C3997*Q3997)/100,0)*100</f>
        <v/>
      </c>
      <c r="L3997" s="219" t="n"/>
      <c r="M3997" s="219" t="n"/>
      <c r="P3997" s="117" t="n"/>
      <c r="Q3997" s="118" t="n">
        <v>1.15</v>
      </c>
      <c r="R3997" s="117" t="n"/>
      <c r="T3997" s="117" t="n"/>
    </row>
    <row r="3998">
      <c r="A3998" s="134" t="inlineStr">
        <is>
          <t>3121XXX</t>
        </is>
      </c>
      <c r="B3998" s="118" t="inlineStr">
        <is>
          <t>TAVERNITI</t>
        </is>
      </c>
      <c r="C3998" s="88" t="n">
        <v>161900</v>
      </c>
      <c r="D3998" s="22" t="n"/>
      <c r="E3998" s="22" t="n"/>
      <c r="F3998" s="22" t="n"/>
      <c r="G3998" s="22" t="n"/>
      <c r="H3998" s="22" t="n"/>
      <c r="I3998" s="153" t="n"/>
      <c r="J3998" s="153" t="n"/>
      <c r="K3998" s="219">
        <f>ROUND((C3998*Q3998)/100,0)*100</f>
        <v/>
      </c>
      <c r="L3998" s="219" t="n"/>
      <c r="M3998" s="219" t="n"/>
      <c r="P3998" s="117" t="n"/>
      <c r="Q3998" s="118" t="n">
        <v>1.15</v>
      </c>
      <c r="R3998" s="117" t="n"/>
      <c r="T3998" s="117" t="n"/>
    </row>
    <row r="3999">
      <c r="A3999" s="89" t="inlineStr">
        <is>
          <t>3153XXX</t>
        </is>
      </c>
      <c r="B3999" s="30" t="inlineStr">
        <is>
          <t>TAVERNITI</t>
        </is>
      </c>
      <c r="C3999" s="88" t="n">
        <v>119800</v>
      </c>
      <c r="D3999" s="88" t="n"/>
      <c r="E3999" s="88" t="n"/>
      <c r="F3999" s="88" t="n"/>
      <c r="G3999" s="88" t="n"/>
      <c r="H3999" s="88" t="n"/>
      <c r="I3999" s="111" t="n"/>
      <c r="J3999" s="111" t="n"/>
      <c r="K3999" s="88">
        <f>ROUND((C3999*Q3999)/100,0)*100</f>
        <v/>
      </c>
      <c r="L3999" s="88" t="n"/>
      <c r="M3999" s="88" t="n"/>
      <c r="N3999" s="96" t="n"/>
      <c r="O3999" s="96" t="n"/>
      <c r="P3999" s="150" t="n"/>
      <c r="Q3999" s="118" t="n">
        <v>1.15</v>
      </c>
      <c r="R3999" s="150" t="n"/>
      <c r="S3999" s="96" t="n"/>
      <c r="T3999" s="150" t="n"/>
      <c r="U3999" s="96" t="n"/>
      <c r="V3999" s="96" t="n"/>
      <c r="W3999" s="96" t="n"/>
      <c r="X3999" s="96" t="n"/>
      <c r="Y3999" s="30" t="n"/>
      <c r="Z3999" s="30" t="n"/>
      <c r="AA3999" s="30" t="n"/>
      <c r="AB3999" s="30" t="n"/>
      <c r="AC3999" s="30" t="n"/>
      <c r="AD3999" s="30" t="n"/>
      <c r="AE3999" s="30" t="n"/>
      <c r="AF3999" s="30" t="n"/>
      <c r="AG3999" s="30" t="n"/>
      <c r="AH3999" s="30" t="n"/>
      <c r="AI3999" s="30" t="n"/>
      <c r="AJ3999" s="30" t="n"/>
      <c r="AK3999" s="30" t="n"/>
      <c r="AL3999" s="30" t="n"/>
      <c r="AM3999" s="30" t="n"/>
      <c r="AN3999" s="30" t="n"/>
      <c r="AO3999" s="30" t="n"/>
    </row>
    <row r="4000">
      <c r="A4000" s="89" t="inlineStr">
        <is>
          <t>3159XXX</t>
        </is>
      </c>
      <c r="B4000" s="30" t="inlineStr">
        <is>
          <t>TAVERNITI</t>
        </is>
      </c>
      <c r="C4000" s="88" t="n">
        <v>149700</v>
      </c>
      <c r="D4000" s="88" t="n"/>
      <c r="E4000" s="88" t="n"/>
      <c r="F4000" s="88" t="n"/>
      <c r="G4000" s="88" t="n"/>
      <c r="H4000" s="88" t="n"/>
      <c r="I4000" s="111" t="n"/>
      <c r="J4000" s="111" t="n"/>
      <c r="K4000" s="88">
        <f>ROUND((C4000*Q4000)/100,0)*100</f>
        <v/>
      </c>
      <c r="L4000" s="88" t="n"/>
      <c r="M4000" s="88" t="n"/>
      <c r="N4000" s="96" t="n"/>
      <c r="O4000" s="96" t="n"/>
      <c r="P4000" s="150" t="n"/>
      <c r="Q4000" s="118" t="n">
        <v>1.15</v>
      </c>
      <c r="R4000" s="150" t="n"/>
      <c r="S4000" s="96" t="n"/>
      <c r="T4000" s="150" t="n"/>
      <c r="U4000" s="96" t="n"/>
      <c r="V4000" s="96" t="n"/>
      <c r="W4000" s="96" t="n"/>
      <c r="X4000" s="96" t="n"/>
      <c r="Y4000" s="30" t="n"/>
      <c r="Z4000" s="30" t="n"/>
      <c r="AA4000" s="30" t="n"/>
      <c r="AB4000" s="30" t="n"/>
      <c r="AC4000" s="30" t="n"/>
      <c r="AD4000" s="30" t="n"/>
      <c r="AE4000" s="30" t="n"/>
      <c r="AF4000" s="30" t="n"/>
      <c r="AG4000" s="30" t="n"/>
      <c r="AH4000" s="30" t="n"/>
      <c r="AI4000" s="30" t="n"/>
      <c r="AJ4000" s="30" t="n"/>
      <c r="AK4000" s="30" t="n"/>
      <c r="AL4000" s="30" t="n"/>
      <c r="AM4000" s="30" t="n"/>
      <c r="AN4000" s="30" t="n"/>
      <c r="AO4000" s="30" t="n"/>
    </row>
    <row r="4001">
      <c r="A4001" s="134" t="inlineStr">
        <is>
          <t>3161XXX</t>
        </is>
      </c>
      <c r="B4001" s="118" t="inlineStr">
        <is>
          <t>TAVERNITI</t>
        </is>
      </c>
      <c r="C4001" s="88" t="n">
        <v>134300</v>
      </c>
      <c r="D4001" s="22" t="n"/>
      <c r="E4001" s="22" t="n"/>
      <c r="F4001" s="22" t="n"/>
      <c r="G4001" s="22" t="n"/>
      <c r="H4001" s="22" t="n"/>
      <c r="I4001" s="153" t="n"/>
      <c r="J4001" s="153" t="n"/>
      <c r="K4001" s="219">
        <f>ROUND((C4001*Q4001)/100,0)*100</f>
        <v/>
      </c>
      <c r="L4001" s="219" t="n"/>
      <c r="M4001" s="219" t="n"/>
      <c r="P4001" s="117" t="n"/>
      <c r="Q4001" s="118" t="n">
        <v>1.15</v>
      </c>
      <c r="R4001" s="117" t="n"/>
      <c r="T4001" s="117" t="n"/>
    </row>
    <row r="4002">
      <c r="A4002" s="134" t="inlineStr">
        <is>
          <t>3173XXX</t>
        </is>
      </c>
      <c r="B4002" s="118" t="inlineStr">
        <is>
          <t>TAVERNITI</t>
        </is>
      </c>
      <c r="C4002" s="88" t="n">
        <v>142200</v>
      </c>
      <c r="D4002" s="22" t="n"/>
      <c r="E4002" s="22" t="n"/>
      <c r="F4002" s="22" t="n"/>
      <c r="G4002" s="22" t="n"/>
      <c r="H4002" s="22" t="n"/>
      <c r="I4002" s="153" t="n"/>
      <c r="J4002" s="153" t="n"/>
      <c r="K4002" s="219">
        <f>ROUND((C4002*Q4002)/100,0)*100</f>
        <v/>
      </c>
      <c r="L4002" s="219" t="n"/>
      <c r="M4002" s="219" t="n"/>
      <c r="P4002" s="117" t="n"/>
      <c r="Q4002" s="118" t="n">
        <v>1.15</v>
      </c>
      <c r="R4002" s="117" t="n"/>
      <c r="T4002" s="117" t="n"/>
    </row>
    <row r="4003">
      <c r="A4003" s="134" t="inlineStr">
        <is>
          <t>3187XXX</t>
        </is>
      </c>
      <c r="B4003" s="118" t="inlineStr">
        <is>
          <t>TAVERNITI</t>
        </is>
      </c>
      <c r="C4003" s="88" t="n">
        <v>151600</v>
      </c>
      <c r="D4003" s="22" t="n"/>
      <c r="E4003" s="22" t="n"/>
      <c r="F4003" s="22" t="n"/>
      <c r="G4003" s="22" t="n"/>
      <c r="H4003" s="22" t="n"/>
      <c r="I4003" s="153" t="n"/>
      <c r="J4003" s="153" t="n"/>
      <c r="K4003" s="219">
        <f>ROUND((C4003*Q4003)/100,0)*100</f>
        <v/>
      </c>
      <c r="L4003" s="219" t="n"/>
      <c r="M4003" s="219" t="n"/>
      <c r="P4003" s="117" t="n"/>
      <c r="Q4003" s="118" t="n">
        <v>1.15</v>
      </c>
      <c r="R4003" s="117" t="n"/>
      <c r="T4003" s="117" t="n"/>
    </row>
    <row r="4004">
      <c r="A4004" s="89" t="inlineStr">
        <is>
          <t>3189XXX</t>
        </is>
      </c>
      <c r="B4004" s="118" t="inlineStr">
        <is>
          <t>TAVERNITI</t>
        </is>
      </c>
      <c r="C4004" s="88" t="n">
        <v>132200</v>
      </c>
      <c r="D4004" s="22" t="n"/>
      <c r="E4004" s="22" t="n"/>
      <c r="F4004" s="22" t="n"/>
      <c r="G4004" s="22" t="n"/>
      <c r="H4004" s="22" t="n"/>
      <c r="I4004" s="153" t="n"/>
      <c r="J4004" s="153" t="n"/>
      <c r="K4004" s="219">
        <f>ROUND((C4004*Q4004)/100,0)*100</f>
        <v/>
      </c>
      <c r="L4004" s="219" t="n"/>
      <c r="M4004" s="219" t="n"/>
      <c r="P4004" s="117" t="n"/>
      <c r="Q4004" s="118" t="n">
        <v>1.15</v>
      </c>
      <c r="R4004" s="117" t="n"/>
      <c r="T4004" s="117" t="n"/>
    </row>
    <row r="4005">
      <c r="A4005" s="134" t="inlineStr">
        <is>
          <t>3191XXX</t>
        </is>
      </c>
      <c r="B4005" s="118" t="inlineStr">
        <is>
          <t>TAVERNITI</t>
        </is>
      </c>
      <c r="C4005" s="88" t="n">
        <v>43200</v>
      </c>
      <c r="D4005" s="22" t="n"/>
      <c r="E4005" s="22" t="n"/>
      <c r="F4005" s="22" t="n"/>
      <c r="G4005" s="22" t="n"/>
      <c r="H4005" s="22" t="n"/>
      <c r="I4005" s="153" t="n"/>
      <c r="J4005" s="153" t="n"/>
      <c r="K4005" s="219" t="n">
        <v>43200</v>
      </c>
      <c r="L4005" s="219" t="n"/>
      <c r="M4005" s="219" t="n"/>
      <c r="P4005" s="117" t="n"/>
      <c r="Q4005" s="118" t="n">
        <v>1.15</v>
      </c>
      <c r="R4005" s="117" t="n"/>
      <c r="T4005" s="117" t="n"/>
    </row>
    <row r="4006">
      <c r="A4006" s="134" t="inlineStr">
        <is>
          <t>3193XXX</t>
        </is>
      </c>
      <c r="B4006" s="118" t="inlineStr">
        <is>
          <t>TAVERNITI</t>
        </is>
      </c>
      <c r="C4006" s="88" t="n">
        <v>146100</v>
      </c>
      <c r="D4006" s="22" t="n"/>
      <c r="E4006" s="22" t="n"/>
      <c r="F4006" s="22" t="n"/>
      <c r="G4006" s="22" t="n"/>
      <c r="H4006" s="22" t="n"/>
      <c r="I4006" s="153" t="n"/>
      <c r="J4006" s="153" t="n"/>
      <c r="K4006" s="219">
        <f>ROUND((C4006*Q4006)/100,0)*100</f>
        <v/>
      </c>
      <c r="L4006" s="219" t="n"/>
      <c r="M4006" s="219" t="n"/>
      <c r="P4006" s="117" t="n"/>
      <c r="Q4006" s="118" t="n">
        <v>1.15</v>
      </c>
      <c r="R4006" s="117" t="n"/>
      <c r="T4006" s="117" t="n"/>
    </row>
    <row r="4007">
      <c r="A4007" s="134" t="inlineStr">
        <is>
          <t>3195XXX</t>
        </is>
      </c>
      <c r="B4007" s="118" t="inlineStr">
        <is>
          <t>TAVERNITI</t>
        </is>
      </c>
      <c r="C4007" s="88" t="n">
        <v>119900</v>
      </c>
      <c r="D4007" s="22" t="n"/>
      <c r="E4007" s="22" t="n"/>
      <c r="F4007" s="22" t="n"/>
      <c r="G4007" s="22" t="n"/>
      <c r="H4007" s="22" t="n"/>
      <c r="I4007" s="153" t="n"/>
      <c r="J4007" s="153" t="n"/>
      <c r="K4007" s="219">
        <f>ROUND((C4007*Q4007)/100,0)*100</f>
        <v/>
      </c>
      <c r="L4007" s="219" t="n"/>
      <c r="M4007" s="219" t="n"/>
      <c r="P4007" s="117" t="n"/>
      <c r="Q4007" s="118" t="n">
        <v>1.15</v>
      </c>
      <c r="R4007" s="117" t="n"/>
      <c r="T4007" s="117" t="n"/>
    </row>
    <row r="4008">
      <c r="A4008" s="134" t="inlineStr">
        <is>
          <t>3197XXX</t>
        </is>
      </c>
      <c r="B4008" s="118" t="inlineStr">
        <is>
          <t>TAVERNITI</t>
        </is>
      </c>
      <c r="C4008" s="88" t="n">
        <v>130800</v>
      </c>
      <c r="D4008" s="22" t="n"/>
      <c r="E4008" s="22" t="n"/>
      <c r="F4008" s="22" t="n"/>
      <c r="G4008" s="22" t="n"/>
      <c r="H4008" s="22" t="n"/>
      <c r="I4008" s="153" t="n"/>
      <c r="J4008" s="153" t="n"/>
      <c r="K4008" s="219">
        <f>ROUND((C4008*Q4008)/100,0)*100</f>
        <v/>
      </c>
      <c r="L4008" s="219" t="n"/>
      <c r="M4008" s="219" t="n"/>
      <c r="P4008" s="117" t="n"/>
      <c r="Q4008" s="118" t="n">
        <v>1.15</v>
      </c>
      <c r="R4008" s="117" t="n"/>
      <c r="T4008" s="117" t="n"/>
    </row>
    <row r="4009">
      <c r="A4009" s="89" t="inlineStr">
        <is>
          <t>03271XXX</t>
        </is>
      </c>
      <c r="B4009" s="30" t="inlineStr">
        <is>
          <t>TAVERNITI</t>
        </is>
      </c>
      <c r="C4009" s="88" t="n">
        <v>121200</v>
      </c>
      <c r="D4009" s="170" t="n"/>
      <c r="E4009" s="170" t="n"/>
      <c r="F4009" s="170" t="n"/>
      <c r="G4009" s="170" t="n"/>
      <c r="H4009" s="170" t="n"/>
      <c r="I4009" s="111" t="n"/>
      <c r="J4009" s="111" t="n"/>
      <c r="K4009" s="88">
        <f>ROUND((C4009*Q4009)/100,0)*100</f>
        <v/>
      </c>
      <c r="L4009" s="170" t="n"/>
      <c r="M4009" s="170" t="n"/>
      <c r="N4009" s="30" t="n"/>
      <c r="O4009" s="30" t="n"/>
      <c r="P4009" s="170" t="n"/>
      <c r="Q4009" s="118" t="n">
        <v>1.15</v>
      </c>
      <c r="R4009" s="170" t="n"/>
      <c r="S4009" s="30" t="n"/>
      <c r="T4009" s="170" t="n"/>
      <c r="U4009" s="30" t="n"/>
      <c r="V4009" s="30" t="n"/>
      <c r="W4009" s="30" t="n"/>
      <c r="X4009" s="30" t="n"/>
      <c r="Y4009" s="30" t="n"/>
      <c r="Z4009" s="30" t="n"/>
      <c r="AA4009" s="30" t="n"/>
      <c r="AB4009" s="30" t="n"/>
      <c r="AC4009" s="30" t="n"/>
      <c r="AD4009" s="30" t="n"/>
      <c r="AE4009" s="30" t="n"/>
      <c r="AF4009" s="30" t="n"/>
      <c r="AG4009" s="30" t="n"/>
      <c r="AH4009" s="30" t="n"/>
      <c r="AI4009" s="30" t="n"/>
      <c r="AJ4009" s="30" t="n"/>
      <c r="AK4009" s="30" t="n"/>
      <c r="AL4009" s="30" t="n"/>
      <c r="AM4009" s="30" t="n"/>
      <c r="AN4009" s="30" t="n"/>
      <c r="AO4009" s="30" t="n"/>
    </row>
    <row r="4010">
      <c r="A4010" s="134" t="inlineStr">
        <is>
          <t>03297XXX</t>
        </is>
      </c>
      <c r="B4010" s="118" t="inlineStr">
        <is>
          <t>TAVERNITI</t>
        </is>
      </c>
      <c r="C4010" s="88" t="n">
        <v>142500</v>
      </c>
      <c r="D4010" s="22" t="n"/>
      <c r="E4010" s="22" t="n"/>
      <c r="F4010" s="22" t="n"/>
      <c r="G4010" s="22" t="n"/>
      <c r="H4010" s="22" t="n"/>
      <c r="I4010" s="153" t="n"/>
      <c r="J4010" s="153" t="n"/>
      <c r="K4010" s="219">
        <f>ROUND((C4010*Q4010)/100,0)*100</f>
        <v/>
      </c>
      <c r="L4010" s="219" t="n"/>
      <c r="M4010" s="219" t="n"/>
      <c r="P4010" s="117" t="n"/>
      <c r="Q4010" s="118" t="n">
        <v>1.15</v>
      </c>
      <c r="R4010" s="117" t="n"/>
      <c r="T4010" s="117" t="n"/>
    </row>
    <row r="4011">
      <c r="A4011" s="134" t="inlineStr">
        <is>
          <t>3507XXX</t>
        </is>
      </c>
      <c r="B4011" s="118" t="inlineStr">
        <is>
          <t>TAVERNITI</t>
        </is>
      </c>
      <c r="C4011" s="88" t="n">
        <v>142700</v>
      </c>
      <c r="D4011" s="22" t="n"/>
      <c r="E4011" s="22" t="n"/>
      <c r="F4011" s="22" t="n"/>
      <c r="G4011" s="22" t="n"/>
      <c r="H4011" s="22" t="n"/>
      <c r="I4011" s="153" t="n"/>
      <c r="J4011" s="153" t="n"/>
      <c r="K4011" s="219">
        <f>ROUND((C4011*Q4011)/100,0)*100</f>
        <v/>
      </c>
      <c r="L4011" s="219" t="n"/>
      <c r="M4011" s="219" t="n"/>
      <c r="P4011" s="117" t="n"/>
      <c r="Q4011" s="118" t="n">
        <v>1.15</v>
      </c>
      <c r="R4011" s="117" t="n"/>
      <c r="T4011" s="117" t="n"/>
    </row>
    <row r="4012">
      <c r="A4012" s="134" t="inlineStr">
        <is>
          <t>3507XXX</t>
        </is>
      </c>
      <c r="B4012" s="118" t="inlineStr">
        <is>
          <t>TAVERNITI</t>
        </is>
      </c>
      <c r="C4012" s="88" t="n">
        <v>142700</v>
      </c>
      <c r="D4012" s="22" t="n"/>
      <c r="E4012" s="22" t="n"/>
      <c r="F4012" s="22" t="n"/>
      <c r="G4012" s="22" t="n"/>
      <c r="H4012" s="22" t="n"/>
      <c r="I4012" s="153" t="n"/>
      <c r="J4012" s="153" t="n"/>
      <c r="K4012" s="219">
        <f>ROUND((C4012*Q4012)/100,0)*100</f>
        <v/>
      </c>
      <c r="L4012" s="219" t="n"/>
      <c r="M4012" s="219" t="n"/>
      <c r="P4012" s="117" t="n"/>
      <c r="Q4012" s="118" t="n">
        <v>1.15</v>
      </c>
      <c r="R4012" s="117" t="n"/>
      <c r="T4012" s="117" t="n"/>
    </row>
    <row r="4013">
      <c r="A4013" s="134" t="inlineStr">
        <is>
          <t>03561XXX</t>
        </is>
      </c>
      <c r="B4013" s="118" t="inlineStr">
        <is>
          <t>TAVERNITI</t>
        </is>
      </c>
      <c r="C4013" s="88" t="n">
        <v>125200</v>
      </c>
      <c r="D4013" s="22" t="n"/>
      <c r="E4013" s="22" t="n"/>
      <c r="F4013" s="22" t="n"/>
      <c r="G4013" s="22" t="n"/>
      <c r="H4013" s="22" t="n"/>
      <c r="I4013" s="153" t="n"/>
      <c r="J4013" s="153" t="n"/>
      <c r="K4013" s="219">
        <f>ROUND((C4013*Q4013)/100,0)*100</f>
        <v/>
      </c>
      <c r="L4013" s="219" t="n"/>
      <c r="M4013" s="219" t="n"/>
      <c r="P4013" s="117" t="n"/>
      <c r="Q4013" s="118" t="n">
        <v>1.15</v>
      </c>
      <c r="R4013" s="117" t="n"/>
      <c r="T4013" s="117" t="n"/>
    </row>
    <row r="4014">
      <c r="A4014" s="134" t="inlineStr">
        <is>
          <t>4535XXX</t>
        </is>
      </c>
      <c r="B4014" s="118" t="inlineStr">
        <is>
          <t>TAVERNITI</t>
        </is>
      </c>
      <c r="C4014" s="88" t="n">
        <v>78000</v>
      </c>
      <c r="D4014" s="22" t="n"/>
      <c r="E4014" s="22" t="n"/>
      <c r="F4014" s="22" t="n"/>
      <c r="G4014" s="22" t="n"/>
      <c r="H4014" s="22" t="n"/>
      <c r="I4014" s="153" t="n"/>
      <c r="J4014" s="153" t="n"/>
      <c r="K4014" s="219">
        <f>ROUND((C4014*Q4014)/100,0)*100</f>
        <v/>
      </c>
      <c r="L4014" s="219" t="n"/>
      <c r="M4014" s="219" t="n"/>
      <c r="P4014" s="117" t="n"/>
      <c r="Q4014" s="118" t="n">
        <v>1.15</v>
      </c>
      <c r="R4014" s="117" t="n"/>
      <c r="T4014" s="117" t="n"/>
    </row>
    <row r="4015">
      <c r="A4015" s="134" t="inlineStr">
        <is>
          <t>4539XXX</t>
        </is>
      </c>
      <c r="B4015" s="118" t="inlineStr">
        <is>
          <t>TAVERNITI</t>
        </is>
      </c>
      <c r="C4015" s="88" t="n">
        <v>78000</v>
      </c>
      <c r="D4015" s="22" t="n"/>
      <c r="E4015" s="22" t="n"/>
      <c r="F4015" s="22" t="n"/>
      <c r="G4015" s="22" t="n"/>
      <c r="H4015" s="22" t="n"/>
      <c r="I4015" s="153" t="n"/>
      <c r="J4015" s="153" t="n"/>
      <c r="K4015" s="219">
        <f>ROUND((C4015*Q4015)/100,0)*100</f>
        <v/>
      </c>
      <c r="L4015" s="219" t="n"/>
      <c r="M4015" s="219" t="n"/>
      <c r="P4015" s="117" t="n"/>
      <c r="Q4015" s="118" t="n">
        <v>1.15</v>
      </c>
      <c r="R4015" s="117" t="n"/>
      <c r="T4015" s="117" t="n"/>
    </row>
    <row r="4016">
      <c r="A4016" s="134" t="inlineStr">
        <is>
          <t>4541XXX</t>
        </is>
      </c>
      <c r="B4016" s="118" t="inlineStr">
        <is>
          <t>TAVERNITI</t>
        </is>
      </c>
      <c r="C4016" s="88" t="n">
        <v>73700</v>
      </c>
      <c r="D4016" s="22" t="n"/>
      <c r="E4016" s="22" t="n"/>
      <c r="F4016" s="22" t="n"/>
      <c r="G4016" s="22" t="n"/>
      <c r="H4016" s="22" t="n"/>
      <c r="I4016" s="153" t="n"/>
      <c r="J4016" s="153" t="n"/>
      <c r="K4016" s="219">
        <f>ROUND((C4016*Q4016)/100,0)*100</f>
        <v/>
      </c>
      <c r="L4016" s="219" t="n"/>
      <c r="M4016" s="219" t="n"/>
      <c r="P4016" s="117" t="n"/>
      <c r="Q4016" s="118" t="n">
        <v>1.15</v>
      </c>
      <c r="R4016" s="117" t="n"/>
      <c r="T4016" s="117" t="n"/>
    </row>
    <row r="4017">
      <c r="A4017" s="134" t="inlineStr">
        <is>
          <t>4543XXX</t>
        </is>
      </c>
      <c r="B4017" s="118" t="inlineStr">
        <is>
          <t xml:space="preserve">TAVERNITI </t>
        </is>
      </c>
      <c r="C4017" s="88" t="n">
        <v>83700</v>
      </c>
      <c r="D4017" s="22" t="n"/>
      <c r="E4017" s="22" t="n"/>
      <c r="F4017" s="22" t="n"/>
      <c r="G4017" s="22" t="n"/>
      <c r="H4017" s="22" t="n"/>
      <c r="I4017" s="153" t="n"/>
      <c r="J4017" s="153" t="n"/>
      <c r="K4017" s="219">
        <f>ROUND((C4017*Q4017)/100,0)*100</f>
        <v/>
      </c>
      <c r="L4017" s="219" t="n"/>
      <c r="M4017" s="219" t="n"/>
      <c r="P4017" s="117" t="n"/>
      <c r="Q4017" s="118" t="n">
        <v>1.15</v>
      </c>
      <c r="R4017" s="117" t="n"/>
      <c r="T4017" s="117" t="n"/>
    </row>
    <row r="4018">
      <c r="A4018" s="134" t="inlineStr">
        <is>
          <t>4557XXX</t>
        </is>
      </c>
      <c r="B4018" s="118" t="inlineStr">
        <is>
          <t>TAVERNITI</t>
        </is>
      </c>
      <c r="C4018" s="88" t="n">
        <v>67300</v>
      </c>
      <c r="D4018" s="22" t="n"/>
      <c r="E4018" s="22" t="n"/>
      <c r="F4018" s="22" t="n"/>
      <c r="G4018" s="22" t="n"/>
      <c r="H4018" s="22" t="n"/>
      <c r="I4018" s="153" t="n"/>
      <c r="J4018" s="153" t="n"/>
      <c r="K4018" s="219">
        <f>ROUND((C4018*Q4018)/100,0)*100</f>
        <v/>
      </c>
      <c r="L4018" s="219" t="n"/>
      <c r="M4018" s="219" t="n"/>
      <c r="P4018" s="117" t="n"/>
      <c r="Q4018" s="118" t="n">
        <v>1.15</v>
      </c>
      <c r="R4018" s="117" t="n"/>
      <c r="T4018" s="117" t="n"/>
    </row>
    <row r="4019">
      <c r="A4019" s="89" t="inlineStr">
        <is>
          <t>4737XXX</t>
        </is>
      </c>
      <c r="B4019" s="30" t="inlineStr">
        <is>
          <t>TAVERNITI</t>
        </is>
      </c>
      <c r="C4019" s="88" t="n">
        <v>109800</v>
      </c>
      <c r="D4019" s="88" t="n"/>
      <c r="E4019" s="88" t="n"/>
      <c r="F4019" s="88" t="n"/>
      <c r="G4019" s="88" t="n"/>
      <c r="H4019" s="88" t="n"/>
      <c r="I4019" s="170" t="n"/>
      <c r="J4019" s="170" t="n"/>
      <c r="K4019" s="88">
        <f>ROUND((C4019*Q4019)/100,0)*100</f>
        <v/>
      </c>
      <c r="L4019" s="88" t="n"/>
      <c r="M4019" s="88" t="n"/>
      <c r="N4019" s="30" t="n"/>
      <c r="O4019" s="30" t="n"/>
      <c r="P4019" s="170" t="n"/>
      <c r="Q4019" s="118" t="n">
        <v>1.15</v>
      </c>
      <c r="R4019" s="170" t="n"/>
      <c r="S4019" s="30" t="n"/>
      <c r="T4019" s="170" t="n"/>
      <c r="U4019" s="30" t="n"/>
      <c r="V4019" s="30" t="n"/>
      <c r="W4019" s="30" t="n"/>
      <c r="X4019" s="30" t="n"/>
      <c r="Y4019" s="30" t="n"/>
      <c r="Z4019" s="30" t="n"/>
      <c r="AA4019" s="30" t="n"/>
      <c r="AB4019" s="30" t="n"/>
      <c r="AC4019" s="30" t="n"/>
      <c r="AD4019" s="30" t="n"/>
      <c r="AE4019" s="30" t="n"/>
      <c r="AF4019" s="30" t="n"/>
      <c r="AG4019" s="30" t="n"/>
      <c r="AH4019" s="30" t="n"/>
      <c r="AI4019" s="30" t="n"/>
      <c r="AJ4019" s="30" t="n"/>
      <c r="AK4019" s="30" t="n"/>
      <c r="AL4019" s="30" t="n"/>
      <c r="AM4019" s="30" t="n"/>
      <c r="AN4019" s="30" t="n"/>
      <c r="AO4019" s="30" t="n"/>
    </row>
    <row r="4020">
      <c r="A4020" s="89" t="inlineStr">
        <is>
          <t>4741XXX</t>
        </is>
      </c>
      <c r="B4020" s="30" t="inlineStr">
        <is>
          <t>TAVERNITI</t>
        </is>
      </c>
      <c r="C4020" s="88" t="n">
        <v>69100</v>
      </c>
      <c r="D4020" s="88" t="n"/>
      <c r="E4020" s="88" t="n"/>
      <c r="F4020" s="88" t="n"/>
      <c r="G4020" s="88" t="n"/>
      <c r="H4020" s="88" t="n"/>
      <c r="I4020" s="111" t="n"/>
      <c r="J4020" s="111" t="n"/>
      <c r="K4020" s="88">
        <f>ROUND((C4020*Q4020)/100,0)*100</f>
        <v/>
      </c>
      <c r="L4020" s="88" t="n"/>
      <c r="M4020" s="88" t="n"/>
      <c r="N4020" s="96" t="n"/>
      <c r="O4020" s="96" t="n"/>
      <c r="P4020" s="150" t="n"/>
      <c r="Q4020" s="118" t="n">
        <v>1.15</v>
      </c>
      <c r="R4020" s="150" t="n"/>
      <c r="S4020" s="96" t="n"/>
      <c r="T4020" s="150" t="n"/>
      <c r="U4020" s="96" t="n"/>
      <c r="V4020" s="96" t="n"/>
      <c r="W4020" s="96" t="n"/>
      <c r="X4020" s="96" t="n"/>
      <c r="Y4020" s="30" t="n"/>
      <c r="Z4020" s="30" t="n"/>
      <c r="AA4020" s="30" t="n"/>
      <c r="AB4020" s="30" t="n"/>
      <c r="AC4020" s="30" t="n"/>
      <c r="AD4020" s="30" t="n"/>
      <c r="AE4020" s="30" t="n"/>
      <c r="AF4020" s="30" t="n"/>
      <c r="AG4020" s="30" t="n"/>
      <c r="AH4020" s="30" t="n"/>
      <c r="AI4020" s="30" t="n"/>
      <c r="AJ4020" s="30" t="n"/>
      <c r="AK4020" s="30" t="n"/>
      <c r="AL4020" s="30" t="n"/>
      <c r="AM4020" s="30" t="n"/>
      <c r="AN4020" s="30" t="n"/>
    </row>
    <row r="4021">
      <c r="A4021" s="134" t="inlineStr">
        <is>
          <t>4749XXX</t>
        </is>
      </c>
      <c r="B4021" s="118" t="inlineStr">
        <is>
          <t>TAVERNITI</t>
        </is>
      </c>
      <c r="C4021" s="88" t="n">
        <v>71500</v>
      </c>
      <c r="D4021" s="22" t="n"/>
      <c r="E4021" s="22" t="n"/>
      <c r="F4021" s="22" t="n"/>
      <c r="G4021" s="22" t="n"/>
      <c r="H4021" s="22" t="n"/>
      <c r="I4021" s="153" t="n"/>
      <c r="J4021" s="153" t="n"/>
      <c r="K4021" s="219">
        <f>ROUND((C4021*Q4021)/100,0)*100</f>
        <v/>
      </c>
      <c r="L4021" s="219" t="n"/>
      <c r="M4021" s="219" t="n"/>
      <c r="P4021" s="117" t="n"/>
      <c r="Q4021" s="118" t="n">
        <v>1.15</v>
      </c>
      <c r="R4021" s="117" t="n"/>
      <c r="T4021" s="117" t="n"/>
    </row>
    <row r="4022">
      <c r="A4022" s="134" t="inlineStr">
        <is>
          <t>4753XXX</t>
        </is>
      </c>
      <c r="B4022" s="118" t="inlineStr">
        <is>
          <t>TAVERNITI</t>
        </is>
      </c>
      <c r="C4022" s="88" t="n">
        <v>84000</v>
      </c>
      <c r="D4022" s="22" t="n"/>
      <c r="E4022" s="22" t="n"/>
      <c r="F4022" s="22" t="n"/>
      <c r="G4022" s="22" t="n"/>
      <c r="H4022" s="22" t="n"/>
      <c r="I4022" s="153" t="n"/>
      <c r="J4022" s="153" t="n"/>
      <c r="K4022" s="219">
        <f>ROUND((C4022*Q4022)/100,0)*100</f>
        <v/>
      </c>
      <c r="L4022" s="219" t="n"/>
      <c r="M4022" s="219" t="n"/>
      <c r="P4022" s="117" t="n"/>
      <c r="Q4022" s="118" t="n">
        <v>1.15</v>
      </c>
      <c r="R4022" s="117" t="n"/>
      <c r="T4022" s="117" t="n"/>
    </row>
    <row r="4023">
      <c r="A4023" s="134" t="inlineStr">
        <is>
          <t>4761XXX</t>
        </is>
      </c>
      <c r="B4023" s="118" t="inlineStr">
        <is>
          <t>TAVERNITI</t>
        </is>
      </c>
      <c r="C4023" s="88" t="n">
        <v>77000</v>
      </c>
      <c r="D4023" s="22" t="n"/>
      <c r="E4023" s="22" t="n"/>
      <c r="F4023" s="22" t="n"/>
      <c r="G4023" s="22" t="n"/>
      <c r="H4023" s="22" t="n"/>
      <c r="I4023" s="153" t="n"/>
      <c r="J4023" s="153" t="n"/>
      <c r="K4023" s="219">
        <f>ROUND((C4023*Q4023)/100,0)*100</f>
        <v/>
      </c>
      <c r="L4023" s="219" t="n"/>
      <c r="M4023" s="219" t="n"/>
      <c r="P4023" s="117" t="n"/>
      <c r="Q4023" s="118" t="n">
        <v>1.15</v>
      </c>
      <c r="R4023" s="117" t="n"/>
      <c r="T4023" s="117" t="n"/>
    </row>
    <row r="4024">
      <c r="A4024" s="134" t="inlineStr">
        <is>
          <t>4763XXX</t>
        </is>
      </c>
      <c r="B4024" s="118" t="inlineStr">
        <is>
          <t>TAVERNITI</t>
        </is>
      </c>
      <c r="C4024" s="88" t="n">
        <v>95700</v>
      </c>
      <c r="D4024" s="22" t="n"/>
      <c r="E4024" s="22" t="n"/>
      <c r="F4024" s="22" t="n"/>
      <c r="G4024" s="22" t="n"/>
      <c r="H4024" s="22" t="n"/>
      <c r="I4024" s="153" t="n"/>
      <c r="J4024" s="153" t="n"/>
      <c r="K4024" s="219">
        <f>ROUND((C4024*Q4024)/100,0)*100</f>
        <v/>
      </c>
      <c r="L4024" s="219" t="n"/>
      <c r="M4024" s="219" t="n"/>
      <c r="P4024" s="117" t="n"/>
      <c r="Q4024" s="118" t="n">
        <v>1.15</v>
      </c>
      <c r="R4024" s="117" t="n"/>
      <c r="T4024" s="117" t="n"/>
    </row>
    <row r="4025">
      <c r="A4025" s="89" t="inlineStr">
        <is>
          <t>5643XXX</t>
        </is>
      </c>
      <c r="B4025" s="30" t="inlineStr">
        <is>
          <t>TAVERNITI</t>
        </is>
      </c>
      <c r="C4025" s="88" t="n">
        <v>111400</v>
      </c>
      <c r="D4025" s="170" t="n"/>
      <c r="E4025" s="170" t="n"/>
      <c r="F4025" s="170" t="n"/>
      <c r="G4025" s="170" t="n"/>
      <c r="H4025" s="170" t="n"/>
      <c r="I4025" s="111" t="n"/>
      <c r="J4025" s="111" t="n"/>
      <c r="K4025" s="88">
        <f>ROUND((C4025*Q4025)/100,0)*100</f>
        <v/>
      </c>
      <c r="L4025" s="170" t="n"/>
      <c r="M4025" s="170" t="n"/>
      <c r="N4025" s="30" t="n"/>
      <c r="O4025" s="30" t="n"/>
      <c r="P4025" s="170" t="n"/>
      <c r="Q4025" s="118" t="n">
        <v>1.15</v>
      </c>
      <c r="R4025" s="170" t="n"/>
      <c r="S4025" s="30" t="n"/>
      <c r="T4025" s="170" t="n"/>
      <c r="U4025" s="30" t="n"/>
      <c r="V4025" s="30" t="n"/>
      <c r="W4025" s="30" t="n"/>
      <c r="X4025" s="30" t="n"/>
      <c r="Y4025" s="30" t="n"/>
      <c r="Z4025" s="30" t="n"/>
      <c r="AA4025" s="30" t="n"/>
      <c r="AB4025" s="30" t="n"/>
      <c r="AC4025" s="30" t="n"/>
      <c r="AD4025" s="30" t="n"/>
      <c r="AE4025" s="30" t="n"/>
      <c r="AF4025" s="30" t="n"/>
      <c r="AG4025" s="30" t="n"/>
      <c r="AH4025" s="30" t="n"/>
      <c r="AI4025" s="30" t="n"/>
      <c r="AJ4025" s="30" t="n"/>
      <c r="AK4025" s="30" t="n"/>
      <c r="AL4025" s="30" t="n"/>
      <c r="AM4025" s="30" t="n"/>
      <c r="AN4025" s="30" t="n"/>
      <c r="AO4025" s="30" t="n"/>
    </row>
    <row r="4026">
      <c r="A4026" s="89" t="inlineStr">
        <is>
          <t>05685XXX</t>
        </is>
      </c>
      <c r="B4026" s="30" t="inlineStr">
        <is>
          <t>TAVERNITI</t>
        </is>
      </c>
      <c r="C4026" s="88" t="n">
        <v>88000</v>
      </c>
      <c r="D4026" s="170" t="n"/>
      <c r="E4026" s="170" t="n"/>
      <c r="F4026" s="170" t="n"/>
      <c r="G4026" s="170" t="n"/>
      <c r="H4026" s="170" t="n"/>
      <c r="I4026" s="170" t="n"/>
      <c r="J4026" s="170" t="n"/>
      <c r="K4026" s="88">
        <f>ROUND((C4026*Q4026)/100,0)*100</f>
        <v/>
      </c>
      <c r="L4026" s="170" t="n"/>
      <c r="M4026" s="170" t="n"/>
      <c r="N4026" s="30" t="n"/>
      <c r="O4026" s="30" t="n"/>
      <c r="P4026" s="170" t="n"/>
      <c r="Q4026" s="118" t="n">
        <v>1.15</v>
      </c>
      <c r="R4026" s="170" t="n"/>
      <c r="S4026" s="30" t="n"/>
      <c r="T4026" s="170" t="n"/>
      <c r="U4026" s="30" t="n"/>
      <c r="V4026" s="30" t="n"/>
      <c r="W4026" s="30" t="n"/>
      <c r="X4026" s="30" t="n"/>
      <c r="Y4026" s="30" t="n"/>
      <c r="Z4026" s="30" t="n"/>
      <c r="AA4026" s="30" t="n"/>
      <c r="AB4026" s="30" t="n"/>
      <c r="AC4026" s="30" t="n"/>
      <c r="AD4026" s="30" t="n"/>
      <c r="AE4026" s="30" t="n"/>
      <c r="AF4026" s="30" t="n"/>
      <c r="AG4026" s="30" t="n"/>
      <c r="AH4026" s="30" t="n"/>
      <c r="AI4026" s="30" t="n"/>
      <c r="AJ4026" s="30" t="n"/>
      <c r="AK4026" s="30" t="n"/>
      <c r="AL4026" s="30" t="n"/>
      <c r="AM4026" s="30" t="n"/>
      <c r="AN4026" s="30" t="n"/>
      <c r="AO4026" s="30" t="n"/>
    </row>
    <row r="4027">
      <c r="A4027" s="89" t="inlineStr">
        <is>
          <t>05687XXX</t>
        </is>
      </c>
      <c r="B4027" s="30" t="inlineStr">
        <is>
          <t>TAVERNITI</t>
        </is>
      </c>
      <c r="C4027" s="88" t="n">
        <v>95700</v>
      </c>
      <c r="D4027" s="170" t="n"/>
      <c r="E4027" s="170" t="n"/>
      <c r="F4027" s="170" t="n"/>
      <c r="G4027" s="170" t="n"/>
      <c r="H4027" s="170" t="n"/>
      <c r="I4027" s="111" t="n"/>
      <c r="J4027" s="111" t="n"/>
      <c r="K4027" s="88">
        <f>ROUND((C4027*Q4027)/100,0)*100</f>
        <v/>
      </c>
      <c r="L4027" s="170" t="n"/>
      <c r="M4027" s="170" t="n"/>
      <c r="N4027" s="30" t="n"/>
      <c r="O4027" s="30" t="n"/>
      <c r="P4027" s="170" t="n"/>
      <c r="Q4027" s="118" t="n">
        <v>1.15</v>
      </c>
      <c r="R4027" s="170" t="n"/>
      <c r="S4027" s="30" t="n"/>
      <c r="T4027" s="170" t="n"/>
      <c r="U4027" s="30" t="n"/>
      <c r="V4027" s="30" t="n"/>
      <c r="W4027" s="30" t="n"/>
      <c r="X4027" s="30" t="n"/>
      <c r="Y4027" s="30" t="n"/>
      <c r="Z4027" s="30" t="n"/>
      <c r="AA4027" s="30" t="n"/>
      <c r="AB4027" s="30" t="n"/>
      <c r="AC4027" s="30" t="n"/>
      <c r="AD4027" s="30" t="n"/>
      <c r="AE4027" s="30" t="n"/>
      <c r="AF4027" s="30" t="n"/>
      <c r="AG4027" s="30" t="n"/>
      <c r="AH4027" s="30" t="n"/>
      <c r="AI4027" s="30" t="n"/>
      <c r="AJ4027" s="30" t="n"/>
      <c r="AK4027" s="30" t="n"/>
      <c r="AL4027" s="30" t="n"/>
      <c r="AM4027" s="30" t="n"/>
      <c r="AN4027" s="30" t="n"/>
      <c r="AO4027" s="30" t="n"/>
    </row>
    <row r="4028">
      <c r="A4028" s="134" t="inlineStr">
        <is>
          <t>5691XXX</t>
        </is>
      </c>
      <c r="B4028" s="118" t="inlineStr">
        <is>
          <t>TAVERNITI</t>
        </is>
      </c>
      <c r="C4028" s="88" t="n">
        <v>80200</v>
      </c>
      <c r="D4028" s="22" t="n"/>
      <c r="E4028" s="22" t="n"/>
      <c r="F4028" s="22" t="n"/>
      <c r="G4028" s="22" t="n"/>
      <c r="H4028" s="22" t="n"/>
      <c r="I4028" s="153" t="n"/>
      <c r="J4028" s="153" t="n"/>
      <c r="K4028" s="219">
        <f>ROUND((C4028*Q4028)/100,0)*100</f>
        <v/>
      </c>
      <c r="L4028" s="219" t="n"/>
      <c r="M4028" s="219" t="n"/>
      <c r="P4028" s="117" t="n"/>
      <c r="Q4028" s="118" t="n">
        <v>1.15</v>
      </c>
      <c r="R4028" s="117" t="n"/>
      <c r="T4028" s="117" t="n"/>
    </row>
    <row r="4029">
      <c r="A4029" s="134" t="inlineStr">
        <is>
          <t>5695XXX</t>
        </is>
      </c>
      <c r="B4029" s="118" t="inlineStr">
        <is>
          <t>TAVERNITI</t>
        </is>
      </c>
      <c r="C4029" s="88" t="n">
        <v>80200</v>
      </c>
      <c r="D4029" s="22" t="n"/>
      <c r="E4029" s="22" t="n"/>
      <c r="F4029" s="22" t="n"/>
      <c r="G4029" s="22" t="n"/>
      <c r="H4029" s="22" t="n"/>
      <c r="I4029" s="153" t="n"/>
      <c r="J4029" s="153" t="n"/>
      <c r="K4029" s="219">
        <f>ROUND((C4029*Q4029)/100,0)*100</f>
        <v/>
      </c>
      <c r="L4029" s="219" t="n"/>
      <c r="M4029" s="219" t="n"/>
      <c r="P4029" s="117" t="n"/>
      <c r="Q4029" s="118" t="n">
        <v>1.15</v>
      </c>
      <c r="R4029" s="117" t="n"/>
      <c r="T4029" s="117" t="n"/>
    </row>
    <row r="4030">
      <c r="A4030" s="134" t="inlineStr">
        <is>
          <t>05943XXX</t>
        </is>
      </c>
      <c r="B4030" s="118" t="inlineStr">
        <is>
          <t>TAVERNITI</t>
        </is>
      </c>
      <c r="C4030" s="88" t="n">
        <v>111300</v>
      </c>
      <c r="D4030" s="22" t="n"/>
      <c r="E4030" s="22" t="n"/>
      <c r="F4030" s="22" t="n"/>
      <c r="G4030" s="22" t="n"/>
      <c r="H4030" s="22" t="n"/>
      <c r="I4030" s="153" t="n"/>
      <c r="J4030" s="153" t="n"/>
      <c r="K4030" s="219">
        <f>ROUND((C4030*Q4030)/100,0)*100</f>
        <v/>
      </c>
      <c r="L4030" s="219" t="n"/>
      <c r="M4030" s="219" t="n"/>
      <c r="P4030" s="117" t="n"/>
      <c r="Q4030" s="118" t="n">
        <v>1.15</v>
      </c>
      <c r="R4030" s="117" t="n"/>
      <c r="T4030" s="117" t="n"/>
    </row>
    <row r="4031">
      <c r="A4031" s="134" t="inlineStr">
        <is>
          <t>6029XXX</t>
        </is>
      </c>
      <c r="B4031" s="118" t="inlineStr">
        <is>
          <t>TAVERNITI</t>
        </is>
      </c>
      <c r="C4031" s="88" t="n">
        <v>88400</v>
      </c>
      <c r="D4031" s="22" t="n"/>
      <c r="E4031" s="22" t="n"/>
      <c r="F4031" s="22" t="n"/>
      <c r="G4031" s="22" t="n"/>
      <c r="H4031" s="22" t="n"/>
      <c r="I4031" s="153" t="n"/>
      <c r="J4031" s="153" t="n"/>
      <c r="K4031" s="219">
        <f>ROUND((C4031*Q4031)/100,0)*100</f>
        <v/>
      </c>
      <c r="L4031" s="219" t="n"/>
      <c r="M4031" s="219" t="n"/>
      <c r="P4031" s="117" t="n"/>
      <c r="Q4031" s="118" t="n">
        <v>1.15</v>
      </c>
      <c r="R4031" s="117" t="n"/>
      <c r="T4031" s="117" t="n"/>
    </row>
    <row r="4032">
      <c r="A4032" s="134" t="inlineStr">
        <is>
          <t>6071XXX</t>
        </is>
      </c>
      <c r="B4032" s="118" t="inlineStr">
        <is>
          <t>TAVERNITI</t>
        </is>
      </c>
      <c r="C4032" s="88" t="n">
        <v>68400</v>
      </c>
      <c r="D4032" s="22" t="n"/>
      <c r="E4032" s="22" t="n"/>
      <c r="F4032" s="22" t="n"/>
      <c r="G4032" s="22" t="n"/>
      <c r="H4032" s="22" t="n"/>
      <c r="I4032" s="153" t="n"/>
      <c r="J4032" s="153" t="n"/>
      <c r="K4032" s="219">
        <f>ROUND((C4032*Q4032)/100,0)*100</f>
        <v/>
      </c>
      <c r="L4032" s="219" t="n"/>
      <c r="M4032" s="219" t="n"/>
      <c r="P4032" s="117" t="n"/>
      <c r="Q4032" s="118" t="n">
        <v>1.15</v>
      </c>
      <c r="R4032" s="117" t="n"/>
      <c r="T4032" s="117" t="n"/>
    </row>
    <row r="4033">
      <c r="A4033" s="134" t="inlineStr">
        <is>
          <t>8385XXX</t>
        </is>
      </c>
      <c r="B4033" s="118" t="inlineStr">
        <is>
          <t>TAVERNITI</t>
        </is>
      </c>
      <c r="C4033" s="88" t="n">
        <v>53900</v>
      </c>
      <c r="D4033" s="22" t="n"/>
      <c r="E4033" s="22" t="n"/>
      <c r="F4033" s="22" t="n"/>
      <c r="G4033" s="22" t="n"/>
      <c r="H4033" s="22" t="n"/>
      <c r="I4033" s="153" t="n"/>
      <c r="J4033" s="153" t="n"/>
      <c r="K4033" s="219">
        <f>ROUND((C4033*Q4033)/100,0)*100</f>
        <v/>
      </c>
      <c r="L4033" s="219" t="n"/>
      <c r="M4033" s="219" t="n"/>
      <c r="P4033" s="117" t="n"/>
      <c r="Q4033" s="118" t="n">
        <v>1.15</v>
      </c>
      <c r="R4033" s="117" t="n"/>
      <c r="T4033" s="117" t="n"/>
    </row>
    <row r="4034">
      <c r="A4034" s="134" t="inlineStr">
        <is>
          <t>8387XXX</t>
        </is>
      </c>
      <c r="B4034" s="118" t="inlineStr">
        <is>
          <t>TAVERNITI</t>
        </is>
      </c>
      <c r="C4034" s="88" t="n">
        <v>61900</v>
      </c>
      <c r="D4034" s="22" t="n"/>
      <c r="E4034" s="22" t="n"/>
      <c r="F4034" s="22" t="n"/>
      <c r="G4034" s="22" t="n"/>
      <c r="H4034" s="22" t="n"/>
      <c r="I4034" s="153" t="n"/>
      <c r="J4034" s="153" t="n"/>
      <c r="K4034" s="219">
        <f>ROUND((C4034*Q4034)/100,0)*100</f>
        <v/>
      </c>
      <c r="L4034" s="219" t="n"/>
      <c r="M4034" s="219" t="n"/>
      <c r="P4034" s="117" t="n"/>
      <c r="Q4034" s="118" t="n">
        <v>1.15</v>
      </c>
      <c r="R4034" s="117" t="n"/>
      <c r="T4034" s="117" t="n"/>
    </row>
    <row r="4035">
      <c r="A4035" s="134" t="inlineStr">
        <is>
          <t>8391XXX</t>
        </is>
      </c>
      <c r="B4035" s="118" t="inlineStr">
        <is>
          <t>TAVERNITI</t>
        </is>
      </c>
      <c r="C4035" s="88" t="n">
        <v>60500</v>
      </c>
      <c r="D4035" s="22" t="n"/>
      <c r="E4035" s="22" t="n"/>
      <c r="F4035" s="22" t="n"/>
      <c r="G4035" s="22" t="n"/>
      <c r="H4035" s="22" t="n"/>
      <c r="I4035" s="153" t="n"/>
      <c r="J4035" s="153" t="n"/>
      <c r="K4035" s="219">
        <f>ROUND((C4035*Q4035)/100,0)*100</f>
        <v/>
      </c>
      <c r="L4035" s="219" t="n"/>
      <c r="M4035" s="219" t="n"/>
      <c r="P4035" s="117" t="n"/>
      <c r="Q4035" s="118" t="n">
        <v>1.15</v>
      </c>
      <c r="R4035" s="117" t="n"/>
      <c r="T4035" s="117" t="n"/>
    </row>
    <row r="4036">
      <c r="A4036" s="89" t="inlineStr">
        <is>
          <t>8455XXX</t>
        </is>
      </c>
      <c r="B4036" s="30" t="inlineStr">
        <is>
          <t>TAVERNITI</t>
        </is>
      </c>
      <c r="C4036" s="88" t="n">
        <v>61600</v>
      </c>
      <c r="D4036" s="88" t="n"/>
      <c r="E4036" s="88" t="n"/>
      <c r="F4036" s="88" t="n"/>
      <c r="G4036" s="88" t="n"/>
      <c r="H4036" s="88" t="n"/>
      <c r="I4036" s="111" t="n"/>
      <c r="J4036" s="111" t="n"/>
      <c r="K4036" s="88">
        <f>ROUND((C4036*Q4036)/100,0)*100</f>
        <v/>
      </c>
      <c r="L4036" s="88" t="n"/>
      <c r="M4036" s="88" t="n"/>
      <c r="N4036" s="96" t="n"/>
      <c r="O4036" s="96" t="n"/>
      <c r="P4036" s="150" t="n"/>
      <c r="Q4036" s="118" t="n">
        <v>1.15</v>
      </c>
      <c r="R4036" s="117" t="n"/>
      <c r="T4036" s="117" t="n"/>
      <c r="Y4036" s="30" t="n"/>
      <c r="Z4036" s="30" t="n"/>
      <c r="AA4036" s="30" t="n"/>
      <c r="AB4036" s="30" t="n"/>
      <c r="AC4036" s="30" t="n"/>
      <c r="AD4036" s="30" t="n"/>
      <c r="AE4036" s="30" t="n"/>
      <c r="AF4036" s="30" t="n"/>
      <c r="AG4036" s="30" t="n"/>
      <c r="AH4036" s="30" t="n"/>
      <c r="AI4036" s="30" t="n"/>
      <c r="AJ4036" s="30" t="n"/>
      <c r="AK4036" s="30" t="n"/>
      <c r="AL4036" s="30" t="n"/>
      <c r="AM4036" s="30" t="n"/>
      <c r="AN4036" s="30" t="n"/>
    </row>
    <row r="4037">
      <c r="A4037" s="134" t="inlineStr">
        <is>
          <t>8457XXX</t>
        </is>
      </c>
      <c r="B4037" s="118" t="inlineStr">
        <is>
          <t>TAVERNITI</t>
        </is>
      </c>
      <c r="C4037" s="88" t="n">
        <v>73400</v>
      </c>
      <c r="D4037" s="22" t="n"/>
      <c r="E4037" s="22" t="n"/>
      <c r="F4037" s="22" t="n"/>
      <c r="G4037" s="22" t="n"/>
      <c r="H4037" s="22" t="n"/>
      <c r="I4037" s="153" t="n"/>
      <c r="J4037" s="153" t="n"/>
      <c r="K4037" s="219">
        <f>ROUND((C4037*Q4037)/100,0)*100</f>
        <v/>
      </c>
      <c r="L4037" s="219" t="n"/>
      <c r="M4037" s="219" t="n"/>
      <c r="P4037" s="117" t="n"/>
      <c r="Q4037" s="118" t="n">
        <v>1.15</v>
      </c>
      <c r="R4037" s="117" t="n"/>
      <c r="T4037" s="117" t="n"/>
    </row>
    <row r="4038">
      <c r="A4038" s="134" t="inlineStr">
        <is>
          <t>8541XXX</t>
        </is>
      </c>
      <c r="B4038" s="118" t="inlineStr">
        <is>
          <t>TAVERNITI</t>
        </is>
      </c>
      <c r="C4038" s="88" t="n">
        <v>78100</v>
      </c>
      <c r="D4038" s="22" t="n"/>
      <c r="E4038" s="22" t="n"/>
      <c r="F4038" s="22" t="n"/>
      <c r="G4038" s="22" t="n"/>
      <c r="H4038" s="22" t="n"/>
      <c r="I4038" s="153" t="n"/>
      <c r="J4038" s="153" t="n"/>
      <c r="K4038" s="219">
        <f>ROUND((C4038*Q4038)/100,0)*100</f>
        <v/>
      </c>
      <c r="L4038" s="219" t="n"/>
      <c r="M4038" s="219" t="n"/>
      <c r="P4038" s="117" t="n"/>
      <c r="Q4038" s="118" t="n">
        <v>1.15</v>
      </c>
      <c r="R4038" s="117" t="n"/>
      <c r="T4038" s="117" t="n"/>
    </row>
    <row r="4039">
      <c r="A4039" s="134" t="inlineStr">
        <is>
          <t>8545XXX</t>
        </is>
      </c>
      <c r="B4039" s="118" t="inlineStr">
        <is>
          <t>TAVERNITI</t>
        </is>
      </c>
      <c r="C4039" s="88" t="n">
        <v>78100</v>
      </c>
      <c r="D4039" s="22" t="n"/>
      <c r="E4039" s="22" t="n"/>
      <c r="F4039" s="22" t="n"/>
      <c r="G4039" s="22" t="n"/>
      <c r="H4039" s="22" t="n"/>
      <c r="I4039" s="153" t="n"/>
      <c r="J4039" s="153" t="n"/>
      <c r="K4039" s="219">
        <f>ROUND((C4039*Q4039)/100,0)*100</f>
        <v/>
      </c>
      <c r="L4039" s="219" t="n"/>
      <c r="M4039" s="219" t="n"/>
      <c r="P4039" s="117" t="n"/>
      <c r="Q4039" s="118" t="n">
        <v>1.15</v>
      </c>
      <c r="R4039" s="117" t="n"/>
      <c r="T4039" s="117" t="n"/>
    </row>
    <row r="4040">
      <c r="A4040" s="134" t="inlineStr">
        <is>
          <t>8597XXX</t>
        </is>
      </c>
      <c r="B4040" s="118" t="inlineStr">
        <is>
          <t>TAPADO TAVERNITI</t>
        </is>
      </c>
      <c r="C4040" s="88" t="n">
        <v>159000</v>
      </c>
      <c r="D4040" s="22" t="n"/>
      <c r="E4040" s="22" t="n"/>
      <c r="F4040" s="22" t="n"/>
      <c r="G4040" s="22" t="n"/>
      <c r="H4040" s="22" t="n"/>
      <c r="I4040" s="153" t="n"/>
      <c r="J4040" s="153" t="n"/>
      <c r="K4040" s="219">
        <f>ROUND((C4040*Q4040)/100,0)*100</f>
        <v/>
      </c>
      <c r="L4040" s="219" t="n"/>
      <c r="M4040" s="219" t="n"/>
      <c r="P4040" s="117" t="n"/>
      <c r="Q4040" s="118" t="n">
        <v>1.15</v>
      </c>
      <c r="R4040" s="117" t="n"/>
      <c r="T4040" s="117" t="n"/>
    </row>
    <row r="4041">
      <c r="A4041" s="134" t="inlineStr">
        <is>
          <t>8601XXX</t>
        </is>
      </c>
      <c r="B4041" s="118" t="inlineStr">
        <is>
          <t>TAVERNITI</t>
        </is>
      </c>
      <c r="C4041" s="88" t="n">
        <v>96700</v>
      </c>
      <c r="D4041" s="22" t="n"/>
      <c r="E4041" s="22" t="n"/>
      <c r="F4041" s="22" t="n"/>
      <c r="G4041" s="22" t="n"/>
      <c r="H4041" s="22" t="n"/>
      <c r="I4041" s="153" t="n"/>
      <c r="J4041" s="153" t="n"/>
      <c r="K4041" s="219">
        <f>ROUND((C4041*Q4041)/100,0)*100</f>
        <v/>
      </c>
      <c r="L4041" s="219" t="n"/>
      <c r="M4041" s="219" t="n"/>
      <c r="P4041" s="117" t="n"/>
      <c r="Q4041" s="118" t="n">
        <v>1.15</v>
      </c>
      <c r="R4041" s="117" t="n"/>
      <c r="T4041" s="117" t="n"/>
    </row>
    <row r="4042">
      <c r="A4042" s="89" t="inlineStr">
        <is>
          <t>8617XXX</t>
        </is>
      </c>
      <c r="B4042" s="30" t="inlineStr">
        <is>
          <t>TAVERNITI</t>
        </is>
      </c>
      <c r="C4042" s="88" t="n">
        <v>129000</v>
      </c>
      <c r="D4042" s="170" t="n"/>
      <c r="E4042" s="170" t="n"/>
      <c r="F4042" s="170" t="n"/>
      <c r="G4042" s="170" t="n"/>
      <c r="H4042" s="170" t="n"/>
      <c r="I4042" s="111" t="n"/>
      <c r="J4042" s="111" t="n"/>
      <c r="K4042" s="88">
        <f>ROUND((C4042*Q4042)/100,0)*100</f>
        <v/>
      </c>
      <c r="L4042" s="170" t="n"/>
      <c r="M4042" s="170" t="n"/>
      <c r="N4042" s="30" t="n"/>
      <c r="O4042" s="30" t="n"/>
      <c r="P4042" s="170" t="n"/>
      <c r="Q4042" s="96" t="n">
        <v>1.15</v>
      </c>
      <c r="R4042" s="170" t="n"/>
      <c r="S4042" s="30" t="n"/>
      <c r="T4042" s="170" t="n"/>
      <c r="U4042" s="30" t="n"/>
      <c r="V4042" s="30" t="n"/>
      <c r="W4042" s="30" t="n"/>
      <c r="X4042" s="30" t="n"/>
      <c r="Y4042" s="30" t="n"/>
      <c r="Z4042" s="30" t="n"/>
      <c r="AA4042" s="30" t="n"/>
      <c r="AB4042" s="30" t="n"/>
      <c r="AC4042" s="30" t="n"/>
      <c r="AD4042" s="30" t="n"/>
      <c r="AE4042" s="30" t="n"/>
      <c r="AF4042" s="30" t="n"/>
      <c r="AG4042" s="30" t="n"/>
      <c r="AH4042" s="30" t="n"/>
      <c r="AI4042" s="30" t="n"/>
      <c r="AJ4042" s="30" t="n"/>
      <c r="AK4042" s="30" t="n"/>
      <c r="AL4042" s="30" t="n"/>
      <c r="AM4042" s="30" t="n"/>
      <c r="AN4042" s="30" t="n"/>
      <c r="AO4042" s="30" t="n"/>
    </row>
    <row r="4043">
      <c r="A4043" s="134" t="inlineStr">
        <is>
          <t>14209XXX</t>
        </is>
      </c>
      <c r="B4043" s="118" t="inlineStr">
        <is>
          <t>TAVERNITI</t>
        </is>
      </c>
      <c r="C4043" s="88" t="n">
        <v>70100</v>
      </c>
      <c r="D4043" s="22" t="n"/>
      <c r="E4043" s="22" t="n"/>
      <c r="F4043" s="22" t="n"/>
      <c r="G4043" s="22" t="n"/>
      <c r="H4043" s="22" t="n"/>
      <c r="I4043" s="153" t="n"/>
      <c r="J4043" s="153" t="n"/>
      <c r="K4043" s="219">
        <f>ROUND((C4043*Q4043)/100,0)*100</f>
        <v/>
      </c>
      <c r="L4043" s="219" t="n"/>
      <c r="M4043" s="219" t="n"/>
      <c r="P4043" s="117" t="n"/>
      <c r="Q4043" s="118" t="n">
        <v>1.15</v>
      </c>
      <c r="R4043" s="117" t="n"/>
      <c r="T4043" s="117" t="n"/>
    </row>
    <row r="4044">
      <c r="A4044" s="134" t="inlineStr">
        <is>
          <t>14211XXX</t>
        </is>
      </c>
      <c r="B4044" s="118" t="inlineStr">
        <is>
          <t>TAVERNITI</t>
        </is>
      </c>
      <c r="C4044" s="88" t="n">
        <v>86300</v>
      </c>
      <c r="D4044" s="22" t="n"/>
      <c r="E4044" s="22" t="n"/>
      <c r="F4044" s="22" t="n"/>
      <c r="G4044" s="22" t="n"/>
      <c r="H4044" s="22" t="n"/>
      <c r="I4044" s="153" t="n"/>
      <c r="J4044" s="153" t="n"/>
      <c r="K4044" s="219">
        <f>ROUND((C4044*Q4044)/100,0)*100</f>
        <v/>
      </c>
      <c r="L4044" s="219" t="n"/>
      <c r="M4044" s="219" t="n"/>
      <c r="P4044" s="117" t="n"/>
      <c r="Q4044" s="118" t="n">
        <v>1.15</v>
      </c>
      <c r="R4044" s="117" t="n"/>
      <c r="T4044" s="117" t="n"/>
    </row>
    <row r="4045">
      <c r="A4045" s="134" t="inlineStr">
        <is>
          <t>14259XXX</t>
        </is>
      </c>
      <c r="B4045" s="118" t="inlineStr">
        <is>
          <t>TAVERNITI</t>
        </is>
      </c>
      <c r="C4045" s="88" t="n">
        <v>144900</v>
      </c>
      <c r="D4045" s="22" t="n"/>
      <c r="E4045" s="22" t="n"/>
      <c r="F4045" s="22" t="n"/>
      <c r="G4045" s="22" t="n"/>
      <c r="H4045" s="22" t="n"/>
      <c r="I4045" s="153" t="n"/>
      <c r="J4045" s="153" t="n"/>
      <c r="K4045" s="219">
        <f>ROUND((C4045*Q4045)/100,0)*100</f>
        <v/>
      </c>
      <c r="L4045" s="219" t="n"/>
      <c r="M4045" s="219" t="n"/>
      <c r="P4045" s="117" t="n"/>
      <c r="Q4045" s="118" t="n">
        <v>1.15</v>
      </c>
      <c r="R4045" s="117" t="n"/>
      <c r="T4045" s="117" t="n"/>
    </row>
    <row r="4046">
      <c r="A4046" s="134" t="inlineStr">
        <is>
          <t>14303XXX</t>
        </is>
      </c>
      <c r="B4046" s="118" t="inlineStr">
        <is>
          <t>TAVERNITI</t>
        </is>
      </c>
      <c r="C4046" s="88" t="n">
        <v>67000</v>
      </c>
      <c r="D4046" s="22" t="n"/>
      <c r="E4046" s="22" t="n"/>
      <c r="F4046" s="22" t="n"/>
      <c r="G4046" s="22" t="n"/>
      <c r="H4046" s="22" t="n"/>
      <c r="I4046" s="153" t="n"/>
      <c r="J4046" s="153" t="n"/>
      <c r="K4046" s="219">
        <f>ROUND((C4046*Q4046)/100,0)*100</f>
        <v/>
      </c>
      <c r="L4046" s="219" t="n"/>
      <c r="M4046" s="219" t="n"/>
      <c r="P4046" s="117" t="n"/>
      <c r="Q4046" s="118" t="n">
        <v>1.15</v>
      </c>
      <c r="R4046" s="117" t="n"/>
      <c r="T4046" s="117" t="n"/>
    </row>
    <row r="4047">
      <c r="A4047" s="134" t="inlineStr">
        <is>
          <t>14307XXX</t>
        </is>
      </c>
      <c r="B4047" s="118" t="inlineStr">
        <is>
          <t>TAVERNITI</t>
        </is>
      </c>
      <c r="C4047" s="88" t="n">
        <v>119100</v>
      </c>
      <c r="D4047" s="22" t="n"/>
      <c r="E4047" s="22" t="n"/>
      <c r="F4047" s="22" t="n"/>
      <c r="G4047" s="22" t="n"/>
      <c r="H4047" s="22" t="n"/>
      <c r="I4047" s="153" t="n"/>
      <c r="J4047" s="153" t="n"/>
      <c r="K4047" s="219">
        <f>ROUND((C4047*Q4047)/100,0)*100</f>
        <v/>
      </c>
      <c r="L4047" s="219" t="n"/>
      <c r="M4047" s="219" t="n"/>
      <c r="P4047" s="117" t="n"/>
      <c r="Q4047" s="118" t="n">
        <v>1.15</v>
      </c>
      <c r="R4047" s="117" t="n"/>
      <c r="T4047" s="117" t="n"/>
    </row>
    <row r="4048">
      <c r="A4048" s="134" t="inlineStr">
        <is>
          <t>14309XXX</t>
        </is>
      </c>
      <c r="B4048" s="118" t="inlineStr">
        <is>
          <t>TAVERNITI</t>
        </is>
      </c>
      <c r="C4048" s="88" t="n">
        <v>111500</v>
      </c>
      <c r="D4048" s="22" t="n"/>
      <c r="E4048" s="22" t="n"/>
      <c r="F4048" s="22" t="n"/>
      <c r="G4048" s="22" t="n"/>
      <c r="H4048" s="22" t="n"/>
      <c r="I4048" s="153" t="n"/>
      <c r="J4048" s="153" t="n"/>
      <c r="K4048" s="219">
        <f>ROUND((C4048*Q4048)/100,0)*100</f>
        <v/>
      </c>
      <c r="L4048" s="219" t="n"/>
      <c r="M4048" s="219" t="n"/>
      <c r="P4048" s="117" t="n"/>
      <c r="Q4048" s="118" t="n">
        <v>1.15</v>
      </c>
      <c r="R4048" s="117" t="n"/>
      <c r="T4048" s="117" t="n"/>
    </row>
    <row r="4049">
      <c r="A4049" s="134" t="inlineStr">
        <is>
          <t>14549XXX</t>
        </is>
      </c>
      <c r="B4049" s="118" t="inlineStr">
        <is>
          <t>TAVERNITI</t>
        </is>
      </c>
      <c r="C4049" s="88" t="n">
        <v>87400</v>
      </c>
      <c r="D4049" s="22" t="n"/>
      <c r="E4049" s="22" t="n"/>
      <c r="F4049" s="22" t="n"/>
      <c r="G4049" s="22" t="n"/>
      <c r="H4049" s="22" t="n"/>
      <c r="I4049" s="153" t="n"/>
      <c r="J4049" s="153" t="n"/>
      <c r="K4049" s="219">
        <f>ROUND((C4049*Q4049)/100,0)*100</f>
        <v/>
      </c>
      <c r="L4049" s="219" t="n"/>
      <c r="M4049" s="219" t="n"/>
      <c r="P4049" s="117" t="n"/>
      <c r="Q4049" s="118" t="n">
        <v>1.15</v>
      </c>
      <c r="R4049" s="117" t="n"/>
      <c r="T4049" s="117" t="n"/>
    </row>
    <row r="4050">
      <c r="A4050" s="134" t="inlineStr">
        <is>
          <t>14607XXX</t>
        </is>
      </c>
      <c r="B4050" s="118" t="inlineStr">
        <is>
          <t>TAVERNITI</t>
        </is>
      </c>
      <c r="C4050" s="88" t="n">
        <v>133900</v>
      </c>
      <c r="D4050" s="22" t="n"/>
      <c r="E4050" s="22" t="n"/>
      <c r="F4050" s="22" t="n"/>
      <c r="G4050" s="22" t="n"/>
      <c r="H4050" s="22" t="n"/>
      <c r="I4050" s="153" t="n"/>
      <c r="J4050" s="153" t="n"/>
      <c r="K4050" s="219">
        <f>ROUND((C4050*Q4050)/100,0)*100</f>
        <v/>
      </c>
      <c r="L4050" s="219" t="n"/>
      <c r="M4050" s="219" t="n"/>
      <c r="P4050" s="117" t="n"/>
      <c r="Q4050" s="118" t="n">
        <v>1.15</v>
      </c>
      <c r="R4050" s="117" t="n"/>
      <c r="T4050" s="117" t="n"/>
    </row>
    <row r="4051">
      <c r="A4051" s="134" t="inlineStr">
        <is>
          <t>14611XXX</t>
        </is>
      </c>
      <c r="B4051" s="118" t="inlineStr">
        <is>
          <t>TAVERNITI</t>
        </is>
      </c>
      <c r="C4051" s="88" t="n">
        <v>138900</v>
      </c>
      <c r="D4051" s="22" t="n"/>
      <c r="E4051" s="22" t="n"/>
      <c r="F4051" s="22" t="n"/>
      <c r="G4051" s="22" t="n"/>
      <c r="H4051" s="22" t="n"/>
      <c r="I4051" s="153" t="n"/>
      <c r="J4051" s="153" t="n"/>
      <c r="K4051" s="219">
        <f>ROUND((C4051*Q4051)/100,0)*100</f>
        <v/>
      </c>
      <c r="L4051" s="219" t="n"/>
      <c r="M4051" s="219" t="n"/>
      <c r="P4051" s="117" t="n"/>
      <c r="Q4051" s="118" t="n">
        <v>1.15</v>
      </c>
      <c r="R4051" s="117" t="n"/>
      <c r="T4051" s="117" t="n"/>
    </row>
    <row r="4052">
      <c r="A4052" s="134" t="inlineStr">
        <is>
          <t>14657XXX</t>
        </is>
      </c>
      <c r="B4052" s="118" t="inlineStr">
        <is>
          <t>TAVERNITI</t>
        </is>
      </c>
      <c r="C4052" s="88" t="n">
        <v>116300</v>
      </c>
      <c r="D4052" s="22" t="n"/>
      <c r="E4052" s="22" t="n"/>
      <c r="F4052" s="22" t="n"/>
      <c r="G4052" s="22" t="n"/>
      <c r="H4052" s="22" t="n"/>
      <c r="I4052" s="153" t="n"/>
      <c r="J4052" s="153" t="n"/>
      <c r="K4052" s="219">
        <f>ROUND((C4052*Q4052)/100,0)*100</f>
        <v/>
      </c>
      <c r="L4052" s="219" t="n"/>
      <c r="M4052" s="219" t="n"/>
      <c r="P4052" s="117" t="n"/>
      <c r="Q4052" s="118" t="n">
        <v>1.15</v>
      </c>
      <c r="R4052" s="117" t="n"/>
      <c r="T4052" s="117" t="n"/>
    </row>
    <row r="4053">
      <c r="A4053" s="134" t="inlineStr">
        <is>
          <t>14659XXX</t>
        </is>
      </c>
      <c r="B4053" s="118" t="inlineStr">
        <is>
          <t>TAVERNITI</t>
        </is>
      </c>
      <c r="C4053" s="88" t="n">
        <v>135600</v>
      </c>
      <c r="D4053" s="22" t="n"/>
      <c r="E4053" s="22" t="n"/>
      <c r="F4053" s="22" t="n"/>
      <c r="G4053" s="22" t="n"/>
      <c r="H4053" s="22" t="n"/>
      <c r="I4053" s="153" t="n"/>
      <c r="J4053" s="153" t="n"/>
      <c r="K4053" s="219">
        <f>ROUND((C4053*Q4053)/100,0)*100</f>
        <v/>
      </c>
      <c r="L4053" s="219" t="n"/>
      <c r="M4053" s="219" t="n"/>
      <c r="P4053" s="117" t="n"/>
      <c r="Q4053" s="118" t="n">
        <v>1.15</v>
      </c>
      <c r="R4053" s="117" t="n"/>
      <c r="T4053" s="117" t="n"/>
    </row>
    <row r="4054">
      <c r="A4054" s="134" t="inlineStr">
        <is>
          <t>14695XXX</t>
        </is>
      </c>
      <c r="B4054" s="118" t="inlineStr">
        <is>
          <t>TAVERNITI</t>
        </is>
      </c>
      <c r="C4054" s="88" t="n">
        <v>76900</v>
      </c>
      <c r="D4054" s="22" t="n"/>
      <c r="E4054" s="22" t="n"/>
      <c r="F4054" s="22" t="n"/>
      <c r="G4054" s="22" t="n"/>
      <c r="H4054" s="22" t="n"/>
      <c r="I4054" s="153" t="n"/>
      <c r="J4054" s="153" t="n"/>
      <c r="K4054" s="219">
        <f>ROUND((C4054*Q4054)/100,0)*100</f>
        <v/>
      </c>
      <c r="L4054" s="219" t="n"/>
      <c r="M4054" s="219" t="n"/>
      <c r="P4054" s="117" t="n"/>
      <c r="Q4054" s="118" t="n">
        <v>1.15</v>
      </c>
      <c r="R4054" s="117" t="n"/>
      <c r="T4054" s="117" t="n"/>
    </row>
    <row r="4055">
      <c r="A4055" s="134" t="inlineStr">
        <is>
          <t>14951XXX</t>
        </is>
      </c>
      <c r="B4055" s="246" t="inlineStr">
        <is>
          <t>TAVERNITI</t>
        </is>
      </c>
      <c r="C4055" s="88" t="n">
        <v>71400</v>
      </c>
      <c r="D4055" s="22" t="n"/>
      <c r="E4055" s="22" t="n"/>
      <c r="F4055" s="22" t="n"/>
      <c r="G4055" s="22" t="n"/>
      <c r="H4055" s="22" t="n"/>
      <c r="I4055" s="153" t="n"/>
      <c r="J4055" s="153" t="n"/>
      <c r="K4055" s="219">
        <f>ROUND((C4055*Q4055)/100,0)*100</f>
        <v/>
      </c>
      <c r="L4055" s="219" t="n"/>
      <c r="M4055" s="219" t="n"/>
      <c r="P4055" s="117" t="n"/>
      <c r="Q4055" s="118" t="n">
        <v>1.15</v>
      </c>
      <c r="R4055" s="117" t="n"/>
      <c r="T4055" s="117" t="n"/>
    </row>
    <row r="4056">
      <c r="A4056" s="134" t="inlineStr">
        <is>
          <t>1575XXX</t>
        </is>
      </c>
      <c r="B4056" s="118" t="inlineStr">
        <is>
          <t>TAVERNITI</t>
        </is>
      </c>
      <c r="C4056" s="88" t="n">
        <v>127800</v>
      </c>
      <c r="D4056" s="22" t="n"/>
      <c r="E4056" s="22" t="n"/>
      <c r="F4056" s="22" t="n"/>
      <c r="G4056" s="22" t="n"/>
      <c r="H4056" s="22" t="n"/>
      <c r="I4056" s="153" t="n"/>
      <c r="J4056" s="153" t="n"/>
      <c r="K4056" s="219">
        <f>ROUND((C4056*Q4056)/100,0)*100</f>
        <v/>
      </c>
      <c r="L4056" s="219" t="n"/>
      <c r="M4056" s="219" t="n"/>
      <c r="P4056" s="117" t="n"/>
      <c r="Q4056" s="118" t="n">
        <v>1.15</v>
      </c>
      <c r="R4056" s="117" t="n"/>
      <c r="T4056" s="117" t="n"/>
    </row>
    <row r="4057">
      <c r="A4057" s="134" t="inlineStr">
        <is>
          <t>19569602</t>
        </is>
      </c>
      <c r="B4057" s="248" t="inlineStr">
        <is>
          <t>TAVERNITI</t>
        </is>
      </c>
      <c r="C4057" s="88" t="n">
        <v>98500</v>
      </c>
      <c r="D4057" s="22" t="n"/>
      <c r="E4057" s="22" t="n"/>
      <c r="F4057" s="22" t="n"/>
      <c r="G4057" s="22" t="n"/>
      <c r="H4057" s="22" t="n"/>
      <c r="I4057" s="153" t="n"/>
      <c r="J4057" s="153" t="n"/>
      <c r="K4057" s="219">
        <f>ROUND((C4057*Q4057)/100,0)*100</f>
        <v/>
      </c>
      <c r="L4057" s="219" t="n"/>
      <c r="M4057" s="219" t="n"/>
      <c r="P4057" s="117" t="n"/>
      <c r="Q4057" s="118" t="n">
        <v>1.15</v>
      </c>
      <c r="R4057" s="117" t="n"/>
      <c r="T4057" s="117" t="n"/>
    </row>
    <row r="4058">
      <c r="A4058" s="134" t="inlineStr">
        <is>
          <t>19569603</t>
        </is>
      </c>
      <c r="B4058" s="248" t="inlineStr">
        <is>
          <t>TAVERNITI</t>
        </is>
      </c>
      <c r="C4058" s="88" t="n">
        <v>112200</v>
      </c>
      <c r="D4058" s="22" t="n"/>
      <c r="E4058" s="22" t="n"/>
      <c r="F4058" s="22" t="n"/>
      <c r="G4058" s="22" t="n"/>
      <c r="H4058" s="22" t="n"/>
      <c r="I4058" s="153" t="n"/>
      <c r="J4058" s="153" t="n"/>
      <c r="K4058" s="219">
        <f>ROUND((C4058*Q4058)/100,0)*100</f>
        <v/>
      </c>
      <c r="L4058" s="219" t="n"/>
      <c r="M4058" s="219" t="n"/>
      <c r="P4058" s="117" t="n"/>
      <c r="Q4058" s="118" t="n">
        <v>1.15</v>
      </c>
      <c r="R4058" s="117" t="n"/>
      <c r="T4058" s="117" t="n"/>
    </row>
    <row r="4059">
      <c r="A4059" s="134" t="inlineStr">
        <is>
          <t>19903</t>
        </is>
      </c>
      <c r="B4059" s="248" t="inlineStr">
        <is>
          <t>TAVERNITI</t>
        </is>
      </c>
      <c r="C4059" s="88" t="n">
        <v>83600</v>
      </c>
      <c r="D4059" s="22" t="n"/>
      <c r="E4059" s="22" t="n"/>
      <c r="F4059" s="22" t="n"/>
      <c r="G4059" s="22" t="n"/>
      <c r="H4059" s="22" t="n"/>
      <c r="I4059" s="153" t="n"/>
      <c r="J4059" s="153" t="n"/>
      <c r="K4059" s="219">
        <f>ROUND((C4059*Q4059)/100,0)*100</f>
        <v/>
      </c>
      <c r="L4059" s="219" t="n"/>
      <c r="M4059" s="219" t="n"/>
      <c r="P4059" s="117" t="n"/>
      <c r="Q4059" s="118" t="n">
        <v>1.15</v>
      </c>
      <c r="R4059" s="117" t="n"/>
      <c r="T4059" s="117" t="n"/>
    </row>
    <row r="4060">
      <c r="A4060" s="134" t="inlineStr">
        <is>
          <t>19945</t>
        </is>
      </c>
      <c r="B4060" s="246" t="inlineStr">
        <is>
          <t>TAVERNITI</t>
        </is>
      </c>
      <c r="C4060" s="88" t="n">
        <v>80500</v>
      </c>
      <c r="D4060" s="22" t="n"/>
      <c r="E4060" s="22" t="n"/>
      <c r="F4060" s="22" t="n"/>
      <c r="G4060" s="22" t="n"/>
      <c r="H4060" s="22" t="n"/>
      <c r="I4060" s="153" t="n"/>
      <c r="J4060" s="153" t="n"/>
      <c r="K4060" s="219">
        <f>ROUND((C4060*Q4060)/100,0)*100</f>
        <v/>
      </c>
      <c r="L4060" s="219" t="n"/>
      <c r="M4060" s="219" t="n"/>
      <c r="P4060" s="117" t="n"/>
      <c r="Q4060" s="118" t="n">
        <v>1.15</v>
      </c>
      <c r="R4060" s="117" t="n"/>
      <c r="T4060" s="117" t="n"/>
    </row>
    <row r="4061">
      <c r="A4061" s="134" t="inlineStr">
        <is>
          <t>19947</t>
        </is>
      </c>
      <c r="B4061" s="248" t="inlineStr">
        <is>
          <t>TAVERNITI</t>
        </is>
      </c>
      <c r="C4061" s="88" t="n">
        <v>92000</v>
      </c>
      <c r="D4061" s="22" t="n"/>
      <c r="E4061" s="22" t="n"/>
      <c r="F4061" s="22" t="n"/>
      <c r="G4061" s="22" t="n"/>
      <c r="H4061" s="22" t="n"/>
      <c r="I4061" s="153" t="n"/>
      <c r="J4061" s="153" t="n"/>
      <c r="K4061" s="219">
        <f>ROUND((C4061*Q4061)/100,0)*100</f>
        <v/>
      </c>
      <c r="L4061" s="219" t="n"/>
      <c r="M4061" s="219" t="n"/>
      <c r="P4061" s="117" t="n"/>
      <c r="Q4061" s="118" t="n">
        <v>1.15</v>
      </c>
      <c r="R4061" s="117" t="n"/>
      <c r="T4061" s="117" t="n"/>
    </row>
    <row r="4062">
      <c r="A4062" s="134" t="inlineStr">
        <is>
          <t>19949</t>
        </is>
      </c>
      <c r="B4062" s="248" t="inlineStr">
        <is>
          <t xml:space="preserve">TAVERNITI </t>
        </is>
      </c>
      <c r="C4062" s="88" t="n">
        <v>73700</v>
      </c>
      <c r="D4062" s="22" t="n"/>
      <c r="E4062" s="22" t="n"/>
      <c r="F4062" s="22" t="n"/>
      <c r="G4062" s="22" t="n"/>
      <c r="H4062" s="22" t="n"/>
      <c r="I4062" s="153" t="n"/>
      <c r="J4062" s="153" t="n"/>
      <c r="K4062" s="219">
        <f>ROUND((C4062*Q4062)/100,0)*100</f>
        <v/>
      </c>
      <c r="L4062" s="219" t="n"/>
      <c r="M4062" s="219" t="n"/>
      <c r="P4062" s="117" t="n"/>
      <c r="Q4062" s="118" t="n">
        <v>1.15</v>
      </c>
      <c r="R4062" s="117" t="n"/>
      <c r="T4062" s="117" t="n"/>
    </row>
    <row r="4063">
      <c r="A4063" s="134" t="inlineStr">
        <is>
          <t>19951</t>
        </is>
      </c>
      <c r="B4063" s="246" t="inlineStr">
        <is>
          <t>TAVERNITI</t>
        </is>
      </c>
      <c r="C4063" s="88" t="n">
        <v>103300</v>
      </c>
      <c r="D4063" s="22" t="n"/>
      <c r="E4063" s="22" t="n"/>
      <c r="F4063" s="22" t="n"/>
      <c r="G4063" s="22" t="n"/>
      <c r="H4063" s="22" t="n"/>
      <c r="I4063" s="153" t="n"/>
      <c r="J4063" s="153" t="n"/>
      <c r="K4063" s="219">
        <f>ROUND((C4063*Q4063)/100,0)*100</f>
        <v/>
      </c>
      <c r="L4063" s="219" t="n"/>
      <c r="M4063" s="219" t="n"/>
      <c r="P4063" s="117" t="n"/>
      <c r="Q4063" s="118" t="n">
        <v>1.15</v>
      </c>
      <c r="R4063" s="117" t="n"/>
      <c r="T4063" s="117" t="n"/>
    </row>
    <row r="4064">
      <c r="A4064" s="134" t="inlineStr">
        <is>
          <t>20107XXX</t>
        </is>
      </c>
      <c r="B4064" s="246" t="inlineStr">
        <is>
          <t>TAVERNITI</t>
        </is>
      </c>
      <c r="C4064" s="153" t="n">
        <v>65400</v>
      </c>
      <c r="D4064" s="153" t="n"/>
      <c r="E4064" s="153" t="n"/>
      <c r="F4064" s="153" t="n"/>
      <c r="G4064" s="153" t="n"/>
      <c r="H4064" s="153" t="n"/>
      <c r="I4064" s="153" t="n"/>
      <c r="J4064" s="153" t="n"/>
      <c r="K4064" s="219">
        <f>ROUND((C4064*Q4064)/100,0)*100</f>
        <v/>
      </c>
      <c r="M4064" s="219" t="n"/>
      <c r="P4064" s="117" t="n"/>
      <c r="Q4064" s="118" t="n">
        <v>1.15</v>
      </c>
      <c r="R4064" s="117" t="n"/>
      <c r="T4064" s="117" t="n"/>
    </row>
    <row r="4065">
      <c r="A4065" s="134" t="inlineStr">
        <is>
          <t>20109XXX</t>
        </is>
      </c>
      <c r="B4065" s="246" t="inlineStr">
        <is>
          <t>TAVERNITI</t>
        </is>
      </c>
      <c r="C4065" s="153" t="n">
        <v>71600</v>
      </c>
      <c r="D4065" s="153" t="n"/>
      <c r="E4065" s="153" t="n"/>
      <c r="F4065" s="153" t="n"/>
      <c r="G4065" s="153" t="n"/>
      <c r="H4065" s="153" t="n"/>
      <c r="I4065" s="153" t="n"/>
      <c r="J4065" s="153" t="n"/>
      <c r="K4065" s="219">
        <f>ROUND((C4065*Q4065)/100,0)*100</f>
        <v/>
      </c>
      <c r="M4065" s="219" t="n"/>
      <c r="P4065" s="117" t="n"/>
      <c r="Q4065" s="118" t="n">
        <v>1.15</v>
      </c>
      <c r="R4065" s="117" t="n"/>
      <c r="T4065" s="117" t="n"/>
    </row>
    <row r="4066">
      <c r="A4066" s="134" t="inlineStr">
        <is>
          <t>201XXX</t>
        </is>
      </c>
      <c r="B4066" s="246" t="inlineStr">
        <is>
          <t>TAVERNITI</t>
        </is>
      </c>
      <c r="C4066" s="153" t="n">
        <v>79900</v>
      </c>
      <c r="D4066" s="153" t="n"/>
      <c r="E4066" s="153" t="n"/>
      <c r="F4066" s="153" t="n"/>
      <c r="G4066" s="153" t="n"/>
      <c r="H4066" s="153" t="n"/>
      <c r="I4066" s="153" t="n"/>
      <c r="J4066" s="153" t="n"/>
      <c r="K4066" s="219">
        <f>ROUND((C4066*Q4066)/100,0)*100</f>
        <v/>
      </c>
      <c r="M4066" s="219" t="n"/>
      <c r="P4066" s="117" t="n"/>
      <c r="Q4066" s="118" t="n">
        <v>1.15</v>
      </c>
      <c r="R4066" s="117" t="n"/>
      <c r="T4066" s="117" t="n"/>
    </row>
    <row r="4067">
      <c r="A4067" s="134" t="n"/>
      <c r="B4067" s="246" t="n"/>
      <c r="C4067" s="153" t="n"/>
      <c r="D4067" s="153" t="n"/>
      <c r="E4067" s="153" t="n"/>
      <c r="F4067" s="153" t="n"/>
      <c r="G4067" s="153" t="n"/>
      <c r="H4067" s="153" t="n"/>
      <c r="I4067" s="153" t="n"/>
      <c r="J4067" s="153" t="n"/>
      <c r="K4067" s="219" t="n"/>
      <c r="M4067" s="219" t="n"/>
      <c r="P4067" s="117" t="n"/>
      <c r="R4067" s="117" t="n"/>
      <c r="T4067" s="117" t="n"/>
    </row>
    <row r="4068">
      <c r="A4068" s="134" t="n"/>
      <c r="B4068" s="200" t="inlineStr">
        <is>
          <t>CHALECOS DAMA</t>
        </is>
      </c>
      <c r="C4068" s="202" t="inlineStr">
        <is>
          <t>1 AL 4</t>
        </is>
      </c>
      <c r="D4068" s="202" t="n">
        <v>5</v>
      </c>
      <c r="E4068" s="202" t="n">
        <v>6</v>
      </c>
      <c r="F4068" s="202" t="n">
        <v>7</v>
      </c>
      <c r="G4068" s="202" t="n">
        <v>8</v>
      </c>
      <c r="H4068" s="153" t="n"/>
      <c r="I4068" s="134" t="inlineStr">
        <is>
          <t>4/25</t>
        </is>
      </c>
      <c r="J4068" s="153" t="n"/>
      <c r="K4068" s="219" t="n"/>
      <c r="L4068" s="219" t="n"/>
      <c r="M4068" s="219" t="n"/>
      <c r="P4068" s="117" t="n"/>
      <c r="R4068" s="117" t="n"/>
      <c r="T4068" s="117" t="n"/>
    </row>
    <row r="4069">
      <c r="A4069" s="134" t="inlineStr">
        <is>
          <t>30401</t>
        </is>
      </c>
      <c r="B4069" s="246" t="inlineStr">
        <is>
          <t>ORUS XBY-07</t>
        </is>
      </c>
      <c r="C4069" s="88" t="n">
        <v>90000</v>
      </c>
      <c r="D4069" s="88">
        <f>ROUND(((C4069)*1.06)/100,0)*100</f>
        <v/>
      </c>
      <c r="E4069" s="88">
        <f>ROUND(((C4069)*1.13)/100,0)*100</f>
        <v/>
      </c>
      <c r="F4069" s="88">
        <f>ROUND(((E4069)*1.06)/100,0)*100</f>
        <v/>
      </c>
      <c r="G4069" s="88">
        <f>ROUND(((F4069)*1.06)/100,0)*100</f>
        <v/>
      </c>
      <c r="H4069" s="230" t="n"/>
      <c r="I4069" s="153" t="n"/>
      <c r="J4069" s="153" t="n"/>
      <c r="K4069" s="219" t="n"/>
      <c r="L4069" s="219" t="n"/>
      <c r="M4069" s="219">
        <f>C4069*Q4069</f>
        <v/>
      </c>
      <c r="N4069" s="117" t="n"/>
      <c r="O4069" s="117" t="n"/>
      <c r="P4069" s="117" t="n"/>
      <c r="Q4069" s="118" t="n">
        <v>0.8</v>
      </c>
      <c r="R4069" s="117" t="n"/>
      <c r="T4069" s="117" t="n"/>
    </row>
    <row r="4070">
      <c r="A4070" s="134" t="inlineStr">
        <is>
          <t>30402</t>
        </is>
      </c>
      <c r="B4070" s="246" t="inlineStr">
        <is>
          <t>CHALECO VIVI</t>
        </is>
      </c>
      <c r="C4070" s="153" t="n">
        <v>36800</v>
      </c>
      <c r="D4070" s="88">
        <f>ROUND(((C4070)*1.06)/100,0)*100</f>
        <v/>
      </c>
      <c r="E4070" s="88">
        <f>ROUND(((C4070)*1.13)/100,0)*100</f>
        <v/>
      </c>
      <c r="F4070" s="153" t="n"/>
      <c r="G4070" s="153" t="n"/>
      <c r="H4070" s="230" t="n"/>
      <c r="I4070" s="153" t="n"/>
      <c r="J4070" s="153" t="n"/>
      <c r="K4070" s="219" t="n"/>
      <c r="L4070" s="219" t="n"/>
      <c r="M4070" s="219">
        <f>C4070*Q4070</f>
        <v/>
      </c>
      <c r="N4070" s="117" t="n"/>
      <c r="O4070" s="117" t="n"/>
      <c r="P4070" s="117" t="n"/>
      <c r="Q4070" s="118" t="n">
        <v>0.8</v>
      </c>
      <c r="R4070" s="117" t="n"/>
      <c r="T4070" s="117" t="n"/>
    </row>
    <row r="4071">
      <c r="A4071" s="134" t="inlineStr">
        <is>
          <t>30403</t>
        </is>
      </c>
      <c r="B4071" s="246" t="inlineStr">
        <is>
          <t>CHALECO MATELASSE</t>
        </is>
      </c>
      <c r="C4071" s="153" t="n">
        <v>43300</v>
      </c>
      <c r="D4071" s="88">
        <f>ROUND(((C4071)*1.06)/100,0)*100</f>
        <v/>
      </c>
      <c r="E4071" s="88">
        <f>ROUND(((C4071)*1.13)/100,0)*100</f>
        <v/>
      </c>
      <c r="F4071" s="153" t="n"/>
      <c r="G4071" s="153" t="n"/>
      <c r="H4071" s="230" t="n"/>
      <c r="I4071" s="153" t="n"/>
      <c r="J4071" s="153" t="n"/>
      <c r="K4071" s="219" t="n"/>
      <c r="L4071" s="219" t="n"/>
      <c r="M4071" s="219">
        <f>C4071*Q4071</f>
        <v/>
      </c>
      <c r="N4071" s="117" t="n"/>
      <c r="O4071" s="117" t="n"/>
      <c r="P4071" s="117" t="n"/>
      <c r="Q4071" s="118" t="n">
        <v>0.8</v>
      </c>
      <c r="R4071" s="117" t="n"/>
      <c r="T4071" s="117" t="n"/>
    </row>
    <row r="4072">
      <c r="A4072" s="134" t="inlineStr">
        <is>
          <t>30404</t>
        </is>
      </c>
      <c r="B4072" s="246" t="inlineStr">
        <is>
          <t>CHALECO POLAR AROMA</t>
        </is>
      </c>
      <c r="C4072" s="153" t="n">
        <v>35100</v>
      </c>
      <c r="D4072" s="88">
        <f>ROUND(((C4072)*1.06)/100,0)*100</f>
        <v/>
      </c>
      <c r="E4072" s="88">
        <f>ROUND(((C4072)*1.13)/100,0)*100</f>
        <v/>
      </c>
      <c r="F4072" s="153" t="n"/>
      <c r="G4072" s="153" t="n"/>
      <c r="H4072" s="230" t="n"/>
      <c r="I4072" s="153" t="n"/>
      <c r="J4072" s="153" t="n"/>
      <c r="K4072" s="219" t="n"/>
      <c r="L4072" s="219" t="n"/>
      <c r="M4072" s="219">
        <f>C4072*Q4072</f>
        <v/>
      </c>
      <c r="N4072" s="117" t="n"/>
      <c r="O4072" s="117" t="n"/>
      <c r="P4072" s="117" t="n"/>
      <c r="Q4072" s="118" t="n">
        <v>0.8</v>
      </c>
      <c r="R4072" s="117" t="n"/>
      <c r="T4072" s="117" t="n"/>
    </row>
    <row r="4073">
      <c r="A4073" s="134" t="inlineStr">
        <is>
          <t>30410</t>
        </is>
      </c>
      <c r="B4073" s="246" t="inlineStr">
        <is>
          <t>CHALECO SIMIL CUERO C/PIEL</t>
        </is>
      </c>
      <c r="C4073" s="153" t="n">
        <v>99000</v>
      </c>
      <c r="D4073" s="88">
        <f>ROUND(((C4073)*1.06)/100,0)*100</f>
        <v/>
      </c>
      <c r="E4073" s="88">
        <f>ROUND(((C4073)*1.13)/100,0)*100</f>
        <v/>
      </c>
      <c r="F4073" s="153" t="n"/>
      <c r="G4073" s="153" t="n"/>
      <c r="H4073" s="230" t="n"/>
      <c r="I4073" s="153" t="n"/>
      <c r="J4073" s="153" t="n"/>
      <c r="K4073" s="219" t="n"/>
      <c r="L4073" s="219" t="n"/>
      <c r="M4073" s="219">
        <f>C4073*Q4073</f>
        <v/>
      </c>
      <c r="N4073" s="117" t="n"/>
      <c r="O4073" s="117" t="n"/>
      <c r="P4073" s="117" t="n"/>
      <c r="Q4073" s="118" t="n">
        <v>0.8</v>
      </c>
      <c r="R4073" s="117" t="n"/>
      <c r="T4073" s="117" t="n"/>
    </row>
    <row r="4074">
      <c r="A4074" s="134" t="inlineStr">
        <is>
          <t>3041XXX</t>
        </is>
      </c>
      <c r="B4074" s="246" t="inlineStr">
        <is>
          <t>CHALECO TAVERNITI</t>
        </is>
      </c>
      <c r="C4074" s="88" t="n">
        <v>77000</v>
      </c>
      <c r="D4074" s="88" t="n"/>
      <c r="E4074" s="88" t="n"/>
      <c r="F4074" s="153" t="n"/>
      <c r="G4074" s="153" t="n"/>
      <c r="H4074" s="230" t="n"/>
      <c r="I4074" s="153" t="n"/>
      <c r="J4074" s="153" t="n"/>
      <c r="K4074" s="219" t="n"/>
      <c r="L4074" s="219" t="n"/>
      <c r="M4074" s="219">
        <f>C4074*Q4074</f>
        <v/>
      </c>
      <c r="N4074" s="117" t="n"/>
      <c r="O4074" s="117" t="n"/>
      <c r="P4074" s="117" t="n"/>
      <c r="Q4074" s="118" t="n">
        <v>0.8</v>
      </c>
      <c r="R4074" s="117" t="n"/>
      <c r="T4074" s="117" t="n"/>
      <c r="W4074" s="222" t="n"/>
    </row>
    <row r="4075">
      <c r="A4075" s="134" t="inlineStr">
        <is>
          <t>3079XXX</t>
        </is>
      </c>
      <c r="B4075" s="246" t="inlineStr">
        <is>
          <t>CHALECO TAVERNITI</t>
        </is>
      </c>
      <c r="C4075" s="88" t="n">
        <v>95000</v>
      </c>
      <c r="D4075" s="88" t="n"/>
      <c r="E4075" s="88" t="n"/>
      <c r="F4075" s="153" t="n"/>
      <c r="G4075" s="153" t="n"/>
      <c r="H4075" s="230" t="n"/>
      <c r="I4075" s="153" t="n"/>
      <c r="J4075" s="153" t="n"/>
      <c r="K4075" s="219" t="n"/>
      <c r="L4075" s="219" t="n"/>
      <c r="M4075" s="219">
        <f>C4075*Q4075</f>
        <v/>
      </c>
      <c r="N4075" s="117" t="n"/>
      <c r="O4075" s="117" t="n"/>
      <c r="P4075" s="117" t="n"/>
      <c r="Q4075" s="118" t="n">
        <v>0.8</v>
      </c>
      <c r="R4075" s="117" t="n"/>
      <c r="T4075" s="117" t="n"/>
      <c r="W4075" s="222" t="n"/>
    </row>
    <row r="4076">
      <c r="A4076" s="134" t="inlineStr">
        <is>
          <t>3143XXX</t>
        </is>
      </c>
      <c r="B4076" s="246" t="inlineStr">
        <is>
          <t>CHALECO TAVERNITI</t>
        </is>
      </c>
      <c r="C4076" s="153" t="n">
        <v>85900</v>
      </c>
      <c r="D4076" s="88" t="n"/>
      <c r="E4076" s="88" t="n"/>
      <c r="F4076" s="153" t="n"/>
      <c r="G4076" s="153" t="n"/>
      <c r="H4076" s="230" t="n"/>
      <c r="I4076" s="153" t="n"/>
      <c r="J4076" s="153" t="n"/>
      <c r="K4076" s="219" t="n"/>
      <c r="L4076" s="219" t="n"/>
      <c r="M4076" s="219">
        <f>C4076*Q4076</f>
        <v/>
      </c>
      <c r="N4076" s="117" t="n"/>
      <c r="O4076" s="117" t="n"/>
      <c r="P4076" s="117" t="n"/>
      <c r="Q4076" s="118" t="n">
        <v>0.8</v>
      </c>
      <c r="R4076" s="117" t="n"/>
      <c r="T4076" s="117" t="n"/>
    </row>
    <row r="4077">
      <c r="A4077" s="134" t="inlineStr">
        <is>
          <t>3199XXX</t>
        </is>
      </c>
      <c r="B4077" s="246" t="inlineStr">
        <is>
          <t>CHALECO TAVERNITI</t>
        </is>
      </c>
      <c r="C4077" s="153" t="n">
        <v>94500</v>
      </c>
      <c r="D4077" s="88" t="n"/>
      <c r="E4077" s="88" t="n"/>
      <c r="F4077" s="153" t="n"/>
      <c r="G4077" s="153" t="n"/>
      <c r="H4077" s="230" t="n"/>
      <c r="I4077" s="153" t="n"/>
      <c r="J4077" s="153" t="n"/>
      <c r="K4077" s="219" t="n"/>
      <c r="L4077" s="219" t="n"/>
      <c r="M4077" s="219">
        <f>C4077*Q4077</f>
        <v/>
      </c>
      <c r="N4077" s="117" t="n"/>
      <c r="O4077" s="117" t="n"/>
      <c r="P4077" s="117" t="n"/>
      <c r="Q4077" s="118" t="n">
        <v>0.8</v>
      </c>
      <c r="R4077" s="117" t="n"/>
      <c r="T4077" s="117" t="n"/>
    </row>
    <row r="4078">
      <c r="A4078" s="134" t="inlineStr">
        <is>
          <t>03303XXX</t>
        </is>
      </c>
      <c r="B4078" s="246" t="inlineStr">
        <is>
          <t>CHALECO TAVERNITI</t>
        </is>
      </c>
      <c r="C4078" s="153" t="n">
        <v>97000</v>
      </c>
      <c r="D4078" s="88" t="n"/>
      <c r="E4078" s="88" t="n"/>
      <c r="F4078" s="153" t="n"/>
      <c r="G4078" s="153" t="n"/>
      <c r="H4078" s="230" t="n"/>
      <c r="I4078" s="153" t="n"/>
      <c r="J4078" s="153" t="n"/>
      <c r="K4078" s="219" t="n"/>
      <c r="L4078" s="219" t="n"/>
      <c r="M4078" s="219">
        <f>C4078*Q4078</f>
        <v/>
      </c>
      <c r="N4078" s="117" t="n"/>
      <c r="O4078" s="117" t="n"/>
      <c r="P4078" s="117" t="n"/>
      <c r="Q4078" s="118" t="n">
        <v>0.8</v>
      </c>
      <c r="R4078" s="117" t="n"/>
      <c r="T4078" s="117" t="n"/>
    </row>
    <row r="4079">
      <c r="A4079" s="134" t="n"/>
      <c r="B4079" s="246" t="n"/>
      <c r="C4079" s="153" t="n"/>
      <c r="D4079" s="88" t="n"/>
      <c r="E4079" s="88" t="n"/>
      <c r="F4079" s="153" t="n"/>
      <c r="G4079" s="153" t="n"/>
      <c r="H4079" s="230" t="n"/>
      <c r="I4079" s="153" t="n"/>
      <c r="J4079" s="153" t="n"/>
      <c r="K4079" s="219" t="n"/>
      <c r="L4079" s="219" t="n"/>
      <c r="M4079" s="219" t="n"/>
      <c r="N4079" s="117" t="n"/>
      <c r="O4079" s="117" t="n"/>
      <c r="P4079" s="117" t="n"/>
      <c r="R4079" s="117" t="n"/>
      <c r="T4079" s="117" t="n"/>
    </row>
    <row r="4080">
      <c r="A4080" s="134" t="inlineStr">
        <is>
          <t xml:space="preserve">5729XXX	TAVERNITI	63490							88886			1,4																												</t>
        </is>
      </c>
      <c r="B4080" s="246" t="n"/>
      <c r="C4080" s="153" t="n"/>
      <c r="D4080" s="153" t="n"/>
      <c r="E4080" s="153" t="n"/>
      <c r="F4080" s="153" t="n"/>
      <c r="G4080" s="153" t="n"/>
      <c r="H4080" s="230" t="n"/>
      <c r="I4080" s="153" t="n"/>
      <c r="J4080" s="153" t="n"/>
      <c r="K4080" s="219" t="n"/>
      <c r="L4080" s="219" t="n"/>
      <c r="M4080" s="219" t="n"/>
      <c r="P4080" s="117" t="n"/>
      <c r="R4080" s="117" t="n"/>
      <c r="T4080" s="117" t="n"/>
    </row>
    <row r="4081">
      <c r="A4081" s="134" t="n"/>
      <c r="B4081" s="200" t="inlineStr">
        <is>
          <t>CHALINAS</t>
        </is>
      </c>
      <c r="C4081" s="202" t="inlineStr">
        <is>
          <t>1 AL 4</t>
        </is>
      </c>
      <c r="D4081" s="202" t="n">
        <v>5</v>
      </c>
      <c r="E4081" s="202" t="n">
        <v>6</v>
      </c>
      <c r="F4081" s="202" t="n">
        <v>7</v>
      </c>
      <c r="G4081" s="202" t="n">
        <v>8</v>
      </c>
      <c r="H4081" s="153" t="n"/>
      <c r="I4081" s="153" t="n"/>
      <c r="J4081" s="153" t="n"/>
      <c r="K4081" s="219" t="n"/>
      <c r="L4081" s="219" t="n"/>
      <c r="M4081" s="219" t="n"/>
      <c r="P4081" s="117" t="n"/>
      <c r="R4081" s="117" t="n"/>
      <c r="T4081" s="117" t="n"/>
    </row>
    <row r="4082">
      <c r="A4082" s="134" t="inlineStr">
        <is>
          <t>30501</t>
        </is>
      </c>
      <c r="B4082" s="246" t="inlineStr">
        <is>
          <t>CHALINA</t>
        </is>
      </c>
      <c r="C4082" s="153" t="n">
        <v>2500</v>
      </c>
      <c r="D4082" s="153" t="n"/>
      <c r="E4082" s="153" t="n"/>
      <c r="F4082" s="153" t="n"/>
      <c r="G4082" s="153" t="n"/>
      <c r="H4082" s="230" t="n"/>
      <c r="I4082" s="153" t="n"/>
      <c r="J4082" s="153" t="n"/>
      <c r="K4082" s="219" t="n"/>
      <c r="L4082" s="219" t="n"/>
      <c r="M4082" s="219" t="n"/>
      <c r="P4082" s="117" t="n"/>
      <c r="R4082" s="117" t="n"/>
      <c r="T4082" s="117" t="n"/>
    </row>
    <row r="4083">
      <c r="A4083" s="134" t="n"/>
      <c r="B4083" s="246" t="n"/>
      <c r="C4083" s="153" t="n"/>
      <c r="D4083" s="153" t="n"/>
      <c r="E4083" s="153" t="n"/>
      <c r="F4083" s="153" t="n"/>
      <c r="G4083" s="153" t="n"/>
      <c r="H4083" s="230" t="n"/>
      <c r="I4083" s="153" t="n"/>
      <c r="J4083" s="153" t="n"/>
      <c r="K4083" s="219" t="n"/>
      <c r="L4083" s="219" t="n"/>
      <c r="M4083" s="219" t="n"/>
      <c r="P4083" s="117" t="n"/>
      <c r="R4083" s="117" t="n"/>
      <c r="T4083" s="117" t="n"/>
    </row>
    <row r="4084">
      <c r="A4084" s="134" t="n"/>
      <c r="B4084" s="200" t="inlineStr">
        <is>
          <t>BUZOS DAMA</t>
        </is>
      </c>
      <c r="C4084" s="202" t="inlineStr">
        <is>
          <t>1 AL 4</t>
        </is>
      </c>
      <c r="D4084" s="202" t="n">
        <v>5</v>
      </c>
      <c r="E4084" s="202" t="n">
        <v>6</v>
      </c>
      <c r="F4084" s="202" t="n">
        <v>7</v>
      </c>
      <c r="G4084" s="202" t="n">
        <v>8</v>
      </c>
      <c r="H4084" s="230" t="n"/>
      <c r="I4084" s="134" t="inlineStr">
        <is>
          <t>04/25</t>
        </is>
      </c>
      <c r="J4084" s="153" t="n"/>
      <c r="K4084" s="219" t="n"/>
      <c r="L4084" s="219" t="n"/>
      <c r="M4084" s="219" t="n"/>
      <c r="P4084" s="117" t="n"/>
      <c r="R4084" s="117" t="n"/>
      <c r="T4084" s="117" t="n"/>
    </row>
    <row r="4085">
      <c r="A4085" s="233" t="inlineStr">
        <is>
          <t>2835XXX</t>
        </is>
      </c>
      <c r="B4085" s="135" t="inlineStr">
        <is>
          <t>TAVERNITI</t>
        </is>
      </c>
      <c r="C4085" s="88" t="n">
        <v>95000</v>
      </c>
      <c r="D4085" s="170" t="n"/>
      <c r="E4085" s="170" t="n"/>
      <c r="F4085" s="170" t="n"/>
      <c r="G4085" s="170" t="n"/>
      <c r="H4085" s="234" t="n"/>
      <c r="I4085" s="170" t="n"/>
      <c r="J4085" s="150">
        <f>ROUND((C4085*M4085)/100,0)*100</f>
        <v/>
      </c>
      <c r="K4085" s="170" t="n"/>
      <c r="L4085" s="170" t="n"/>
      <c r="M4085" s="96" t="n">
        <v>1.4</v>
      </c>
      <c r="N4085" s="30" t="n"/>
      <c r="O4085" s="30" t="n"/>
      <c r="P4085" s="170" t="n"/>
      <c r="Q4085" s="30" t="n"/>
      <c r="R4085" s="170" t="n"/>
      <c r="S4085" s="30" t="n"/>
      <c r="T4085" s="170" t="n"/>
      <c r="U4085" s="30" t="n"/>
      <c r="V4085" s="30" t="n"/>
      <c r="W4085" s="30" t="n"/>
      <c r="X4085" s="30" t="n"/>
      <c r="Y4085" s="30" t="n"/>
      <c r="Z4085" s="30" t="n"/>
      <c r="AA4085" s="30" t="n"/>
      <c r="AB4085" s="30" t="n"/>
      <c r="AC4085" s="30" t="n"/>
      <c r="AD4085" s="30" t="n"/>
      <c r="AE4085" s="30" t="n"/>
      <c r="AF4085" s="30" t="n"/>
      <c r="AG4085" s="30" t="n"/>
      <c r="AH4085" s="30" t="n"/>
      <c r="AI4085" s="30" t="n"/>
      <c r="AJ4085" s="30" t="n"/>
      <c r="AK4085" s="30" t="n"/>
      <c r="AL4085" s="30" t="n"/>
      <c r="AM4085" s="30" t="n"/>
      <c r="AN4085" s="30" t="n"/>
      <c r="AO4085" s="30" t="n"/>
    </row>
    <row r="4086">
      <c r="A4086" s="233" t="inlineStr">
        <is>
          <t>2839XXX</t>
        </is>
      </c>
      <c r="B4086" s="135" t="inlineStr">
        <is>
          <t>TAVERNITI</t>
        </is>
      </c>
      <c r="C4086" s="88" t="n">
        <v>88000</v>
      </c>
      <c r="D4086" s="170" t="n"/>
      <c r="E4086" s="170" t="n"/>
      <c r="F4086" s="170" t="n"/>
      <c r="G4086" s="170" t="n"/>
      <c r="H4086" s="234" t="n"/>
      <c r="I4086" s="170" t="n"/>
      <c r="J4086" s="150">
        <f>ROUND((C4086*M4086)/100,0)*100</f>
        <v/>
      </c>
      <c r="K4086" s="170" t="n"/>
      <c r="L4086" s="170" t="n"/>
      <c r="M4086" s="96" t="n">
        <v>1.4</v>
      </c>
      <c r="N4086" s="30" t="n"/>
      <c r="O4086" s="30" t="n"/>
      <c r="P4086" s="170" t="n"/>
      <c r="Q4086" s="30" t="n"/>
      <c r="R4086" s="170" t="n"/>
      <c r="S4086" s="30" t="n"/>
      <c r="T4086" s="170" t="n"/>
      <c r="U4086" s="30" t="n"/>
      <c r="V4086" s="30" t="n"/>
      <c r="W4086" s="30" t="n"/>
      <c r="X4086" s="30" t="n"/>
      <c r="Y4086" s="30" t="n"/>
      <c r="Z4086" s="30" t="n"/>
      <c r="AA4086" s="30" t="n"/>
      <c r="AB4086" s="30" t="n"/>
      <c r="AC4086" s="30" t="n"/>
      <c r="AD4086" s="30" t="n"/>
      <c r="AE4086" s="30" t="n"/>
      <c r="AF4086" s="30" t="n"/>
      <c r="AG4086" s="30" t="n"/>
      <c r="AH4086" s="30" t="n"/>
      <c r="AI4086" s="30" t="n"/>
      <c r="AJ4086" s="30" t="n"/>
      <c r="AK4086" s="30" t="n"/>
      <c r="AL4086" s="30" t="n"/>
      <c r="AM4086" s="30" t="n"/>
      <c r="AN4086" s="30" t="n"/>
      <c r="AO4086" s="30" t="n"/>
    </row>
    <row r="4087">
      <c r="A4087" s="233" t="inlineStr">
        <is>
          <t>4573XXX</t>
        </is>
      </c>
      <c r="B4087" s="135" t="inlineStr">
        <is>
          <t>TAVERNITI</t>
        </is>
      </c>
      <c r="C4087" s="88" t="n">
        <v>59600</v>
      </c>
      <c r="D4087" s="170" t="n"/>
      <c r="E4087" s="170" t="n"/>
      <c r="F4087" s="111" t="n"/>
      <c r="G4087" s="111" t="n"/>
      <c r="H4087" s="235" t="n"/>
      <c r="I4087" s="111" t="n"/>
      <c r="J4087" s="111">
        <f>ROUND((C4087*M4087)/100,0)*100</f>
        <v/>
      </c>
      <c r="K4087" s="170" t="n"/>
      <c r="L4087" s="170" t="n"/>
      <c r="M4087" s="118" t="n">
        <v>1.4</v>
      </c>
      <c r="N4087" s="96" t="n"/>
      <c r="O4087" s="96" t="n"/>
      <c r="P4087" s="170" t="n"/>
      <c r="Q4087" s="30" t="n"/>
      <c r="R4087" s="170" t="n"/>
      <c r="S4087" s="30" t="n"/>
      <c r="T4087" s="170" t="n"/>
      <c r="U4087" s="30" t="n"/>
      <c r="V4087" s="30" t="n"/>
      <c r="W4087" s="30" t="n"/>
      <c r="X4087" s="30" t="n"/>
      <c r="Y4087" s="30" t="n"/>
      <c r="Z4087" s="30" t="n"/>
      <c r="AA4087" s="30" t="n"/>
      <c r="AB4087" s="30" t="n"/>
      <c r="AC4087" s="30" t="n"/>
      <c r="AD4087" s="30" t="n"/>
      <c r="AE4087" s="30" t="n"/>
      <c r="AF4087" s="30" t="n"/>
      <c r="AG4087" s="30" t="n"/>
      <c r="AH4087" s="30" t="n"/>
      <c r="AI4087" s="30" t="n"/>
      <c r="AJ4087" s="30" t="n"/>
      <c r="AK4087" s="30" t="n"/>
      <c r="AL4087" s="30" t="n"/>
      <c r="AM4087" s="30" t="n"/>
      <c r="AN4087" s="30" t="n"/>
    </row>
    <row r="4088">
      <c r="A4088" s="145" t="inlineStr">
        <is>
          <t>4581XXX</t>
        </is>
      </c>
      <c r="B4088" s="246" t="inlineStr">
        <is>
          <t>TAVERNITI</t>
        </is>
      </c>
      <c r="C4088" s="88" t="n">
        <v>59600</v>
      </c>
      <c r="D4088" s="22" t="n"/>
      <c r="E4088" s="22" t="n"/>
      <c r="F4088" s="153" t="n"/>
      <c r="G4088" s="153" t="n"/>
      <c r="H4088" s="230" t="n"/>
      <c r="I4088" s="153" t="n"/>
      <c r="J4088" s="153">
        <f>ROUND((C4088*M4088)/100,0)*100</f>
        <v/>
      </c>
      <c r="K4088" s="219" t="n"/>
      <c r="L4088" s="219" t="n"/>
      <c r="M4088" s="118" t="n">
        <v>1.4</v>
      </c>
      <c r="N4088" s="96" t="n"/>
      <c r="O4088" s="96" t="n"/>
      <c r="P4088" s="117" t="n"/>
      <c r="R4088" s="117" t="n"/>
      <c r="T4088" s="117" t="n"/>
    </row>
    <row r="4089">
      <c r="A4089" s="233" t="inlineStr">
        <is>
          <t>4667XXX</t>
        </is>
      </c>
      <c r="B4089" s="135" t="inlineStr">
        <is>
          <t>TAVERNITI</t>
        </is>
      </c>
      <c r="C4089" s="88" t="n">
        <v>59600</v>
      </c>
      <c r="D4089" s="170" t="n"/>
      <c r="E4089" s="170" t="n"/>
      <c r="F4089" s="170" t="n"/>
      <c r="G4089" s="170" t="n"/>
      <c r="H4089" s="234" t="n"/>
      <c r="I4089" s="170" t="n"/>
      <c r="J4089" s="150">
        <f>ROUND((C4089*M4089)/100,0)*100</f>
        <v/>
      </c>
      <c r="K4089" s="170" t="n"/>
      <c r="L4089" s="170" t="n"/>
      <c r="M4089" s="118" t="n">
        <v>1.4</v>
      </c>
      <c r="N4089" s="96" t="n"/>
      <c r="O4089" s="96" t="n"/>
      <c r="P4089" s="170" t="n"/>
      <c r="Q4089" s="30" t="n"/>
      <c r="R4089" s="170" t="n"/>
      <c r="S4089" s="30" t="n"/>
      <c r="T4089" s="170" t="n"/>
      <c r="U4089" s="30" t="n"/>
      <c r="V4089" s="30" t="n"/>
      <c r="W4089" s="30" t="n"/>
      <c r="X4089" s="30" t="n"/>
      <c r="Y4089" s="30" t="n"/>
      <c r="Z4089" s="30" t="n"/>
      <c r="AA4089" s="30" t="n"/>
      <c r="AB4089" s="30" t="n"/>
      <c r="AC4089" s="30" t="n"/>
      <c r="AD4089" s="30" t="n"/>
      <c r="AE4089" s="30" t="n"/>
      <c r="AF4089" s="30" t="n"/>
      <c r="AG4089" s="30" t="n"/>
      <c r="AH4089" s="30" t="n"/>
      <c r="AI4089" s="30" t="n"/>
      <c r="AJ4089" s="30" t="n"/>
      <c r="AK4089" s="30" t="n"/>
      <c r="AL4089" s="30" t="n"/>
      <c r="AM4089" s="30" t="n"/>
      <c r="AN4089" s="30" t="n"/>
    </row>
    <row r="4090">
      <c r="A4090" s="233" t="inlineStr">
        <is>
          <t>4675XXX</t>
        </is>
      </c>
      <c r="B4090" s="135" t="inlineStr">
        <is>
          <t>TAVERNITI</t>
        </is>
      </c>
      <c r="C4090" s="88" t="n">
        <v>66400</v>
      </c>
      <c r="D4090" s="170" t="n"/>
      <c r="E4090" s="170" t="n"/>
      <c r="F4090" s="170" t="n"/>
      <c r="G4090" s="170" t="n"/>
      <c r="H4090" s="234" t="n"/>
      <c r="I4090" s="170" t="n"/>
      <c r="J4090" s="150">
        <f>ROUND((C4090*M4090)/100,0)*100</f>
        <v/>
      </c>
      <c r="K4090" s="170" t="n"/>
      <c r="L4090" s="170" t="n"/>
      <c r="M4090" s="118" t="n">
        <v>1.4</v>
      </c>
      <c r="N4090" s="96" t="n"/>
      <c r="O4090" s="96" t="n"/>
      <c r="P4090" s="170" t="n"/>
      <c r="Q4090" s="30" t="n"/>
      <c r="R4090" s="170" t="n"/>
      <c r="S4090" s="30" t="n"/>
      <c r="T4090" s="170" t="n"/>
      <c r="U4090" s="30" t="n"/>
      <c r="V4090" s="30" t="n"/>
      <c r="W4090" s="30" t="n"/>
      <c r="X4090" s="30" t="n"/>
      <c r="Y4090" s="30" t="n"/>
      <c r="Z4090" s="30" t="n"/>
      <c r="AA4090" s="30" t="n"/>
      <c r="AB4090" s="30" t="n"/>
      <c r="AC4090" s="30" t="n"/>
      <c r="AD4090" s="30" t="n"/>
      <c r="AE4090" s="30" t="n"/>
      <c r="AF4090" s="30" t="n"/>
      <c r="AG4090" s="30" t="n"/>
      <c r="AH4090" s="30" t="n"/>
      <c r="AI4090" s="30" t="n"/>
      <c r="AJ4090" s="30" t="n"/>
      <c r="AK4090" s="30" t="n"/>
      <c r="AL4090" s="30" t="n"/>
      <c r="AM4090" s="30" t="n"/>
      <c r="AN4090" s="30" t="n"/>
    </row>
    <row r="4091">
      <c r="A4091" s="233" t="inlineStr">
        <is>
          <t>4677XXX</t>
        </is>
      </c>
      <c r="B4091" s="135" t="inlineStr">
        <is>
          <t>TAVERNITI</t>
        </is>
      </c>
      <c r="C4091" s="88" t="n">
        <v>50200</v>
      </c>
      <c r="D4091" s="170" t="n"/>
      <c r="E4091" s="170" t="n"/>
      <c r="F4091" s="170" t="n"/>
      <c r="G4091" s="170" t="n"/>
      <c r="H4091" s="234" t="n"/>
      <c r="I4091" s="170" t="n"/>
      <c r="J4091" s="150">
        <f>ROUND((C4091*M4091)/100,0)*100</f>
        <v/>
      </c>
      <c r="K4091" s="170" t="n"/>
      <c r="L4091" s="170" t="n"/>
      <c r="M4091" s="118" t="n">
        <v>1.4</v>
      </c>
      <c r="N4091" s="96" t="n"/>
      <c r="O4091" s="96" t="n"/>
      <c r="P4091" s="170" t="n"/>
      <c r="Q4091" s="30" t="n"/>
      <c r="R4091" s="170" t="n"/>
      <c r="S4091" s="30" t="n"/>
      <c r="T4091" s="170" t="n"/>
      <c r="U4091" s="30" t="n"/>
      <c r="V4091" s="30" t="n"/>
      <c r="W4091" s="30" t="n"/>
      <c r="X4091" s="30" t="n"/>
      <c r="Y4091" s="30" t="n"/>
      <c r="Z4091" s="30" t="n"/>
      <c r="AA4091" s="30" t="n"/>
      <c r="AB4091" s="30" t="n"/>
      <c r="AC4091" s="30" t="n"/>
      <c r="AD4091" s="30" t="n"/>
      <c r="AE4091" s="30" t="n"/>
      <c r="AF4091" s="30" t="n"/>
      <c r="AG4091" s="30" t="n"/>
      <c r="AH4091" s="30" t="n"/>
      <c r="AI4091" s="30" t="n"/>
      <c r="AJ4091" s="30" t="n"/>
      <c r="AK4091" s="30" t="n"/>
      <c r="AL4091" s="30" t="n"/>
      <c r="AM4091" s="30" t="n"/>
      <c r="AN4091" s="30" t="n"/>
    </row>
    <row r="4092">
      <c r="A4092" s="233" t="inlineStr">
        <is>
          <t>4679XXX</t>
        </is>
      </c>
      <c r="B4092" s="135" t="inlineStr">
        <is>
          <t>TAVERNITI</t>
        </is>
      </c>
      <c r="C4092" s="88" t="n">
        <v>50800</v>
      </c>
      <c r="D4092" s="170" t="n"/>
      <c r="E4092" s="170" t="n"/>
      <c r="F4092" s="111" t="n"/>
      <c r="G4092" s="111" t="n"/>
      <c r="H4092" s="235" t="n"/>
      <c r="I4092" s="111" t="n"/>
      <c r="J4092" s="111">
        <f>ROUND((C4092*M4092)/100,0)*100</f>
        <v/>
      </c>
      <c r="K4092" s="170" t="n"/>
      <c r="L4092" s="170" t="n"/>
      <c r="M4092" s="118" t="n">
        <v>1.4</v>
      </c>
      <c r="N4092" s="96" t="n"/>
      <c r="O4092" s="96" t="n"/>
      <c r="P4092" s="170" t="n"/>
      <c r="Q4092" s="30" t="n"/>
      <c r="R4092" s="170" t="n"/>
      <c r="S4092" s="30" t="n"/>
      <c r="T4092" s="170" t="n"/>
      <c r="U4092" s="30" t="n"/>
      <c r="V4092" s="30" t="n"/>
      <c r="W4092" s="30" t="n"/>
      <c r="X4092" s="30" t="n"/>
      <c r="Y4092" s="30" t="n"/>
      <c r="Z4092" s="30" t="n"/>
      <c r="AA4092" s="30" t="n"/>
      <c r="AB4092" s="30" t="n"/>
      <c r="AC4092" s="30" t="n"/>
      <c r="AD4092" s="30" t="n"/>
      <c r="AE4092" s="30" t="n"/>
      <c r="AF4092" s="30" t="n"/>
      <c r="AG4092" s="30" t="n"/>
      <c r="AH4092" s="30" t="n"/>
      <c r="AI4092" s="30" t="n"/>
      <c r="AJ4092" s="30" t="n"/>
      <c r="AK4092" s="30" t="n"/>
      <c r="AL4092" s="30" t="n"/>
      <c r="AM4092" s="30" t="n"/>
      <c r="AN4092" s="30" t="n"/>
    </row>
    <row r="4093">
      <c r="A4093" s="233" t="inlineStr">
        <is>
          <t>4683XXX</t>
        </is>
      </c>
      <c r="B4093" s="135" t="inlineStr">
        <is>
          <t>TAVERNITI</t>
        </is>
      </c>
      <c r="C4093" s="88" t="n">
        <v>50800</v>
      </c>
      <c r="D4093" s="170" t="n"/>
      <c r="E4093" s="170" t="n"/>
      <c r="F4093" s="111" t="n"/>
      <c r="G4093" s="111" t="n"/>
      <c r="H4093" s="235" t="n"/>
      <c r="I4093" s="111" t="n"/>
      <c r="J4093" s="111">
        <f>ROUND((C4093*M4093)/100,0)*100</f>
        <v/>
      </c>
      <c r="K4093" s="170" t="n"/>
      <c r="L4093" s="170" t="n"/>
      <c r="M4093" s="118" t="n">
        <v>1.4</v>
      </c>
      <c r="N4093" s="96" t="n"/>
      <c r="O4093" s="96" t="n"/>
      <c r="P4093" s="170" t="n"/>
      <c r="Q4093" s="30" t="n"/>
      <c r="R4093" s="170" t="n"/>
      <c r="S4093" s="30" t="n"/>
      <c r="T4093" s="170" t="n"/>
      <c r="U4093" s="30" t="n"/>
      <c r="V4093" s="30" t="n"/>
      <c r="W4093" s="30" t="n"/>
      <c r="X4093" s="30" t="n"/>
      <c r="Y4093" s="30" t="n"/>
      <c r="Z4093" s="30" t="n"/>
      <c r="AA4093" s="30" t="n"/>
      <c r="AB4093" s="30" t="n"/>
      <c r="AC4093" s="30" t="n"/>
      <c r="AD4093" s="30" t="n"/>
      <c r="AE4093" s="30" t="n"/>
      <c r="AF4093" s="30" t="n"/>
      <c r="AG4093" s="30" t="n"/>
      <c r="AH4093" s="30" t="n"/>
      <c r="AI4093" s="30" t="n"/>
      <c r="AJ4093" s="30" t="n"/>
      <c r="AK4093" s="30" t="n"/>
      <c r="AL4093" s="30" t="n"/>
      <c r="AM4093" s="30" t="n"/>
      <c r="AN4093" s="30" t="n"/>
    </row>
    <row r="4094">
      <c r="A4094" s="233" t="inlineStr">
        <is>
          <t>4723XXX</t>
        </is>
      </c>
      <c r="B4094" s="135" t="inlineStr">
        <is>
          <t>TAVERNITI</t>
        </is>
      </c>
      <c r="C4094" s="88" t="n">
        <v>44300</v>
      </c>
      <c r="D4094" s="170" t="n"/>
      <c r="E4094" s="170" t="n"/>
      <c r="F4094" s="111" t="n"/>
      <c r="G4094" s="111" t="n"/>
      <c r="H4094" s="235" t="n"/>
      <c r="I4094" s="111" t="n"/>
      <c r="J4094" s="111">
        <f>ROUND((C4094*M4094)/100,0)*100</f>
        <v/>
      </c>
      <c r="K4094" s="170" t="n"/>
      <c r="L4094" s="170" t="n"/>
      <c r="M4094" s="118" t="n">
        <v>1.4</v>
      </c>
      <c r="N4094" s="96" t="n"/>
      <c r="O4094" s="96" t="n"/>
      <c r="P4094" s="170" t="n"/>
      <c r="Q4094" s="30" t="n"/>
      <c r="R4094" s="170" t="n"/>
      <c r="S4094" s="30" t="n"/>
      <c r="T4094" s="170" t="n"/>
      <c r="U4094" s="30" t="n"/>
      <c r="V4094" s="30" t="n"/>
      <c r="W4094" s="30" t="n"/>
      <c r="X4094" s="30" t="n"/>
      <c r="Y4094" s="30" t="n"/>
      <c r="Z4094" s="30" t="n"/>
      <c r="AA4094" s="30" t="n"/>
      <c r="AB4094" s="30" t="n"/>
      <c r="AC4094" s="30" t="n"/>
      <c r="AD4094" s="30" t="n"/>
      <c r="AE4094" s="30" t="n"/>
      <c r="AF4094" s="30" t="n"/>
      <c r="AG4094" s="30" t="n"/>
      <c r="AH4094" s="30" t="n"/>
      <c r="AI4094" s="30" t="n"/>
      <c r="AJ4094" s="30" t="n"/>
      <c r="AK4094" s="30" t="n"/>
      <c r="AL4094" s="30" t="n"/>
      <c r="AM4094" s="30" t="n"/>
      <c r="AN4094" s="30" t="n"/>
    </row>
    <row r="4095">
      <c r="A4095" s="145" t="inlineStr">
        <is>
          <t>4723XXX</t>
        </is>
      </c>
      <c r="B4095" s="246" t="inlineStr">
        <is>
          <t>TAVERNITI</t>
        </is>
      </c>
      <c r="C4095" s="88" t="n">
        <v>50700</v>
      </c>
      <c r="D4095" s="22" t="n"/>
      <c r="E4095" s="22" t="n"/>
      <c r="F4095" s="153" t="n"/>
      <c r="G4095" s="153" t="n"/>
      <c r="H4095" s="230" t="n"/>
      <c r="I4095" s="153" t="n"/>
      <c r="J4095" s="153">
        <f>ROUND((C4095*M4095)/100,0)*100</f>
        <v/>
      </c>
      <c r="K4095" s="219" t="n"/>
      <c r="L4095" s="219" t="n"/>
      <c r="M4095" s="118" t="n">
        <v>1.4</v>
      </c>
      <c r="N4095" s="96" t="n"/>
      <c r="O4095" s="96" t="n"/>
      <c r="P4095" s="117" t="n"/>
      <c r="R4095" s="117" t="n"/>
      <c r="T4095" s="117" t="n"/>
    </row>
    <row r="4096">
      <c r="A4096" s="233" t="inlineStr">
        <is>
          <t>5697XXX</t>
        </is>
      </c>
      <c r="B4096" s="135" t="inlineStr">
        <is>
          <t>TAVERNITI</t>
        </is>
      </c>
      <c r="C4096" s="88" t="n">
        <v>68800</v>
      </c>
      <c r="D4096" s="170" t="n"/>
      <c r="E4096" s="170" t="n"/>
      <c r="F4096" s="111" t="n"/>
      <c r="G4096" s="111" t="n"/>
      <c r="H4096" s="235" t="n"/>
      <c r="I4096" s="111" t="n"/>
      <c r="J4096" s="111">
        <f>ROUND((C4096*M4096)/100,0)*100</f>
        <v/>
      </c>
      <c r="K4096" s="170" t="n"/>
      <c r="L4096" s="170" t="n"/>
      <c r="M4096" s="118" t="n">
        <v>1.4</v>
      </c>
      <c r="N4096" s="96" t="n"/>
      <c r="O4096" s="96" t="n"/>
      <c r="P4096" s="170" t="n"/>
      <c r="Q4096" s="30" t="n"/>
      <c r="R4096" s="170" t="n"/>
      <c r="S4096" s="30" t="n"/>
      <c r="T4096" s="170" t="n"/>
      <c r="U4096" s="30" t="n"/>
      <c r="V4096" s="30" t="n"/>
      <c r="W4096" s="30" t="n"/>
      <c r="X4096" s="30" t="n"/>
      <c r="Y4096" s="30" t="n"/>
      <c r="Z4096" s="30" t="n"/>
      <c r="AA4096" s="30" t="n"/>
      <c r="AB4096" s="30" t="n"/>
      <c r="AC4096" s="30" t="n"/>
      <c r="AD4096" s="30" t="n"/>
      <c r="AE4096" s="30" t="n"/>
      <c r="AF4096" s="30" t="n"/>
      <c r="AG4096" s="30" t="n"/>
      <c r="AH4096" s="30" t="n"/>
      <c r="AI4096" s="30" t="n"/>
      <c r="AJ4096" s="30" t="n"/>
      <c r="AK4096" s="30" t="n"/>
      <c r="AL4096" s="30" t="n"/>
      <c r="AM4096" s="30" t="n"/>
      <c r="AN4096" s="30" t="n"/>
      <c r="AO4096" s="30" t="n"/>
    </row>
    <row r="4097">
      <c r="A4097" s="233" t="inlineStr">
        <is>
          <t>5699XXX</t>
        </is>
      </c>
      <c r="B4097" s="135" t="inlineStr">
        <is>
          <t>TAVERNITI</t>
        </is>
      </c>
      <c r="C4097" s="88" t="n">
        <v>59600</v>
      </c>
      <c r="D4097" s="170" t="n"/>
      <c r="E4097" s="170" t="n"/>
      <c r="F4097" s="111" t="n"/>
      <c r="G4097" s="111" t="n"/>
      <c r="H4097" s="235" t="n"/>
      <c r="I4097" s="111" t="n"/>
      <c r="J4097" s="111">
        <f>ROUND((C4097*M4097)/100,0)*100</f>
        <v/>
      </c>
      <c r="K4097" s="170" t="n"/>
      <c r="L4097" s="170" t="n"/>
      <c r="M4097" s="118" t="n">
        <v>1.4</v>
      </c>
      <c r="N4097" s="96" t="n"/>
      <c r="O4097" s="96" t="n"/>
      <c r="P4097" s="170" t="n"/>
      <c r="Q4097" s="30" t="n"/>
      <c r="R4097" s="170" t="n"/>
      <c r="S4097" s="30" t="n"/>
      <c r="T4097" s="170" t="n"/>
      <c r="U4097" s="30" t="n"/>
      <c r="V4097" s="30" t="n"/>
      <c r="W4097" s="30" t="n"/>
      <c r="X4097" s="30" t="n"/>
      <c r="Y4097" s="30" t="n"/>
      <c r="Z4097" s="30" t="n"/>
      <c r="AA4097" s="30" t="n"/>
      <c r="AB4097" s="30" t="n"/>
      <c r="AC4097" s="30" t="n"/>
      <c r="AD4097" s="30" t="n"/>
      <c r="AE4097" s="30" t="n"/>
      <c r="AF4097" s="30" t="n"/>
      <c r="AG4097" s="30" t="n"/>
      <c r="AH4097" s="30" t="n"/>
      <c r="AI4097" s="30" t="n"/>
      <c r="AJ4097" s="30" t="n"/>
      <c r="AK4097" s="30" t="n"/>
      <c r="AL4097" s="30" t="n"/>
      <c r="AM4097" s="30" t="n"/>
      <c r="AN4097" s="30" t="n"/>
      <c r="AO4097" s="30" t="n"/>
    </row>
    <row r="4098">
      <c r="A4098" s="233" t="inlineStr">
        <is>
          <t>05703XXX</t>
        </is>
      </c>
      <c r="B4098" s="135" t="inlineStr">
        <is>
          <t>TAVERNITI</t>
        </is>
      </c>
      <c r="C4098" s="88" t="n">
        <v>54500</v>
      </c>
      <c r="D4098" s="170" t="n"/>
      <c r="E4098" s="170" t="n"/>
      <c r="F4098" s="170" t="n"/>
      <c r="G4098" s="170" t="n"/>
      <c r="H4098" s="234" t="n"/>
      <c r="I4098" s="170" t="n"/>
      <c r="J4098" s="88">
        <f>ROUND((C4098*M4098)/100,0)*100</f>
        <v/>
      </c>
      <c r="K4098" s="170" t="n"/>
      <c r="L4098" s="170" t="n"/>
      <c r="M4098" s="96" t="n">
        <v>1.4</v>
      </c>
      <c r="N4098" s="30" t="n"/>
      <c r="O4098" s="30" t="n"/>
      <c r="P4098" s="170" t="n"/>
      <c r="Q4098" s="30" t="n"/>
      <c r="R4098" s="170" t="n"/>
      <c r="S4098" s="30" t="n"/>
      <c r="T4098" s="170" t="n"/>
      <c r="U4098" s="30" t="n"/>
      <c r="V4098" s="30" t="n"/>
      <c r="W4098" s="30" t="n"/>
      <c r="X4098" s="30" t="n"/>
      <c r="Y4098" s="30" t="n"/>
      <c r="Z4098" s="30" t="n"/>
      <c r="AA4098" s="30" t="n"/>
      <c r="AB4098" s="30" t="n"/>
      <c r="AC4098" s="30" t="n"/>
      <c r="AD4098" s="30" t="n"/>
      <c r="AE4098" s="30" t="n"/>
      <c r="AF4098" s="30" t="n"/>
      <c r="AG4098" s="30" t="n"/>
      <c r="AH4098" s="30" t="n"/>
      <c r="AI4098" s="30" t="n"/>
      <c r="AJ4098" s="30" t="n"/>
      <c r="AK4098" s="30" t="n"/>
      <c r="AL4098" s="30" t="n"/>
      <c r="AM4098" s="30" t="n"/>
      <c r="AN4098" s="30" t="n"/>
      <c r="AO4098" s="30" t="n"/>
    </row>
    <row r="4099">
      <c r="A4099" s="145" t="inlineStr">
        <is>
          <t>5715XXX</t>
        </is>
      </c>
      <c r="B4099" s="246" t="inlineStr">
        <is>
          <t>TAVERNITI</t>
        </is>
      </c>
      <c r="C4099" s="88" t="n">
        <v>65100</v>
      </c>
      <c r="D4099" s="22" t="n"/>
      <c r="E4099" s="22" t="n"/>
      <c r="F4099" s="153" t="n"/>
      <c r="G4099" s="153" t="n"/>
      <c r="H4099" s="230" t="n"/>
      <c r="I4099" s="153" t="n"/>
      <c r="J4099" s="153">
        <f>ROUND((C4099*M4099)/100,0)*100</f>
        <v/>
      </c>
      <c r="K4099" s="219" t="n"/>
      <c r="L4099" s="219" t="n"/>
      <c r="M4099" s="118" t="n">
        <v>1.4</v>
      </c>
      <c r="N4099" s="96" t="n"/>
      <c r="O4099" s="96" t="n"/>
      <c r="P4099" s="117" t="n"/>
      <c r="R4099" s="117" t="n"/>
      <c r="T4099" s="117" t="n"/>
    </row>
    <row r="4100">
      <c r="A4100" s="145" t="inlineStr">
        <is>
          <t>5719XXX</t>
        </is>
      </c>
      <c r="B4100" s="246" t="inlineStr">
        <is>
          <t>TAVERNITI</t>
        </is>
      </c>
      <c r="C4100" s="88" t="n">
        <v>57000</v>
      </c>
      <c r="D4100" s="22" t="n"/>
      <c r="E4100" s="22" t="n"/>
      <c r="F4100" s="153" t="n"/>
      <c r="G4100" s="153" t="n"/>
      <c r="H4100" s="230" t="n"/>
      <c r="I4100" s="153" t="n"/>
      <c r="J4100" s="153">
        <f>ROUND((C4100*M4100)/100,0)*100</f>
        <v/>
      </c>
      <c r="K4100" s="219" t="n"/>
      <c r="L4100" s="219" t="n"/>
      <c r="M4100" s="118" t="n">
        <v>1.4</v>
      </c>
      <c r="N4100" s="96" t="n"/>
      <c r="O4100" s="96" t="n"/>
      <c r="P4100" s="117" t="n"/>
      <c r="R4100" s="117" t="n"/>
      <c r="T4100" s="117" t="n"/>
    </row>
    <row r="4101">
      <c r="A4101" s="233" t="inlineStr">
        <is>
          <t>5723XXX</t>
        </is>
      </c>
      <c r="B4101" s="135" t="inlineStr">
        <is>
          <t>TAVERNITI</t>
        </is>
      </c>
      <c r="C4101" s="88" t="n">
        <v>73500</v>
      </c>
      <c r="D4101" s="170" t="n"/>
      <c r="E4101" s="170" t="n"/>
      <c r="F4101" s="170" t="n"/>
      <c r="G4101" s="170" t="n"/>
      <c r="H4101" s="234" t="n"/>
      <c r="I4101" s="170" t="n"/>
      <c r="J4101" s="88">
        <f>ROUND((C4101*M4101)/100,0)*100</f>
        <v/>
      </c>
      <c r="K4101" s="170" t="n"/>
      <c r="L4101" s="170" t="n"/>
      <c r="M4101" s="96" t="n">
        <v>1.4</v>
      </c>
      <c r="N4101" s="30" t="n"/>
      <c r="O4101" s="30" t="n"/>
      <c r="P4101" s="170" t="n"/>
      <c r="Q4101" s="30" t="n"/>
      <c r="R4101" s="170" t="n"/>
      <c r="S4101" s="30" t="n"/>
      <c r="T4101" s="170" t="n"/>
      <c r="U4101" s="30" t="n"/>
      <c r="V4101" s="30" t="n"/>
      <c r="W4101" s="30" t="n"/>
      <c r="X4101" s="30" t="n"/>
      <c r="Y4101" s="30" t="n"/>
      <c r="Z4101" s="30" t="n"/>
      <c r="AA4101" s="30" t="n"/>
      <c r="AB4101" s="30" t="n"/>
      <c r="AC4101" s="30" t="n"/>
      <c r="AD4101" s="30" t="n"/>
      <c r="AE4101" s="30" t="n"/>
      <c r="AF4101" s="30" t="n"/>
      <c r="AG4101" s="30" t="n"/>
      <c r="AH4101" s="30" t="n"/>
      <c r="AI4101" s="30" t="n"/>
      <c r="AJ4101" s="30" t="n"/>
      <c r="AK4101" s="30" t="n"/>
      <c r="AL4101" s="30" t="n"/>
      <c r="AM4101" s="30" t="n"/>
      <c r="AN4101" s="30" t="n"/>
      <c r="AO4101" s="30" t="n"/>
    </row>
    <row r="4102">
      <c r="A4102" s="233" t="inlineStr">
        <is>
          <t>5727XXX</t>
        </is>
      </c>
      <c r="B4102" s="135" t="inlineStr">
        <is>
          <t>TAVERNITI</t>
        </is>
      </c>
      <c r="C4102" s="88" t="n">
        <v>64500</v>
      </c>
      <c r="D4102" s="170" t="n"/>
      <c r="E4102" s="170" t="n"/>
      <c r="F4102" s="111" t="n"/>
      <c r="G4102" s="111" t="n"/>
      <c r="H4102" s="235" t="n"/>
      <c r="I4102" s="111" t="n"/>
      <c r="J4102" s="219">
        <f>ROUND((C4102*M4102)/100,0)*100</f>
        <v/>
      </c>
      <c r="K4102" s="170" t="n"/>
      <c r="L4102" s="170" t="n"/>
      <c r="M4102" s="96" t="n">
        <v>1.4</v>
      </c>
      <c r="N4102" s="30" t="n"/>
      <c r="O4102" s="30" t="n"/>
      <c r="P4102" s="170" t="n"/>
      <c r="Q4102" s="30" t="n"/>
      <c r="R4102" s="170" t="n"/>
      <c r="S4102" s="30" t="n"/>
      <c r="T4102" s="170" t="n"/>
      <c r="U4102" s="30" t="n"/>
      <c r="V4102" s="30" t="n"/>
      <c r="W4102" s="30" t="n"/>
      <c r="X4102" s="30" t="n"/>
      <c r="Y4102" s="30" t="n"/>
      <c r="Z4102" s="30" t="n"/>
      <c r="AA4102" s="30" t="n"/>
      <c r="AB4102" s="30" t="n"/>
      <c r="AC4102" s="30" t="n"/>
      <c r="AD4102" s="30" t="n"/>
      <c r="AE4102" s="30" t="n"/>
      <c r="AF4102" s="30" t="n"/>
      <c r="AG4102" s="30" t="n"/>
      <c r="AH4102" s="30" t="n"/>
      <c r="AI4102" s="30" t="n"/>
      <c r="AJ4102" s="30" t="n"/>
      <c r="AK4102" s="30" t="n"/>
      <c r="AL4102" s="30" t="n"/>
      <c r="AM4102" s="30" t="n"/>
      <c r="AN4102" s="30" t="n"/>
      <c r="AO4102" s="30" t="n"/>
    </row>
    <row r="4103">
      <c r="A4103" s="145" t="inlineStr">
        <is>
          <t>5729XXX</t>
        </is>
      </c>
      <c r="B4103" s="246" t="inlineStr">
        <is>
          <t>TAVERNITI</t>
        </is>
      </c>
      <c r="C4103" s="88" t="n">
        <v>63500</v>
      </c>
      <c r="D4103" s="22" t="n"/>
      <c r="E4103" s="22" t="n"/>
      <c r="F4103" s="153" t="n"/>
      <c r="G4103" s="153" t="n"/>
      <c r="H4103" s="230" t="n"/>
      <c r="I4103" s="153" t="n"/>
      <c r="J4103" s="153">
        <f>ROUND((C4103*M4103)/100,0)*100</f>
        <v/>
      </c>
      <c r="K4103" s="219" t="n"/>
      <c r="L4103" s="219" t="n"/>
      <c r="M4103" s="118" t="n">
        <v>1.4</v>
      </c>
      <c r="N4103" s="96" t="n"/>
      <c r="O4103" s="96" t="n"/>
      <c r="P4103" s="117" t="n"/>
      <c r="R4103" s="117" t="n"/>
      <c r="T4103" s="117" t="n"/>
    </row>
    <row r="4104">
      <c r="A4104" s="145" t="inlineStr">
        <is>
          <t>5731XXX</t>
        </is>
      </c>
      <c r="B4104" s="246" t="inlineStr">
        <is>
          <t>TAVERNITI</t>
        </is>
      </c>
      <c r="C4104" s="88" t="n">
        <v>61700</v>
      </c>
      <c r="D4104" s="22" t="n"/>
      <c r="E4104" s="22" t="n"/>
      <c r="F4104" s="153" t="n"/>
      <c r="G4104" s="153" t="n"/>
      <c r="H4104" s="230" t="n"/>
      <c r="I4104" s="153" t="n"/>
      <c r="J4104" s="153">
        <f>ROUND((C4104*M4104)/100,0)*100</f>
        <v/>
      </c>
      <c r="K4104" s="219" t="n"/>
      <c r="L4104" s="219" t="n"/>
      <c r="M4104" s="118" t="n">
        <v>1.4</v>
      </c>
      <c r="N4104" s="96" t="n"/>
      <c r="O4104" s="96" t="n"/>
      <c r="P4104" s="117" t="n"/>
      <c r="R4104" s="117" t="n"/>
      <c r="T4104" s="117" t="n"/>
    </row>
    <row r="4105">
      <c r="A4105" s="233" t="inlineStr">
        <is>
          <t>05925XXX</t>
        </is>
      </c>
      <c r="B4105" s="135" t="inlineStr">
        <is>
          <t>TAVERNITI</t>
        </is>
      </c>
      <c r="C4105" s="88" t="n">
        <v>68900</v>
      </c>
      <c r="D4105" s="170" t="n"/>
      <c r="E4105" s="170" t="n"/>
      <c r="F4105" s="170" t="n"/>
      <c r="G4105" s="170" t="n"/>
      <c r="H4105" s="234" t="n"/>
      <c r="I4105" s="170" t="n"/>
      <c r="J4105" s="88">
        <f>ROUND((C4105*M4105)/100,0)*100</f>
        <v/>
      </c>
      <c r="K4105" s="170" t="n"/>
      <c r="L4105" s="170" t="n"/>
      <c r="M4105" s="96" t="n">
        <v>1.4</v>
      </c>
      <c r="N4105" s="30" t="n"/>
      <c r="O4105" s="30" t="n"/>
      <c r="P4105" s="170" t="n"/>
      <c r="Q4105" s="30" t="n"/>
      <c r="R4105" s="170" t="n"/>
      <c r="S4105" s="30" t="n"/>
      <c r="T4105" s="170" t="n"/>
      <c r="U4105" s="30" t="n"/>
      <c r="V4105" s="30" t="n"/>
      <c r="W4105" s="30" t="n"/>
      <c r="X4105" s="30" t="n"/>
      <c r="Y4105" s="30" t="n"/>
      <c r="Z4105" s="30" t="n"/>
      <c r="AA4105" s="30" t="n"/>
      <c r="AB4105" s="30" t="n"/>
      <c r="AC4105" s="30" t="n"/>
      <c r="AD4105" s="30" t="n"/>
      <c r="AE4105" s="30" t="n"/>
      <c r="AF4105" s="30" t="n"/>
      <c r="AG4105" s="30" t="n"/>
      <c r="AH4105" s="30" t="n"/>
      <c r="AI4105" s="30" t="n"/>
      <c r="AJ4105" s="30" t="n"/>
      <c r="AK4105" s="30" t="n"/>
      <c r="AL4105" s="30" t="n"/>
      <c r="AM4105" s="30" t="n"/>
      <c r="AN4105" s="30" t="n"/>
      <c r="AO4105" s="30" t="n"/>
    </row>
    <row r="4106">
      <c r="A4106" s="233" t="inlineStr">
        <is>
          <t>05927XXX</t>
        </is>
      </c>
      <c r="B4106" s="135" t="inlineStr">
        <is>
          <t>TAVERNITI</t>
        </is>
      </c>
      <c r="C4106" s="88" t="n">
        <v>61700</v>
      </c>
      <c r="D4106" s="170" t="n"/>
      <c r="E4106" s="170" t="n"/>
      <c r="F4106" s="111" t="n"/>
      <c r="G4106" s="111" t="n"/>
      <c r="H4106" s="235" t="n"/>
      <c r="I4106" s="111" t="n"/>
      <c r="J4106" s="219">
        <f>ROUND((C4106*M4106)/100,0)*100</f>
        <v/>
      </c>
      <c r="K4106" s="170" t="n"/>
      <c r="L4106" s="170" t="n"/>
      <c r="M4106" s="96" t="n">
        <v>1.4</v>
      </c>
      <c r="N4106" s="30" t="n"/>
      <c r="O4106" s="30" t="n"/>
      <c r="P4106" s="170" t="n"/>
      <c r="Q4106" s="30" t="n"/>
      <c r="R4106" s="170" t="n"/>
      <c r="S4106" s="30" t="n"/>
      <c r="T4106" s="170" t="n"/>
      <c r="U4106" s="30" t="n"/>
      <c r="V4106" s="30" t="n"/>
      <c r="W4106" s="30" t="n"/>
      <c r="X4106" s="30" t="n"/>
      <c r="Y4106" s="30" t="n"/>
      <c r="Z4106" s="30" t="n"/>
      <c r="AA4106" s="30" t="n"/>
      <c r="AB4106" s="30" t="n"/>
      <c r="AC4106" s="30" t="n"/>
      <c r="AD4106" s="30" t="n"/>
      <c r="AE4106" s="30" t="n"/>
      <c r="AF4106" s="30" t="n"/>
      <c r="AG4106" s="30" t="n"/>
      <c r="AH4106" s="30" t="n"/>
      <c r="AI4106" s="30" t="n"/>
      <c r="AJ4106" s="30" t="n"/>
      <c r="AK4106" s="30" t="n"/>
      <c r="AL4106" s="30" t="n"/>
      <c r="AM4106" s="30" t="n"/>
      <c r="AN4106" s="30" t="n"/>
      <c r="AO4106" s="30" t="n"/>
    </row>
    <row r="4107">
      <c r="A4107" s="233" t="inlineStr">
        <is>
          <t>05955XXX</t>
        </is>
      </c>
      <c r="B4107" s="135" t="inlineStr">
        <is>
          <t>TAVERNITI</t>
        </is>
      </c>
      <c r="C4107" s="88" t="n">
        <v>69500</v>
      </c>
      <c r="D4107" s="170" t="n"/>
      <c r="E4107" s="170" t="n"/>
      <c r="F4107" s="111" t="n"/>
      <c r="G4107" s="111" t="n"/>
      <c r="H4107" s="235" t="n"/>
      <c r="I4107" s="111" t="n"/>
      <c r="J4107" s="219">
        <f>ROUND((C4107*M4107)/100,0)*100</f>
        <v/>
      </c>
      <c r="K4107" s="170" t="n"/>
      <c r="L4107" s="170" t="n"/>
      <c r="M4107" s="96" t="n">
        <v>1.4</v>
      </c>
      <c r="N4107" s="30" t="n"/>
      <c r="O4107" s="30" t="n"/>
      <c r="P4107" s="170" t="n"/>
      <c r="Q4107" s="30" t="n"/>
      <c r="R4107" s="170" t="n"/>
      <c r="S4107" s="30" t="n"/>
      <c r="T4107" s="170" t="n"/>
      <c r="U4107" s="30" t="n"/>
      <c r="V4107" s="30" t="n"/>
      <c r="W4107" s="30" t="n"/>
      <c r="X4107" s="30" t="n"/>
      <c r="Y4107" s="30" t="n"/>
      <c r="Z4107" s="30" t="n"/>
      <c r="AA4107" s="30" t="n"/>
      <c r="AB4107" s="30" t="n"/>
      <c r="AC4107" s="30" t="n"/>
      <c r="AD4107" s="30" t="n"/>
      <c r="AE4107" s="30" t="n"/>
      <c r="AF4107" s="30" t="n"/>
      <c r="AG4107" s="30" t="n"/>
      <c r="AH4107" s="30" t="n"/>
      <c r="AI4107" s="30" t="n"/>
      <c r="AJ4107" s="30" t="n"/>
      <c r="AK4107" s="30" t="n"/>
      <c r="AL4107" s="30" t="n"/>
      <c r="AM4107" s="30" t="n"/>
      <c r="AN4107" s="30" t="n"/>
      <c r="AO4107" s="30" t="n"/>
    </row>
    <row r="4108">
      <c r="A4108" s="145" t="inlineStr">
        <is>
          <t>05957XXX</t>
        </is>
      </c>
      <c r="B4108" s="246" t="inlineStr">
        <is>
          <t>TAVERNITI</t>
        </is>
      </c>
      <c r="C4108" s="88" t="n">
        <v>65300</v>
      </c>
      <c r="D4108" s="22" t="n"/>
      <c r="E4108" s="22" t="n"/>
      <c r="F4108" s="153" t="n"/>
      <c r="G4108" s="153" t="n"/>
      <c r="H4108" s="230" t="n"/>
      <c r="I4108" s="153" t="n"/>
      <c r="J4108" s="153">
        <f>ROUND((C4108*M4108)/100,0)*100</f>
        <v/>
      </c>
      <c r="K4108" s="219" t="n"/>
      <c r="L4108" s="219" t="n"/>
      <c r="M4108" s="118" t="n">
        <v>1.4</v>
      </c>
      <c r="N4108" s="96" t="n"/>
      <c r="O4108" s="96" t="n"/>
      <c r="P4108" s="117" t="n"/>
      <c r="R4108" s="117" t="n"/>
      <c r="T4108" s="117" t="n"/>
    </row>
    <row r="4109">
      <c r="A4109" s="233" t="inlineStr">
        <is>
          <t>05961XXX</t>
        </is>
      </c>
      <c r="B4109" s="135" t="inlineStr">
        <is>
          <t>TAVERNITI</t>
        </is>
      </c>
      <c r="C4109" s="88" t="n">
        <v>55900</v>
      </c>
      <c r="D4109" s="170" t="n"/>
      <c r="E4109" s="170" t="n"/>
      <c r="F4109" s="170" t="n"/>
      <c r="G4109" s="170" t="n"/>
      <c r="H4109" s="234" t="n"/>
      <c r="I4109" s="170" t="n"/>
      <c r="J4109" s="88">
        <f>ROUND((C4109*M4109)/100,0)*100</f>
        <v/>
      </c>
      <c r="K4109" s="170" t="n"/>
      <c r="L4109" s="170" t="n"/>
      <c r="M4109" s="96" t="n">
        <v>1.4</v>
      </c>
      <c r="N4109" s="30" t="n"/>
      <c r="O4109" s="30" t="n"/>
      <c r="P4109" s="170" t="n"/>
      <c r="Q4109" s="30" t="n"/>
      <c r="R4109" s="170" t="n"/>
      <c r="S4109" s="30" t="n"/>
      <c r="T4109" s="170" t="n"/>
      <c r="U4109" s="30" t="n"/>
      <c r="V4109" s="30" t="n"/>
      <c r="W4109" s="30" t="n"/>
      <c r="X4109" s="30" t="n"/>
      <c r="Y4109" s="30" t="n"/>
      <c r="Z4109" s="30" t="n"/>
      <c r="AA4109" s="30" t="n"/>
      <c r="AB4109" s="30" t="n"/>
      <c r="AC4109" s="30" t="n"/>
      <c r="AD4109" s="30" t="n"/>
      <c r="AE4109" s="30" t="n"/>
      <c r="AF4109" s="30" t="n"/>
      <c r="AG4109" s="30" t="n"/>
      <c r="AH4109" s="30" t="n"/>
      <c r="AI4109" s="30" t="n"/>
      <c r="AJ4109" s="30" t="n"/>
      <c r="AK4109" s="30" t="n"/>
      <c r="AL4109" s="30" t="n"/>
      <c r="AM4109" s="30" t="n"/>
      <c r="AN4109" s="30" t="n"/>
      <c r="AO4109" s="30" t="n"/>
    </row>
    <row r="4110">
      <c r="A4110" s="233" t="inlineStr">
        <is>
          <t>05967XXX</t>
        </is>
      </c>
      <c r="B4110" s="135" t="inlineStr">
        <is>
          <t>TAVERNITI</t>
        </is>
      </c>
      <c r="C4110" s="88" t="n">
        <v>65300</v>
      </c>
      <c r="D4110" s="170" t="n"/>
      <c r="E4110" s="170" t="n"/>
      <c r="F4110" s="111" t="n"/>
      <c r="G4110" s="111" t="n"/>
      <c r="H4110" s="235" t="n"/>
      <c r="I4110" s="111" t="n"/>
      <c r="J4110" s="219">
        <f>ROUND((C4110*M4110)/100,0)*100</f>
        <v/>
      </c>
      <c r="K4110" s="170" t="n"/>
      <c r="L4110" s="170" t="n"/>
      <c r="M4110" s="96" t="n">
        <v>1.4</v>
      </c>
      <c r="N4110" s="30" t="n"/>
      <c r="O4110" s="30" t="n"/>
      <c r="P4110" s="170" t="n"/>
      <c r="Q4110" s="30" t="n"/>
      <c r="R4110" s="170" t="n"/>
      <c r="S4110" s="30" t="n"/>
      <c r="T4110" s="170" t="n"/>
      <c r="U4110" s="30" t="n"/>
      <c r="V4110" s="30" t="n"/>
      <c r="W4110" s="30" t="n"/>
      <c r="X4110" s="30" t="n"/>
      <c r="Y4110" s="30" t="n"/>
      <c r="Z4110" s="30" t="n"/>
      <c r="AA4110" s="30" t="n"/>
      <c r="AB4110" s="30" t="n"/>
      <c r="AC4110" s="30" t="n"/>
      <c r="AD4110" s="30" t="n"/>
      <c r="AE4110" s="30" t="n"/>
      <c r="AF4110" s="30" t="n"/>
      <c r="AG4110" s="30" t="n"/>
      <c r="AH4110" s="30" t="n"/>
      <c r="AI4110" s="30" t="n"/>
      <c r="AJ4110" s="30" t="n"/>
      <c r="AK4110" s="30" t="n"/>
      <c r="AL4110" s="30" t="n"/>
      <c r="AM4110" s="30" t="n"/>
      <c r="AN4110" s="30" t="n"/>
      <c r="AO4110" s="30" t="n"/>
    </row>
    <row r="4111">
      <c r="A4111" s="233" t="inlineStr">
        <is>
          <t>05973XXX</t>
        </is>
      </c>
      <c r="B4111" s="135" t="inlineStr">
        <is>
          <t>TAVERNITI</t>
        </is>
      </c>
      <c r="C4111" s="88" t="n">
        <v>61900</v>
      </c>
      <c r="D4111" s="170" t="n"/>
      <c r="E4111" s="170" t="n"/>
      <c r="F4111" s="111" t="n"/>
      <c r="G4111" s="111" t="n"/>
      <c r="H4111" s="235" t="n"/>
      <c r="I4111" s="111" t="n"/>
      <c r="J4111" s="219">
        <f>ROUND((C4111*M4111)/100,0)*100</f>
        <v/>
      </c>
      <c r="K4111" s="170" t="n"/>
      <c r="L4111" s="170" t="n"/>
      <c r="M4111" s="96" t="n">
        <v>1.4</v>
      </c>
      <c r="N4111" s="30" t="n"/>
      <c r="O4111" s="30" t="n"/>
      <c r="P4111" s="170" t="n"/>
      <c r="Q4111" s="30" t="n"/>
      <c r="R4111" s="170" t="n"/>
      <c r="S4111" s="30" t="n"/>
      <c r="T4111" s="170" t="n"/>
      <c r="U4111" s="30" t="n"/>
      <c r="V4111" s="30" t="n"/>
      <c r="W4111" s="30" t="n"/>
      <c r="X4111" s="30" t="n"/>
      <c r="Y4111" s="30" t="n"/>
      <c r="Z4111" s="30" t="n"/>
      <c r="AA4111" s="30" t="n"/>
      <c r="AB4111" s="30" t="n"/>
      <c r="AC4111" s="30" t="n"/>
      <c r="AD4111" s="30" t="n"/>
      <c r="AE4111" s="30" t="n"/>
      <c r="AF4111" s="30" t="n"/>
      <c r="AG4111" s="30" t="n"/>
      <c r="AH4111" s="30" t="n"/>
      <c r="AI4111" s="30" t="n"/>
      <c r="AJ4111" s="30" t="n"/>
      <c r="AK4111" s="30" t="n"/>
      <c r="AL4111" s="30" t="n"/>
      <c r="AM4111" s="30" t="n"/>
      <c r="AN4111" s="30" t="n"/>
      <c r="AO4111" s="30" t="n"/>
    </row>
    <row r="4112">
      <c r="A4112" s="233" t="inlineStr">
        <is>
          <t>05975XXX</t>
        </is>
      </c>
      <c r="B4112" s="135" t="inlineStr">
        <is>
          <t>TAVERNITI</t>
        </is>
      </c>
      <c r="C4112" s="88" t="n">
        <v>69500</v>
      </c>
      <c r="D4112" s="170" t="n"/>
      <c r="E4112" s="170" t="n"/>
      <c r="F4112" s="111" t="n"/>
      <c r="G4112" s="111" t="n"/>
      <c r="H4112" s="235" t="n"/>
      <c r="I4112" s="111" t="n"/>
      <c r="J4112" s="219">
        <f>ROUND((C4112*M4112)/100,0)*100</f>
        <v/>
      </c>
      <c r="K4112" s="170" t="n"/>
      <c r="L4112" s="170" t="n"/>
      <c r="M4112" s="96" t="n">
        <v>1.4</v>
      </c>
      <c r="N4112" s="30" t="n"/>
      <c r="O4112" s="30" t="n"/>
      <c r="P4112" s="170" t="n"/>
      <c r="Q4112" s="30" t="n"/>
      <c r="R4112" s="170" t="n"/>
      <c r="S4112" s="30" t="n"/>
      <c r="T4112" s="170" t="n"/>
      <c r="U4112" s="30" t="n"/>
      <c r="V4112" s="30" t="n"/>
      <c r="W4112" s="30" t="n"/>
      <c r="X4112" s="30" t="n"/>
      <c r="Y4112" s="30" t="n"/>
      <c r="Z4112" s="30" t="n"/>
      <c r="AA4112" s="30" t="n"/>
      <c r="AB4112" s="30" t="n"/>
      <c r="AC4112" s="30" t="n"/>
      <c r="AD4112" s="30" t="n"/>
      <c r="AE4112" s="30" t="n"/>
      <c r="AF4112" s="30" t="n"/>
      <c r="AG4112" s="30" t="n"/>
      <c r="AH4112" s="30" t="n"/>
      <c r="AI4112" s="30" t="n"/>
      <c r="AJ4112" s="30" t="n"/>
      <c r="AK4112" s="30" t="n"/>
      <c r="AL4112" s="30" t="n"/>
      <c r="AM4112" s="30" t="n"/>
      <c r="AN4112" s="30" t="n"/>
      <c r="AO4112" s="30" t="n"/>
    </row>
    <row r="4113">
      <c r="A4113" s="233" t="inlineStr">
        <is>
          <t>06073XXX</t>
        </is>
      </c>
      <c r="B4113" s="135" t="inlineStr">
        <is>
          <t>TAVERNITI</t>
        </is>
      </c>
      <c r="C4113" s="88" t="n">
        <v>62900</v>
      </c>
      <c r="D4113" s="170" t="n"/>
      <c r="E4113" s="170" t="n"/>
      <c r="F4113" s="170" t="n"/>
      <c r="G4113" s="170" t="n"/>
      <c r="H4113" s="234" t="n"/>
      <c r="I4113" s="170" t="n"/>
      <c r="J4113" s="88">
        <f>ROUND((C4113*M4113)/100,0)*100</f>
        <v/>
      </c>
      <c r="K4113" s="170" t="n"/>
      <c r="L4113" s="170" t="n"/>
      <c r="M4113" s="96" t="n">
        <v>1.4</v>
      </c>
      <c r="N4113" s="30" t="n"/>
      <c r="O4113" s="30" t="n"/>
      <c r="P4113" s="170" t="n"/>
      <c r="Q4113" s="30" t="n"/>
      <c r="R4113" s="170" t="n"/>
      <c r="S4113" s="30" t="n"/>
      <c r="T4113" s="170" t="n"/>
      <c r="U4113" s="30" t="n"/>
      <c r="V4113" s="30" t="n"/>
      <c r="W4113" s="30" t="n"/>
      <c r="X4113" s="30" t="n"/>
      <c r="Y4113" s="30" t="n"/>
      <c r="Z4113" s="30" t="n"/>
      <c r="AA4113" s="30" t="n"/>
      <c r="AB4113" s="30" t="n"/>
      <c r="AC4113" s="30" t="n"/>
      <c r="AD4113" s="30" t="n"/>
      <c r="AE4113" s="30" t="n"/>
      <c r="AF4113" s="30" t="n"/>
      <c r="AG4113" s="30" t="n"/>
      <c r="AH4113" s="30" t="n"/>
      <c r="AI4113" s="30" t="n"/>
      <c r="AJ4113" s="30" t="n"/>
      <c r="AK4113" s="30" t="n"/>
      <c r="AL4113" s="30" t="n"/>
      <c r="AM4113" s="30" t="n"/>
      <c r="AN4113" s="30" t="n"/>
      <c r="AO4113" s="30" t="n"/>
    </row>
    <row r="4114">
      <c r="A4114" s="233" t="inlineStr">
        <is>
          <t>06363XXX</t>
        </is>
      </c>
      <c r="B4114" s="135" t="inlineStr">
        <is>
          <t>TAVERNITI</t>
        </is>
      </c>
      <c r="C4114" s="88" t="n">
        <v>67300</v>
      </c>
      <c r="D4114" s="170" t="n"/>
      <c r="E4114" s="170" t="n"/>
      <c r="F4114" s="170" t="n"/>
      <c r="G4114" s="170" t="n"/>
      <c r="H4114" s="234" t="n"/>
      <c r="I4114" s="170" t="n"/>
      <c r="J4114" s="88">
        <f>ROUND((C4114*M4114)/100,0)*100</f>
        <v/>
      </c>
      <c r="K4114" s="170" t="n"/>
      <c r="L4114" s="170" t="n"/>
      <c r="M4114" s="96" t="n">
        <v>1.4</v>
      </c>
      <c r="N4114" s="30" t="n"/>
      <c r="O4114" s="30" t="n"/>
      <c r="P4114" s="170" t="n"/>
      <c r="Q4114" s="30" t="n"/>
      <c r="R4114" s="170" t="n"/>
      <c r="S4114" s="30" t="n"/>
      <c r="T4114" s="170" t="n"/>
      <c r="U4114" s="30" t="n"/>
      <c r="V4114" s="30" t="n"/>
      <c r="W4114" s="30" t="n"/>
      <c r="X4114" s="30" t="n"/>
      <c r="Y4114" s="30" t="n"/>
      <c r="Z4114" s="30" t="n"/>
      <c r="AA4114" s="30" t="n"/>
      <c r="AB4114" s="30" t="n"/>
      <c r="AC4114" s="30" t="n"/>
      <c r="AD4114" s="30" t="n"/>
      <c r="AE4114" s="30" t="n"/>
      <c r="AF4114" s="30" t="n"/>
      <c r="AG4114" s="30" t="n"/>
      <c r="AH4114" s="30" t="n"/>
      <c r="AI4114" s="30" t="n"/>
      <c r="AJ4114" s="30" t="n"/>
      <c r="AK4114" s="30" t="n"/>
      <c r="AL4114" s="30" t="n"/>
      <c r="AM4114" s="30" t="n"/>
      <c r="AN4114" s="30" t="n"/>
      <c r="AO4114" s="30" t="n"/>
    </row>
    <row r="4115">
      <c r="A4115" s="233" t="inlineStr">
        <is>
          <t>06367XXX</t>
        </is>
      </c>
      <c r="B4115" s="135" t="inlineStr">
        <is>
          <t>TAVERNITI</t>
        </is>
      </c>
      <c r="C4115" s="88" t="n">
        <v>53500</v>
      </c>
      <c r="D4115" s="170" t="n"/>
      <c r="E4115" s="170" t="n"/>
      <c r="F4115" s="111" t="n"/>
      <c r="G4115" s="111" t="n"/>
      <c r="H4115" s="235" t="n"/>
      <c r="I4115" s="111" t="n"/>
      <c r="J4115" s="219">
        <f>ROUND((C4115*M4115)/100,0)*100</f>
        <v/>
      </c>
      <c r="K4115" s="170" t="n"/>
      <c r="L4115" s="170" t="n"/>
      <c r="M4115" s="96" t="n">
        <v>1.4</v>
      </c>
      <c r="N4115" s="30" t="n"/>
      <c r="O4115" s="30" t="n"/>
      <c r="P4115" s="170" t="n"/>
      <c r="Q4115" s="30" t="n"/>
      <c r="R4115" s="170" t="n"/>
      <c r="S4115" s="30" t="n"/>
      <c r="T4115" s="170" t="n"/>
      <c r="U4115" s="30" t="n"/>
      <c r="V4115" s="30" t="n"/>
      <c r="W4115" s="30" t="n"/>
      <c r="X4115" s="30" t="n"/>
      <c r="Y4115" s="30" t="n"/>
      <c r="Z4115" s="30" t="n"/>
      <c r="AA4115" s="30" t="n"/>
      <c r="AB4115" s="30" t="n"/>
      <c r="AC4115" s="30" t="n"/>
      <c r="AD4115" s="30" t="n"/>
      <c r="AE4115" s="30" t="n"/>
      <c r="AF4115" s="30" t="n"/>
      <c r="AG4115" s="30" t="n"/>
      <c r="AH4115" s="30" t="n"/>
      <c r="AI4115" s="30" t="n"/>
      <c r="AJ4115" s="30" t="n"/>
      <c r="AK4115" s="30" t="n"/>
      <c r="AL4115" s="30" t="n"/>
      <c r="AM4115" s="30" t="n"/>
      <c r="AN4115" s="30" t="n"/>
      <c r="AO4115" s="30" t="n"/>
    </row>
    <row r="4116">
      <c r="A4116" s="145" t="inlineStr">
        <is>
          <t>8383XXX</t>
        </is>
      </c>
      <c r="B4116" s="246" t="inlineStr">
        <is>
          <t>TAVERNITI</t>
        </is>
      </c>
      <c r="C4116" s="88" t="n">
        <v>63200</v>
      </c>
      <c r="D4116" s="22" t="n"/>
      <c r="E4116" s="22" t="n"/>
      <c r="F4116" s="153" t="n"/>
      <c r="G4116" s="153" t="n"/>
      <c r="H4116" s="230" t="n"/>
      <c r="I4116" s="153" t="n"/>
      <c r="J4116" s="153">
        <f>ROUND((C4116*M4116)/100,0)*100</f>
        <v/>
      </c>
      <c r="K4116" s="219" t="n"/>
      <c r="L4116" s="219" t="n"/>
      <c r="M4116" s="118" t="n">
        <v>1.4</v>
      </c>
      <c r="N4116" s="96" t="n"/>
      <c r="O4116" s="96" t="n"/>
      <c r="P4116" s="117" t="n"/>
      <c r="R4116" s="117" t="n"/>
      <c r="T4116" s="117" t="n"/>
    </row>
    <row r="4117">
      <c r="A4117" s="233" t="inlineStr">
        <is>
          <t>8567XXX</t>
        </is>
      </c>
      <c r="B4117" s="135" t="inlineStr">
        <is>
          <t>TAVERNITI</t>
        </is>
      </c>
      <c r="C4117" s="88" t="n">
        <v>62500</v>
      </c>
      <c r="D4117" s="170" t="n"/>
      <c r="E4117" s="170" t="n"/>
      <c r="F4117" s="111" t="n"/>
      <c r="G4117" s="111" t="n"/>
      <c r="H4117" s="235" t="n"/>
      <c r="I4117" s="111" t="n"/>
      <c r="J4117" s="219">
        <f>ROUND((C4117*M4117)/100,0)*100</f>
        <v/>
      </c>
      <c r="K4117" s="170" t="n"/>
      <c r="L4117" s="170" t="n"/>
      <c r="M4117" s="96" t="n">
        <v>1.4</v>
      </c>
      <c r="N4117" s="30" t="n"/>
      <c r="O4117" s="30" t="n"/>
      <c r="P4117" s="170" t="n"/>
      <c r="Q4117" s="30" t="n"/>
      <c r="R4117" s="170" t="n"/>
      <c r="S4117" s="30" t="n"/>
      <c r="T4117" s="170" t="n"/>
      <c r="U4117" s="30" t="n"/>
      <c r="V4117" s="30" t="n"/>
      <c r="W4117" s="30" t="n"/>
      <c r="X4117" s="30" t="n"/>
      <c r="Y4117" s="30" t="n"/>
      <c r="Z4117" s="30" t="n"/>
      <c r="AA4117" s="30" t="n"/>
      <c r="AB4117" s="30" t="n"/>
      <c r="AC4117" s="30" t="n"/>
      <c r="AD4117" s="30" t="n"/>
      <c r="AE4117" s="30" t="n"/>
      <c r="AF4117" s="30" t="n"/>
      <c r="AG4117" s="30" t="n"/>
      <c r="AH4117" s="30" t="n"/>
      <c r="AI4117" s="30" t="n"/>
      <c r="AJ4117" s="30" t="n"/>
      <c r="AK4117" s="30" t="n"/>
      <c r="AL4117" s="30" t="n"/>
      <c r="AM4117" s="30" t="n"/>
      <c r="AN4117" s="30" t="n"/>
      <c r="AO4117" s="30" t="n"/>
    </row>
    <row r="4118">
      <c r="A4118" s="233" t="inlineStr">
        <is>
          <t>8571XXX</t>
        </is>
      </c>
      <c r="B4118" s="135" t="inlineStr">
        <is>
          <t>TAVERNITI</t>
        </is>
      </c>
      <c r="C4118" s="88" t="n">
        <v>85000</v>
      </c>
      <c r="D4118" s="170" t="n"/>
      <c r="E4118" s="170" t="n"/>
      <c r="F4118" s="111" t="n"/>
      <c r="G4118" s="111" t="n"/>
      <c r="H4118" s="235" t="n"/>
      <c r="I4118" s="111" t="n"/>
      <c r="J4118" s="219">
        <f>ROUND((C4118*M4118)/100,0)*100</f>
        <v/>
      </c>
      <c r="K4118" s="170" t="n"/>
      <c r="L4118" s="170" t="n"/>
      <c r="M4118" s="96" t="n">
        <v>1.4</v>
      </c>
      <c r="N4118" s="30" t="n"/>
      <c r="O4118" s="30" t="n"/>
      <c r="P4118" s="170" t="n"/>
      <c r="Q4118" s="30" t="n"/>
      <c r="R4118" s="170" t="n"/>
      <c r="S4118" s="30" t="n"/>
      <c r="T4118" s="170" t="n"/>
      <c r="U4118" s="30" t="n"/>
      <c r="V4118" s="30" t="n"/>
      <c r="W4118" s="30" t="n"/>
      <c r="X4118" s="30" t="n"/>
      <c r="Y4118" s="30" t="n"/>
      <c r="Z4118" s="30" t="n"/>
      <c r="AA4118" s="30" t="n"/>
      <c r="AB4118" s="30" t="n"/>
      <c r="AC4118" s="30" t="n"/>
      <c r="AD4118" s="30" t="n"/>
      <c r="AE4118" s="30" t="n"/>
      <c r="AF4118" s="30" t="n"/>
      <c r="AG4118" s="30" t="n"/>
      <c r="AH4118" s="30" t="n"/>
      <c r="AI4118" s="30" t="n"/>
      <c r="AJ4118" s="30" t="n"/>
      <c r="AK4118" s="30" t="n"/>
      <c r="AL4118" s="30" t="n"/>
      <c r="AM4118" s="30" t="n"/>
      <c r="AN4118" s="30" t="n"/>
      <c r="AO4118" s="30" t="n"/>
    </row>
    <row r="4119">
      <c r="A4119" s="145" t="inlineStr">
        <is>
          <t>8573XXX</t>
        </is>
      </c>
      <c r="B4119" s="246" t="inlineStr">
        <is>
          <t>TAVERNITI</t>
        </is>
      </c>
      <c r="C4119" s="88" t="n">
        <v>88000</v>
      </c>
      <c r="D4119" s="22" t="n"/>
      <c r="E4119" s="22" t="n"/>
      <c r="F4119" s="153" t="n"/>
      <c r="G4119" s="153" t="n"/>
      <c r="H4119" s="230" t="n"/>
      <c r="I4119" s="153" t="n"/>
      <c r="J4119" s="153">
        <f>ROUND((C4119*M4119)/100,0)*100</f>
        <v/>
      </c>
      <c r="K4119" s="219" t="n"/>
      <c r="L4119" s="219" t="n"/>
      <c r="M4119" s="118" t="n">
        <v>1.4</v>
      </c>
      <c r="N4119" s="96" t="n"/>
      <c r="O4119" s="96" t="n"/>
      <c r="P4119" s="117" t="n"/>
      <c r="R4119" s="117" t="n"/>
      <c r="T4119" s="117" t="n"/>
    </row>
    <row r="4120">
      <c r="A4120" s="145" t="inlineStr">
        <is>
          <t>8575XXX</t>
        </is>
      </c>
      <c r="B4120" s="246" t="inlineStr">
        <is>
          <t>TAVERNITI</t>
        </is>
      </c>
      <c r="C4120" s="88" t="n">
        <v>84000</v>
      </c>
      <c r="D4120" s="22" t="n"/>
      <c r="E4120" s="22" t="n"/>
      <c r="F4120" s="153" t="n"/>
      <c r="G4120" s="153" t="n"/>
      <c r="H4120" s="230" t="n"/>
      <c r="I4120" s="153" t="n"/>
      <c r="J4120" s="153">
        <f>ROUND((C4120*M4120)/100,0)*100</f>
        <v/>
      </c>
      <c r="K4120" s="219" t="n"/>
      <c r="L4120" s="219" t="n"/>
      <c r="M4120" s="118" t="n">
        <v>1.4</v>
      </c>
      <c r="N4120" s="96" t="n"/>
      <c r="O4120" s="96" t="n"/>
      <c r="P4120" s="117" t="n"/>
      <c r="R4120" s="117" t="n"/>
      <c r="T4120" s="117" t="n"/>
    </row>
    <row r="4121">
      <c r="A4121" s="145" t="inlineStr">
        <is>
          <t>8577XXX</t>
        </is>
      </c>
      <c r="B4121" s="246" t="inlineStr">
        <is>
          <t>TAVERNITI</t>
        </is>
      </c>
      <c r="C4121" s="88" t="n">
        <v>75000</v>
      </c>
      <c r="D4121" s="22" t="n"/>
      <c r="E4121" s="22" t="n"/>
      <c r="F4121" s="153" t="n"/>
      <c r="G4121" s="153" t="n"/>
      <c r="H4121" s="230" t="n"/>
      <c r="I4121" s="153" t="n"/>
      <c r="J4121" s="153">
        <f>ROUND((C4121*M4121)/100,0)*100</f>
        <v/>
      </c>
      <c r="K4121" s="219" t="n"/>
      <c r="L4121" s="219" t="n"/>
      <c r="M4121" s="118" t="n">
        <v>1.4</v>
      </c>
      <c r="N4121" s="96" t="n"/>
      <c r="O4121" s="96" t="n"/>
      <c r="P4121" s="117" t="n"/>
      <c r="R4121" s="117" t="n"/>
      <c r="T4121" s="117" t="n"/>
    </row>
    <row r="4122">
      <c r="A4122" s="145" t="inlineStr">
        <is>
          <t>8587XXX</t>
        </is>
      </c>
      <c r="B4122" s="246" t="inlineStr">
        <is>
          <t>TAVERNITI</t>
        </is>
      </c>
      <c r="C4122" s="88" t="n">
        <v>88000</v>
      </c>
      <c r="D4122" s="22" t="n"/>
      <c r="E4122" s="22" t="n"/>
      <c r="F4122" s="153" t="n"/>
      <c r="G4122" s="153" t="n"/>
      <c r="H4122" s="230" t="n"/>
      <c r="I4122" s="153" t="n"/>
      <c r="J4122" s="153">
        <f>ROUND((C4122*M4122)/100,0)*100</f>
        <v/>
      </c>
      <c r="K4122" s="219" t="n"/>
      <c r="L4122" s="219" t="n"/>
      <c r="M4122" s="118" t="n">
        <v>1.4</v>
      </c>
      <c r="N4122" s="96" t="n"/>
      <c r="O4122" s="96" t="n"/>
      <c r="P4122" s="117" t="n"/>
      <c r="R4122" s="117" t="n"/>
      <c r="T4122" s="117" t="n"/>
    </row>
    <row r="4123">
      <c r="A4123" s="145" t="inlineStr">
        <is>
          <t>8589XXX</t>
        </is>
      </c>
      <c r="B4123" s="246" t="inlineStr">
        <is>
          <t>TAVERNITI</t>
        </is>
      </c>
      <c r="C4123" s="88" t="n">
        <v>94000</v>
      </c>
      <c r="D4123" s="22" t="n"/>
      <c r="E4123" s="22" t="n"/>
      <c r="F4123" s="153" t="n"/>
      <c r="G4123" s="153" t="n"/>
      <c r="H4123" s="230" t="n"/>
      <c r="I4123" s="153" t="n"/>
      <c r="J4123" s="153">
        <f>ROUND((C4123*M4123)/100,0)*100</f>
        <v/>
      </c>
      <c r="K4123" s="219" t="n"/>
      <c r="L4123" s="219" t="n"/>
      <c r="M4123" s="118" t="n">
        <v>1.4</v>
      </c>
      <c r="N4123" s="96" t="n"/>
      <c r="O4123" s="96" t="n"/>
      <c r="P4123" s="117" t="n"/>
      <c r="R4123" s="117" t="n"/>
      <c r="T4123" s="117" t="n"/>
    </row>
    <row r="4124">
      <c r="A4124" s="145" t="inlineStr">
        <is>
          <t>8595XXX</t>
        </is>
      </c>
      <c r="B4124" s="246" t="inlineStr">
        <is>
          <t>TAVERNITI</t>
        </is>
      </c>
      <c r="C4124" s="88" t="n">
        <v>88000</v>
      </c>
      <c r="D4124" s="22" t="n"/>
      <c r="E4124" s="22" t="n"/>
      <c r="F4124" s="153" t="n"/>
      <c r="G4124" s="153" t="n"/>
      <c r="H4124" s="230" t="n"/>
      <c r="I4124" s="153" t="n"/>
      <c r="J4124" s="153">
        <f>ROUND((C4124*M4124)/100,0)*100</f>
        <v/>
      </c>
      <c r="K4124" s="219" t="n"/>
      <c r="L4124" s="219" t="n"/>
      <c r="M4124" s="118" t="n">
        <v>1.4</v>
      </c>
      <c r="N4124" s="96" t="n"/>
      <c r="O4124" s="96" t="n"/>
      <c r="P4124" s="117" t="n"/>
      <c r="R4124" s="117" t="n"/>
      <c r="T4124" s="117" t="n"/>
    </row>
    <row r="4125">
      <c r="A4125" s="145" t="inlineStr">
        <is>
          <t>8731XXX</t>
        </is>
      </c>
      <c r="B4125" s="246" t="inlineStr">
        <is>
          <t>TAVERNITI</t>
        </is>
      </c>
      <c r="C4125" s="88" t="n">
        <v>115000</v>
      </c>
      <c r="D4125" s="22" t="n"/>
      <c r="E4125" s="22" t="n"/>
      <c r="F4125" s="153" t="n"/>
      <c r="G4125" s="153" t="n"/>
      <c r="H4125" s="230" t="n"/>
      <c r="I4125" s="153" t="n"/>
      <c r="J4125" s="153">
        <f>ROUND((C4125*M4125)/100,0)*100</f>
        <v/>
      </c>
      <c r="K4125" s="219" t="n"/>
      <c r="L4125" s="219" t="n"/>
      <c r="M4125" s="118" t="n">
        <v>1.4</v>
      </c>
      <c r="N4125" s="96" t="n"/>
      <c r="O4125" s="96" t="n"/>
      <c r="P4125" s="117" t="n"/>
      <c r="R4125" s="117" t="n"/>
      <c r="T4125" s="117" t="n"/>
    </row>
    <row r="4126">
      <c r="A4126" s="145" t="inlineStr">
        <is>
          <t>14197XXX</t>
        </is>
      </c>
      <c r="B4126" s="246" t="inlineStr">
        <is>
          <t>TAVERNITI</t>
        </is>
      </c>
      <c r="C4126" s="88" t="n">
        <v>57900</v>
      </c>
      <c r="D4126" s="22" t="n"/>
      <c r="E4126" s="22" t="n"/>
      <c r="F4126" s="153" t="n"/>
      <c r="G4126" s="153" t="n"/>
      <c r="H4126" s="230" t="n"/>
      <c r="I4126" s="153" t="n"/>
      <c r="J4126" s="153">
        <f>ROUND((C4126*M4126)/100,0)*100</f>
        <v/>
      </c>
      <c r="K4126" s="219" t="n"/>
      <c r="L4126" s="219" t="n"/>
      <c r="M4126" s="118" t="n">
        <v>1.4</v>
      </c>
      <c r="N4126" s="96" t="n"/>
      <c r="O4126" s="96" t="n"/>
      <c r="P4126" s="117" t="n"/>
      <c r="R4126" s="117" t="n"/>
      <c r="T4126" s="117" t="n"/>
    </row>
    <row r="4127">
      <c r="A4127" s="145" t="inlineStr">
        <is>
          <t>14247XXX</t>
        </is>
      </c>
      <c r="B4127" s="246" t="inlineStr">
        <is>
          <t>TAVERNITI</t>
        </is>
      </c>
      <c r="C4127" s="88" t="n">
        <v>54100</v>
      </c>
      <c r="D4127" s="22" t="n"/>
      <c r="E4127" s="22" t="n"/>
      <c r="F4127" s="153" t="n"/>
      <c r="G4127" s="153" t="n"/>
      <c r="H4127" s="230" t="n"/>
      <c r="I4127" s="153" t="n"/>
      <c r="J4127" s="153">
        <f>ROUND((C4127*M4127)/100,0)*100</f>
        <v/>
      </c>
      <c r="K4127" s="219" t="n"/>
      <c r="L4127" s="219" t="n"/>
      <c r="M4127" s="118" t="n">
        <v>1.4</v>
      </c>
      <c r="N4127" s="96" t="n"/>
      <c r="O4127" s="96" t="n"/>
      <c r="P4127" s="117" t="n"/>
      <c r="R4127" s="117" t="n"/>
      <c r="T4127" s="117" t="n"/>
    </row>
    <row r="4128">
      <c r="A4128" s="145" t="inlineStr">
        <is>
          <t>14249XXX</t>
        </is>
      </c>
      <c r="B4128" s="246" t="inlineStr">
        <is>
          <t>TAVERNITI</t>
        </is>
      </c>
      <c r="C4128" s="88" t="n">
        <v>64800</v>
      </c>
      <c r="D4128" s="22" t="n"/>
      <c r="E4128" s="22" t="n"/>
      <c r="F4128" s="153" t="n"/>
      <c r="G4128" s="153" t="n"/>
      <c r="H4128" s="230" t="n"/>
      <c r="I4128" s="153" t="n"/>
      <c r="J4128" s="153">
        <f>ROUND((C4128*M4128)/100,0)*100</f>
        <v/>
      </c>
      <c r="K4128" s="219" t="n"/>
      <c r="L4128" s="219" t="n"/>
      <c r="M4128" s="118" t="n">
        <v>1.4</v>
      </c>
      <c r="N4128" s="96" t="n"/>
      <c r="O4128" s="96" t="n"/>
      <c r="P4128" s="117" t="n"/>
      <c r="R4128" s="117" t="n"/>
      <c r="T4128" s="117" t="n"/>
    </row>
    <row r="4129">
      <c r="A4129" s="145" t="inlineStr">
        <is>
          <t>14295XXX</t>
        </is>
      </c>
      <c r="B4129" s="246" t="inlineStr">
        <is>
          <t>TAVERNITI</t>
        </is>
      </c>
      <c r="C4129" s="88" t="n">
        <v>30500</v>
      </c>
      <c r="D4129" s="22" t="n"/>
      <c r="E4129" s="22" t="n"/>
      <c r="F4129" s="153" t="n"/>
      <c r="G4129" s="153" t="n"/>
      <c r="H4129" s="230" t="n"/>
      <c r="I4129" s="153" t="n"/>
      <c r="J4129" s="153">
        <f>ROUND((C4129*M4129)/100,0)*100</f>
        <v/>
      </c>
      <c r="K4129" s="219" t="n"/>
      <c r="L4129" s="219" t="n"/>
      <c r="M4129" s="118" t="n">
        <v>1.4</v>
      </c>
      <c r="N4129" s="96" t="n"/>
      <c r="O4129" s="96" t="n"/>
      <c r="P4129" s="117" t="n"/>
      <c r="R4129" s="117" t="n"/>
      <c r="T4129" s="117" t="n"/>
    </row>
    <row r="4130">
      <c r="A4130" s="145" t="inlineStr">
        <is>
          <t>14297XXX</t>
        </is>
      </c>
      <c r="B4130" s="246" t="inlineStr">
        <is>
          <t>TAVERNITI</t>
        </is>
      </c>
      <c r="C4130" s="88" t="n">
        <v>48300</v>
      </c>
      <c r="D4130" s="22" t="n"/>
      <c r="E4130" s="22" t="n"/>
      <c r="F4130" s="153" t="n"/>
      <c r="G4130" s="153" t="n"/>
      <c r="H4130" s="230" t="n"/>
      <c r="I4130" s="153" t="n"/>
      <c r="J4130" s="153">
        <f>ROUND((C4130*M4130)/100,0)*100</f>
        <v/>
      </c>
      <c r="K4130" s="219" t="n"/>
      <c r="L4130" s="219" t="n"/>
      <c r="M4130" s="118" t="n">
        <v>1.4</v>
      </c>
      <c r="N4130" s="96" t="n"/>
      <c r="O4130" s="96" t="n"/>
      <c r="P4130" s="117" t="n"/>
      <c r="R4130" s="117" t="n"/>
      <c r="T4130" s="117" t="n"/>
    </row>
    <row r="4131">
      <c r="A4131" s="145" t="inlineStr">
        <is>
          <t>14643XXX</t>
        </is>
      </c>
      <c r="B4131" s="246" t="inlineStr">
        <is>
          <t>TAVERNITI</t>
        </is>
      </c>
      <c r="C4131" s="88" t="n">
        <v>43700</v>
      </c>
      <c r="D4131" s="22" t="n"/>
      <c r="E4131" s="22" t="n"/>
      <c r="F4131" s="153" t="n"/>
      <c r="G4131" s="153" t="n"/>
      <c r="H4131" s="230" t="n"/>
      <c r="I4131" s="153" t="n"/>
      <c r="J4131" s="153">
        <f>ROUND((C4131*M4131)/100,0)*100</f>
        <v/>
      </c>
      <c r="K4131" s="219" t="n"/>
      <c r="L4131" s="219" t="n"/>
      <c r="M4131" s="118" t="n">
        <v>1.4</v>
      </c>
      <c r="N4131" s="96" t="n"/>
      <c r="O4131" s="96" t="n"/>
      <c r="P4131" s="117" t="n"/>
      <c r="R4131" s="117" t="n"/>
      <c r="T4131" s="117" t="n"/>
    </row>
    <row r="4132">
      <c r="A4132" s="145" t="inlineStr">
        <is>
          <t>14681XXX</t>
        </is>
      </c>
      <c r="B4132" s="246" t="inlineStr">
        <is>
          <t>TAVERNITI</t>
        </is>
      </c>
      <c r="C4132" s="88" t="n">
        <v>74300</v>
      </c>
      <c r="D4132" s="22" t="n"/>
      <c r="E4132" s="22" t="n"/>
      <c r="F4132" s="153" t="n"/>
      <c r="G4132" s="153" t="n"/>
      <c r="H4132" s="230" t="n"/>
      <c r="I4132" s="153" t="n"/>
      <c r="J4132" s="153">
        <f>ROUND((C4132*M4132)/100,0)*100</f>
        <v/>
      </c>
      <c r="K4132" s="219" t="n"/>
      <c r="L4132" s="219" t="n"/>
      <c r="M4132" s="118" t="n">
        <v>1.4</v>
      </c>
      <c r="N4132" s="96" t="n"/>
      <c r="O4132" s="96" t="n"/>
      <c r="P4132" s="117" t="n"/>
      <c r="R4132" s="117" t="n"/>
      <c r="T4132" s="117" t="n"/>
    </row>
    <row r="4133">
      <c r="A4133" s="145" t="inlineStr">
        <is>
          <t>14689XXX</t>
        </is>
      </c>
      <c r="B4133" s="246" t="inlineStr">
        <is>
          <t>TAVERNITI</t>
        </is>
      </c>
      <c r="C4133" s="88" t="n">
        <v>51700</v>
      </c>
      <c r="D4133" s="22" t="n"/>
      <c r="E4133" s="22" t="n"/>
      <c r="F4133" s="153" t="n"/>
      <c r="G4133" s="153" t="n"/>
      <c r="H4133" s="230" t="n"/>
      <c r="I4133" s="153" t="n"/>
      <c r="J4133" s="153">
        <f>ROUND((C4133*M4133)/100,0)*100</f>
        <v/>
      </c>
      <c r="K4133" s="219" t="n"/>
      <c r="L4133" s="219" t="n"/>
      <c r="M4133" s="118" t="n">
        <v>1.4</v>
      </c>
      <c r="N4133" s="96" t="n"/>
      <c r="O4133" s="96" t="n"/>
      <c r="P4133" s="117" t="n"/>
      <c r="R4133" s="117" t="n"/>
      <c r="T4133" s="117" t="n"/>
    </row>
    <row r="4134">
      <c r="A4134" s="145" t="inlineStr">
        <is>
          <t>14699XXX</t>
        </is>
      </c>
      <c r="B4134" s="246" t="inlineStr">
        <is>
          <t>TAVERNITI</t>
        </is>
      </c>
      <c r="C4134" s="88" t="n">
        <v>78600</v>
      </c>
      <c r="D4134" s="22" t="n"/>
      <c r="E4134" s="22" t="n"/>
      <c r="F4134" s="153" t="n"/>
      <c r="G4134" s="153" t="n"/>
      <c r="H4134" s="230" t="n"/>
      <c r="I4134" s="153" t="n"/>
      <c r="J4134" s="153">
        <f>ROUND((C4134*M4134)/100,0)*100</f>
        <v/>
      </c>
      <c r="K4134" s="219" t="n"/>
      <c r="L4134" s="219" t="n"/>
      <c r="M4134" s="118" t="n">
        <v>1.4</v>
      </c>
      <c r="N4134" s="96" t="n"/>
      <c r="O4134" s="96" t="n"/>
      <c r="P4134" s="117" t="n"/>
      <c r="R4134" s="117" t="n"/>
      <c r="T4134" s="117" t="n"/>
    </row>
    <row r="4135">
      <c r="A4135" s="145" t="inlineStr">
        <is>
          <t>14727XXX</t>
        </is>
      </c>
      <c r="B4135" s="246" t="inlineStr">
        <is>
          <t>TAVERNITI</t>
        </is>
      </c>
      <c r="C4135" s="88" t="n">
        <v>50400</v>
      </c>
      <c r="D4135" s="22" t="n"/>
      <c r="E4135" s="22" t="n"/>
      <c r="F4135" s="153" t="n"/>
      <c r="G4135" s="153" t="n"/>
      <c r="H4135" s="230" t="n"/>
      <c r="I4135" s="153" t="n"/>
      <c r="J4135" s="153">
        <f>ROUND((C4135*M4135)/100,0)*100</f>
        <v/>
      </c>
      <c r="K4135" s="219" t="n"/>
      <c r="L4135" s="219" t="n"/>
      <c r="M4135" s="118" t="n">
        <v>1.4</v>
      </c>
      <c r="N4135" s="96" t="n"/>
      <c r="O4135" s="96" t="n"/>
      <c r="P4135" s="117" t="n"/>
      <c r="R4135" s="117" t="n"/>
      <c r="T4135" s="117" t="n"/>
    </row>
    <row r="4136">
      <c r="A4136" s="145" t="inlineStr">
        <is>
          <t>19839</t>
        </is>
      </c>
      <c r="B4136" s="246" t="inlineStr">
        <is>
          <t>TAVERNITI</t>
        </is>
      </c>
      <c r="C4136" s="88" t="n">
        <v>56400</v>
      </c>
      <c r="D4136" s="88" t="n"/>
      <c r="E4136" s="88" t="n"/>
      <c r="F4136" s="153" t="n"/>
      <c r="G4136" s="153" t="n"/>
      <c r="H4136" s="230" t="n"/>
      <c r="I4136" s="153" t="n"/>
      <c r="J4136" s="153">
        <f>ROUND((C4136*M4136)/100,0)*100</f>
        <v/>
      </c>
      <c r="K4136" s="219" t="n"/>
      <c r="L4136" s="219" t="n"/>
      <c r="M4136" s="118" t="n">
        <v>1.4</v>
      </c>
      <c r="N4136" s="96" t="n"/>
      <c r="O4136" s="96" t="n"/>
      <c r="P4136" s="117" t="n"/>
      <c r="R4136" s="117" t="n"/>
      <c r="T4136" s="117" t="n"/>
    </row>
    <row r="4137">
      <c r="A4137" s="145" t="inlineStr">
        <is>
          <t>19883</t>
        </is>
      </c>
      <c r="B4137" s="246" t="inlineStr">
        <is>
          <t>TAVERNITI</t>
        </is>
      </c>
      <c r="C4137" s="88" t="n">
        <v>65100</v>
      </c>
      <c r="D4137" s="22" t="n"/>
      <c r="E4137" s="22" t="n"/>
      <c r="F4137" s="153" t="n"/>
      <c r="G4137" s="153" t="n"/>
      <c r="H4137" s="230" t="n"/>
      <c r="I4137" s="153" t="n"/>
      <c r="J4137" s="153">
        <f>ROUND((C4137*M4137)/100,0)*100</f>
        <v/>
      </c>
      <c r="K4137" s="219" t="n"/>
      <c r="L4137" s="219" t="n"/>
      <c r="M4137" s="118" t="n">
        <v>1.4</v>
      </c>
      <c r="N4137" s="96" t="n"/>
      <c r="O4137" s="96" t="n"/>
      <c r="P4137" s="117" t="n"/>
      <c r="R4137" s="117" t="n"/>
      <c r="T4137" s="117" t="n"/>
    </row>
    <row r="4138">
      <c r="A4138" s="145" t="inlineStr">
        <is>
          <t>19893</t>
        </is>
      </c>
      <c r="B4138" s="246" t="inlineStr">
        <is>
          <t>TAVERNITI</t>
        </is>
      </c>
      <c r="C4138" s="88" t="n">
        <v>67500</v>
      </c>
      <c r="D4138" s="22" t="n"/>
      <c r="E4138" s="22" t="n"/>
      <c r="F4138" s="153" t="n"/>
      <c r="G4138" s="153" t="n"/>
      <c r="H4138" s="230" t="n"/>
      <c r="I4138" s="153" t="n"/>
      <c r="J4138" s="153">
        <f>ROUND((C4138*M4138)/100,0)*100</f>
        <v/>
      </c>
      <c r="K4138" s="219" t="n"/>
      <c r="L4138" s="219" t="n"/>
      <c r="M4138" s="118" t="n">
        <v>1.4</v>
      </c>
      <c r="N4138" s="96" t="n"/>
      <c r="O4138" s="96" t="n"/>
      <c r="P4138" s="117" t="n"/>
      <c r="R4138" s="117" t="n"/>
      <c r="T4138" s="117" t="n"/>
    </row>
    <row r="4139">
      <c r="A4139" s="145" t="inlineStr">
        <is>
          <t>19933</t>
        </is>
      </c>
      <c r="B4139" s="246" t="inlineStr">
        <is>
          <t>TAVERNITI</t>
        </is>
      </c>
      <c r="C4139" s="88" t="n">
        <v>50800</v>
      </c>
      <c r="D4139" s="22" t="n"/>
      <c r="E4139" s="22" t="n"/>
      <c r="F4139" s="153" t="n"/>
      <c r="G4139" s="153" t="n"/>
      <c r="H4139" s="230" t="n"/>
      <c r="I4139" s="153" t="n"/>
      <c r="J4139" s="153">
        <f>ROUND((C4139*M4139)/100,0)*100</f>
        <v/>
      </c>
      <c r="K4139" s="219" t="n"/>
      <c r="L4139" s="219" t="n"/>
      <c r="M4139" s="118" t="n">
        <v>1.4</v>
      </c>
      <c r="N4139" s="96" t="n"/>
      <c r="O4139" s="96" t="n"/>
      <c r="P4139" s="117" t="n"/>
      <c r="R4139" s="117" t="n"/>
      <c r="T4139" s="117" t="n"/>
    </row>
    <row r="4140" ht="14.25" customHeight="1" s="253">
      <c r="A4140" s="145" t="inlineStr">
        <is>
          <t>20103XXX</t>
        </is>
      </c>
      <c r="B4140" s="246" t="inlineStr">
        <is>
          <t>TAVERNITI</t>
        </is>
      </c>
      <c r="C4140" s="88" t="n">
        <v>68900</v>
      </c>
      <c r="D4140" s="22" t="n"/>
      <c r="E4140" s="22" t="n"/>
      <c r="F4140" s="153" t="n"/>
      <c r="G4140" s="153" t="n"/>
      <c r="H4140" s="230" t="n"/>
      <c r="I4140" s="153" t="n"/>
      <c r="J4140" s="153">
        <f>ROUND((C4140*M4140)/100,0)*100</f>
        <v/>
      </c>
      <c r="K4140" s="219" t="n"/>
      <c r="L4140" s="219" t="n"/>
      <c r="M4140" s="118" t="n">
        <v>1.4</v>
      </c>
      <c r="N4140" s="96" t="n"/>
      <c r="O4140" s="96" t="n"/>
      <c r="P4140" s="117" t="n"/>
      <c r="R4140" s="117" t="n"/>
      <c r="T4140" s="117" t="n"/>
    </row>
    <row r="4141" ht="14.25" customHeight="1" s="253">
      <c r="A4141" s="145" t="inlineStr">
        <is>
          <t>28751</t>
        </is>
      </c>
      <c r="B4141" s="246" t="inlineStr">
        <is>
          <t>BUZO</t>
        </is>
      </c>
      <c r="C4141" s="88" t="n">
        <v>26400</v>
      </c>
      <c r="D4141" s="22" t="n"/>
      <c r="E4141" s="22" t="n"/>
      <c r="F4141" s="153" t="n"/>
      <c r="G4141" s="153" t="n"/>
      <c r="H4141" s="230" t="n"/>
      <c r="I4141" s="153" t="n"/>
      <c r="J4141" s="153">
        <f>ROUND((C4141*M4141)/100,0)*100</f>
        <v/>
      </c>
      <c r="K4141" s="219" t="n"/>
      <c r="L4141" s="219" t="n"/>
      <c r="M4141" s="118" t="n">
        <v>1.4</v>
      </c>
      <c r="N4141" s="96" t="n"/>
      <c r="O4141" s="96" t="n"/>
      <c r="P4141" s="117" t="n"/>
      <c r="R4141" s="117" t="n"/>
      <c r="T4141" s="117" t="n"/>
    </row>
    <row r="4142" ht="14.25" customHeight="1" s="253">
      <c r="A4142" s="145" t="inlineStr">
        <is>
          <t>28751</t>
        </is>
      </c>
      <c r="B4142" s="246" t="inlineStr">
        <is>
          <t>BUZO C CAPUCHA</t>
        </is>
      </c>
      <c r="C4142" s="88" t="n">
        <v>35900</v>
      </c>
      <c r="D4142" s="22" t="n"/>
      <c r="E4142" s="22" t="n"/>
      <c r="F4142" s="153" t="n"/>
      <c r="G4142" s="153" t="n"/>
      <c r="H4142" s="230" t="n"/>
      <c r="I4142" s="153" t="n"/>
      <c r="J4142" s="153">
        <f>ROUND((C4142*M4142)/100,0)*100</f>
        <v/>
      </c>
      <c r="K4142" s="219" t="n"/>
      <c r="L4142" s="219" t="n"/>
      <c r="M4142" s="118" t="n">
        <v>1.4</v>
      </c>
      <c r="N4142" s="96" t="n"/>
      <c r="O4142" s="96" t="n"/>
      <c r="P4142" s="117" t="n"/>
      <c r="R4142" s="117" t="n"/>
      <c r="T4142" s="117" t="n"/>
    </row>
    <row r="4143" ht="14.25" customHeight="1" s="253">
      <c r="A4143" s="145" t="inlineStr">
        <is>
          <t>28752</t>
        </is>
      </c>
      <c r="B4143" s="246" t="inlineStr">
        <is>
          <t>BUZO C CAPUCHA</t>
        </is>
      </c>
      <c r="C4143" s="88" t="n">
        <v>54700</v>
      </c>
      <c r="D4143" s="22" t="n"/>
      <c r="E4143" s="22" t="n"/>
      <c r="F4143" s="153" t="n"/>
      <c r="G4143" s="153" t="n"/>
      <c r="H4143" s="230" t="n"/>
      <c r="I4143" s="153" t="n"/>
      <c r="J4143" s="153">
        <f>ROUND((C4143*M4143)/100,0)*100</f>
        <v/>
      </c>
      <c r="K4143" s="219" t="n"/>
      <c r="L4143" s="219" t="n"/>
      <c r="M4143" s="118" t="n">
        <v>1.4</v>
      </c>
      <c r="N4143" s="96" t="n"/>
      <c r="O4143" s="96" t="n"/>
      <c r="P4143" s="117" t="n"/>
      <c r="R4143" s="117" t="n"/>
      <c r="T4143" s="117" t="n"/>
    </row>
    <row r="4144" ht="14.25" customHeight="1" s="253">
      <c r="A4144" s="145" t="inlineStr">
        <is>
          <t>13531</t>
        </is>
      </c>
      <c r="B4144" s="246" t="inlineStr">
        <is>
          <t>BUZO CUADROS</t>
        </is>
      </c>
      <c r="C4144" s="88" t="n">
        <v>27100</v>
      </c>
      <c r="D4144" s="22" t="n"/>
      <c r="E4144" s="22" t="n"/>
      <c r="F4144" s="153" t="n"/>
      <c r="G4144" s="153" t="n"/>
      <c r="H4144" s="230" t="n"/>
      <c r="I4144" s="153" t="n"/>
      <c r="J4144" s="153">
        <f>ROUND((C4144*M4144)/100,0)*100</f>
        <v/>
      </c>
      <c r="K4144" s="219" t="n"/>
      <c r="L4144" s="219" t="n"/>
      <c r="M4144" s="118" t="n">
        <v>1.4</v>
      </c>
      <c r="N4144" s="96" t="n"/>
      <c r="O4144" s="96" t="n"/>
      <c r="P4144" s="117" t="n"/>
      <c r="R4144" s="117" t="n"/>
      <c r="T4144" s="117" t="n"/>
    </row>
    <row r="4145" ht="14.25" customHeight="1" s="253">
      <c r="A4145" s="145" t="n"/>
      <c r="B4145" s="246" t="n"/>
      <c r="C4145" s="88" t="n"/>
      <c r="D4145" s="22" t="n"/>
      <c r="E4145" s="22" t="n"/>
      <c r="F4145" s="153" t="n"/>
      <c r="G4145" s="153" t="n"/>
      <c r="H4145" s="153" t="n"/>
      <c r="I4145" s="153" t="n"/>
      <c r="J4145" s="153" t="n"/>
      <c r="K4145" s="219" t="n"/>
      <c r="L4145" s="219" t="n"/>
      <c r="M4145" s="219" t="n"/>
      <c r="P4145" s="117" t="n"/>
      <c r="R4145" s="117" t="n"/>
      <c r="T4145" s="117" t="n"/>
    </row>
    <row r="4146">
      <c r="A4146" s="236" t="n"/>
      <c r="B4146" s="237" t="inlineStr">
        <is>
          <t>CINTOS DAMA</t>
        </is>
      </c>
      <c r="C4146" s="88" t="n"/>
      <c r="D4146" s="88" t="n"/>
      <c r="E4146" s="88" t="n"/>
      <c r="F4146" s="88" t="n"/>
      <c r="G4146" s="88" t="n"/>
      <c r="H4146" s="88" t="n"/>
      <c r="I4146" s="88" t="n"/>
      <c r="J4146" s="88" t="n"/>
      <c r="K4146" s="88" t="n"/>
      <c r="L4146" s="88" t="n"/>
      <c r="M4146" s="88" t="n"/>
      <c r="N4146" s="30" t="n"/>
      <c r="O4146" s="30" t="n"/>
      <c r="P4146" s="170" t="n"/>
      <c r="Q4146" s="30" t="n"/>
      <c r="R4146" s="170" t="n"/>
      <c r="S4146" s="30" t="n"/>
      <c r="T4146" s="170" t="n"/>
      <c r="U4146" s="30" t="n"/>
      <c r="V4146" s="30" t="n"/>
      <c r="W4146" s="30" t="n"/>
      <c r="X4146" s="30" t="n"/>
      <c r="Y4146" s="30" t="n"/>
      <c r="Z4146" s="30" t="n"/>
      <c r="AA4146" s="30" t="n"/>
      <c r="AB4146" s="30" t="n"/>
      <c r="AC4146" s="30" t="n"/>
      <c r="AD4146" s="30" t="n"/>
      <c r="AE4146" s="30" t="n"/>
      <c r="AF4146" s="30" t="n"/>
      <c r="AG4146" s="30" t="n"/>
      <c r="AH4146" s="30" t="n"/>
      <c r="AI4146" s="30" t="n"/>
      <c r="AJ4146" s="30" t="n"/>
      <c r="AK4146" s="30" t="n"/>
      <c r="AL4146" s="30" t="n"/>
      <c r="AM4146" s="30" t="n"/>
      <c r="AN4146" s="30" t="n"/>
    </row>
    <row r="4147">
      <c r="A4147" s="145" t="inlineStr">
        <is>
          <t>89601</t>
        </is>
      </c>
      <c r="B4147" s="246" t="inlineStr">
        <is>
          <t>CINTO 3 PIEZAS</t>
        </is>
      </c>
      <c r="C4147" s="153" t="n">
        <v>1600</v>
      </c>
      <c r="D4147" s="153" t="n"/>
      <c r="E4147" s="153" t="n"/>
      <c r="F4147" s="153" t="n"/>
      <c r="G4147" s="153" t="n"/>
      <c r="H4147" s="153" t="n"/>
      <c r="I4147" s="153" t="n"/>
      <c r="J4147" s="153">
        <f>ROUND((C4147*M4147)/100,0)*100</f>
        <v/>
      </c>
      <c r="K4147" s="219" t="n"/>
      <c r="L4147" s="219" t="n"/>
      <c r="M4147" s="118" t="n">
        <v>1.1</v>
      </c>
      <c r="P4147" s="117" t="n"/>
      <c r="R4147" s="117" t="n"/>
      <c r="T4147" s="117" t="n"/>
    </row>
    <row r="4148">
      <c r="A4148" s="145" t="inlineStr">
        <is>
          <t>89602</t>
        </is>
      </c>
      <c r="B4148" s="246" t="inlineStr">
        <is>
          <t>CINTO NEGRO</t>
        </is>
      </c>
      <c r="C4148" s="153" t="n">
        <v>1200</v>
      </c>
      <c r="D4148" s="153" t="n"/>
      <c r="E4148" s="153" t="n"/>
      <c r="F4148" s="153" t="n"/>
      <c r="G4148" s="153" t="n"/>
      <c r="H4148" s="153" t="n"/>
      <c r="I4148" s="153" t="n"/>
      <c r="J4148" s="153">
        <f>ROUND((C4148*M4148)/100,0)*100</f>
        <v/>
      </c>
      <c r="K4148" s="219" t="n"/>
      <c r="L4148" s="219" t="n"/>
      <c r="M4148" s="118" t="n">
        <v>1.1</v>
      </c>
      <c r="P4148" s="117" t="n"/>
      <c r="R4148" s="117" t="n"/>
      <c r="T4148" s="117" t="n"/>
    </row>
    <row r="4149">
      <c r="A4149" s="145" t="n"/>
      <c r="B4149" s="246" t="n"/>
      <c r="C4149" s="153" t="n"/>
      <c r="D4149" s="153" t="n"/>
      <c r="E4149" s="153" t="n"/>
      <c r="F4149" s="153" t="n"/>
      <c r="G4149" s="153" t="n"/>
      <c r="H4149" s="153" t="n"/>
      <c r="I4149" s="153" t="n"/>
      <c r="J4149" s="153" t="n"/>
      <c r="K4149" s="219" t="n"/>
      <c r="L4149" s="219" t="n"/>
      <c r="M4149" s="219" t="n"/>
      <c r="P4149" s="117" t="n"/>
      <c r="R4149" s="117" t="n"/>
      <c r="T4149" s="117" t="n"/>
    </row>
    <row r="4150">
      <c r="A4150" s="134" t="n"/>
      <c r="B4150" s="200" t="inlineStr">
        <is>
          <t>CHOMBAS DAMA</t>
        </is>
      </c>
      <c r="C4150" s="202" t="inlineStr">
        <is>
          <t>1 AL 4</t>
        </is>
      </c>
      <c r="D4150" s="202" t="n"/>
      <c r="E4150" s="202" t="n">
        <v>6</v>
      </c>
      <c r="F4150" s="202" t="n">
        <v>7</v>
      </c>
      <c r="G4150" s="202" t="n">
        <v>8</v>
      </c>
      <c r="H4150" s="153" t="n"/>
      <c r="I4150" s="134" t="inlineStr">
        <is>
          <t>10/24</t>
        </is>
      </c>
      <c r="J4150" s="153" t="n"/>
      <c r="K4150" s="219" t="n"/>
      <c r="L4150" s="219" t="n"/>
      <c r="M4150" s="219" t="n"/>
      <c r="P4150" s="117" t="n"/>
      <c r="R4150" s="117" t="n"/>
      <c r="T4150" s="117" t="n"/>
    </row>
    <row r="4151">
      <c r="A4151" s="134" t="inlineStr">
        <is>
          <t>0XXX</t>
        </is>
      </c>
      <c r="B4151" s="246" t="inlineStr">
        <is>
          <t>TAVERNITI DAMA</t>
        </is>
      </c>
      <c r="C4151" s="153" t="n">
        <v>34300</v>
      </c>
      <c r="D4151" s="153" t="n"/>
      <c r="E4151" s="153" t="n"/>
      <c r="F4151" s="153" t="n"/>
      <c r="G4151" s="153" t="n"/>
      <c r="H4151" s="153" t="n"/>
      <c r="I4151" s="153" t="n"/>
      <c r="J4151" s="153" t="n"/>
      <c r="K4151" s="219" t="n"/>
      <c r="L4151" s="219">
        <f>ROUND((M4151*C4151)/100,0)*100</f>
        <v/>
      </c>
      <c r="M4151" s="118" t="n">
        <v>1.3</v>
      </c>
      <c r="P4151" s="117" t="n"/>
      <c r="R4151" s="117" t="n"/>
      <c r="T4151" s="117" t="n"/>
    </row>
    <row r="4152">
      <c r="A4152" s="89" t="inlineStr">
        <is>
          <t>04871XXX</t>
        </is>
      </c>
      <c r="B4152" s="135" t="inlineStr">
        <is>
          <t>TAVERNITI DAMA</t>
        </is>
      </c>
      <c r="C4152" s="219" t="n">
        <v>48900</v>
      </c>
      <c r="D4152" s="111" t="n"/>
      <c r="E4152" s="111" t="n"/>
      <c r="F4152" s="111" t="n"/>
      <c r="G4152" s="111" t="n"/>
      <c r="H4152" s="111" t="n"/>
      <c r="I4152" s="111" t="n"/>
      <c r="J4152" s="111" t="n"/>
      <c r="K4152" s="170" t="n"/>
      <c r="L4152" s="170">
        <f>ROUND((M4152*C4152)/100,0)*100</f>
        <v/>
      </c>
      <c r="M4152" s="118" t="n">
        <v>1.3</v>
      </c>
      <c r="N4152" s="30" t="n"/>
      <c r="O4152" s="30" t="n"/>
      <c r="P4152" s="170" t="n"/>
      <c r="Q4152" s="30" t="n"/>
      <c r="R4152" s="170" t="n"/>
      <c r="S4152" s="30" t="n"/>
      <c r="T4152" s="170" t="n"/>
      <c r="U4152" s="30" t="n"/>
      <c r="V4152" s="30" t="n"/>
      <c r="W4152" s="30" t="n"/>
      <c r="X4152" s="30" t="n"/>
      <c r="Y4152" s="30" t="n"/>
      <c r="Z4152" s="30" t="n"/>
      <c r="AA4152" s="30" t="n"/>
      <c r="AB4152" s="30" t="n"/>
      <c r="AC4152" s="30" t="n"/>
      <c r="AD4152" s="30" t="n"/>
      <c r="AE4152" s="30" t="n"/>
      <c r="AF4152" s="30" t="n"/>
      <c r="AG4152" s="30" t="n"/>
      <c r="AH4152" s="30" t="n"/>
      <c r="AI4152" s="30" t="n"/>
      <c r="AJ4152" s="30" t="n"/>
      <c r="AK4152" s="30" t="n"/>
      <c r="AL4152" s="30" t="n"/>
      <c r="AM4152" s="30" t="n"/>
      <c r="AN4152" s="30" t="n"/>
    </row>
    <row r="4153">
      <c r="A4153" s="89" t="inlineStr">
        <is>
          <t>04873XXX</t>
        </is>
      </c>
      <c r="B4153" s="135" t="inlineStr">
        <is>
          <t>TAVERNITI DAMA</t>
        </is>
      </c>
      <c r="C4153" s="219" t="n">
        <v>48200</v>
      </c>
      <c r="D4153" s="111" t="n"/>
      <c r="E4153" s="111" t="n"/>
      <c r="F4153" s="111" t="n"/>
      <c r="G4153" s="111" t="n"/>
      <c r="H4153" s="111" t="n"/>
      <c r="I4153" s="111" t="n"/>
      <c r="J4153" s="111" t="n"/>
      <c r="K4153" s="170" t="n"/>
      <c r="L4153" s="170">
        <f>ROUND((M4153*C4153)/100,0)*100</f>
        <v/>
      </c>
      <c r="M4153" s="118" t="n">
        <v>1.3</v>
      </c>
      <c r="N4153" s="30" t="n"/>
      <c r="O4153" s="30" t="n"/>
      <c r="P4153" s="170" t="n"/>
      <c r="Q4153" s="30" t="n"/>
      <c r="R4153" s="170" t="n"/>
      <c r="S4153" s="30" t="n"/>
      <c r="T4153" s="170" t="n"/>
      <c r="U4153" s="30" t="n"/>
      <c r="V4153" s="30" t="n"/>
      <c r="W4153" s="30" t="n"/>
      <c r="X4153" s="30" t="n"/>
      <c r="Y4153" s="30" t="n"/>
      <c r="Z4153" s="30" t="n"/>
      <c r="AA4153" s="30" t="n"/>
      <c r="AB4153" s="30" t="n"/>
      <c r="AC4153" s="30" t="n"/>
      <c r="AD4153" s="30" t="n"/>
      <c r="AE4153" s="30" t="n"/>
      <c r="AF4153" s="30" t="n"/>
      <c r="AG4153" s="30" t="n"/>
      <c r="AH4153" s="30" t="n"/>
      <c r="AI4153" s="30" t="n"/>
      <c r="AJ4153" s="30" t="n"/>
      <c r="AK4153" s="30" t="n"/>
      <c r="AL4153" s="30" t="n"/>
      <c r="AM4153" s="30" t="n"/>
      <c r="AN4153" s="30" t="n"/>
    </row>
    <row r="4154">
      <c r="A4154" s="89" t="inlineStr">
        <is>
          <t>04875XXX</t>
        </is>
      </c>
      <c r="B4154" s="135" t="inlineStr">
        <is>
          <t>TAVERNITI DAMA</t>
        </is>
      </c>
      <c r="C4154" s="219" t="n">
        <v>51800</v>
      </c>
      <c r="D4154" s="111" t="n"/>
      <c r="E4154" s="111" t="n"/>
      <c r="F4154" s="111" t="n"/>
      <c r="G4154" s="111" t="n"/>
      <c r="H4154" s="111" t="n"/>
      <c r="I4154" s="111" t="n"/>
      <c r="J4154" s="111" t="n"/>
      <c r="K4154" s="170" t="n"/>
      <c r="L4154" s="170">
        <f>ROUND((M4154*C4154)/100,0)*100</f>
        <v/>
      </c>
      <c r="M4154" s="118" t="n">
        <v>1.3</v>
      </c>
      <c r="N4154" s="30" t="n"/>
      <c r="O4154" s="30" t="n"/>
      <c r="P4154" s="170" t="n"/>
      <c r="Q4154" s="30" t="n"/>
      <c r="R4154" s="170" t="n"/>
      <c r="S4154" s="30" t="n"/>
      <c r="T4154" s="170" t="n"/>
      <c r="U4154" s="30" t="n"/>
      <c r="V4154" s="30" t="n"/>
      <c r="W4154" s="30" t="n"/>
      <c r="X4154" s="30" t="n"/>
      <c r="Y4154" s="30" t="n"/>
      <c r="Z4154" s="30" t="n"/>
      <c r="AA4154" s="30" t="n"/>
      <c r="AB4154" s="30" t="n"/>
      <c r="AC4154" s="30" t="n"/>
      <c r="AD4154" s="30" t="n"/>
      <c r="AE4154" s="30" t="n"/>
      <c r="AF4154" s="30" t="n"/>
      <c r="AG4154" s="30" t="n"/>
      <c r="AH4154" s="30" t="n"/>
      <c r="AI4154" s="30" t="n"/>
      <c r="AJ4154" s="30" t="n"/>
      <c r="AK4154" s="30" t="n"/>
      <c r="AL4154" s="30" t="n"/>
      <c r="AM4154" s="30" t="n"/>
      <c r="AN4154" s="30" t="n"/>
    </row>
    <row r="4155">
      <c r="A4155" s="134" t="inlineStr">
        <is>
          <t>04977XXX</t>
        </is>
      </c>
      <c r="B4155" s="246" t="inlineStr">
        <is>
          <t>TAVERNITI DAMA</t>
        </is>
      </c>
      <c r="C4155" s="153" t="n">
        <v>39500</v>
      </c>
      <c r="D4155" s="153" t="n"/>
      <c r="E4155" s="153" t="n"/>
      <c r="F4155" s="153" t="n"/>
      <c r="G4155" s="153" t="n"/>
      <c r="H4155" s="153" t="n"/>
      <c r="I4155" s="153" t="n"/>
      <c r="J4155" s="153" t="n"/>
      <c r="K4155" s="219" t="n"/>
      <c r="L4155" s="219">
        <f>ROUND((M4155*C4155)/100,0)*100</f>
        <v/>
      </c>
      <c r="M4155" s="118" t="n">
        <v>1.3</v>
      </c>
      <c r="P4155" s="117" t="n"/>
      <c r="R4155" s="117" t="n"/>
      <c r="T4155" s="117" t="n"/>
    </row>
    <row r="4156">
      <c r="A4156" s="134" t="inlineStr">
        <is>
          <t>04979XXX</t>
        </is>
      </c>
      <c r="B4156" s="246" t="inlineStr">
        <is>
          <t>TAVERNITI DAMA</t>
        </is>
      </c>
      <c r="C4156" s="153" t="n">
        <v>39500</v>
      </c>
      <c r="D4156" s="153" t="n"/>
      <c r="E4156" s="153" t="n"/>
      <c r="F4156" s="153" t="n"/>
      <c r="G4156" s="153" t="n"/>
      <c r="H4156" s="153" t="n"/>
      <c r="I4156" s="153" t="n"/>
      <c r="J4156" s="153" t="n"/>
      <c r="K4156" s="219" t="n"/>
      <c r="L4156" s="219">
        <f>ROUND((M4156*C4156)/100,0)*100</f>
        <v/>
      </c>
      <c r="M4156" s="118" t="n">
        <v>1.3</v>
      </c>
      <c r="P4156" s="117" t="n"/>
      <c r="R4156" s="117" t="n"/>
      <c r="T4156" s="117" t="n"/>
    </row>
    <row r="4157">
      <c r="A4157" s="134" t="inlineStr">
        <is>
          <t>05923XXX</t>
        </is>
      </c>
      <c r="B4157" s="246" t="inlineStr">
        <is>
          <t>TAVERNITI DAMA</t>
        </is>
      </c>
      <c r="C4157" s="153" t="n">
        <v>50700</v>
      </c>
      <c r="D4157" s="153" t="n"/>
      <c r="E4157" s="153" t="n"/>
      <c r="F4157" s="153" t="n"/>
      <c r="G4157" s="153" t="n"/>
      <c r="H4157" s="153" t="n"/>
      <c r="I4157" s="153" t="n"/>
      <c r="J4157" s="153" t="n"/>
      <c r="K4157" s="219" t="n"/>
      <c r="L4157" s="219">
        <f>ROUND((M4157*C4157)/100,0)*100</f>
        <v/>
      </c>
      <c r="M4157" s="118" t="n">
        <v>1.3</v>
      </c>
      <c r="P4157" s="117" t="n"/>
      <c r="R4157" s="117" t="n"/>
      <c r="T4157" s="117" t="n"/>
    </row>
    <row r="4158">
      <c r="A4158" s="134" t="inlineStr">
        <is>
          <t>05933XXX</t>
        </is>
      </c>
      <c r="B4158" s="246" t="inlineStr">
        <is>
          <t>TAVERNITI DAMA</t>
        </is>
      </c>
      <c r="C4158" s="153" t="n">
        <v>50700</v>
      </c>
      <c r="D4158" s="153" t="n"/>
      <c r="E4158" s="153" t="n"/>
      <c r="F4158" s="153" t="n"/>
      <c r="G4158" s="153" t="n"/>
      <c r="H4158" s="153" t="n"/>
      <c r="I4158" s="153" t="n"/>
      <c r="J4158" s="153" t="n"/>
      <c r="K4158" s="219" t="n"/>
      <c r="L4158" s="219">
        <f>ROUND((M4158*C4158)/100,0)*100</f>
        <v/>
      </c>
      <c r="M4158" s="118" t="n">
        <v>1.3</v>
      </c>
      <c r="P4158" s="117" t="n"/>
      <c r="R4158" s="117" t="n"/>
      <c r="T4158" s="117" t="n"/>
    </row>
    <row r="4159">
      <c r="A4159" s="89" t="inlineStr">
        <is>
          <t>08193XXX</t>
        </is>
      </c>
      <c r="B4159" s="135" t="inlineStr">
        <is>
          <t>TAVERNITI DAMA</t>
        </is>
      </c>
      <c r="C4159" s="219" t="n">
        <v>50900</v>
      </c>
      <c r="D4159" s="111" t="n"/>
      <c r="E4159" s="111" t="n"/>
      <c r="F4159" s="111" t="n"/>
      <c r="G4159" s="111" t="n"/>
      <c r="H4159" s="111" t="n"/>
      <c r="I4159" s="111" t="n"/>
      <c r="J4159" s="111" t="n"/>
      <c r="K4159" s="170" t="n"/>
      <c r="L4159" s="88">
        <f>ROUND((M4159*C4159)/100,0)*100</f>
        <v/>
      </c>
      <c r="M4159" s="96" t="n">
        <v>1.3</v>
      </c>
      <c r="N4159" s="30" t="n"/>
      <c r="O4159" s="30" t="n"/>
      <c r="P4159" s="170" t="n"/>
      <c r="Q4159" s="30" t="n"/>
      <c r="R4159" s="170" t="n"/>
      <c r="S4159" s="30" t="n"/>
      <c r="T4159" s="170" t="n"/>
      <c r="U4159" s="30" t="n"/>
      <c r="V4159" s="30" t="n"/>
      <c r="W4159" s="30" t="n"/>
      <c r="X4159" s="30" t="n"/>
      <c r="Y4159" s="30" t="n"/>
      <c r="Z4159" s="30" t="n"/>
      <c r="AA4159" s="30" t="n"/>
      <c r="AB4159" s="30" t="n"/>
      <c r="AC4159" s="30" t="n"/>
      <c r="AD4159" s="30" t="n"/>
      <c r="AE4159" s="30" t="n"/>
      <c r="AF4159" s="30" t="n"/>
      <c r="AG4159" s="30" t="n"/>
      <c r="AH4159" s="30" t="n"/>
      <c r="AI4159" s="30" t="n"/>
      <c r="AJ4159" s="30" t="n"/>
      <c r="AK4159" s="30" t="n"/>
      <c r="AL4159" s="30" t="n"/>
      <c r="AM4159" s="30" t="n"/>
      <c r="AN4159" s="30" t="n"/>
      <c r="AO4159" s="30" t="n"/>
    </row>
    <row r="4160">
      <c r="A4160" s="134" t="inlineStr">
        <is>
          <t>08195XXX</t>
        </is>
      </c>
      <c r="B4160" s="246" t="inlineStr">
        <is>
          <t>TAVERNITI DAMA</t>
        </is>
      </c>
      <c r="C4160" s="153" t="n">
        <v>50900</v>
      </c>
      <c r="D4160" s="153" t="n"/>
      <c r="E4160" s="153" t="n"/>
      <c r="F4160" s="153" t="n"/>
      <c r="G4160" s="153" t="n"/>
      <c r="H4160" s="153" t="n"/>
      <c r="I4160" s="153" t="n"/>
      <c r="J4160" s="153" t="n"/>
      <c r="K4160" s="219" t="n"/>
      <c r="L4160" s="219">
        <f>ROUND((M4160*C4160)/100,0)*100</f>
        <v/>
      </c>
      <c r="M4160" s="118" t="n">
        <v>1.3</v>
      </c>
      <c r="P4160" s="117" t="n"/>
      <c r="R4160" s="117" t="n"/>
      <c r="T4160" s="117" t="n"/>
    </row>
    <row r="4161">
      <c r="A4161" s="134" t="inlineStr">
        <is>
          <t>19319660</t>
        </is>
      </c>
      <c r="B4161" s="246" t="inlineStr">
        <is>
          <t>TAVERNITI DAMA</t>
        </is>
      </c>
      <c r="C4161" s="153" t="n">
        <v>34300</v>
      </c>
      <c r="D4161" s="153" t="n"/>
      <c r="E4161" s="153" t="n"/>
      <c r="F4161" s="153" t="n"/>
      <c r="G4161" s="153" t="n"/>
      <c r="H4161" s="153" t="n"/>
      <c r="I4161" s="153" t="n"/>
      <c r="J4161" s="153" t="n"/>
      <c r="K4161" s="219" t="n"/>
      <c r="L4161" s="219">
        <f>ROUND((M4161*C4161)/100,0)*100</f>
        <v/>
      </c>
      <c r="M4161" s="118" t="n">
        <v>1.3</v>
      </c>
      <c r="O4161" s="222" t="n"/>
      <c r="P4161" s="117" t="n"/>
      <c r="R4161" s="117" t="n"/>
      <c r="T4161" s="117" t="n"/>
    </row>
    <row r="4162">
      <c r="A4162" s="134" t="inlineStr">
        <is>
          <t>14439XXX</t>
        </is>
      </c>
      <c r="B4162" s="246" t="inlineStr">
        <is>
          <t>TAVERNITI DAMA</t>
        </is>
      </c>
      <c r="C4162" s="153" t="n">
        <v>34300</v>
      </c>
      <c r="D4162" s="153" t="n"/>
      <c r="E4162" s="153" t="n"/>
      <c r="F4162" s="153" t="n"/>
      <c r="G4162" s="153" t="n"/>
      <c r="H4162" s="153" t="n"/>
      <c r="I4162" s="153" t="n"/>
      <c r="J4162" s="153" t="n"/>
      <c r="K4162" s="219" t="n"/>
      <c r="L4162" s="219">
        <f>ROUND((M4162*C4162)/100,0)*100</f>
        <v/>
      </c>
      <c r="M4162" s="118" t="n">
        <v>1.3</v>
      </c>
      <c r="P4162" s="117" t="n"/>
      <c r="R4162" s="117" t="n"/>
      <c r="T4162" s="117" t="n"/>
    </row>
    <row r="4163">
      <c r="A4163" s="134" t="inlineStr">
        <is>
          <t>14873XXX</t>
        </is>
      </c>
      <c r="B4163" s="246" t="inlineStr">
        <is>
          <t>TAVERNITI DAMA</t>
        </is>
      </c>
      <c r="C4163" s="153" t="n">
        <v>34300</v>
      </c>
      <c r="D4163" s="153" t="n"/>
      <c r="E4163" s="153" t="n"/>
      <c r="F4163" s="153" t="n"/>
      <c r="G4163" s="153" t="n"/>
      <c r="H4163" s="153" t="n"/>
      <c r="I4163" s="153" t="n"/>
      <c r="J4163" s="153" t="n"/>
      <c r="K4163" s="219" t="n"/>
      <c r="L4163" s="219">
        <f>ROUND((M4163*C4163)/100,0)*100</f>
        <v/>
      </c>
      <c r="M4163" s="118" t="n">
        <v>1.3</v>
      </c>
      <c r="P4163" s="117" t="n"/>
      <c r="R4163" s="117" t="n"/>
      <c r="T4163" s="117" t="n"/>
    </row>
    <row r="4164">
      <c r="A4164" s="134" t="n"/>
      <c r="B4164" s="246" t="n"/>
      <c r="C4164" s="153" t="n"/>
      <c r="D4164" s="153" t="n"/>
      <c r="E4164" s="153" t="n"/>
      <c r="F4164" s="153" t="n"/>
      <c r="G4164" s="153" t="n"/>
      <c r="H4164" s="153" t="n"/>
      <c r="I4164" s="153" t="n"/>
      <c r="J4164" s="153" t="n"/>
      <c r="K4164" s="219" t="n"/>
      <c r="L4164" s="219" t="n"/>
      <c r="M4164" s="219" t="n"/>
      <c r="P4164" s="117" t="n"/>
      <c r="R4164" s="117" t="n"/>
      <c r="T4164" s="117" t="n"/>
    </row>
    <row r="4165">
      <c r="A4165" s="134" t="n"/>
      <c r="B4165" s="200" t="inlineStr">
        <is>
          <t>TWIN SET</t>
        </is>
      </c>
      <c r="C4165" s="202" t="inlineStr">
        <is>
          <t>1 AL 4</t>
        </is>
      </c>
      <c r="D4165" s="202" t="n"/>
      <c r="E4165" s="202" t="n">
        <v>6</v>
      </c>
      <c r="F4165" s="202" t="n">
        <v>7</v>
      </c>
      <c r="G4165" s="202" t="n">
        <v>8</v>
      </c>
      <c r="H4165" s="153" t="n"/>
      <c r="I4165" s="153" t="n"/>
      <c r="J4165" s="153" t="n"/>
      <c r="K4165" s="219" t="n"/>
      <c r="L4165" s="219" t="n"/>
      <c r="M4165" s="219" t="n"/>
      <c r="P4165" s="117" t="n"/>
      <c r="R4165" s="117" t="n"/>
      <c r="T4165" s="117" t="n"/>
    </row>
    <row r="4166">
      <c r="A4166" s="134" t="inlineStr">
        <is>
          <t>2800</t>
        </is>
      </c>
      <c r="B4166" s="246" t="inlineStr">
        <is>
          <t>ALGODÓN</t>
        </is>
      </c>
      <c r="C4166" s="88" t="n">
        <v>31300</v>
      </c>
      <c r="D4166" s="153" t="n"/>
      <c r="E4166" s="153" t="n"/>
      <c r="F4166" s="153" t="n"/>
      <c r="G4166" s="153" t="n"/>
      <c r="H4166" s="153" t="n"/>
      <c r="I4166" s="153">
        <f>ROUND((J4166*C4166)/100,0)*100</f>
        <v/>
      </c>
      <c r="J4166" s="118" t="n">
        <v>3</v>
      </c>
      <c r="K4166" s="219" t="n"/>
      <c r="L4166" s="219" t="n"/>
      <c r="M4166" s="219" t="n"/>
      <c r="P4166" s="117" t="n"/>
      <c r="R4166" s="117" t="n"/>
      <c r="T4166" s="117" t="n"/>
    </row>
    <row r="4167">
      <c r="A4167" s="134" t="inlineStr">
        <is>
          <t>2802</t>
        </is>
      </c>
      <c r="B4167" s="246" t="inlineStr">
        <is>
          <t>HILO ESTAMP COLORES</t>
        </is>
      </c>
      <c r="C4167" s="88" t="n">
        <v>44900</v>
      </c>
      <c r="D4167" s="153" t="n"/>
      <c r="E4167" s="153" t="n"/>
      <c r="F4167" s="153" t="n"/>
      <c r="G4167" s="153" t="n"/>
      <c r="H4167" s="153" t="n"/>
      <c r="I4167" s="153">
        <f>ROUND((J4167*C4167)/100,0)*100</f>
        <v/>
      </c>
      <c r="J4167" s="118" t="n">
        <v>3</v>
      </c>
      <c r="K4167" s="219" t="n"/>
      <c r="L4167" s="219" t="n"/>
      <c r="M4167" s="219" t="n"/>
      <c r="P4167" s="117" t="n"/>
      <c r="R4167" s="117" t="n"/>
      <c r="T4167" s="117" t="n"/>
    </row>
    <row r="4168">
      <c r="A4168" s="134" t="n"/>
      <c r="B4168" s="246" t="n"/>
      <c r="C4168" s="88" t="n"/>
      <c r="D4168" s="153" t="n"/>
      <c r="E4168" s="153" t="n"/>
      <c r="F4168" s="153" t="n"/>
      <c r="G4168" s="153" t="n"/>
      <c r="H4168" s="153" t="n"/>
      <c r="I4168" s="153" t="n"/>
      <c r="J4168" s="219" t="n"/>
      <c r="K4168" s="219" t="n"/>
      <c r="L4168" s="219" t="n"/>
      <c r="M4168" s="219" t="n"/>
      <c r="P4168" s="117" t="n"/>
      <c r="R4168" s="117" t="n"/>
      <c r="T4168" s="117" t="n"/>
    </row>
    <row r="4169">
      <c r="A4169" s="134" t="n"/>
      <c r="B4169" s="246" t="n"/>
      <c r="C4169" s="88" t="n"/>
      <c r="D4169" s="153" t="n"/>
      <c r="E4169" s="153" t="n"/>
      <c r="F4169" s="153" t="n"/>
      <c r="G4169" s="153" t="n"/>
      <c r="H4169" s="153" t="n"/>
      <c r="I4169" s="153" t="n"/>
      <c r="J4169" s="153" t="n"/>
      <c r="K4169" s="219" t="n"/>
      <c r="L4169" s="219" t="n"/>
      <c r="M4169" s="219" t="n"/>
      <c r="P4169" s="117" t="n"/>
      <c r="R4169" s="117" t="n"/>
      <c r="T4169" s="117" t="n"/>
    </row>
    <row r="4170">
      <c r="A4170" s="134" t="n"/>
      <c r="B4170" s="200" t="inlineStr">
        <is>
          <t>VESTIDOS</t>
        </is>
      </c>
      <c r="C4170" s="202" t="inlineStr">
        <is>
          <t>1 AL 4</t>
        </is>
      </c>
      <c r="D4170" s="202" t="n">
        <v>5</v>
      </c>
      <c r="E4170" s="202" t="n">
        <v>6</v>
      </c>
      <c r="F4170" s="202" t="n">
        <v>7</v>
      </c>
      <c r="G4170" s="202" t="n">
        <v>8</v>
      </c>
      <c r="H4170" s="238" t="n">
        <v>43444</v>
      </c>
      <c r="I4170" s="153" t="n"/>
      <c r="J4170" s="134" t="inlineStr">
        <is>
          <t>10/24</t>
        </is>
      </c>
      <c r="K4170" s="219" t="n"/>
      <c r="L4170" s="219" t="n"/>
      <c r="M4170" s="219" t="n"/>
      <c r="P4170" s="117" t="n"/>
      <c r="R4170" s="117" t="n"/>
      <c r="T4170" s="117" t="n"/>
    </row>
    <row r="4171">
      <c r="A4171" s="134" t="inlineStr">
        <is>
          <t>00285</t>
        </is>
      </c>
      <c r="B4171" s="246" t="inlineStr">
        <is>
          <t>MAR Y MAR FIBRANA</t>
        </is>
      </c>
      <c r="C4171" s="153" t="n">
        <v>38600</v>
      </c>
      <c r="D4171" s="220">
        <f>ROUND((C4171*1.06)/100,0)*100</f>
        <v/>
      </c>
      <c r="E4171" s="220">
        <f>ROUND((C4171*1.13)/100,0)*100</f>
        <v/>
      </c>
      <c r="F4171" s="220">
        <f>ROUND((C4171*1.19)/100,0)*100</f>
        <v/>
      </c>
      <c r="G4171" s="220">
        <f>ROUND((C4171*1.25)/100,0)*100</f>
        <v/>
      </c>
      <c r="H4171" s="220">
        <f>ROUND((C4171*1.32)/100,0)*100</f>
        <v/>
      </c>
      <c r="I4171" s="153" t="n"/>
      <c r="J4171" s="153" t="n"/>
      <c r="K4171" s="219">
        <f>ROUND((C4171*Q4171)/100,0)*100</f>
        <v/>
      </c>
      <c r="L4171" s="219" t="n"/>
      <c r="M4171" s="219" t="n"/>
      <c r="N4171" s="219" t="n"/>
      <c r="O4171" s="219" t="n"/>
      <c r="P4171" s="219" t="n"/>
      <c r="Q4171" s="118" t="n">
        <v>1.25</v>
      </c>
      <c r="R4171" s="117" t="n"/>
      <c r="T4171" s="117" t="n"/>
    </row>
    <row r="4172">
      <c r="A4172" s="134" t="inlineStr">
        <is>
          <t>30680</t>
        </is>
      </c>
      <c r="B4172" s="246" t="inlineStr">
        <is>
          <t>CHELOY'S JEAN</t>
        </is>
      </c>
      <c r="C4172" s="153" t="n">
        <v>54700</v>
      </c>
      <c r="D4172" s="220">
        <f>ROUND((C4172*1.06)/100,0)*100</f>
        <v/>
      </c>
      <c r="E4172" s="220">
        <f>ROUND((C4172*1.13)/100,0)*100</f>
        <v/>
      </c>
      <c r="F4172" s="220">
        <f>ROUND((C4172*1.19)/100,0)*100</f>
        <v/>
      </c>
      <c r="G4172" s="220">
        <f>ROUND((C4172*1.25)/100,0)*100</f>
        <v/>
      </c>
      <c r="H4172" s="220">
        <f>ROUND((C4172*1.32)/100,0)*100</f>
        <v/>
      </c>
      <c r="I4172" s="153" t="n"/>
      <c r="J4172" s="153" t="n"/>
      <c r="K4172" s="219">
        <f>ROUND((C4172*Q4172)/100,0)*100</f>
        <v/>
      </c>
      <c r="L4172" s="219" t="n"/>
      <c r="M4172" s="219" t="n"/>
      <c r="N4172" s="219" t="n"/>
      <c r="O4172" s="219" t="n"/>
      <c r="P4172" s="219" t="n"/>
      <c r="Q4172" s="118" t="n">
        <v>1.25</v>
      </c>
      <c r="R4172" s="117" t="n"/>
      <c r="T4172" s="117" t="n"/>
    </row>
    <row r="4173">
      <c r="A4173" s="134" t="inlineStr">
        <is>
          <t>BT-00</t>
        </is>
      </c>
      <c r="B4173" s="246" t="inlineStr">
        <is>
          <t>INDUES LARGOS</t>
        </is>
      </c>
      <c r="C4173" s="153" t="n">
        <v>52700</v>
      </c>
      <c r="D4173" s="220">
        <f>ROUND((C4173*1.06)/100,0)*100</f>
        <v/>
      </c>
      <c r="E4173" s="220">
        <f>ROUND((C4173*1.13)/100,0)*100</f>
        <v/>
      </c>
      <c r="F4173" s="220">
        <f>ROUND((C4173*1.19)/100,0)*100</f>
        <v/>
      </c>
      <c r="G4173" s="220">
        <f>ROUND((C4173*1.25)/100,0)*100</f>
        <v/>
      </c>
      <c r="H4173" s="220">
        <f>ROUND((C4173*1.32)/100,0)*100</f>
        <v/>
      </c>
      <c r="I4173" s="153" t="n"/>
      <c r="J4173" s="153" t="n"/>
      <c r="K4173" s="219">
        <f>ROUND((C4173*Q4173)/100,0)*100</f>
        <v/>
      </c>
      <c r="L4173" s="219" t="n"/>
      <c r="M4173" s="219" t="n"/>
      <c r="N4173" s="219" t="n"/>
      <c r="O4173" s="219" t="n"/>
      <c r="P4173" s="219" t="n"/>
      <c r="Q4173" s="118" t="n">
        <v>1.25</v>
      </c>
      <c r="R4173" s="117" t="n"/>
      <c r="T4173" s="117" t="n"/>
    </row>
    <row r="4174">
      <c r="A4174" s="134" t="inlineStr">
        <is>
          <t>12110</t>
        </is>
      </c>
      <c r="B4174" s="246" t="inlineStr">
        <is>
          <t>VESTIDO NICE</t>
        </is>
      </c>
      <c r="C4174" s="153" t="n">
        <v>44100</v>
      </c>
      <c r="D4174" s="220">
        <f>ROUND((C4174*1.06)/100,0)*100</f>
        <v/>
      </c>
      <c r="E4174" s="220">
        <f>ROUND((C4174*1.13)/100,0)*100</f>
        <v/>
      </c>
      <c r="F4174" s="220">
        <f>ROUND((C4174*1.19)/100,0)*100</f>
        <v/>
      </c>
      <c r="G4174" s="220">
        <f>ROUND((C4174*1.25)/100,0)*100</f>
        <v/>
      </c>
      <c r="H4174" s="220">
        <f>ROUND((C4174*1.32)/100,0)*100</f>
        <v/>
      </c>
      <c r="I4174" s="153" t="n"/>
      <c r="J4174" s="153" t="n"/>
      <c r="K4174" s="219">
        <f>ROUND((C4174*Q4174)/100,0)*100</f>
        <v/>
      </c>
      <c r="L4174" s="219" t="n"/>
      <c r="M4174" s="219" t="n"/>
      <c r="N4174" s="219" t="n"/>
      <c r="O4174" s="219" t="n"/>
      <c r="P4174" s="219" t="n"/>
      <c r="Q4174" s="118" t="n">
        <v>1.25</v>
      </c>
      <c r="R4174" s="117" t="n"/>
      <c r="T4174" s="117" t="n"/>
    </row>
    <row r="4175">
      <c r="A4175" s="134" t="inlineStr">
        <is>
          <t>11449</t>
        </is>
      </c>
      <c r="B4175" s="246" t="inlineStr">
        <is>
          <t>VESTIDO NITTON</t>
        </is>
      </c>
      <c r="C4175" s="153" t="n">
        <v>44100</v>
      </c>
      <c r="D4175" s="220">
        <f>ROUND((C4175*1.06)/100,0)*100</f>
        <v/>
      </c>
      <c r="E4175" s="220">
        <f>ROUND((C4175*1.13)/100,0)*100</f>
        <v/>
      </c>
      <c r="F4175" s="220">
        <f>ROUND((C4175*1.19)/100,0)*100</f>
        <v/>
      </c>
      <c r="G4175" s="220">
        <f>ROUND((C4175*1.25)/100,0)*100</f>
        <v/>
      </c>
      <c r="H4175" s="220">
        <f>ROUND((C4175*1.32)/100,0)*100</f>
        <v/>
      </c>
      <c r="I4175" s="153" t="n"/>
      <c r="J4175" s="153" t="n"/>
      <c r="K4175" s="219">
        <f>ROUND((C4175*Q4175)/100,0)*100</f>
        <v/>
      </c>
      <c r="L4175" s="219" t="n"/>
      <c r="M4175" s="219" t="n"/>
      <c r="N4175" s="219" t="n"/>
      <c r="O4175" s="219" t="n"/>
      <c r="P4175" s="219" t="n"/>
      <c r="Q4175" s="118" t="n">
        <v>1.25</v>
      </c>
      <c r="R4175" s="117" t="n"/>
      <c r="T4175" s="117" t="n"/>
    </row>
    <row r="4176">
      <c r="A4176" s="134" t="inlineStr">
        <is>
          <t>13554</t>
        </is>
      </c>
      <c r="B4176" s="246" t="inlineStr">
        <is>
          <t>VESTIDO GAMLA</t>
        </is>
      </c>
      <c r="C4176" s="153" t="n">
        <v>44100</v>
      </c>
      <c r="D4176" s="220">
        <f>ROUND((C4176*1.06)/100,0)*100</f>
        <v/>
      </c>
      <c r="E4176" s="220">
        <f>ROUND((C4176*1.13)/100,0)*100</f>
        <v/>
      </c>
      <c r="F4176" s="220">
        <f>ROUND((C4176*1.19)/100,0)*100</f>
        <v/>
      </c>
      <c r="G4176" s="220">
        <f>ROUND((C4176*1.25)/100,0)*100</f>
        <v/>
      </c>
      <c r="H4176" s="220">
        <f>ROUND((C4176*1.32)/100,0)*100</f>
        <v/>
      </c>
      <c r="I4176" s="153" t="n"/>
      <c r="J4176" s="153" t="n"/>
      <c r="K4176" s="219">
        <f>ROUND((C4176*Q4176)/100,0)*100</f>
        <v/>
      </c>
      <c r="L4176" s="219" t="n"/>
      <c r="M4176" s="219" t="n"/>
      <c r="N4176" s="219" t="n"/>
      <c r="O4176" s="219" t="n"/>
      <c r="P4176" s="219" t="n"/>
      <c r="Q4176" s="118" t="n">
        <v>1.25</v>
      </c>
      <c r="R4176" s="117" t="n"/>
      <c r="T4176" s="117" t="n"/>
    </row>
    <row r="4177">
      <c r="A4177" s="134" t="inlineStr">
        <is>
          <t>13039</t>
        </is>
      </c>
      <c r="B4177" s="246" t="inlineStr">
        <is>
          <t>VESTIDO ALBAHACA</t>
        </is>
      </c>
      <c r="C4177" s="153" t="n">
        <v>46500</v>
      </c>
      <c r="D4177" s="220">
        <f>ROUND((C4177*1.06)/100,0)*100</f>
        <v/>
      </c>
      <c r="E4177" s="220">
        <f>ROUND((C4177*1.13)/100,0)*100</f>
        <v/>
      </c>
      <c r="F4177" s="220">
        <f>ROUND((C4177*1.19)/100,0)*100</f>
        <v/>
      </c>
      <c r="G4177" s="220">
        <f>ROUND((C4177*1.25)/100,0)*100</f>
        <v/>
      </c>
      <c r="H4177" s="220">
        <f>ROUND((C4177*1.32)/100,0)*100</f>
        <v/>
      </c>
      <c r="I4177" s="153" t="n"/>
      <c r="J4177" s="153" t="n"/>
      <c r="K4177" s="219">
        <f>ROUND((C4177*Q4177)/100,0)*100</f>
        <v/>
      </c>
      <c r="L4177" s="219" t="n"/>
      <c r="M4177" s="219" t="n"/>
      <c r="N4177" s="219" t="n"/>
      <c r="O4177" s="219" t="n"/>
      <c r="P4177" s="219" t="n"/>
      <c r="Q4177" s="118" t="n">
        <v>1.25</v>
      </c>
      <c r="R4177" s="117" t="n"/>
      <c r="T4177" s="117" t="n"/>
    </row>
    <row r="4178">
      <c r="A4178" s="134" t="inlineStr">
        <is>
          <t>10144</t>
        </is>
      </c>
      <c r="B4178" s="246" t="inlineStr">
        <is>
          <t>VESTIDO GRACE</t>
        </is>
      </c>
      <c r="C4178" s="153" t="n">
        <v>46500</v>
      </c>
      <c r="D4178" s="220">
        <f>ROUND((C4178*1.06)/100,0)*100</f>
        <v/>
      </c>
      <c r="E4178" s="220">
        <f>ROUND((C4178*1.13)/100,0)*100</f>
        <v/>
      </c>
      <c r="F4178" s="220">
        <f>ROUND((C4178*1.19)/100,0)*100</f>
        <v/>
      </c>
      <c r="G4178" s="220">
        <f>ROUND((C4178*1.25)/100,0)*100</f>
        <v/>
      </c>
      <c r="H4178" s="220">
        <f>ROUND((C4178*1.32)/100,0)*100</f>
        <v/>
      </c>
      <c r="I4178" s="153" t="n"/>
      <c r="J4178" s="153" t="n"/>
      <c r="K4178" s="219">
        <f>ROUND((C4178*Q4178)/100,0)*100</f>
        <v/>
      </c>
      <c r="L4178" s="219" t="n"/>
      <c r="M4178" s="219" t="n"/>
      <c r="N4178" s="219" t="n"/>
      <c r="O4178" s="219" t="n"/>
      <c r="P4178" s="219" t="n"/>
      <c r="Q4178" s="118" t="n">
        <v>1.25</v>
      </c>
      <c r="R4178" s="117" t="n"/>
      <c r="T4178" s="117" t="n"/>
    </row>
    <row r="4179">
      <c r="A4179" s="89" t="inlineStr">
        <is>
          <t>30645</t>
        </is>
      </c>
      <c r="B4179" s="135" t="inlineStr">
        <is>
          <t>VESTIDO</t>
        </is>
      </c>
      <c r="C4179" s="219" t="n">
        <v>21400</v>
      </c>
      <c r="D4179" s="220">
        <f>ROUND((C4179*1.06)/100,0)*100</f>
        <v/>
      </c>
      <c r="E4179" s="220">
        <f>ROUND((C4179*1.13)/100,0)*100</f>
        <v/>
      </c>
      <c r="F4179" s="220">
        <f>ROUND((C4179*1.19)/100,0)*100</f>
        <v/>
      </c>
      <c r="G4179" s="220">
        <f>ROUND((C4179*1.25)/100,0)*100</f>
        <v/>
      </c>
      <c r="H4179" s="220">
        <f>ROUND((C4179*1.32)/100,0)*100</f>
        <v/>
      </c>
      <c r="I4179" s="111" t="n"/>
      <c r="J4179" s="111" t="n"/>
      <c r="K4179" s="88">
        <f>ROUND((C4179*Q4179)/100,0)*100</f>
        <v/>
      </c>
      <c r="L4179" s="88" t="n"/>
      <c r="M4179" s="88" t="n"/>
      <c r="N4179" s="88" t="n"/>
      <c r="O4179" s="88" t="n"/>
      <c r="P4179" s="88" t="n"/>
      <c r="Q4179" s="118" t="n">
        <v>1.25</v>
      </c>
      <c r="R4179" s="117" t="n"/>
      <c r="T4179" s="117" t="n"/>
      <c r="X4179" s="30" t="n"/>
      <c r="Y4179" s="30" t="n"/>
      <c r="Z4179" s="30" t="n"/>
      <c r="AA4179" s="30" t="n"/>
      <c r="AB4179" s="30" t="n"/>
      <c r="AC4179" s="30" t="n"/>
      <c r="AD4179" s="30" t="n"/>
      <c r="AE4179" s="30" t="n"/>
      <c r="AF4179" s="30" t="n"/>
      <c r="AG4179" s="30" t="n"/>
      <c r="AH4179" s="30" t="n"/>
      <c r="AI4179" s="30" t="n"/>
      <c r="AJ4179" s="30" t="n"/>
      <c r="AK4179" s="30" t="n"/>
      <c r="AL4179" s="30" t="n"/>
      <c r="AM4179" s="30" t="n"/>
      <c r="AN4179" s="30" t="n"/>
    </row>
    <row r="4180">
      <c r="A4180" s="89" t="inlineStr">
        <is>
          <t>30646</t>
        </is>
      </c>
      <c r="B4180" s="135" t="inlineStr">
        <is>
          <t>VESTIDO</t>
        </is>
      </c>
      <c r="C4180" s="219" t="n">
        <v>23300</v>
      </c>
      <c r="D4180" s="220">
        <f>ROUND((C4180*1.06)/100,0)*100</f>
        <v/>
      </c>
      <c r="E4180" s="220">
        <f>ROUND((C4180*1.13)/100,0)*100</f>
        <v/>
      </c>
      <c r="F4180" s="220">
        <f>ROUND((C4180*1.19)/100,0)*100</f>
        <v/>
      </c>
      <c r="G4180" s="220">
        <f>ROUND((C4180*1.25)/100,0)*100</f>
        <v/>
      </c>
      <c r="H4180" s="220">
        <f>ROUND((C4180*1.32)/100,0)*100</f>
        <v/>
      </c>
      <c r="I4180" s="111" t="n"/>
      <c r="J4180" s="111" t="n"/>
      <c r="K4180" s="88">
        <f>ROUND((C4180*Q4180)/100,0)*100</f>
        <v/>
      </c>
      <c r="L4180" s="88" t="n"/>
      <c r="M4180" s="88" t="n"/>
      <c r="N4180" s="88" t="n"/>
      <c r="O4180" s="88" t="n"/>
      <c r="P4180" s="88" t="n"/>
      <c r="Q4180" s="118" t="n">
        <v>1.25</v>
      </c>
      <c r="R4180" s="117" t="n"/>
      <c r="T4180" s="117" t="n"/>
      <c r="X4180" s="30" t="n"/>
      <c r="Y4180" s="30" t="n"/>
      <c r="Z4180" s="30" t="n"/>
      <c r="AA4180" s="30" t="n"/>
      <c r="AB4180" s="30" t="n"/>
      <c r="AC4180" s="30" t="n"/>
      <c r="AD4180" s="30" t="n"/>
      <c r="AE4180" s="30" t="n"/>
      <c r="AF4180" s="30" t="n"/>
      <c r="AG4180" s="30" t="n"/>
      <c r="AH4180" s="30" t="n"/>
      <c r="AI4180" s="30" t="n"/>
      <c r="AJ4180" s="30" t="n"/>
      <c r="AK4180" s="30" t="n"/>
      <c r="AL4180" s="30" t="n"/>
      <c r="AM4180" s="30" t="n"/>
      <c r="AN4180" s="30" t="n"/>
    </row>
    <row r="4181">
      <c r="A4181" s="89" t="inlineStr">
        <is>
          <t>30647</t>
        </is>
      </c>
      <c r="B4181" s="135" t="inlineStr">
        <is>
          <t>VESTIDO</t>
        </is>
      </c>
      <c r="C4181" s="219" t="n">
        <v>25300</v>
      </c>
      <c r="D4181" s="220">
        <f>ROUND((C4181*1.06)/100,0)*100</f>
        <v/>
      </c>
      <c r="E4181" s="220">
        <f>ROUND((C4181*1.13)/100,0)*100</f>
        <v/>
      </c>
      <c r="F4181" s="220">
        <f>ROUND((C4181*1.19)/100,0)*100</f>
        <v/>
      </c>
      <c r="G4181" s="220">
        <f>ROUND((C4181*1.25)/100,0)*100</f>
        <v/>
      </c>
      <c r="H4181" s="220">
        <f>ROUND((C4181*1.32)/100,0)*100</f>
        <v/>
      </c>
      <c r="I4181" s="111" t="n"/>
      <c r="J4181" s="111" t="n"/>
      <c r="K4181" s="88">
        <f>ROUND((C4181*Q4181)/100,0)*100</f>
        <v/>
      </c>
      <c r="L4181" s="88" t="n"/>
      <c r="M4181" s="88" t="n"/>
      <c r="N4181" s="88" t="n"/>
      <c r="O4181" s="88" t="n"/>
      <c r="P4181" s="88" t="n"/>
      <c r="Q4181" s="118" t="n">
        <v>1.25</v>
      </c>
      <c r="R4181" s="117" t="n"/>
      <c r="T4181" s="117" t="n"/>
      <c r="X4181" s="30" t="n"/>
      <c r="Y4181" s="30" t="n"/>
      <c r="Z4181" s="30" t="n"/>
      <c r="AA4181" s="30" t="n"/>
      <c r="AB4181" s="30" t="n"/>
      <c r="AC4181" s="30" t="n"/>
      <c r="AD4181" s="30" t="n"/>
      <c r="AE4181" s="30" t="n"/>
      <c r="AF4181" s="30" t="n"/>
      <c r="AG4181" s="30" t="n"/>
      <c r="AH4181" s="30" t="n"/>
      <c r="AI4181" s="30" t="n"/>
      <c r="AJ4181" s="30" t="n"/>
      <c r="AK4181" s="30" t="n"/>
      <c r="AL4181" s="30" t="n"/>
      <c r="AM4181" s="30" t="n"/>
      <c r="AN4181" s="30" t="n"/>
    </row>
    <row r="4182">
      <c r="A4182" s="89" t="inlineStr">
        <is>
          <t>30648</t>
        </is>
      </c>
      <c r="B4182" s="135" t="inlineStr">
        <is>
          <t>VESTIDO</t>
        </is>
      </c>
      <c r="C4182" s="219" t="n">
        <v>27300</v>
      </c>
      <c r="D4182" s="220">
        <f>ROUND((C4182*1.06)/100,0)*100</f>
        <v/>
      </c>
      <c r="E4182" s="220">
        <f>ROUND((C4182*1.13)/100,0)*100</f>
        <v/>
      </c>
      <c r="F4182" s="220">
        <f>ROUND((C4182*1.19)/100,0)*100</f>
        <v/>
      </c>
      <c r="G4182" s="220">
        <f>ROUND((C4182*1.25)/100,0)*100</f>
        <v/>
      </c>
      <c r="H4182" s="220">
        <f>ROUND((C4182*1.32)/100,0)*100</f>
        <v/>
      </c>
      <c r="I4182" s="111" t="n"/>
      <c r="J4182" s="111" t="n"/>
      <c r="K4182" s="88">
        <f>ROUND((C4182*Q4182)/100,0)*100</f>
        <v/>
      </c>
      <c r="L4182" s="88" t="n"/>
      <c r="M4182" s="88" t="n"/>
      <c r="N4182" s="88" t="n"/>
      <c r="O4182" s="88" t="n"/>
      <c r="P4182" s="88" t="n"/>
      <c r="Q4182" s="118" t="n">
        <v>1.25</v>
      </c>
      <c r="R4182" s="117" t="n"/>
      <c r="T4182" s="117" t="n"/>
      <c r="X4182" s="30" t="n"/>
      <c r="Y4182" s="30" t="n"/>
      <c r="Z4182" s="30" t="n"/>
      <c r="AA4182" s="30" t="n"/>
      <c r="AB4182" s="30" t="n"/>
      <c r="AC4182" s="30" t="n"/>
      <c r="AD4182" s="30" t="n"/>
      <c r="AE4182" s="30" t="n"/>
      <c r="AF4182" s="30" t="n"/>
      <c r="AG4182" s="30" t="n"/>
      <c r="AH4182" s="30" t="n"/>
      <c r="AI4182" s="30" t="n"/>
      <c r="AJ4182" s="30" t="n"/>
      <c r="AK4182" s="30" t="n"/>
      <c r="AL4182" s="30" t="n"/>
      <c r="AM4182" s="30" t="n"/>
      <c r="AN4182" s="30" t="n"/>
    </row>
    <row r="4183">
      <c r="A4183" s="89" t="n"/>
      <c r="B4183" s="135" t="inlineStr">
        <is>
          <t>VESTIDO</t>
        </is>
      </c>
      <c r="C4183" s="219" t="n">
        <v>29200</v>
      </c>
      <c r="D4183" s="220">
        <f>ROUND((C4183*1.06)/100,0)*100</f>
        <v/>
      </c>
      <c r="E4183" s="220">
        <f>ROUND((C4183*1.13)/100,0)*100</f>
        <v/>
      </c>
      <c r="F4183" s="220">
        <f>ROUND((C4183*1.19)/100,0)*100</f>
        <v/>
      </c>
      <c r="G4183" s="220">
        <f>ROUND((C4183*1.25)/100,0)*100</f>
        <v/>
      </c>
      <c r="H4183" s="220">
        <f>ROUND((C4183*1.32)/100,0)*100</f>
        <v/>
      </c>
      <c r="I4183" s="111" t="n"/>
      <c r="J4183" s="111" t="n"/>
      <c r="K4183" s="88">
        <f>ROUND((C4183*Q4183)/100,0)*100</f>
        <v/>
      </c>
      <c r="L4183" s="88" t="n"/>
      <c r="M4183" s="88" t="n"/>
      <c r="N4183" s="88" t="n"/>
      <c r="O4183" s="88" t="n"/>
      <c r="P4183" s="88" t="n"/>
      <c r="Q4183" s="118" t="n">
        <v>1.25</v>
      </c>
      <c r="R4183" s="117" t="n"/>
      <c r="T4183" s="117" t="n"/>
      <c r="X4183" s="30" t="n"/>
      <c r="Y4183" s="30" t="n"/>
      <c r="Z4183" s="30" t="n"/>
      <c r="AA4183" s="30" t="n"/>
      <c r="AB4183" s="30" t="n"/>
      <c r="AC4183" s="30" t="n"/>
      <c r="AD4183" s="30" t="n"/>
      <c r="AE4183" s="30" t="n"/>
      <c r="AF4183" s="30" t="n"/>
      <c r="AG4183" s="30" t="n"/>
      <c r="AH4183" s="30" t="n"/>
      <c r="AI4183" s="30" t="n"/>
      <c r="AJ4183" s="30" t="n"/>
      <c r="AK4183" s="30" t="n"/>
      <c r="AL4183" s="30" t="n"/>
      <c r="AM4183" s="30" t="n"/>
      <c r="AN4183" s="30" t="n"/>
    </row>
    <row r="4184">
      <c r="A4184" s="89" t="inlineStr">
        <is>
          <t>30650</t>
        </is>
      </c>
      <c r="B4184" s="135" t="inlineStr">
        <is>
          <t>VESTIDO</t>
        </is>
      </c>
      <c r="C4184" s="219" t="n">
        <v>31200</v>
      </c>
      <c r="D4184" s="220">
        <f>ROUND((C4184*1.06)/100,0)*100</f>
        <v/>
      </c>
      <c r="E4184" s="220">
        <f>ROUND((C4184*1.13)/100,0)*100</f>
        <v/>
      </c>
      <c r="F4184" s="220">
        <f>ROUND((C4184*1.19)/100,0)*100</f>
        <v/>
      </c>
      <c r="G4184" s="220">
        <f>ROUND((C4184*1.25)/100,0)*100</f>
        <v/>
      </c>
      <c r="H4184" s="220">
        <f>ROUND((C4184*1.32)/100,0)*100</f>
        <v/>
      </c>
      <c r="I4184" s="111" t="n"/>
      <c r="J4184" s="111" t="n"/>
      <c r="K4184" s="88">
        <f>ROUND((C4184*Q4184)/100,0)*100</f>
        <v/>
      </c>
      <c r="L4184" s="88" t="n"/>
      <c r="M4184" s="88" t="n"/>
      <c r="N4184" s="88" t="n"/>
      <c r="O4184" s="88" t="n"/>
      <c r="P4184" s="88" t="n"/>
      <c r="Q4184" s="118" t="n">
        <v>1.25</v>
      </c>
      <c r="R4184" s="117" t="n"/>
      <c r="T4184" s="117" t="n"/>
      <c r="X4184" s="30" t="n"/>
      <c r="Y4184" s="30" t="n"/>
      <c r="Z4184" s="30" t="n"/>
      <c r="AA4184" s="30" t="n"/>
      <c r="AB4184" s="30" t="n"/>
      <c r="AC4184" s="30" t="n"/>
      <c r="AD4184" s="30" t="n"/>
      <c r="AE4184" s="30" t="n"/>
      <c r="AF4184" s="30" t="n"/>
      <c r="AG4184" s="30" t="n"/>
      <c r="AH4184" s="30" t="n"/>
      <c r="AI4184" s="30" t="n"/>
      <c r="AJ4184" s="30" t="n"/>
      <c r="AK4184" s="30" t="n"/>
      <c r="AL4184" s="30" t="n"/>
      <c r="AM4184" s="30" t="n"/>
      <c r="AN4184" s="30" t="n"/>
    </row>
    <row r="4185">
      <c r="A4185" s="134" t="inlineStr">
        <is>
          <t>30651</t>
        </is>
      </c>
      <c r="B4185" s="246" t="inlineStr">
        <is>
          <t>VESTIDO FIBRANAB BORDADO</t>
        </is>
      </c>
      <c r="C4185" s="153" t="n">
        <v>48800</v>
      </c>
      <c r="D4185" s="220">
        <f>ROUND((C4185*1.06)/100,0)*100</f>
        <v/>
      </c>
      <c r="E4185" s="220">
        <f>ROUND((C4185*1.13)/100,0)*100</f>
        <v/>
      </c>
      <c r="F4185" s="220">
        <f>ROUND((C4185*1.19)/100,0)*100</f>
        <v/>
      </c>
      <c r="G4185" s="220">
        <f>ROUND((C4185*1.25)/100,0)*100</f>
        <v/>
      </c>
      <c r="H4185" s="220">
        <f>ROUND((C4185*1.32)/100,0)*100</f>
        <v/>
      </c>
      <c r="I4185" s="153" t="n"/>
      <c r="J4185" s="153" t="n"/>
      <c r="K4185" s="219">
        <f>ROUND((C4185*Q4185)/100,0)*100</f>
        <v/>
      </c>
      <c r="L4185" s="219" t="n"/>
      <c r="M4185" s="219" t="n"/>
      <c r="N4185" s="219" t="n"/>
      <c r="O4185" s="219" t="n"/>
      <c r="P4185" s="219" t="n"/>
      <c r="Q4185" s="118" t="n">
        <v>1.25</v>
      </c>
      <c r="R4185" s="117" t="n"/>
      <c r="T4185" s="117" t="n"/>
    </row>
    <row r="4186">
      <c r="A4186" s="89" t="inlineStr">
        <is>
          <t>30652</t>
        </is>
      </c>
      <c r="B4186" s="135" t="inlineStr">
        <is>
          <t>VESTIDO</t>
        </is>
      </c>
      <c r="C4186" s="219" t="n">
        <v>33100</v>
      </c>
      <c r="D4186" s="220">
        <f>ROUND((C4186*1.06)/100,0)*100</f>
        <v/>
      </c>
      <c r="E4186" s="220">
        <f>ROUND((C4186*1.13)/100,0)*100</f>
        <v/>
      </c>
      <c r="F4186" s="220">
        <f>ROUND((C4186*1.19)/100,0)*100</f>
        <v/>
      </c>
      <c r="G4186" s="220">
        <f>ROUND((C4186*1.25)/100,0)*100</f>
        <v/>
      </c>
      <c r="H4186" s="220">
        <f>ROUND((C4186*1.32)/100,0)*100</f>
        <v/>
      </c>
      <c r="I4186" s="111" t="n"/>
      <c r="J4186" s="111" t="n"/>
      <c r="K4186" s="88">
        <f>ROUND((C4186*Q4186)/100,0)*100</f>
        <v/>
      </c>
      <c r="L4186" s="88" t="n"/>
      <c r="M4186" s="88" t="n"/>
      <c r="N4186" s="88" t="n"/>
      <c r="O4186" s="88" t="n"/>
      <c r="P4186" s="88" t="n"/>
      <c r="Q4186" s="118" t="n">
        <v>1.25</v>
      </c>
      <c r="R4186" s="117" t="n"/>
      <c r="T4186" s="117" t="n"/>
      <c r="X4186" s="30" t="n"/>
      <c r="Y4186" s="30" t="n"/>
      <c r="Z4186" s="30" t="n"/>
      <c r="AA4186" s="30" t="n"/>
      <c r="AB4186" s="30" t="n"/>
      <c r="AC4186" s="30" t="n"/>
      <c r="AD4186" s="30" t="n"/>
      <c r="AE4186" s="30" t="n"/>
      <c r="AF4186" s="30" t="n"/>
      <c r="AG4186" s="30" t="n"/>
      <c r="AH4186" s="30" t="n"/>
      <c r="AI4186" s="30" t="n"/>
      <c r="AJ4186" s="30" t="n"/>
      <c r="AK4186" s="30" t="n"/>
      <c r="AL4186" s="30" t="n"/>
      <c r="AM4186" s="30" t="n"/>
      <c r="AN4186" s="30" t="n"/>
    </row>
    <row r="4187">
      <c r="A4187" s="89" t="inlineStr">
        <is>
          <t>30653</t>
        </is>
      </c>
      <c r="B4187" s="135" t="inlineStr">
        <is>
          <t>VESTIDO</t>
        </is>
      </c>
      <c r="C4187" s="219" t="n">
        <v>35500</v>
      </c>
      <c r="D4187" s="220">
        <f>ROUND((C4187*1.06)/100,0)*100</f>
        <v/>
      </c>
      <c r="E4187" s="220">
        <f>ROUND((C4187*1.13)/100,0)*100</f>
        <v/>
      </c>
      <c r="F4187" s="220">
        <f>ROUND((C4187*1.19)/100,0)*100</f>
        <v/>
      </c>
      <c r="G4187" s="220">
        <f>ROUND((C4187*1.25)/100,0)*100</f>
        <v/>
      </c>
      <c r="H4187" s="220">
        <f>ROUND((C4187*1.32)/100,0)*100</f>
        <v/>
      </c>
      <c r="I4187" s="111" t="n"/>
      <c r="J4187" s="111" t="n"/>
      <c r="K4187" s="88">
        <f>ROUND((C4187*Q4187)/100,0)*100</f>
        <v/>
      </c>
      <c r="L4187" s="88" t="n"/>
      <c r="M4187" s="88" t="n"/>
      <c r="N4187" s="88" t="n"/>
      <c r="O4187" s="88" t="n"/>
      <c r="P4187" s="88" t="n"/>
      <c r="Q4187" s="118" t="n">
        <v>1.25</v>
      </c>
      <c r="R4187" s="117" t="n"/>
      <c r="T4187" s="117" t="n"/>
      <c r="X4187" s="30" t="n"/>
      <c r="Y4187" s="30" t="n"/>
      <c r="Z4187" s="30" t="n"/>
      <c r="AA4187" s="30" t="n"/>
      <c r="AB4187" s="30" t="n"/>
      <c r="AC4187" s="30" t="n"/>
      <c r="AD4187" s="30" t="n"/>
      <c r="AE4187" s="30" t="n"/>
      <c r="AF4187" s="30" t="n"/>
      <c r="AG4187" s="30" t="n"/>
      <c r="AH4187" s="30" t="n"/>
      <c r="AI4187" s="30" t="n"/>
      <c r="AJ4187" s="30" t="n"/>
      <c r="AK4187" s="30" t="n"/>
      <c r="AL4187" s="30" t="n"/>
      <c r="AM4187" s="30" t="n"/>
      <c r="AN4187" s="30" t="n"/>
    </row>
    <row r="4188">
      <c r="A4188" s="89" t="inlineStr">
        <is>
          <t>30654</t>
        </is>
      </c>
      <c r="B4188" s="135" t="inlineStr">
        <is>
          <t>VESTIDO</t>
        </is>
      </c>
      <c r="C4188" s="219" t="n">
        <v>37100</v>
      </c>
      <c r="D4188" s="220">
        <f>ROUND((C4188*1.06)/100,0)*100</f>
        <v/>
      </c>
      <c r="E4188" s="220">
        <f>ROUND((C4188*1.13)/100,0)*100</f>
        <v/>
      </c>
      <c r="F4188" s="220">
        <f>ROUND((C4188*1.19)/100,0)*100</f>
        <v/>
      </c>
      <c r="G4188" s="220">
        <f>ROUND((C4188*1.25)/100,0)*100</f>
        <v/>
      </c>
      <c r="H4188" s="220">
        <f>ROUND((C4188*1.32)/100,0)*100</f>
        <v/>
      </c>
      <c r="I4188" s="111" t="n"/>
      <c r="J4188" s="111" t="n"/>
      <c r="K4188" s="88">
        <f>ROUND((C4188*Q4188)/100,0)*100</f>
        <v/>
      </c>
      <c r="L4188" s="88" t="n"/>
      <c r="M4188" s="88" t="n"/>
      <c r="N4188" s="88" t="n"/>
      <c r="O4188" s="88" t="n"/>
      <c r="P4188" s="88" t="n"/>
      <c r="Q4188" s="118" t="n">
        <v>1.25</v>
      </c>
      <c r="R4188" s="117" t="n"/>
      <c r="T4188" s="117" t="n"/>
      <c r="X4188" s="30" t="n"/>
      <c r="Y4188" s="30" t="n"/>
      <c r="Z4188" s="30" t="n"/>
      <c r="AA4188" s="30" t="n"/>
      <c r="AB4188" s="30" t="n"/>
      <c r="AC4188" s="30" t="n"/>
      <c r="AD4188" s="30" t="n"/>
      <c r="AE4188" s="30" t="n"/>
      <c r="AF4188" s="30" t="n"/>
      <c r="AG4188" s="30" t="n"/>
      <c r="AH4188" s="30" t="n"/>
      <c r="AI4188" s="30" t="n"/>
      <c r="AJ4188" s="30" t="n"/>
      <c r="AK4188" s="30" t="n"/>
      <c r="AL4188" s="30" t="n"/>
      <c r="AM4188" s="30" t="n"/>
      <c r="AN4188" s="30" t="n"/>
    </row>
    <row r="4189">
      <c r="A4189" s="89" t="inlineStr">
        <is>
          <t>30655</t>
        </is>
      </c>
      <c r="B4189" s="135" t="inlineStr">
        <is>
          <t>VESTIDO</t>
        </is>
      </c>
      <c r="C4189" s="219" t="n">
        <v>39000</v>
      </c>
      <c r="D4189" s="220">
        <f>ROUND((C4189*1.06)/100,0)*100</f>
        <v/>
      </c>
      <c r="E4189" s="220">
        <f>ROUND((C4189*1.13)/100,0)*100</f>
        <v/>
      </c>
      <c r="F4189" s="220">
        <f>ROUND((C4189*1.19)/100,0)*100</f>
        <v/>
      </c>
      <c r="G4189" s="220">
        <f>ROUND((C4189*1.25)/100,0)*100</f>
        <v/>
      </c>
      <c r="H4189" s="220">
        <f>ROUND((C4189*1.32)/100,0)*100</f>
        <v/>
      </c>
      <c r="I4189" s="111" t="n"/>
      <c r="J4189" s="111" t="n"/>
      <c r="K4189" s="88">
        <f>ROUND((C4189*Q4189)/100,0)*100</f>
        <v/>
      </c>
      <c r="L4189" s="88" t="n"/>
      <c r="M4189" s="88" t="n"/>
      <c r="N4189" s="88" t="n"/>
      <c r="O4189" s="88" t="n"/>
      <c r="P4189" s="88" t="n"/>
      <c r="Q4189" s="118" t="n">
        <v>1.25</v>
      </c>
      <c r="R4189" s="117" t="n"/>
      <c r="T4189" s="117" t="n"/>
      <c r="X4189" s="30" t="n"/>
      <c r="Y4189" s="30" t="n"/>
      <c r="Z4189" s="30" t="n"/>
      <c r="AA4189" s="30" t="n"/>
      <c r="AB4189" s="30" t="n"/>
      <c r="AC4189" s="30" t="n"/>
      <c r="AD4189" s="30" t="n"/>
      <c r="AE4189" s="30" t="n"/>
      <c r="AF4189" s="30" t="n"/>
      <c r="AG4189" s="30" t="n"/>
      <c r="AH4189" s="30" t="n"/>
      <c r="AI4189" s="30" t="n"/>
      <c r="AJ4189" s="30" t="n"/>
      <c r="AK4189" s="30" t="n"/>
      <c r="AL4189" s="30" t="n"/>
      <c r="AM4189" s="30" t="n"/>
      <c r="AN4189" s="30" t="n"/>
    </row>
    <row r="4190">
      <c r="A4190" s="89" t="inlineStr">
        <is>
          <t>30656</t>
        </is>
      </c>
      <c r="B4190" s="135" t="inlineStr">
        <is>
          <t>VESTIDO</t>
        </is>
      </c>
      <c r="C4190" s="219" t="n">
        <v>41000</v>
      </c>
      <c r="D4190" s="220">
        <f>ROUND((C4190*1.06)/100,0)*100</f>
        <v/>
      </c>
      <c r="E4190" s="220">
        <f>ROUND((C4190*1.13)/100,0)*100</f>
        <v/>
      </c>
      <c r="F4190" s="220">
        <f>ROUND((C4190*1.19)/100,0)*100</f>
        <v/>
      </c>
      <c r="G4190" s="220">
        <f>ROUND((C4190*1.25)/100,0)*100</f>
        <v/>
      </c>
      <c r="H4190" s="220">
        <f>ROUND((C4190*1.32)/100,0)*100</f>
        <v/>
      </c>
      <c r="I4190" s="111" t="n"/>
      <c r="J4190" s="111" t="n"/>
      <c r="K4190" s="88">
        <f>ROUND((C4190*Q4190)/100,0)*100</f>
        <v/>
      </c>
      <c r="L4190" s="88" t="n"/>
      <c r="M4190" s="88" t="n"/>
      <c r="N4190" s="88" t="n"/>
      <c r="O4190" s="88" t="n"/>
      <c r="P4190" s="88" t="n"/>
      <c r="Q4190" s="118" t="n">
        <v>1.25</v>
      </c>
      <c r="R4190" s="117" t="n"/>
      <c r="T4190" s="117" t="n"/>
      <c r="X4190" s="30" t="n"/>
      <c r="Y4190" s="30" t="n"/>
      <c r="Z4190" s="30" t="n"/>
      <c r="AA4190" s="30" t="n"/>
      <c r="AB4190" s="30" t="n"/>
      <c r="AC4190" s="30" t="n"/>
      <c r="AD4190" s="30" t="n"/>
      <c r="AE4190" s="30" t="n"/>
      <c r="AF4190" s="30" t="n"/>
      <c r="AG4190" s="30" t="n"/>
      <c r="AH4190" s="30" t="n"/>
      <c r="AI4190" s="30" t="n"/>
      <c r="AJ4190" s="30" t="n"/>
      <c r="AK4190" s="30" t="n"/>
      <c r="AL4190" s="30" t="n"/>
      <c r="AM4190" s="30" t="n"/>
      <c r="AN4190" s="30" t="n"/>
    </row>
    <row r="4191">
      <c r="A4191" s="89" t="inlineStr">
        <is>
          <t>30657</t>
        </is>
      </c>
      <c r="B4191" s="135" t="inlineStr">
        <is>
          <t>VESTIDO</t>
        </is>
      </c>
      <c r="C4191" s="219" t="n">
        <v>43000</v>
      </c>
      <c r="D4191" s="220">
        <f>ROUND((C4191*1.06)/100,0)*100</f>
        <v/>
      </c>
      <c r="E4191" s="220">
        <f>ROUND((C4191*1.13)/100,0)*100</f>
        <v/>
      </c>
      <c r="F4191" s="220">
        <f>ROUND((C4191*1.19)/100,0)*100</f>
        <v/>
      </c>
      <c r="G4191" s="220">
        <f>ROUND((C4191*1.25)/100,0)*100</f>
        <v/>
      </c>
      <c r="H4191" s="220">
        <f>ROUND((C4191*1.32)/100,0)*100</f>
        <v/>
      </c>
      <c r="I4191" s="111" t="n"/>
      <c r="J4191" s="111" t="n"/>
      <c r="K4191" s="88">
        <f>ROUND((C4191*Q4191)/100,0)*100</f>
        <v/>
      </c>
      <c r="L4191" s="88" t="n"/>
      <c r="M4191" s="88" t="n"/>
      <c r="N4191" s="88" t="n"/>
      <c r="O4191" s="88" t="n"/>
      <c r="P4191" s="88" t="n"/>
      <c r="Q4191" s="118" t="n">
        <v>1.25</v>
      </c>
      <c r="R4191" s="117" t="n"/>
      <c r="T4191" s="117" t="n"/>
      <c r="X4191" s="30" t="n"/>
      <c r="Y4191" s="30" t="n"/>
      <c r="Z4191" s="30" t="n"/>
      <c r="AA4191" s="30" t="n"/>
      <c r="AB4191" s="30" t="n"/>
      <c r="AC4191" s="30" t="n"/>
      <c r="AD4191" s="30" t="n"/>
      <c r="AE4191" s="30" t="n"/>
      <c r="AF4191" s="30" t="n"/>
      <c r="AG4191" s="30" t="n"/>
      <c r="AH4191" s="30" t="n"/>
      <c r="AI4191" s="30" t="n"/>
      <c r="AJ4191" s="30" t="n"/>
      <c r="AK4191" s="30" t="n"/>
      <c r="AL4191" s="30" t="n"/>
      <c r="AM4191" s="30" t="n"/>
      <c r="AN4191" s="30" t="n"/>
    </row>
    <row r="4192">
      <c r="A4192" s="89" t="inlineStr">
        <is>
          <t>30658</t>
        </is>
      </c>
      <c r="B4192" s="135" t="inlineStr">
        <is>
          <t>VESTIDO</t>
        </is>
      </c>
      <c r="C4192" s="219" t="n">
        <v>44900</v>
      </c>
      <c r="D4192" s="220">
        <f>ROUND((C4192*1.06)/100,0)*100</f>
        <v/>
      </c>
      <c r="E4192" s="220">
        <f>ROUND((C4192*1.13)/100,0)*100</f>
        <v/>
      </c>
      <c r="F4192" s="220">
        <f>ROUND((C4192*1.19)/100,0)*100</f>
        <v/>
      </c>
      <c r="G4192" s="220">
        <f>ROUND((C4192*1.25)/100,0)*100</f>
        <v/>
      </c>
      <c r="H4192" s="220">
        <f>ROUND((C4192*1.32)/100,0)*100</f>
        <v/>
      </c>
      <c r="I4192" s="111" t="n"/>
      <c r="J4192" s="111" t="n"/>
      <c r="K4192" s="88">
        <f>ROUND((C4192*Q4192)/100,0)*100</f>
        <v/>
      </c>
      <c r="L4192" s="88" t="n"/>
      <c r="M4192" s="88" t="n"/>
      <c r="N4192" s="88" t="n"/>
      <c r="O4192" s="88" t="n"/>
      <c r="P4192" s="88" t="n"/>
      <c r="Q4192" s="118" t="n">
        <v>1.25</v>
      </c>
      <c r="R4192" s="117" t="n"/>
      <c r="T4192" s="117" t="n"/>
      <c r="X4192" s="30" t="n"/>
      <c r="Y4192" s="30" t="n"/>
      <c r="Z4192" s="30" t="n"/>
      <c r="AA4192" s="30" t="n"/>
      <c r="AB4192" s="30" t="n"/>
      <c r="AC4192" s="30" t="n"/>
      <c r="AD4192" s="30" t="n"/>
      <c r="AE4192" s="30" t="n"/>
      <c r="AF4192" s="30" t="n"/>
      <c r="AG4192" s="30" t="n"/>
      <c r="AH4192" s="30" t="n"/>
      <c r="AI4192" s="30" t="n"/>
      <c r="AJ4192" s="30" t="n"/>
      <c r="AK4192" s="30" t="n"/>
      <c r="AL4192" s="30" t="n"/>
      <c r="AM4192" s="30" t="n"/>
      <c r="AN4192" s="30" t="n"/>
    </row>
    <row r="4193">
      <c r="A4193" s="89" t="inlineStr">
        <is>
          <t>30659</t>
        </is>
      </c>
      <c r="B4193" s="135" t="inlineStr">
        <is>
          <t>VESTIDO</t>
        </is>
      </c>
      <c r="C4193" s="88" t="n">
        <v>49600</v>
      </c>
      <c r="D4193" s="220">
        <f>ROUND((C4193*1.06)/100,0)*100</f>
        <v/>
      </c>
      <c r="E4193" s="220">
        <f>ROUND((C4193*1.13)/100,0)*100</f>
        <v/>
      </c>
      <c r="F4193" s="220">
        <f>ROUND((C4193*1.19)/100,0)*100</f>
        <v/>
      </c>
      <c r="G4193" s="220">
        <f>ROUND((C4193*1.25)/100,0)*100</f>
        <v/>
      </c>
      <c r="H4193" s="220">
        <f>ROUND((C4193*1.32)/100,0)*100</f>
        <v/>
      </c>
      <c r="I4193" s="111" t="n"/>
      <c r="J4193" s="111" t="n"/>
      <c r="K4193" s="88">
        <f>ROUND((C4193*Q4193)/100,0)*100</f>
        <v/>
      </c>
      <c r="L4193" s="88" t="n"/>
      <c r="M4193" s="88" t="n"/>
      <c r="N4193" s="88" t="n"/>
      <c r="O4193" s="88" t="n"/>
      <c r="P4193" s="88" t="n"/>
      <c r="Q4193" s="118" t="n">
        <v>1.25</v>
      </c>
      <c r="R4193" s="117" t="n"/>
      <c r="T4193" s="117" t="n"/>
      <c r="X4193" s="30" t="n"/>
      <c r="Y4193" s="30" t="n"/>
      <c r="Z4193" s="30" t="n"/>
      <c r="AA4193" s="30" t="n"/>
      <c r="AB4193" s="30" t="n"/>
      <c r="AC4193" s="30" t="n"/>
      <c r="AD4193" s="30" t="n"/>
      <c r="AE4193" s="30" t="n"/>
      <c r="AF4193" s="30" t="n"/>
      <c r="AG4193" s="30" t="n"/>
      <c r="AH4193" s="30" t="n"/>
      <c r="AI4193" s="30" t="n"/>
      <c r="AJ4193" s="30" t="n"/>
      <c r="AK4193" s="30" t="n"/>
      <c r="AL4193" s="30" t="n"/>
      <c r="AM4193" s="30" t="n"/>
      <c r="AN4193" s="30" t="n"/>
    </row>
    <row r="4194">
      <c r="A4194" s="89" t="inlineStr">
        <is>
          <t>30660</t>
        </is>
      </c>
      <c r="B4194" s="135" t="inlineStr">
        <is>
          <t>VESTIDO</t>
        </is>
      </c>
      <c r="C4194" s="88" t="n">
        <v>49600</v>
      </c>
      <c r="D4194" s="220">
        <f>ROUND((C4194*1.06)/100,0)*100</f>
        <v/>
      </c>
      <c r="E4194" s="220">
        <f>ROUND((C4194*1.13)/100,0)*100</f>
        <v/>
      </c>
      <c r="F4194" s="220">
        <f>ROUND((C4194*1.19)/100,0)*100</f>
        <v/>
      </c>
      <c r="G4194" s="220">
        <f>ROUND((C4194*1.25)/100,0)*100</f>
        <v/>
      </c>
      <c r="H4194" s="220">
        <f>ROUND((C4194*1.32)/100,0)*100</f>
        <v/>
      </c>
      <c r="I4194" s="170" t="n"/>
      <c r="J4194" s="170" t="n"/>
      <c r="K4194" s="88">
        <f>ROUND((C4194*Q4194)/100,0)*100</f>
        <v/>
      </c>
      <c r="L4194" s="88" t="n"/>
      <c r="M4194" s="88" t="n"/>
      <c r="N4194" s="88" t="n"/>
      <c r="O4194" s="88" t="n"/>
      <c r="P4194" s="88" t="n"/>
      <c r="Q4194" s="118" t="n">
        <v>1.25</v>
      </c>
      <c r="R4194" s="117" t="n"/>
      <c r="T4194" s="117" t="n"/>
      <c r="X4194" s="30" t="n"/>
      <c r="Y4194" s="30" t="n"/>
      <c r="Z4194" s="30" t="n"/>
      <c r="AA4194" s="30" t="n"/>
      <c r="AB4194" s="30" t="n"/>
      <c r="AC4194" s="30" t="n"/>
      <c r="AD4194" s="30" t="n"/>
      <c r="AE4194" s="30" t="n"/>
      <c r="AF4194" s="30" t="n"/>
      <c r="AG4194" s="30" t="n"/>
      <c r="AH4194" s="30" t="n"/>
      <c r="AI4194" s="30" t="n"/>
      <c r="AJ4194" s="30" t="n"/>
      <c r="AK4194" s="30" t="n"/>
      <c r="AL4194" s="30" t="n"/>
      <c r="AM4194" s="30" t="n"/>
      <c r="AN4194" s="30" t="n"/>
    </row>
    <row r="4195">
      <c r="A4195" s="89" t="inlineStr">
        <is>
          <t>30661</t>
        </is>
      </c>
      <c r="B4195" s="135" t="inlineStr">
        <is>
          <t>VESTIDO</t>
        </is>
      </c>
      <c r="C4195" s="88" t="n">
        <v>50800</v>
      </c>
      <c r="D4195" s="220">
        <f>ROUND((C4195*1.06)/100,0)*100</f>
        <v/>
      </c>
      <c r="E4195" s="220">
        <f>ROUND((C4195*1.13)/100,0)*100</f>
        <v/>
      </c>
      <c r="F4195" s="220">
        <f>ROUND((C4195*1.19)/100,0)*100</f>
        <v/>
      </c>
      <c r="G4195" s="220">
        <f>ROUND((C4195*1.25)/100,0)*100</f>
        <v/>
      </c>
      <c r="H4195" s="220">
        <f>ROUND((C4195*1.32)/100,0)*100</f>
        <v/>
      </c>
      <c r="I4195" s="170" t="n"/>
      <c r="J4195" s="170" t="n"/>
      <c r="K4195" s="88">
        <f>ROUND((C4195*Q4195)/100,0)*100</f>
        <v/>
      </c>
      <c r="L4195" s="88" t="n"/>
      <c r="M4195" s="88" t="n"/>
      <c r="N4195" s="88" t="n"/>
      <c r="O4195" s="88" t="n"/>
      <c r="P4195" s="88" t="n"/>
      <c r="Q4195" s="118" t="n">
        <v>1.25</v>
      </c>
      <c r="R4195" s="117" t="n"/>
      <c r="T4195" s="117" t="n"/>
      <c r="X4195" s="30" t="n"/>
      <c r="Y4195" s="30" t="n"/>
      <c r="Z4195" s="30" t="n"/>
      <c r="AA4195" s="30" t="n"/>
      <c r="AB4195" s="30" t="n"/>
      <c r="AC4195" s="30" t="n"/>
      <c r="AD4195" s="30" t="n"/>
      <c r="AE4195" s="30" t="n"/>
      <c r="AF4195" s="30" t="n"/>
      <c r="AG4195" s="30" t="n"/>
      <c r="AH4195" s="30" t="n"/>
      <c r="AI4195" s="30" t="n"/>
      <c r="AJ4195" s="30" t="n"/>
      <c r="AK4195" s="30" t="n"/>
      <c r="AL4195" s="30" t="n"/>
      <c r="AM4195" s="30" t="n"/>
      <c r="AN4195" s="30" t="n"/>
    </row>
    <row r="4196">
      <c r="A4196" s="89" t="inlineStr">
        <is>
          <t>30662</t>
        </is>
      </c>
      <c r="B4196" s="135" t="inlineStr">
        <is>
          <t>VESTIDO</t>
        </is>
      </c>
      <c r="C4196" s="88" t="n">
        <v>52800</v>
      </c>
      <c r="D4196" s="220">
        <f>ROUND((C4196*1.06)/100,0)*100</f>
        <v/>
      </c>
      <c r="E4196" s="220">
        <f>ROUND((C4196*1.13)/100,0)*100</f>
        <v/>
      </c>
      <c r="F4196" s="220">
        <f>ROUND((C4196*1.19)/100,0)*100</f>
        <v/>
      </c>
      <c r="G4196" s="220">
        <f>ROUND((C4196*1.25)/100,0)*100</f>
        <v/>
      </c>
      <c r="H4196" s="220">
        <f>ROUND((C4196*1.32)/100,0)*100</f>
        <v/>
      </c>
      <c r="I4196" s="170" t="n"/>
      <c r="J4196" s="170" t="n"/>
      <c r="K4196" s="88">
        <f>ROUND((C4196*Q4196)/100,0)*100</f>
        <v/>
      </c>
      <c r="L4196" s="88" t="n"/>
      <c r="M4196" s="88" t="n"/>
      <c r="N4196" s="88" t="n"/>
      <c r="O4196" s="88" t="n"/>
      <c r="P4196" s="88" t="n"/>
      <c r="Q4196" s="118" t="n">
        <v>1.25</v>
      </c>
      <c r="R4196" s="117" t="n"/>
      <c r="T4196" s="117" t="n"/>
      <c r="X4196" s="30" t="n"/>
      <c r="Y4196" s="30" t="n"/>
      <c r="Z4196" s="30" t="n"/>
      <c r="AA4196" s="30" t="n"/>
      <c r="AB4196" s="30" t="n"/>
      <c r="AC4196" s="30" t="n"/>
      <c r="AD4196" s="30" t="n"/>
      <c r="AE4196" s="30" t="n"/>
      <c r="AF4196" s="30" t="n"/>
      <c r="AG4196" s="30" t="n"/>
      <c r="AH4196" s="30" t="n"/>
      <c r="AI4196" s="30" t="n"/>
      <c r="AJ4196" s="30" t="n"/>
      <c r="AK4196" s="30" t="n"/>
      <c r="AL4196" s="30" t="n"/>
      <c r="AM4196" s="30" t="n"/>
      <c r="AN4196" s="30" t="n"/>
    </row>
    <row r="4197">
      <c r="A4197" s="89" t="inlineStr">
        <is>
          <t>30663</t>
        </is>
      </c>
      <c r="B4197" s="135" t="inlineStr">
        <is>
          <t>VESTIDO</t>
        </is>
      </c>
      <c r="C4197" s="88" t="n">
        <v>54700</v>
      </c>
      <c r="D4197" s="220">
        <f>ROUND((C4197*1.06)/100,0)*100</f>
        <v/>
      </c>
      <c r="E4197" s="220">
        <f>ROUND((C4197*1.13)/100,0)*100</f>
        <v/>
      </c>
      <c r="F4197" s="220">
        <f>ROUND((C4197*1.19)/100,0)*100</f>
        <v/>
      </c>
      <c r="G4197" s="220">
        <f>ROUND((C4197*1.25)/100,0)*100</f>
        <v/>
      </c>
      <c r="H4197" s="220">
        <f>ROUND((C4197*1.32)/100,0)*100</f>
        <v/>
      </c>
      <c r="I4197" s="170" t="n"/>
      <c r="J4197" s="170" t="n"/>
      <c r="K4197" s="88">
        <f>ROUND((C4197*Q4197)/100,0)*100</f>
        <v/>
      </c>
      <c r="L4197" s="88" t="n"/>
      <c r="M4197" s="88" t="n"/>
      <c r="N4197" s="88" t="n"/>
      <c r="O4197" s="88" t="n"/>
      <c r="P4197" s="88" t="n"/>
      <c r="Q4197" s="118" t="n">
        <v>1.25</v>
      </c>
      <c r="R4197" s="117" t="n"/>
      <c r="T4197" s="117" t="n"/>
      <c r="X4197" s="30" t="n"/>
      <c r="Y4197" s="30" t="n"/>
      <c r="Z4197" s="30" t="n"/>
      <c r="AA4197" s="30" t="n"/>
      <c r="AB4197" s="30" t="n"/>
      <c r="AC4197" s="30" t="n"/>
      <c r="AD4197" s="30" t="n"/>
      <c r="AE4197" s="30" t="n"/>
      <c r="AF4197" s="30" t="n"/>
      <c r="AG4197" s="30" t="n"/>
      <c r="AH4197" s="30" t="n"/>
      <c r="AI4197" s="30" t="n"/>
      <c r="AJ4197" s="30" t="n"/>
      <c r="AK4197" s="30" t="n"/>
      <c r="AL4197" s="30" t="n"/>
      <c r="AM4197" s="30" t="n"/>
      <c r="AN4197" s="30" t="n"/>
    </row>
    <row r="4198">
      <c r="A4198" s="89" t="inlineStr">
        <is>
          <t>30664</t>
        </is>
      </c>
      <c r="B4198" s="135" t="inlineStr">
        <is>
          <t>VESTIDO</t>
        </is>
      </c>
      <c r="C4198" s="88" t="n">
        <v>54600</v>
      </c>
      <c r="D4198" s="220">
        <f>ROUND((C4198*1.06)/100,0)*100</f>
        <v/>
      </c>
      <c r="E4198" s="220">
        <f>ROUND((C4198*1.13)/100,0)*100</f>
        <v/>
      </c>
      <c r="F4198" s="220">
        <f>ROUND((C4198*1.19)/100,0)*100</f>
        <v/>
      </c>
      <c r="G4198" s="220">
        <f>ROUND((C4198*1.25)/100,0)*100</f>
        <v/>
      </c>
      <c r="H4198" s="220">
        <f>ROUND((C4198*1.32)/100,0)*100</f>
        <v/>
      </c>
      <c r="I4198" s="170" t="n"/>
      <c r="J4198" s="170" t="n"/>
      <c r="K4198" s="88">
        <f>ROUND((C4198*Q4198)/100,0)*100</f>
        <v/>
      </c>
      <c r="L4198" s="88" t="n"/>
      <c r="M4198" s="88" t="n"/>
      <c r="N4198" s="88" t="n"/>
      <c r="O4198" s="88" t="n"/>
      <c r="P4198" s="88" t="n"/>
      <c r="Q4198" s="118" t="n">
        <v>1.25</v>
      </c>
      <c r="R4198" s="117" t="n"/>
      <c r="T4198" s="117" t="n"/>
      <c r="X4198" s="30" t="n"/>
      <c r="Y4198" s="30" t="n"/>
      <c r="Z4198" s="30" t="n"/>
      <c r="AA4198" s="30" t="n"/>
      <c r="AB4198" s="30" t="n"/>
      <c r="AC4198" s="30" t="n"/>
      <c r="AD4198" s="30" t="n"/>
      <c r="AE4198" s="30" t="n"/>
      <c r="AF4198" s="30" t="n"/>
      <c r="AG4198" s="30" t="n"/>
      <c r="AH4198" s="30" t="n"/>
      <c r="AI4198" s="30" t="n"/>
      <c r="AJ4198" s="30" t="n"/>
      <c r="AK4198" s="30" t="n"/>
      <c r="AL4198" s="30" t="n"/>
      <c r="AM4198" s="30" t="n"/>
      <c r="AN4198" s="30" t="n"/>
    </row>
    <row r="4199">
      <c r="A4199" s="89" t="inlineStr">
        <is>
          <t>30665</t>
        </is>
      </c>
      <c r="B4199" s="135" t="inlineStr">
        <is>
          <t>VESTIDO</t>
        </is>
      </c>
      <c r="C4199" s="88" t="n">
        <v>58600</v>
      </c>
      <c r="D4199" s="220">
        <f>ROUND((C4199*1.06)/100,0)*100</f>
        <v/>
      </c>
      <c r="E4199" s="220">
        <f>ROUND((C4199*1.13)/100,0)*100</f>
        <v/>
      </c>
      <c r="F4199" s="220">
        <f>ROUND((C4199*1.19)/100,0)*100</f>
        <v/>
      </c>
      <c r="G4199" s="220">
        <f>ROUND((C4199*1.25)/100,0)*100</f>
        <v/>
      </c>
      <c r="H4199" s="220">
        <f>ROUND((C4199*1.32)/100,0)*100</f>
        <v/>
      </c>
      <c r="I4199" s="170" t="n"/>
      <c r="J4199" s="170" t="n"/>
      <c r="K4199" s="88">
        <f>ROUND((C4199*Q4199)/100,0)*100</f>
        <v/>
      </c>
      <c r="L4199" s="88" t="n"/>
      <c r="M4199" s="88" t="n"/>
      <c r="N4199" s="88" t="n"/>
      <c r="O4199" s="88" t="n"/>
      <c r="P4199" s="88" t="n"/>
      <c r="Q4199" s="118" t="n">
        <v>1.25</v>
      </c>
      <c r="R4199" s="117" t="n"/>
      <c r="T4199" s="117" t="n"/>
      <c r="X4199" s="30" t="n"/>
      <c r="Y4199" s="30" t="n"/>
      <c r="Z4199" s="30" t="n"/>
      <c r="AA4199" s="30" t="n"/>
      <c r="AB4199" s="30" t="n"/>
      <c r="AC4199" s="30" t="n"/>
      <c r="AD4199" s="30" t="n"/>
      <c r="AE4199" s="30" t="n"/>
      <c r="AF4199" s="30" t="n"/>
      <c r="AG4199" s="30" t="n"/>
      <c r="AH4199" s="30" t="n"/>
      <c r="AI4199" s="30" t="n"/>
      <c r="AJ4199" s="30" t="n"/>
      <c r="AK4199" s="30" t="n"/>
      <c r="AL4199" s="30" t="n"/>
      <c r="AM4199" s="30" t="n"/>
      <c r="AN4199" s="30" t="n"/>
    </row>
    <row r="4200">
      <c r="A4200" s="89" t="inlineStr">
        <is>
          <t>30666</t>
        </is>
      </c>
      <c r="B4200" s="135" t="inlineStr">
        <is>
          <t>VESTIDO</t>
        </is>
      </c>
      <c r="C4200" s="88" t="n">
        <v>60600</v>
      </c>
      <c r="D4200" s="220">
        <f>ROUND((C4200*1.06)/100,0)*100</f>
        <v/>
      </c>
      <c r="E4200" s="220">
        <f>ROUND((C4200*1.13)/100,0)*100</f>
        <v/>
      </c>
      <c r="F4200" s="220">
        <f>ROUND((C4200*1.19)/100,0)*100</f>
        <v/>
      </c>
      <c r="G4200" s="220">
        <f>ROUND((C4200*1.25)/100,0)*100</f>
        <v/>
      </c>
      <c r="H4200" s="220">
        <f>ROUND((C4200*1.32)/100,0)*100</f>
        <v/>
      </c>
      <c r="I4200" s="170" t="n"/>
      <c r="J4200" s="170" t="n"/>
      <c r="K4200" s="88">
        <f>ROUND((C4200*Q4200)/100,0)*100</f>
        <v/>
      </c>
      <c r="L4200" s="88" t="n"/>
      <c r="M4200" s="88" t="n"/>
      <c r="N4200" s="88" t="n"/>
      <c r="O4200" s="88" t="n"/>
      <c r="P4200" s="88" t="n"/>
      <c r="Q4200" s="118" t="n">
        <v>1.25</v>
      </c>
      <c r="R4200" s="117" t="n"/>
      <c r="T4200" s="117" t="n"/>
      <c r="X4200" s="30" t="n"/>
      <c r="Y4200" s="30" t="n"/>
      <c r="Z4200" s="30" t="n"/>
      <c r="AA4200" s="30" t="n"/>
      <c r="AB4200" s="30" t="n"/>
      <c r="AC4200" s="30" t="n"/>
      <c r="AD4200" s="30" t="n"/>
      <c r="AE4200" s="30" t="n"/>
      <c r="AF4200" s="30" t="n"/>
      <c r="AG4200" s="30" t="n"/>
      <c r="AH4200" s="30" t="n"/>
      <c r="AI4200" s="30" t="n"/>
      <c r="AJ4200" s="30" t="n"/>
      <c r="AK4200" s="30" t="n"/>
      <c r="AL4200" s="30" t="n"/>
      <c r="AM4200" s="30" t="n"/>
      <c r="AN4200" s="30" t="n"/>
    </row>
    <row r="4201">
      <c r="A4201" s="89" t="inlineStr">
        <is>
          <t>30667</t>
        </is>
      </c>
      <c r="B4201" s="135" t="inlineStr">
        <is>
          <t>VESTIDO</t>
        </is>
      </c>
      <c r="C4201" s="88" t="n">
        <v>62600</v>
      </c>
      <c r="D4201" s="220">
        <f>ROUND((C4201*1.06)/100,0)*100</f>
        <v/>
      </c>
      <c r="E4201" s="220">
        <f>ROUND((C4201*1.13)/100,0)*100</f>
        <v/>
      </c>
      <c r="F4201" s="220">
        <f>ROUND((C4201*1.19)/100,0)*100</f>
        <v/>
      </c>
      <c r="G4201" s="220">
        <f>ROUND((C4201*1.25)/100,0)*100</f>
        <v/>
      </c>
      <c r="H4201" s="220">
        <f>ROUND((C4201*1.32)/100,0)*100</f>
        <v/>
      </c>
      <c r="I4201" s="170" t="n"/>
      <c r="J4201" s="170" t="n"/>
      <c r="K4201" s="88">
        <f>ROUND((C4201*Q4201)/100,0)*100</f>
        <v/>
      </c>
      <c r="L4201" s="88" t="n"/>
      <c r="M4201" s="88" t="n"/>
      <c r="N4201" s="88" t="n"/>
      <c r="O4201" s="88" t="n"/>
      <c r="P4201" s="88" t="n"/>
      <c r="Q4201" s="118" t="n">
        <v>1.25</v>
      </c>
      <c r="R4201" s="117" t="n"/>
      <c r="T4201" s="117" t="n"/>
      <c r="X4201" s="30" t="n"/>
      <c r="Y4201" s="30" t="n"/>
      <c r="Z4201" s="30" t="n"/>
      <c r="AA4201" s="30" t="n"/>
      <c r="AB4201" s="30" t="n"/>
      <c r="AC4201" s="30" t="n"/>
      <c r="AD4201" s="30" t="n"/>
      <c r="AE4201" s="30" t="n"/>
      <c r="AF4201" s="30" t="n"/>
      <c r="AG4201" s="30" t="n"/>
      <c r="AH4201" s="30" t="n"/>
      <c r="AI4201" s="30" t="n"/>
      <c r="AJ4201" s="30" t="n"/>
      <c r="AK4201" s="30" t="n"/>
      <c r="AL4201" s="30" t="n"/>
      <c r="AM4201" s="30" t="n"/>
      <c r="AN4201" s="30" t="n"/>
    </row>
    <row r="4202">
      <c r="A4202" s="89" t="inlineStr">
        <is>
          <t>30668</t>
        </is>
      </c>
      <c r="B4202" s="135" t="inlineStr">
        <is>
          <t>VESTIDO</t>
        </is>
      </c>
      <c r="C4202" s="88" t="n">
        <v>39900</v>
      </c>
      <c r="D4202" s="220">
        <f>ROUND((C4202*1.06)/100,0)*100</f>
        <v/>
      </c>
      <c r="E4202" s="220">
        <f>ROUND((C4202*1.13)/100,0)*100</f>
        <v/>
      </c>
      <c r="F4202" s="220">
        <f>ROUND((C4202*1.19)/100,0)*100</f>
        <v/>
      </c>
      <c r="G4202" s="220">
        <f>ROUND((C4202*1.25)/100,0)*100</f>
        <v/>
      </c>
      <c r="H4202" s="220">
        <f>ROUND((C4202*1.32)/100,0)*100</f>
        <v/>
      </c>
      <c r="I4202" s="170" t="n"/>
      <c r="J4202" s="170" t="n"/>
      <c r="K4202" s="88">
        <f>ROUND((C4202*Q4202)/100,0)*100</f>
        <v/>
      </c>
      <c r="L4202" s="88" t="n"/>
      <c r="M4202" s="88" t="n"/>
      <c r="N4202" s="88" t="n"/>
      <c r="O4202" s="88" t="n"/>
      <c r="P4202" s="88" t="n"/>
      <c r="Q4202" s="118" t="n">
        <v>1.25</v>
      </c>
      <c r="R4202" s="117" t="n"/>
      <c r="T4202" s="117" t="n"/>
      <c r="X4202" s="30" t="n"/>
      <c r="Y4202" s="30" t="n"/>
      <c r="Z4202" s="30" t="n"/>
      <c r="AA4202" s="30" t="n"/>
      <c r="AB4202" s="30" t="n"/>
      <c r="AC4202" s="30" t="n"/>
      <c r="AD4202" s="30" t="n"/>
      <c r="AE4202" s="30" t="n"/>
      <c r="AF4202" s="30" t="n"/>
      <c r="AG4202" s="30" t="n"/>
      <c r="AH4202" s="30" t="n"/>
      <c r="AI4202" s="30" t="n"/>
      <c r="AJ4202" s="30" t="n"/>
      <c r="AK4202" s="30" t="n"/>
      <c r="AL4202" s="30" t="n"/>
      <c r="AM4202" s="30" t="n"/>
      <c r="AN4202" s="30" t="n"/>
    </row>
    <row r="4203">
      <c r="A4203" s="89" t="inlineStr">
        <is>
          <t>30669</t>
        </is>
      </c>
      <c r="B4203" s="135" t="inlineStr">
        <is>
          <t>VESTIDO</t>
        </is>
      </c>
      <c r="C4203" s="88" t="n">
        <v>68100</v>
      </c>
      <c r="D4203" s="220">
        <f>ROUND((C4203*1.06)/100,0)*100</f>
        <v/>
      </c>
      <c r="E4203" s="220">
        <f>ROUND((C4203*1.13)/100,0)*100</f>
        <v/>
      </c>
      <c r="F4203" s="220">
        <f>ROUND((C4203*1.19)/100,0)*100</f>
        <v/>
      </c>
      <c r="G4203" s="220">
        <f>ROUND((C4203*1.25)/100,0)*100</f>
        <v/>
      </c>
      <c r="H4203" s="220">
        <f>ROUND((C4203*1.32)/100,0)*100</f>
        <v/>
      </c>
      <c r="I4203" s="170" t="n"/>
      <c r="J4203" s="170" t="n"/>
      <c r="K4203" s="88">
        <f>ROUND((C4203*Q4203)/100,0)*100</f>
        <v/>
      </c>
      <c r="L4203" s="88" t="n"/>
      <c r="M4203" s="88" t="n"/>
      <c r="N4203" s="88" t="n"/>
      <c r="O4203" s="88" t="n"/>
      <c r="P4203" s="88" t="n"/>
      <c r="Q4203" s="118" t="n">
        <v>1.25</v>
      </c>
      <c r="R4203" s="117" t="n"/>
      <c r="T4203" s="117" t="n"/>
      <c r="X4203" s="30" t="n"/>
      <c r="Y4203" s="30" t="n"/>
      <c r="Z4203" s="30" t="n"/>
      <c r="AA4203" s="30" t="n"/>
      <c r="AB4203" s="30" t="n"/>
      <c r="AC4203" s="30" t="n"/>
      <c r="AD4203" s="30" t="n"/>
      <c r="AE4203" s="30" t="n"/>
      <c r="AF4203" s="30" t="n"/>
      <c r="AG4203" s="30" t="n"/>
      <c r="AH4203" s="30" t="n"/>
      <c r="AI4203" s="30" t="n"/>
      <c r="AJ4203" s="30" t="n"/>
      <c r="AK4203" s="30" t="n"/>
      <c r="AL4203" s="30" t="n"/>
      <c r="AM4203" s="30" t="n"/>
      <c r="AN4203" s="30" t="n"/>
    </row>
    <row r="4204">
      <c r="A4204" s="89" t="inlineStr">
        <is>
          <t>30670</t>
        </is>
      </c>
      <c r="B4204" s="135" t="inlineStr">
        <is>
          <t>VESTIDO</t>
        </is>
      </c>
      <c r="C4204" s="88" t="n">
        <v>68500</v>
      </c>
      <c r="D4204" s="220">
        <f>ROUND((C4204*1.06)/100,0)*100</f>
        <v/>
      </c>
      <c r="E4204" s="220">
        <f>ROUND((C4204*1.13)/100,0)*100</f>
        <v/>
      </c>
      <c r="F4204" s="220">
        <f>ROUND((C4204*1.19)/100,0)*100</f>
        <v/>
      </c>
      <c r="G4204" s="220">
        <f>ROUND((C4204*1.25)/100,0)*100</f>
        <v/>
      </c>
      <c r="H4204" s="220">
        <f>ROUND((C4204*1.32)/100,0)*100</f>
        <v/>
      </c>
      <c r="I4204" s="170" t="n"/>
      <c r="J4204" s="170" t="n"/>
      <c r="K4204" s="88">
        <f>ROUND((C4204*Q4204)/100,0)*100</f>
        <v/>
      </c>
      <c r="L4204" s="88" t="n"/>
      <c r="M4204" s="88" t="n"/>
      <c r="N4204" s="88" t="n"/>
      <c r="O4204" s="88" t="n"/>
      <c r="P4204" s="88" t="n"/>
      <c r="Q4204" s="118" t="n">
        <v>1.25</v>
      </c>
      <c r="R4204" s="117" t="n"/>
      <c r="T4204" s="117" t="n"/>
      <c r="X4204" s="30" t="n"/>
      <c r="Y4204" s="30" t="n"/>
      <c r="Z4204" s="30" t="n"/>
      <c r="AA4204" s="30" t="n"/>
      <c r="AB4204" s="30" t="n"/>
      <c r="AC4204" s="30" t="n"/>
      <c r="AD4204" s="30" t="n"/>
      <c r="AE4204" s="30" t="n"/>
      <c r="AF4204" s="30" t="n"/>
      <c r="AG4204" s="30" t="n"/>
      <c r="AH4204" s="30" t="n"/>
      <c r="AI4204" s="30" t="n"/>
      <c r="AJ4204" s="30" t="n"/>
      <c r="AK4204" s="30" t="n"/>
      <c r="AL4204" s="30" t="n"/>
      <c r="AM4204" s="30" t="n"/>
      <c r="AN4204" s="30" t="n"/>
    </row>
    <row r="4205">
      <c r="A4205" s="89" t="inlineStr">
        <is>
          <t>30671</t>
        </is>
      </c>
      <c r="B4205" s="135" t="inlineStr">
        <is>
          <t>VESTIDO</t>
        </is>
      </c>
      <c r="C4205" s="88" t="n">
        <v>69700</v>
      </c>
      <c r="D4205" s="220">
        <f>ROUND((C4205*1.06)/100,0)*100</f>
        <v/>
      </c>
      <c r="E4205" s="220">
        <f>ROUND((C4205*1.13)/100,0)*100</f>
        <v/>
      </c>
      <c r="F4205" s="220">
        <f>ROUND((C4205*1.19)/100,0)*100</f>
        <v/>
      </c>
      <c r="G4205" s="220">
        <f>ROUND((C4205*1.25)/100,0)*100</f>
        <v/>
      </c>
      <c r="H4205" s="220">
        <f>ROUND((C4205*1.32)/100,0)*100</f>
        <v/>
      </c>
      <c r="I4205" s="170" t="n"/>
      <c r="J4205" s="170" t="n"/>
      <c r="K4205" s="88">
        <f>ROUND((C4205*Q4205)/100,0)*100</f>
        <v/>
      </c>
      <c r="L4205" s="88" t="n"/>
      <c r="M4205" s="88" t="n"/>
      <c r="N4205" s="88" t="n"/>
      <c r="O4205" s="88" t="n"/>
      <c r="P4205" s="88" t="n"/>
      <c r="Q4205" s="118" t="n">
        <v>1.25</v>
      </c>
      <c r="R4205" s="117" t="n"/>
      <c r="T4205" s="117" t="n"/>
      <c r="X4205" s="30" t="n"/>
      <c r="Y4205" s="30" t="n"/>
      <c r="Z4205" s="30" t="n"/>
      <c r="AA4205" s="30" t="n"/>
      <c r="AB4205" s="30" t="n"/>
      <c r="AC4205" s="30" t="n"/>
      <c r="AD4205" s="30" t="n"/>
      <c r="AE4205" s="30" t="n"/>
      <c r="AF4205" s="30" t="n"/>
      <c r="AG4205" s="30" t="n"/>
      <c r="AH4205" s="30" t="n"/>
      <c r="AI4205" s="30" t="n"/>
      <c r="AJ4205" s="30" t="n"/>
      <c r="AK4205" s="30" t="n"/>
      <c r="AL4205" s="30" t="n"/>
      <c r="AM4205" s="30" t="n"/>
      <c r="AN4205" s="30" t="n"/>
    </row>
    <row r="4206">
      <c r="A4206" s="89" t="inlineStr">
        <is>
          <t>30672</t>
        </is>
      </c>
      <c r="B4206" s="135" t="inlineStr">
        <is>
          <t>VESTIDO</t>
        </is>
      </c>
      <c r="C4206" s="88" t="n">
        <v>72400</v>
      </c>
      <c r="D4206" s="220">
        <f>ROUND((C4206*1.06)/100,0)*100</f>
        <v/>
      </c>
      <c r="E4206" s="220">
        <f>ROUND((C4206*1.13)/100,0)*100</f>
        <v/>
      </c>
      <c r="F4206" s="220">
        <f>ROUND((C4206*1.19)/100,0)*100</f>
        <v/>
      </c>
      <c r="G4206" s="220">
        <f>ROUND((C4206*1.25)/100,0)*100</f>
        <v/>
      </c>
      <c r="H4206" s="220">
        <f>ROUND((C4206*1.32)/100,0)*100</f>
        <v/>
      </c>
      <c r="I4206" s="170" t="n"/>
      <c r="J4206" s="170" t="n"/>
      <c r="K4206" s="88">
        <f>ROUND((C4206*Q4206)/100,0)*100</f>
        <v/>
      </c>
      <c r="L4206" s="88" t="n"/>
      <c r="M4206" s="88" t="n"/>
      <c r="N4206" s="88" t="n"/>
      <c r="O4206" s="88" t="n"/>
      <c r="P4206" s="88" t="n"/>
      <c r="Q4206" s="118" t="n">
        <v>1.25</v>
      </c>
      <c r="R4206" s="117" t="n"/>
      <c r="T4206" s="117" t="n"/>
      <c r="X4206" s="30" t="n"/>
      <c r="Y4206" s="30" t="n"/>
      <c r="Z4206" s="30" t="n"/>
      <c r="AA4206" s="30" t="n"/>
      <c r="AB4206" s="30" t="n"/>
      <c r="AC4206" s="30" t="n"/>
      <c r="AD4206" s="30" t="n"/>
      <c r="AE4206" s="30" t="n"/>
      <c r="AF4206" s="30" t="n"/>
      <c r="AG4206" s="30" t="n"/>
      <c r="AH4206" s="30" t="n"/>
      <c r="AI4206" s="30" t="n"/>
      <c r="AJ4206" s="30" t="n"/>
      <c r="AK4206" s="30" t="n"/>
      <c r="AL4206" s="30" t="n"/>
      <c r="AM4206" s="30" t="n"/>
      <c r="AN4206" s="30" t="n"/>
    </row>
    <row r="4207">
      <c r="A4207" s="89" t="inlineStr">
        <is>
          <t>30673</t>
        </is>
      </c>
      <c r="B4207" s="135" t="inlineStr">
        <is>
          <t>VESTIDO</t>
        </is>
      </c>
      <c r="C4207" s="88" t="n">
        <v>74700</v>
      </c>
      <c r="D4207" s="220">
        <f>ROUND((C4207*1.06)/100,0)*100</f>
        <v/>
      </c>
      <c r="E4207" s="220">
        <f>ROUND((C4207*1.13)/100,0)*100</f>
        <v/>
      </c>
      <c r="F4207" s="220">
        <f>ROUND((C4207*1.19)/100,0)*100</f>
        <v/>
      </c>
      <c r="G4207" s="220">
        <f>ROUND((C4207*1.25)/100,0)*100</f>
        <v/>
      </c>
      <c r="H4207" s="220">
        <f>ROUND((C4207*1.32)/100,0)*100</f>
        <v/>
      </c>
      <c r="I4207" s="170" t="n"/>
      <c r="J4207" s="170" t="n"/>
      <c r="K4207" s="88">
        <f>ROUND((C4207*Q4207)/100,0)*100</f>
        <v/>
      </c>
      <c r="L4207" s="88" t="n"/>
      <c r="M4207" s="88" t="n"/>
      <c r="N4207" s="88" t="n"/>
      <c r="O4207" s="88" t="n"/>
      <c r="P4207" s="88" t="n"/>
      <c r="Q4207" s="118" t="n">
        <v>1.25</v>
      </c>
      <c r="R4207" s="117" t="n"/>
      <c r="T4207" s="117" t="n"/>
      <c r="X4207" s="30" t="n"/>
      <c r="Y4207" s="30" t="n"/>
      <c r="Z4207" s="30" t="n"/>
      <c r="AA4207" s="30" t="n"/>
      <c r="AB4207" s="30" t="n"/>
      <c r="AC4207" s="30" t="n"/>
      <c r="AD4207" s="30" t="n"/>
      <c r="AE4207" s="30" t="n"/>
      <c r="AF4207" s="30" t="n"/>
      <c r="AG4207" s="30" t="n"/>
      <c r="AH4207" s="30" t="n"/>
      <c r="AI4207" s="30" t="n"/>
      <c r="AJ4207" s="30" t="n"/>
      <c r="AK4207" s="30" t="n"/>
      <c r="AL4207" s="30" t="n"/>
      <c r="AM4207" s="30" t="n"/>
      <c r="AN4207" s="30" t="n"/>
    </row>
    <row r="4208">
      <c r="A4208" s="89" t="inlineStr">
        <is>
          <t>30674</t>
        </is>
      </c>
      <c r="B4208" s="135" t="inlineStr">
        <is>
          <t>VESTIDO</t>
        </is>
      </c>
      <c r="C4208" s="88" t="n">
        <v>76300</v>
      </c>
      <c r="D4208" s="220">
        <f>ROUND((C4208*1.06)/100,0)*100</f>
        <v/>
      </c>
      <c r="E4208" s="220">
        <f>ROUND((C4208*1.13)/100,0)*100</f>
        <v/>
      </c>
      <c r="F4208" s="220">
        <f>ROUND((C4208*1.19)/100,0)*100</f>
        <v/>
      </c>
      <c r="G4208" s="220">
        <f>ROUND((C4208*1.25)/100,0)*100</f>
        <v/>
      </c>
      <c r="H4208" s="220">
        <f>ROUND((C4208*1.32)/100,0)*100</f>
        <v/>
      </c>
      <c r="I4208" s="170" t="n"/>
      <c r="J4208" s="170" t="n"/>
      <c r="K4208" s="88">
        <f>ROUND((C4208*Q4208)/100,0)*100</f>
        <v/>
      </c>
      <c r="L4208" s="88" t="n"/>
      <c r="M4208" s="88" t="n"/>
      <c r="N4208" s="88" t="n"/>
      <c r="O4208" s="88" t="n"/>
      <c r="P4208" s="88" t="n"/>
      <c r="Q4208" s="118" t="n">
        <v>1.25</v>
      </c>
      <c r="R4208" s="117" t="n"/>
      <c r="T4208" s="117" t="n"/>
      <c r="X4208" s="30" t="n"/>
      <c r="Y4208" s="30" t="n"/>
      <c r="Z4208" s="30" t="n"/>
      <c r="AA4208" s="30" t="n"/>
      <c r="AB4208" s="30" t="n"/>
      <c r="AC4208" s="30" t="n"/>
      <c r="AD4208" s="30" t="n"/>
      <c r="AE4208" s="30" t="n"/>
      <c r="AF4208" s="30" t="n"/>
      <c r="AG4208" s="30" t="n"/>
      <c r="AH4208" s="30" t="n"/>
      <c r="AI4208" s="30" t="n"/>
      <c r="AJ4208" s="30" t="n"/>
      <c r="AK4208" s="30" t="n"/>
      <c r="AL4208" s="30" t="n"/>
      <c r="AM4208" s="30" t="n"/>
      <c r="AN4208" s="30" t="n"/>
    </row>
    <row r="4209">
      <c r="A4209" s="89" t="inlineStr">
        <is>
          <t>30675</t>
        </is>
      </c>
      <c r="B4209" s="135" t="inlineStr">
        <is>
          <t>VESTIDO</t>
        </is>
      </c>
      <c r="C4209" s="88" t="n">
        <v>78300</v>
      </c>
      <c r="D4209" s="220">
        <f>ROUND((C4209*1.06)/100,0)*100</f>
        <v/>
      </c>
      <c r="E4209" s="220">
        <f>ROUND((C4209*1.13)/100,0)*100</f>
        <v/>
      </c>
      <c r="F4209" s="220">
        <f>ROUND((C4209*1.19)/100,0)*100</f>
        <v/>
      </c>
      <c r="G4209" s="220">
        <f>ROUND((C4209*1.25)/100,0)*100</f>
        <v/>
      </c>
      <c r="H4209" s="220">
        <f>ROUND((C4209*1.32)/100,0)*100</f>
        <v/>
      </c>
      <c r="I4209" s="170" t="n"/>
      <c r="J4209" s="170" t="n"/>
      <c r="K4209" s="88">
        <f>ROUND((C4209*Q4209)/100,0)*100</f>
        <v/>
      </c>
      <c r="L4209" s="88" t="n"/>
      <c r="M4209" s="88" t="n"/>
      <c r="N4209" s="88" t="n"/>
      <c r="O4209" s="88" t="n"/>
      <c r="P4209" s="88" t="n"/>
      <c r="Q4209" s="118" t="n">
        <v>1.25</v>
      </c>
      <c r="R4209" s="117" t="n"/>
      <c r="T4209" s="117" t="n"/>
      <c r="X4209" s="30" t="n"/>
      <c r="Y4209" s="30" t="n"/>
      <c r="Z4209" s="30" t="n"/>
      <c r="AA4209" s="30" t="n"/>
      <c r="AB4209" s="30" t="n"/>
      <c r="AC4209" s="30" t="n"/>
      <c r="AD4209" s="30" t="n"/>
      <c r="AE4209" s="30" t="n"/>
      <c r="AF4209" s="30" t="n"/>
      <c r="AG4209" s="30" t="n"/>
      <c r="AH4209" s="30" t="n"/>
      <c r="AI4209" s="30" t="n"/>
      <c r="AJ4209" s="30" t="n"/>
      <c r="AK4209" s="30" t="n"/>
      <c r="AL4209" s="30" t="n"/>
      <c r="AM4209" s="30" t="n"/>
      <c r="AN4209" s="30" t="n"/>
    </row>
    <row r="4210">
      <c r="A4210" s="89" t="inlineStr">
        <is>
          <t>30676</t>
        </is>
      </c>
      <c r="B4210" s="135" t="inlineStr">
        <is>
          <t>VESTIDO</t>
        </is>
      </c>
      <c r="C4210" s="88" t="n">
        <v>80200</v>
      </c>
      <c r="D4210" s="220">
        <f>ROUND((C4210*1.06)/100,0)*100</f>
        <v/>
      </c>
      <c r="E4210" s="220">
        <f>ROUND((C4210*1.13)/100,0)*100</f>
        <v/>
      </c>
      <c r="F4210" s="220">
        <f>ROUND((C4210*1.19)/100,0)*100</f>
        <v/>
      </c>
      <c r="G4210" s="220">
        <f>ROUND((C4210*1.25)/100,0)*100</f>
        <v/>
      </c>
      <c r="H4210" s="220">
        <f>ROUND((C4210*1.32)/100,0)*100</f>
        <v/>
      </c>
      <c r="I4210" s="170" t="n"/>
      <c r="J4210" s="170" t="n"/>
      <c r="K4210" s="88">
        <f>ROUND((C4210*Q4210)/100,0)*100</f>
        <v/>
      </c>
      <c r="L4210" s="88" t="n"/>
      <c r="M4210" s="88" t="n"/>
      <c r="N4210" s="88" t="n"/>
      <c r="O4210" s="88" t="n"/>
      <c r="P4210" s="88" t="n"/>
      <c r="Q4210" s="118" t="n">
        <v>1.25</v>
      </c>
      <c r="R4210" s="117" t="n"/>
      <c r="T4210" s="117" t="n"/>
      <c r="X4210" s="30" t="n"/>
      <c r="Y4210" s="30" t="n"/>
      <c r="Z4210" s="30" t="n"/>
      <c r="AA4210" s="30" t="n"/>
      <c r="AB4210" s="30" t="n"/>
      <c r="AC4210" s="30" t="n"/>
      <c r="AD4210" s="30" t="n"/>
      <c r="AE4210" s="30" t="n"/>
      <c r="AF4210" s="30" t="n"/>
      <c r="AG4210" s="30" t="n"/>
      <c r="AH4210" s="30" t="n"/>
      <c r="AI4210" s="30" t="n"/>
      <c r="AJ4210" s="30" t="n"/>
      <c r="AK4210" s="30" t="n"/>
      <c r="AL4210" s="30" t="n"/>
      <c r="AM4210" s="30" t="n"/>
      <c r="AN4210" s="30" t="n"/>
    </row>
    <row r="4211">
      <c r="A4211" s="89" t="inlineStr">
        <is>
          <t>30677</t>
        </is>
      </c>
      <c r="B4211" s="135" t="inlineStr">
        <is>
          <t>VESTIDO</t>
        </is>
      </c>
      <c r="C4211" s="88" t="n">
        <v>82200</v>
      </c>
      <c r="D4211" s="220">
        <f>ROUND((C4211*1.06)/100,0)*100</f>
        <v/>
      </c>
      <c r="E4211" s="220">
        <f>ROUND((C4211*1.13)/100,0)*100</f>
        <v/>
      </c>
      <c r="F4211" s="220">
        <f>ROUND((C4211*1.19)/100,0)*100</f>
        <v/>
      </c>
      <c r="G4211" s="220">
        <f>ROUND((C4211*1.25)/100,0)*100</f>
        <v/>
      </c>
      <c r="H4211" s="220">
        <f>ROUND((C4211*1.32)/100,0)*100</f>
        <v/>
      </c>
      <c r="I4211" s="170" t="n"/>
      <c r="J4211" s="170" t="n"/>
      <c r="K4211" s="88">
        <f>ROUND((C4211*Q4211)/100,0)*100</f>
        <v/>
      </c>
      <c r="L4211" s="88" t="n"/>
      <c r="M4211" s="88" t="n"/>
      <c r="N4211" s="88" t="n"/>
      <c r="O4211" s="88" t="n"/>
      <c r="P4211" s="88" t="n"/>
      <c r="Q4211" s="118" t="n">
        <v>1.25</v>
      </c>
      <c r="R4211" s="117" t="n"/>
      <c r="T4211" s="117" t="n"/>
      <c r="X4211" s="30" t="n"/>
      <c r="Y4211" s="30" t="n"/>
      <c r="Z4211" s="30" t="n"/>
      <c r="AA4211" s="30" t="n"/>
      <c r="AB4211" s="30" t="n"/>
      <c r="AC4211" s="30" t="n"/>
      <c r="AD4211" s="30" t="n"/>
      <c r="AE4211" s="30" t="n"/>
      <c r="AF4211" s="30" t="n"/>
      <c r="AG4211" s="30" t="n"/>
      <c r="AH4211" s="30" t="n"/>
      <c r="AI4211" s="30" t="n"/>
      <c r="AJ4211" s="30" t="n"/>
      <c r="AK4211" s="30" t="n"/>
      <c r="AL4211" s="30" t="n"/>
      <c r="AM4211" s="30" t="n"/>
      <c r="AN4211" s="30" t="n"/>
    </row>
    <row r="4212">
      <c r="A4212" s="89" t="inlineStr">
        <is>
          <t>30678</t>
        </is>
      </c>
      <c r="B4212" s="135" t="inlineStr">
        <is>
          <t>VESTIDO</t>
        </is>
      </c>
      <c r="C4212" s="88" t="n">
        <v>84200</v>
      </c>
      <c r="D4212" s="220">
        <f>ROUND((C4212*1.06)/100,0)*100</f>
        <v/>
      </c>
      <c r="E4212" s="220">
        <f>ROUND((C4212*1.13)/100,0)*100</f>
        <v/>
      </c>
      <c r="F4212" s="220">
        <f>ROUND((C4212*1.19)/100,0)*100</f>
        <v/>
      </c>
      <c r="G4212" s="220">
        <f>ROUND((C4212*1.25)/100,0)*100</f>
        <v/>
      </c>
      <c r="H4212" s="220">
        <f>ROUND((C4212*1.32)/100,0)*100</f>
        <v/>
      </c>
      <c r="I4212" s="170" t="n"/>
      <c r="J4212" s="170" t="n"/>
      <c r="K4212" s="88">
        <f>ROUND((C4212*Q4212)/100,0)*100</f>
        <v/>
      </c>
      <c r="L4212" s="88" t="n"/>
      <c r="M4212" s="88" t="n"/>
      <c r="N4212" s="88" t="n"/>
      <c r="O4212" s="88" t="n"/>
      <c r="P4212" s="88" t="n"/>
      <c r="Q4212" s="118" t="n">
        <v>1.25</v>
      </c>
      <c r="R4212" s="117" t="n"/>
      <c r="T4212" s="117" t="n"/>
      <c r="X4212" s="30" t="n"/>
      <c r="Y4212" s="30" t="n"/>
      <c r="Z4212" s="30" t="n"/>
      <c r="AA4212" s="30" t="n"/>
      <c r="AB4212" s="30" t="n"/>
      <c r="AC4212" s="30" t="n"/>
      <c r="AD4212" s="30" t="n"/>
      <c r="AE4212" s="30" t="n"/>
      <c r="AF4212" s="30" t="n"/>
      <c r="AG4212" s="30" t="n"/>
      <c r="AH4212" s="30" t="n"/>
      <c r="AI4212" s="30" t="n"/>
      <c r="AJ4212" s="30" t="n"/>
      <c r="AK4212" s="30" t="n"/>
      <c r="AL4212" s="30" t="n"/>
      <c r="AM4212" s="30" t="n"/>
      <c r="AN4212" s="30" t="n"/>
    </row>
    <row r="4213">
      <c r="A4213" s="89" t="inlineStr">
        <is>
          <t>30679</t>
        </is>
      </c>
      <c r="B4213" s="135" t="inlineStr">
        <is>
          <t>VESTIDO</t>
        </is>
      </c>
      <c r="C4213" s="88" t="n">
        <v>86100</v>
      </c>
      <c r="D4213" s="220">
        <f>ROUND((C4213*1.06)/100,0)*100</f>
        <v/>
      </c>
      <c r="E4213" s="220">
        <f>ROUND((C4213*1.13)/100,0)*100</f>
        <v/>
      </c>
      <c r="F4213" s="220">
        <f>ROUND((C4213*1.19)/100,0)*100</f>
        <v/>
      </c>
      <c r="G4213" s="220">
        <f>ROUND((C4213*1.25)/100,0)*100</f>
        <v/>
      </c>
      <c r="H4213" s="220">
        <f>ROUND((C4213*1.32)/100,0)*100</f>
        <v/>
      </c>
      <c r="I4213" s="170" t="n"/>
      <c r="J4213" s="170" t="n"/>
      <c r="K4213" s="88">
        <f>ROUND((C4213*Q4213)/100,0)*100</f>
        <v/>
      </c>
      <c r="L4213" s="88" t="n"/>
      <c r="M4213" s="88" t="n"/>
      <c r="N4213" s="88" t="n"/>
      <c r="O4213" s="88" t="n"/>
      <c r="P4213" s="88" t="n"/>
      <c r="Q4213" s="118" t="n">
        <v>1.25</v>
      </c>
      <c r="R4213" s="117" t="n"/>
      <c r="T4213" s="117" t="n"/>
      <c r="X4213" s="30" t="n"/>
      <c r="Y4213" s="30" t="n"/>
      <c r="Z4213" s="30" t="n"/>
      <c r="AA4213" s="30" t="n"/>
      <c r="AB4213" s="30" t="n"/>
      <c r="AC4213" s="30" t="n"/>
      <c r="AD4213" s="30" t="n"/>
      <c r="AE4213" s="30" t="n"/>
      <c r="AF4213" s="30" t="n"/>
      <c r="AG4213" s="30" t="n"/>
      <c r="AH4213" s="30" t="n"/>
      <c r="AI4213" s="30" t="n"/>
      <c r="AJ4213" s="30" t="n"/>
      <c r="AK4213" s="30" t="n"/>
      <c r="AL4213" s="30" t="n"/>
      <c r="AM4213" s="30" t="n"/>
      <c r="AN4213" s="30" t="n"/>
    </row>
    <row r="4214">
      <c r="A4214" s="89" t="inlineStr">
        <is>
          <t>30680</t>
        </is>
      </c>
      <c r="B4214" s="135" t="inlineStr">
        <is>
          <t>VESTIDO</t>
        </is>
      </c>
      <c r="C4214" s="88" t="n">
        <v>88100</v>
      </c>
      <c r="D4214" s="220">
        <f>ROUND((C4214*1.06)/100,0)*100</f>
        <v/>
      </c>
      <c r="E4214" s="220">
        <f>ROUND((C4214*1.13)/100,0)*100</f>
        <v/>
      </c>
      <c r="F4214" s="220">
        <f>ROUND((C4214*1.19)/100,0)*100</f>
        <v/>
      </c>
      <c r="G4214" s="220">
        <f>ROUND((C4214*1.25)/100,0)*100</f>
        <v/>
      </c>
      <c r="H4214" s="220">
        <f>ROUND((C4214*1.32)/100,0)*100</f>
        <v/>
      </c>
      <c r="I4214" s="170" t="n"/>
      <c r="J4214" s="170" t="n"/>
      <c r="K4214" s="88">
        <f>ROUND((C4214*Q4214)/100,0)*100</f>
        <v/>
      </c>
      <c r="L4214" s="88" t="n"/>
      <c r="M4214" s="88" t="n"/>
      <c r="N4214" s="88" t="n"/>
      <c r="O4214" s="88" t="n"/>
      <c r="P4214" s="88" t="n"/>
      <c r="Q4214" s="118" t="n">
        <v>1.25</v>
      </c>
      <c r="R4214" s="117" t="n"/>
      <c r="T4214" s="117" t="n"/>
      <c r="X4214" s="30" t="n"/>
      <c r="Y4214" s="30" t="n"/>
      <c r="Z4214" s="30" t="n"/>
      <c r="AA4214" s="30" t="n"/>
      <c r="AB4214" s="30" t="n"/>
      <c r="AC4214" s="30" t="n"/>
      <c r="AD4214" s="30" t="n"/>
      <c r="AE4214" s="30" t="n"/>
      <c r="AF4214" s="30" t="n"/>
      <c r="AG4214" s="30" t="n"/>
      <c r="AH4214" s="30" t="n"/>
      <c r="AI4214" s="30" t="n"/>
      <c r="AJ4214" s="30" t="n"/>
      <c r="AK4214" s="30" t="n"/>
      <c r="AL4214" s="30" t="n"/>
      <c r="AM4214" s="30" t="n"/>
      <c r="AN4214" s="30" t="n"/>
    </row>
    <row r="4215">
      <c r="A4215" s="89" t="inlineStr">
        <is>
          <t>30681</t>
        </is>
      </c>
      <c r="B4215" s="135" t="inlineStr">
        <is>
          <t>VESTIDO</t>
        </is>
      </c>
      <c r="C4215" s="88" t="n">
        <v>90000</v>
      </c>
      <c r="D4215" s="220">
        <f>ROUND((C4215*1.06)/100,0)*100</f>
        <v/>
      </c>
      <c r="E4215" s="220">
        <f>ROUND((C4215*1.13)/100,0)*100</f>
        <v/>
      </c>
      <c r="F4215" s="220">
        <f>ROUND((C4215*1.19)/100,0)*100</f>
        <v/>
      </c>
      <c r="G4215" s="220">
        <f>ROUND((C4215*1.25)/100,0)*100</f>
        <v/>
      </c>
      <c r="H4215" s="220">
        <f>ROUND((C4215*1.32)/100,0)*100</f>
        <v/>
      </c>
      <c r="I4215" s="170" t="n"/>
      <c r="J4215" s="170" t="n"/>
      <c r="K4215" s="88">
        <f>ROUND((C4215*Q4215)/100,0)*100</f>
        <v/>
      </c>
      <c r="L4215" s="88" t="n"/>
      <c r="M4215" s="88" t="n"/>
      <c r="N4215" s="88" t="n"/>
      <c r="O4215" s="88" t="n"/>
      <c r="P4215" s="88" t="n"/>
      <c r="Q4215" s="118" t="n">
        <v>1.25</v>
      </c>
      <c r="R4215" s="117" t="n"/>
      <c r="T4215" s="117" t="n"/>
      <c r="X4215" s="30" t="n"/>
      <c r="Y4215" s="30" t="n"/>
      <c r="Z4215" s="30" t="n"/>
      <c r="AA4215" s="30" t="n"/>
      <c r="AB4215" s="30" t="n"/>
      <c r="AC4215" s="30" t="n"/>
      <c r="AD4215" s="30" t="n"/>
      <c r="AE4215" s="30" t="n"/>
      <c r="AF4215" s="30" t="n"/>
      <c r="AG4215" s="30" t="n"/>
      <c r="AH4215" s="30" t="n"/>
      <c r="AI4215" s="30" t="n"/>
      <c r="AJ4215" s="30" t="n"/>
      <c r="AK4215" s="30" t="n"/>
      <c r="AL4215" s="30" t="n"/>
      <c r="AM4215" s="30" t="n"/>
      <c r="AN4215" s="30" t="n"/>
    </row>
    <row r="4216">
      <c r="A4216" s="89" t="inlineStr">
        <is>
          <t>04790</t>
        </is>
      </c>
      <c r="B4216" s="135" t="n"/>
      <c r="C4216" s="88" t="n">
        <v>14900</v>
      </c>
      <c r="D4216" s="88" t="n"/>
      <c r="E4216" s="88" t="n"/>
      <c r="F4216" s="88" t="n"/>
      <c r="G4216" s="88" t="n"/>
      <c r="H4216" s="88" t="n"/>
      <c r="I4216" s="170" t="n"/>
      <c r="J4216" s="170" t="n"/>
      <c r="K4216" s="88" t="n"/>
      <c r="L4216" s="88" t="n"/>
      <c r="M4216" s="88" t="n"/>
      <c r="N4216" s="88" t="n"/>
      <c r="O4216" s="88" t="n"/>
      <c r="P4216" s="88" t="n"/>
      <c r="Q4216" s="96" t="n"/>
      <c r="R4216" s="150" t="n"/>
      <c r="S4216" s="96" t="n"/>
      <c r="T4216" s="150" t="n"/>
      <c r="U4216" s="96" t="n"/>
      <c r="V4216" s="96" t="n"/>
      <c r="W4216" s="96" t="n"/>
      <c r="X4216" s="30" t="n"/>
      <c r="Y4216" s="30" t="n"/>
      <c r="Z4216" s="30" t="n"/>
      <c r="AA4216" s="30" t="n"/>
      <c r="AB4216" s="30" t="n"/>
      <c r="AC4216" s="30" t="n"/>
      <c r="AD4216" s="30" t="n"/>
      <c r="AE4216" s="30" t="n"/>
      <c r="AF4216" s="30" t="n"/>
      <c r="AG4216" s="30" t="n"/>
      <c r="AH4216" s="30" t="n"/>
      <c r="AI4216" s="30" t="n"/>
      <c r="AJ4216" s="30" t="n"/>
      <c r="AK4216" s="30" t="n"/>
      <c r="AL4216" s="30" t="n"/>
      <c r="AM4216" s="30" t="n"/>
      <c r="AN4216" s="30" t="n"/>
    </row>
    <row r="4217">
      <c r="A4217" s="89" t="n"/>
      <c r="B4217" s="135" t="n"/>
      <c r="C4217" s="88" t="n"/>
      <c r="D4217" s="88" t="n"/>
      <c r="E4217" s="88" t="n"/>
      <c r="F4217" s="88" t="n"/>
      <c r="G4217" s="88" t="n"/>
      <c r="H4217" s="88" t="n"/>
      <c r="I4217" s="170" t="n"/>
      <c r="J4217" s="170" t="n"/>
      <c r="K4217" s="88" t="n"/>
      <c r="L4217" s="88" t="n"/>
      <c r="M4217" s="88" t="n"/>
      <c r="N4217" s="88" t="n"/>
      <c r="O4217" s="88" t="n"/>
      <c r="P4217" s="88" t="n"/>
      <c r="Q4217" s="96" t="n"/>
      <c r="R4217" s="150" t="n"/>
      <c r="S4217" s="96" t="n"/>
      <c r="T4217" s="150" t="n"/>
      <c r="U4217" s="96" t="n"/>
      <c r="V4217" s="96" t="n"/>
      <c r="W4217" s="96" t="n"/>
      <c r="X4217" s="30" t="n"/>
      <c r="Y4217" s="30" t="n"/>
      <c r="Z4217" s="30" t="n"/>
      <c r="AA4217" s="30" t="n"/>
      <c r="AB4217" s="30" t="n"/>
      <c r="AC4217" s="30" t="n"/>
      <c r="AD4217" s="30" t="n"/>
      <c r="AE4217" s="30" t="n"/>
      <c r="AF4217" s="30" t="n"/>
      <c r="AG4217" s="30" t="n"/>
      <c r="AH4217" s="30" t="n"/>
      <c r="AI4217" s="30" t="n"/>
      <c r="AJ4217" s="30" t="n"/>
      <c r="AK4217" s="30" t="n"/>
      <c r="AL4217" s="30" t="n"/>
      <c r="AM4217" s="30" t="n"/>
      <c r="AN4217" s="30" t="n"/>
    </row>
    <row r="4218">
      <c r="A4218" s="134" t="n"/>
      <c r="B4218" s="200" t="inlineStr">
        <is>
          <t>MUSCULOSAS DAMA</t>
        </is>
      </c>
      <c r="C4218" s="202" t="inlineStr">
        <is>
          <t>1 AL 4</t>
        </is>
      </c>
      <c r="D4218" s="202" t="n">
        <v>5</v>
      </c>
      <c r="E4218" s="202" t="n">
        <v>6</v>
      </c>
      <c r="F4218" s="202" t="n">
        <v>7</v>
      </c>
      <c r="G4218" s="202" t="n">
        <v>8</v>
      </c>
      <c r="H4218" s="134" t="inlineStr">
        <is>
          <t>10/24</t>
        </is>
      </c>
      <c r="I4218" s="153" t="n"/>
      <c r="J4218" s="153" t="n"/>
      <c r="K4218" s="219" t="n"/>
      <c r="L4218" s="219" t="n"/>
      <c r="M4218" s="219" t="n"/>
      <c r="P4218" s="117" t="n"/>
      <c r="R4218" s="117" t="n"/>
      <c r="T4218" s="117" t="n"/>
    </row>
    <row r="4219">
      <c r="A4219" s="134" t="inlineStr">
        <is>
          <t>30407</t>
        </is>
      </c>
      <c r="B4219" s="246" t="inlineStr">
        <is>
          <t>MUSCULOSA</t>
        </is>
      </c>
      <c r="C4219" s="153" t="n">
        <v>7000</v>
      </c>
      <c r="D4219" s="153" t="n"/>
      <c r="E4219" s="153" t="n"/>
      <c r="F4219" s="153" t="n"/>
      <c r="G4219" s="153" t="n"/>
      <c r="H4219" s="153" t="n"/>
      <c r="I4219" s="153">
        <f>ROUND((J4219*C4219)/100,0)*100</f>
        <v/>
      </c>
      <c r="J4219" s="118" t="n">
        <v>1.25</v>
      </c>
      <c r="K4219" s="219" t="n"/>
      <c r="L4219" s="219" t="n"/>
      <c r="M4219" s="219" t="n"/>
      <c r="P4219" s="117" t="n"/>
      <c r="R4219" s="117" t="n"/>
      <c r="T4219" s="117" t="n"/>
    </row>
    <row r="4220">
      <c r="A4220" s="134" t="inlineStr">
        <is>
          <t>30408</t>
        </is>
      </c>
      <c r="B4220" s="246" t="inlineStr">
        <is>
          <t>MUSCULOSA</t>
        </is>
      </c>
      <c r="C4220" s="153" t="n">
        <v>8100</v>
      </c>
      <c r="D4220" s="153" t="n"/>
      <c r="E4220" s="153" t="n"/>
      <c r="F4220" s="153" t="n"/>
      <c r="G4220" s="153" t="n"/>
      <c r="H4220" s="153" t="n"/>
      <c r="I4220" s="153">
        <f>ROUND((J4220*C4220)/100,0)*100</f>
        <v/>
      </c>
      <c r="J4220" s="118" t="n">
        <v>1.25</v>
      </c>
      <c r="K4220" s="219" t="n"/>
      <c r="L4220" s="219" t="n"/>
      <c r="M4220" s="219" t="n"/>
      <c r="P4220" s="117" t="n"/>
      <c r="R4220" s="117" t="n"/>
      <c r="T4220" s="117" t="n"/>
    </row>
    <row r="4221">
      <c r="A4221" s="134" t="inlineStr">
        <is>
          <t>30409</t>
        </is>
      </c>
      <c r="B4221" s="246" t="inlineStr">
        <is>
          <t>MUSCULOSA</t>
        </is>
      </c>
      <c r="C4221" s="153" t="n">
        <v>8600</v>
      </c>
      <c r="D4221" s="153" t="n"/>
      <c r="E4221" s="153" t="n"/>
      <c r="F4221" s="153" t="n"/>
      <c r="G4221" s="153" t="n"/>
      <c r="H4221" s="153" t="n"/>
      <c r="I4221" s="153">
        <f>ROUND((J4221*C4221)/100,0)*100</f>
        <v/>
      </c>
      <c r="J4221" s="118" t="n">
        <v>1.25</v>
      </c>
      <c r="K4221" s="219" t="n"/>
      <c r="L4221" s="219" t="n"/>
      <c r="M4221" s="219" t="n"/>
      <c r="P4221" s="117" t="n"/>
      <c r="R4221" s="117" t="n"/>
      <c r="T4221" s="117" t="n"/>
    </row>
    <row r="4222">
      <c r="A4222" s="134" t="inlineStr">
        <is>
          <t>30410</t>
        </is>
      </c>
      <c r="B4222" s="246" t="inlineStr">
        <is>
          <t>MUSCULOSA</t>
        </is>
      </c>
      <c r="C4222" s="153" t="n">
        <v>9200</v>
      </c>
      <c r="D4222" s="153" t="n"/>
      <c r="E4222" s="153" t="n"/>
      <c r="F4222" s="153" t="n"/>
      <c r="G4222" s="153" t="n"/>
      <c r="H4222" s="153" t="n"/>
      <c r="I4222" s="153">
        <f>ROUND((J4222*C4222)/100,0)*100</f>
        <v/>
      </c>
      <c r="J4222" s="118" t="n">
        <v>1.25</v>
      </c>
      <c r="K4222" s="219" t="n"/>
      <c r="L4222" s="219" t="n"/>
      <c r="M4222" s="219" t="n"/>
      <c r="P4222" s="117" t="n"/>
      <c r="R4222" s="117" t="n"/>
      <c r="T4222" s="117" t="n"/>
    </row>
    <row r="4223">
      <c r="A4223" s="134" t="inlineStr">
        <is>
          <t>30411</t>
        </is>
      </c>
      <c r="B4223" s="246" t="inlineStr">
        <is>
          <t>NARA BLUSA MUSCULOSA</t>
        </is>
      </c>
      <c r="C4223" s="153" t="n">
        <v>17500</v>
      </c>
      <c r="D4223" s="153" t="n"/>
      <c r="E4223" s="153" t="n"/>
      <c r="F4223" s="153" t="n"/>
      <c r="G4223" s="153" t="n"/>
      <c r="H4223" s="153" t="n"/>
      <c r="I4223" s="153">
        <f>ROUND((J4223*C4223)/100,0)*100</f>
        <v/>
      </c>
      <c r="J4223" s="118" t="n">
        <v>1.25</v>
      </c>
      <c r="K4223" s="219" t="n"/>
      <c r="L4223" s="219" t="n"/>
      <c r="M4223" s="219" t="n"/>
      <c r="P4223" s="117" t="n"/>
      <c r="R4223" s="117" t="n"/>
      <c r="T4223" s="117" t="n"/>
    </row>
    <row r="4224">
      <c r="A4224" s="134" t="inlineStr">
        <is>
          <t>30412</t>
        </is>
      </c>
      <c r="B4224" s="246" t="inlineStr">
        <is>
          <t>MUSCULOSA ALGODON</t>
        </is>
      </c>
      <c r="C4224" s="153" t="n">
        <v>11600</v>
      </c>
      <c r="D4224" s="153" t="n"/>
      <c r="E4224" s="153" t="n"/>
      <c r="F4224" s="153" t="n"/>
      <c r="G4224" s="153" t="n"/>
      <c r="H4224" s="153" t="n"/>
      <c r="I4224" s="153">
        <f>ROUND((J4224*C4224)/100,0)*100</f>
        <v/>
      </c>
      <c r="J4224" s="118" t="n">
        <v>1.25</v>
      </c>
      <c r="K4224" s="219" t="n"/>
      <c r="L4224" s="219" t="n"/>
      <c r="M4224" s="219" t="n"/>
      <c r="P4224" s="117" t="n"/>
      <c r="R4224" s="117" t="n"/>
      <c r="T4224" s="117" t="n"/>
    </row>
    <row r="4225">
      <c r="A4225" s="134" t="inlineStr">
        <is>
          <t>30413</t>
        </is>
      </c>
      <c r="B4225" s="246" t="inlineStr">
        <is>
          <t>MUSCULOSA</t>
        </is>
      </c>
      <c r="C4225" s="153" t="n">
        <v>18000</v>
      </c>
      <c r="D4225" s="153" t="n"/>
      <c r="E4225" s="153" t="n"/>
      <c r="F4225" s="153" t="n"/>
      <c r="G4225" s="153" t="n"/>
      <c r="H4225" s="153" t="n"/>
      <c r="I4225" s="153">
        <f>ROUND((J4225*C4225)/100,0)*100</f>
        <v/>
      </c>
      <c r="J4225" s="118" t="n">
        <v>1.25</v>
      </c>
      <c r="K4225" s="219" t="n"/>
      <c r="L4225" s="219" t="n"/>
      <c r="M4225" s="219" t="n"/>
      <c r="P4225" s="117" t="n"/>
      <c r="R4225" s="117" t="n"/>
      <c r="T4225" s="117" t="n"/>
    </row>
    <row r="4226">
      <c r="A4226" s="134" t="inlineStr">
        <is>
          <t>30414</t>
        </is>
      </c>
      <c r="B4226" s="246" t="inlineStr">
        <is>
          <t>MUSCULOSA</t>
        </is>
      </c>
      <c r="C4226" s="153" t="n">
        <v>18000</v>
      </c>
      <c r="D4226" s="153" t="n"/>
      <c r="E4226" s="153" t="n"/>
      <c r="F4226" s="153" t="n"/>
      <c r="G4226" s="153" t="n"/>
      <c r="H4226" s="153" t="n"/>
      <c r="I4226" s="153">
        <f>ROUND((J4226*C4226)/100,0)*100</f>
        <v/>
      </c>
      <c r="J4226" s="118" t="n">
        <v>1.25</v>
      </c>
      <c r="K4226" s="219" t="n"/>
      <c r="L4226" s="219" t="n"/>
      <c r="M4226" s="219" t="n"/>
      <c r="P4226" s="117" t="n"/>
      <c r="R4226" s="117" t="n"/>
      <c r="T4226" s="117" t="n"/>
    </row>
    <row r="4227">
      <c r="A4227" s="134" t="inlineStr">
        <is>
          <t>30415</t>
        </is>
      </c>
      <c r="B4227" s="246" t="inlineStr">
        <is>
          <t>MUSCULOSA</t>
        </is>
      </c>
      <c r="C4227" s="153" t="n">
        <v>12300</v>
      </c>
      <c r="D4227" s="153" t="n"/>
      <c r="E4227" s="153" t="n"/>
      <c r="F4227" s="153" t="n"/>
      <c r="G4227" s="153" t="n"/>
      <c r="H4227" s="153" t="n"/>
      <c r="I4227" s="153">
        <f>ROUND((J4227*C4227)/100,0)*100</f>
        <v/>
      </c>
      <c r="J4227" s="118" t="n">
        <v>1.25</v>
      </c>
      <c r="K4227" s="219" t="n"/>
      <c r="L4227" s="219" t="n"/>
      <c r="M4227" s="219" t="n"/>
      <c r="P4227" s="117" t="n"/>
      <c r="R4227" s="117" t="n"/>
      <c r="T4227" s="117" t="n"/>
    </row>
    <row r="4228">
      <c r="A4228" s="134" t="inlineStr">
        <is>
          <t>30416</t>
        </is>
      </c>
      <c r="B4228" s="246" t="inlineStr">
        <is>
          <t>MUSCULOSA</t>
        </is>
      </c>
      <c r="C4228" s="153" t="n">
        <v>25100</v>
      </c>
      <c r="D4228" s="153" t="n"/>
      <c r="E4228" s="153" t="n"/>
      <c r="F4228" s="153" t="n"/>
      <c r="G4228" s="153" t="n"/>
      <c r="H4228" s="153" t="n"/>
      <c r="I4228" s="153">
        <f>ROUND((J4228*C4228)/100,0)*100</f>
        <v/>
      </c>
      <c r="J4228" s="118" t="n">
        <v>1.25</v>
      </c>
      <c r="K4228" s="219" t="n"/>
      <c r="L4228" s="219" t="n"/>
      <c r="M4228" s="219" t="n"/>
      <c r="P4228" s="117" t="n"/>
      <c r="R4228" s="117" t="n"/>
      <c r="T4228" s="117" t="n"/>
    </row>
    <row r="4229">
      <c r="A4229" s="134" t="inlineStr">
        <is>
          <t>30417</t>
        </is>
      </c>
      <c r="B4229" s="246" t="inlineStr">
        <is>
          <t>MUSCULOSA</t>
        </is>
      </c>
      <c r="C4229" s="153" t="n">
        <v>16100</v>
      </c>
      <c r="D4229" s="153" t="n"/>
      <c r="E4229" s="153" t="n"/>
      <c r="F4229" s="153" t="n"/>
      <c r="G4229" s="153" t="n"/>
      <c r="H4229" s="153" t="n"/>
      <c r="I4229" s="153">
        <f>ROUND((J4229*C4229)/100,0)*100</f>
        <v/>
      </c>
      <c r="J4229" s="118" t="n">
        <v>1.25</v>
      </c>
      <c r="K4229" s="219" t="n"/>
      <c r="L4229" s="219" t="n"/>
      <c r="M4229" s="219" t="n"/>
      <c r="P4229" s="117" t="n"/>
      <c r="R4229" s="117" t="n"/>
      <c r="T4229" s="117" t="n"/>
    </row>
    <row r="4230">
      <c r="A4230" s="134" t="inlineStr">
        <is>
          <t>30419</t>
        </is>
      </c>
      <c r="B4230" s="246" t="inlineStr">
        <is>
          <t>MUSCULOSA</t>
        </is>
      </c>
      <c r="C4230" s="153" t="n">
        <v>18500</v>
      </c>
      <c r="D4230" s="153" t="n"/>
      <c r="E4230" s="153" t="n"/>
      <c r="F4230" s="153" t="n"/>
      <c r="G4230" s="153" t="n"/>
      <c r="H4230" s="153" t="n"/>
      <c r="I4230" s="153">
        <f>ROUND((J4230*C4230)/100,0)*100</f>
        <v/>
      </c>
      <c r="J4230" s="118" t="n">
        <v>1.25</v>
      </c>
      <c r="K4230" s="219" t="n"/>
      <c r="L4230" s="219" t="n"/>
      <c r="M4230" s="219" t="n"/>
      <c r="P4230" s="117" t="n"/>
      <c r="R4230" s="117" t="n"/>
      <c r="T4230" s="117" t="n"/>
    </row>
    <row r="4231">
      <c r="A4231" s="134" t="inlineStr">
        <is>
          <t>30420</t>
        </is>
      </c>
      <c r="B4231" s="246" t="inlineStr">
        <is>
          <t>MUSCULOSA</t>
        </is>
      </c>
      <c r="C4231" s="153" t="n">
        <v>19600</v>
      </c>
      <c r="D4231" s="153" t="n"/>
      <c r="E4231" s="153" t="n"/>
      <c r="F4231" s="153" t="n"/>
      <c r="G4231" s="153" t="n"/>
      <c r="H4231" s="153" t="n"/>
      <c r="I4231" s="153">
        <f>ROUND((J4231*C4231)/100,0)*100</f>
        <v/>
      </c>
      <c r="J4231" s="118" t="n">
        <v>1.25</v>
      </c>
      <c r="K4231" s="219" t="n"/>
      <c r="L4231" s="219" t="n"/>
      <c r="M4231" s="219" t="n"/>
      <c r="P4231" s="117" t="n"/>
      <c r="R4231" s="117" t="n"/>
      <c r="T4231" s="117" t="n"/>
    </row>
    <row r="4232">
      <c r="A4232" s="134" t="inlineStr">
        <is>
          <t>30421</t>
        </is>
      </c>
      <c r="B4232" s="246" t="inlineStr">
        <is>
          <t>MUSCULOSA</t>
        </is>
      </c>
      <c r="C4232" s="153" t="n">
        <v>20800</v>
      </c>
      <c r="D4232" s="153" t="n"/>
      <c r="E4232" s="153" t="n"/>
      <c r="F4232" s="153" t="n"/>
      <c r="G4232" s="153" t="n"/>
      <c r="H4232" s="153" t="n"/>
      <c r="I4232" s="153">
        <f>ROUND((J4232*C4232)/100,0)*100</f>
        <v/>
      </c>
      <c r="J4232" s="118" t="n">
        <v>1.25</v>
      </c>
      <c r="K4232" s="219" t="n"/>
      <c r="L4232" s="219" t="n"/>
      <c r="M4232" s="219" t="n"/>
      <c r="P4232" s="117" t="n"/>
      <c r="R4232" s="117" t="n"/>
      <c r="T4232" s="117" t="n"/>
    </row>
    <row r="4233">
      <c r="A4233" s="134" t="inlineStr">
        <is>
          <t>30422</t>
        </is>
      </c>
      <c r="B4233" s="246" t="inlineStr">
        <is>
          <t>MUSCULOSA</t>
        </is>
      </c>
      <c r="C4233" s="153" t="n">
        <v>22000</v>
      </c>
      <c r="D4233" s="153" t="n"/>
      <c r="E4233" s="153" t="n"/>
      <c r="F4233" s="153" t="n"/>
      <c r="G4233" s="153" t="n"/>
      <c r="H4233" s="153" t="n"/>
      <c r="I4233" s="153">
        <f>ROUND((J4233*C4233)/100,0)*100</f>
        <v/>
      </c>
      <c r="J4233" s="118" t="n">
        <v>1.25</v>
      </c>
      <c r="K4233" s="219" t="n"/>
      <c r="L4233" s="219" t="n"/>
      <c r="M4233" s="219" t="n"/>
      <c r="P4233" s="117" t="n"/>
      <c r="R4233" s="117" t="n"/>
      <c r="T4233" s="117" t="n"/>
    </row>
    <row r="4234">
      <c r="A4234" s="134" t="inlineStr">
        <is>
          <t>30423</t>
        </is>
      </c>
      <c r="B4234" s="246" t="inlineStr">
        <is>
          <t>MUSCULOSA</t>
        </is>
      </c>
      <c r="C4234" s="153" t="n">
        <v>23100</v>
      </c>
      <c r="D4234" s="153" t="n"/>
      <c r="E4234" s="153" t="n"/>
      <c r="F4234" s="153" t="n"/>
      <c r="G4234" s="153" t="n"/>
      <c r="H4234" s="153" t="n"/>
      <c r="I4234" s="153">
        <f>ROUND((J4234*C4234)/100,0)*100</f>
        <v/>
      </c>
      <c r="J4234" s="118" t="n">
        <v>1.25</v>
      </c>
      <c r="K4234" s="219" t="n"/>
      <c r="L4234" s="219" t="n"/>
      <c r="M4234" s="219" t="n"/>
      <c r="P4234" s="117" t="n"/>
      <c r="R4234" s="117" t="n"/>
      <c r="T4234" s="117" t="n"/>
    </row>
    <row r="4235">
      <c r="A4235" s="134" t="inlineStr">
        <is>
          <t>30424</t>
        </is>
      </c>
      <c r="B4235" s="246" t="inlineStr">
        <is>
          <t>MUSCULOSA</t>
        </is>
      </c>
      <c r="C4235" s="153" t="n">
        <v>24200</v>
      </c>
      <c r="D4235" s="153" t="n"/>
      <c r="E4235" s="153" t="n"/>
      <c r="F4235" s="153" t="n"/>
      <c r="G4235" s="153" t="n"/>
      <c r="H4235" s="153" t="n"/>
      <c r="I4235" s="153">
        <f>ROUND((J4235*C4235)/100,0)*100</f>
        <v/>
      </c>
      <c r="J4235" s="118" t="n">
        <v>1.25</v>
      </c>
      <c r="K4235" s="219" t="n"/>
      <c r="L4235" s="219" t="n"/>
      <c r="M4235" s="219" t="n"/>
      <c r="P4235" s="117" t="n"/>
      <c r="R4235" s="117" t="n"/>
      <c r="T4235" s="117" t="n"/>
    </row>
    <row r="4236">
      <c r="A4236" s="134" t="inlineStr">
        <is>
          <t>30425</t>
        </is>
      </c>
      <c r="B4236" s="246" t="inlineStr">
        <is>
          <t>MUSCULOSA</t>
        </is>
      </c>
      <c r="C4236" s="153" t="n">
        <v>25000</v>
      </c>
      <c r="D4236" s="153" t="n"/>
      <c r="E4236" s="153" t="n"/>
      <c r="F4236" s="153" t="n"/>
      <c r="G4236" s="153" t="n"/>
      <c r="H4236" s="153" t="n"/>
      <c r="I4236" s="153">
        <f>ROUND((J4236*C4236)/100,0)*100</f>
        <v/>
      </c>
      <c r="J4236" s="118" t="n">
        <v>1.25</v>
      </c>
      <c r="K4236" s="219" t="n"/>
      <c r="L4236" s="219" t="n"/>
      <c r="M4236" s="219" t="n"/>
      <c r="P4236" s="117" t="n"/>
      <c r="R4236" s="117" t="n"/>
      <c r="T4236" s="117" t="n"/>
    </row>
    <row r="4237">
      <c r="A4237" s="134" t="inlineStr">
        <is>
          <t>30426</t>
        </is>
      </c>
      <c r="B4237" s="246" t="inlineStr">
        <is>
          <t>MUSCULOSA</t>
        </is>
      </c>
      <c r="C4237" s="153" t="n">
        <v>25500</v>
      </c>
      <c r="D4237" s="153" t="n"/>
      <c r="E4237" s="153" t="n"/>
      <c r="F4237" s="153" t="n"/>
      <c r="G4237" s="153" t="n"/>
      <c r="H4237" s="153" t="n"/>
      <c r="I4237" s="153">
        <f>ROUND((J4237*C4237)/100,0)*100</f>
        <v/>
      </c>
      <c r="J4237" s="118" t="n">
        <v>1.25</v>
      </c>
      <c r="K4237" s="219" t="n"/>
      <c r="L4237" s="219" t="n"/>
      <c r="M4237" s="219" t="n"/>
      <c r="P4237" s="117" t="n"/>
      <c r="R4237" s="117" t="n"/>
      <c r="T4237" s="117" t="n"/>
    </row>
    <row r="4238">
      <c r="A4238" s="134" t="inlineStr">
        <is>
          <t>30427</t>
        </is>
      </c>
      <c r="B4238" s="246" t="inlineStr">
        <is>
          <t>MUSCULOSA</t>
        </is>
      </c>
      <c r="C4238" s="153" t="n">
        <v>33000</v>
      </c>
      <c r="D4238" s="153" t="n"/>
      <c r="E4238" s="153" t="n"/>
      <c r="F4238" s="153" t="n"/>
      <c r="G4238" s="153" t="n"/>
      <c r="H4238" s="153" t="n"/>
      <c r="I4238" s="153">
        <f>ROUND((J4238*C4238)/100,0)*100</f>
        <v/>
      </c>
      <c r="J4238" s="118" t="n">
        <v>1.25</v>
      </c>
      <c r="K4238" s="219" t="n"/>
      <c r="L4238" s="219" t="n"/>
      <c r="M4238" s="219" t="n"/>
      <c r="P4238" s="117" t="n"/>
      <c r="R4238" s="117" t="n"/>
      <c r="T4238" s="117" t="n"/>
    </row>
    <row r="4239">
      <c r="A4239" s="134" t="inlineStr">
        <is>
          <t>30428</t>
        </is>
      </c>
      <c r="B4239" s="246" t="inlineStr">
        <is>
          <t>MUSCULOSA</t>
        </is>
      </c>
      <c r="C4239" s="153" t="n">
        <v>27800</v>
      </c>
      <c r="D4239" s="153" t="n"/>
      <c r="E4239" s="153" t="n"/>
      <c r="F4239" s="153" t="n"/>
      <c r="G4239" s="153" t="n"/>
      <c r="H4239" s="153" t="n"/>
      <c r="I4239" s="153">
        <f>ROUND((J4239*C4239)/100,0)*100</f>
        <v/>
      </c>
      <c r="J4239" s="118" t="n">
        <v>1.25</v>
      </c>
      <c r="K4239" s="219" t="n"/>
      <c r="L4239" s="219" t="n"/>
      <c r="M4239" s="219" t="n"/>
      <c r="P4239" s="117" t="n"/>
      <c r="R4239" s="117" t="n"/>
      <c r="T4239" s="117" t="n"/>
    </row>
    <row r="4240">
      <c r="A4240" s="134" t="inlineStr">
        <is>
          <t>30429</t>
        </is>
      </c>
      <c r="B4240" s="246" t="inlineStr">
        <is>
          <t>MUSCULOSA</t>
        </is>
      </c>
      <c r="C4240" s="153" t="n">
        <v>28900</v>
      </c>
      <c r="D4240" s="153" t="n"/>
      <c r="E4240" s="153" t="n"/>
      <c r="F4240" s="153" t="n"/>
      <c r="G4240" s="153" t="n"/>
      <c r="H4240" s="153" t="n"/>
      <c r="I4240" s="153">
        <f>ROUND((J4240*C4240)/100,0)*100</f>
        <v/>
      </c>
      <c r="J4240" s="118" t="n">
        <v>1.25</v>
      </c>
      <c r="K4240" s="219" t="n"/>
      <c r="L4240" s="219" t="n"/>
      <c r="M4240" s="219" t="n"/>
      <c r="P4240" s="117" t="n"/>
      <c r="R4240" s="117" t="n"/>
      <c r="T4240" s="117" t="n"/>
    </row>
    <row r="4241">
      <c r="A4241" s="134" t="inlineStr">
        <is>
          <t>30430</t>
        </is>
      </c>
      <c r="B4241" s="246" t="inlineStr">
        <is>
          <t>MUSCULOSA</t>
        </is>
      </c>
      <c r="C4241" s="153" t="n">
        <v>30100</v>
      </c>
      <c r="D4241" s="153" t="n"/>
      <c r="E4241" s="153" t="n"/>
      <c r="F4241" s="153" t="n"/>
      <c r="G4241" s="153" t="n"/>
      <c r="H4241" s="153" t="n"/>
      <c r="I4241" s="153">
        <f>ROUND((J4241*C4241)/100,0)*100</f>
        <v/>
      </c>
      <c r="J4241" s="118" t="n">
        <v>1.25</v>
      </c>
      <c r="K4241" s="219" t="n"/>
      <c r="L4241" s="219" t="n"/>
      <c r="M4241" s="219" t="n"/>
      <c r="P4241" s="117" t="n"/>
      <c r="R4241" s="117" t="n"/>
      <c r="T4241" s="117" t="n"/>
    </row>
    <row r="4242">
      <c r="A4242" s="134" t="inlineStr">
        <is>
          <t>30431</t>
        </is>
      </c>
      <c r="B4242" s="246" t="inlineStr">
        <is>
          <t>MUSCULOSA</t>
        </is>
      </c>
      <c r="C4242" s="153" t="n">
        <v>19600</v>
      </c>
      <c r="D4242" s="153" t="n"/>
      <c r="E4242" s="153" t="n"/>
      <c r="F4242" s="153" t="n"/>
      <c r="G4242" s="153" t="n"/>
      <c r="H4242" s="153" t="n"/>
      <c r="I4242" s="153">
        <f>ROUND((J4242*C4242)/100,0)*100</f>
        <v/>
      </c>
      <c r="J4242" s="118" t="n">
        <v>1.25</v>
      </c>
      <c r="K4242" s="219" t="n"/>
      <c r="L4242" s="219" t="n"/>
      <c r="M4242" s="219" t="n"/>
      <c r="P4242" s="117" t="n"/>
      <c r="R4242" s="117" t="n"/>
      <c r="T4242" s="117" t="n"/>
    </row>
    <row r="4243">
      <c r="A4243" s="134" t="inlineStr">
        <is>
          <t>30432</t>
        </is>
      </c>
      <c r="B4243" s="246" t="inlineStr">
        <is>
          <t>MUSCULOSA</t>
        </is>
      </c>
      <c r="C4243" s="153" t="n">
        <v>31300</v>
      </c>
      <c r="D4243" s="153" t="n"/>
      <c r="E4243" s="153" t="n"/>
      <c r="F4243" s="153" t="n"/>
      <c r="G4243" s="153" t="n"/>
      <c r="H4243" s="153" t="n"/>
      <c r="I4243" s="153">
        <f>ROUND((J4243*C4243)/100,0)*100</f>
        <v/>
      </c>
      <c r="J4243" s="118" t="n">
        <v>1.25</v>
      </c>
      <c r="K4243" s="219" t="n"/>
      <c r="L4243" s="219" t="n"/>
      <c r="M4243" s="219" t="n"/>
      <c r="P4243" s="117" t="n"/>
      <c r="R4243" s="117" t="n"/>
      <c r="T4243" s="117" t="n"/>
    </row>
    <row r="4244">
      <c r="A4244" s="134" t="inlineStr">
        <is>
          <t>30433</t>
        </is>
      </c>
      <c r="B4244" s="246" t="inlineStr">
        <is>
          <t>MUSCULOSA</t>
        </is>
      </c>
      <c r="C4244" s="153" t="n">
        <v>32400</v>
      </c>
      <c r="D4244" s="153" t="n"/>
      <c r="E4244" s="153" t="n"/>
      <c r="F4244" s="153" t="n"/>
      <c r="G4244" s="153" t="n"/>
      <c r="H4244" s="153" t="n"/>
      <c r="I4244" s="153">
        <f>ROUND((J4244*C4244)/100,0)*100</f>
        <v/>
      </c>
      <c r="J4244" s="118" t="n">
        <v>1.25</v>
      </c>
      <c r="K4244" s="219" t="n"/>
      <c r="L4244" s="219" t="n"/>
      <c r="M4244" s="219" t="n"/>
      <c r="P4244" s="117" t="n"/>
      <c r="R4244" s="117" t="n"/>
      <c r="T4244" s="117" t="n"/>
    </row>
    <row r="4245">
      <c r="A4245" s="134" t="inlineStr">
        <is>
          <t>30434</t>
        </is>
      </c>
      <c r="B4245" s="246" t="inlineStr">
        <is>
          <t>MUSCULOSA</t>
        </is>
      </c>
      <c r="C4245" s="153" t="n">
        <v>33600</v>
      </c>
      <c r="D4245" s="153" t="n"/>
      <c r="E4245" s="153" t="n"/>
      <c r="F4245" s="153" t="n"/>
      <c r="G4245" s="153" t="n"/>
      <c r="H4245" s="153" t="n"/>
      <c r="I4245" s="153">
        <f>ROUND((J4245*C4245)/100,0)*100</f>
        <v/>
      </c>
      <c r="J4245" s="118" t="n">
        <v>1.25</v>
      </c>
      <c r="K4245" s="219" t="n"/>
      <c r="L4245" s="219" t="n"/>
      <c r="M4245" s="219" t="n"/>
      <c r="P4245" s="117" t="n"/>
      <c r="R4245" s="117" t="n"/>
      <c r="T4245" s="117" t="n"/>
    </row>
    <row r="4246">
      <c r="A4246" s="134" t="inlineStr">
        <is>
          <t>30435</t>
        </is>
      </c>
      <c r="B4246" s="246" t="inlineStr">
        <is>
          <t>MUSCULOSA</t>
        </is>
      </c>
      <c r="C4246" s="153" t="n">
        <v>34700</v>
      </c>
      <c r="D4246" s="153" t="n"/>
      <c r="E4246" s="153" t="n"/>
      <c r="F4246" s="153" t="n"/>
      <c r="G4246" s="153" t="n"/>
      <c r="H4246" s="153" t="n"/>
      <c r="I4246" s="153">
        <f>ROUND((J4246*C4246)/100,0)*100</f>
        <v/>
      </c>
      <c r="J4246" s="118" t="n">
        <v>1.25</v>
      </c>
      <c r="K4246" s="219" t="n"/>
      <c r="L4246" s="219" t="n"/>
      <c r="M4246" s="219" t="n"/>
      <c r="P4246" s="117" t="n"/>
      <c r="R4246" s="117" t="n"/>
      <c r="T4246" s="117" t="n"/>
    </row>
    <row r="4247">
      <c r="A4247" s="134" t="inlineStr">
        <is>
          <t>30436</t>
        </is>
      </c>
      <c r="B4247" s="246" t="inlineStr">
        <is>
          <t>MUSCULOSA</t>
        </is>
      </c>
      <c r="C4247" s="153" t="n">
        <v>35900</v>
      </c>
      <c r="D4247" s="153" t="n"/>
      <c r="E4247" s="153" t="n"/>
      <c r="F4247" s="153" t="n"/>
      <c r="G4247" s="153" t="n"/>
      <c r="H4247" s="153" t="n"/>
      <c r="I4247" s="153">
        <f>ROUND((J4247*C4247)/100,0)*100</f>
        <v/>
      </c>
      <c r="J4247" s="118" t="n">
        <v>1.25</v>
      </c>
      <c r="K4247" s="219" t="n"/>
      <c r="L4247" s="219" t="n"/>
      <c r="M4247" s="219" t="n"/>
      <c r="P4247" s="117" t="n"/>
      <c r="R4247" s="117" t="n"/>
      <c r="T4247" s="117" t="n"/>
    </row>
    <row r="4248">
      <c r="A4248" s="134" t="inlineStr">
        <is>
          <t>30437</t>
        </is>
      </c>
      <c r="B4248" s="246" t="inlineStr">
        <is>
          <t>MUSCULOSA</t>
        </is>
      </c>
      <c r="C4248" s="153" t="n">
        <v>37100</v>
      </c>
      <c r="D4248" s="153" t="n"/>
      <c r="E4248" s="153" t="n"/>
      <c r="F4248" s="153" t="n"/>
      <c r="G4248" s="153" t="n"/>
      <c r="H4248" s="153" t="n"/>
      <c r="I4248" s="153">
        <f>ROUND((J4248*C4248)/100,0)*100</f>
        <v/>
      </c>
      <c r="J4248" s="118" t="n">
        <v>1.25</v>
      </c>
      <c r="K4248" s="219" t="n"/>
      <c r="L4248" s="219" t="n"/>
      <c r="M4248" s="219" t="n"/>
      <c r="P4248" s="117" t="n"/>
      <c r="R4248" s="117" t="n"/>
      <c r="T4248" s="117" t="n"/>
    </row>
    <row r="4249">
      <c r="A4249" s="134" t="inlineStr">
        <is>
          <t>30438</t>
        </is>
      </c>
      <c r="B4249" s="246" t="inlineStr">
        <is>
          <t>MUSCULOSA</t>
        </is>
      </c>
      <c r="C4249" s="153" t="n">
        <v>38200</v>
      </c>
      <c r="D4249" s="153" t="n"/>
      <c r="E4249" s="153" t="n"/>
      <c r="F4249" s="153" t="n"/>
      <c r="G4249" s="153" t="n"/>
      <c r="H4249" s="153" t="n"/>
      <c r="I4249" s="153">
        <f>ROUND((J4249*C4249)/100,0)*100</f>
        <v/>
      </c>
      <c r="J4249" s="118" t="n">
        <v>1.25</v>
      </c>
      <c r="K4249" s="219" t="n"/>
      <c r="L4249" s="219" t="n"/>
      <c r="M4249" s="219" t="n"/>
      <c r="P4249" s="117" t="n"/>
      <c r="R4249" s="117" t="n"/>
      <c r="T4249" s="117" t="n"/>
    </row>
    <row r="4250">
      <c r="A4250" s="134" t="inlineStr">
        <is>
          <t>30439</t>
        </is>
      </c>
      <c r="B4250" s="246" t="inlineStr">
        <is>
          <t>MUSCULOSA</t>
        </is>
      </c>
      <c r="C4250" s="153" t="n">
        <v>41900</v>
      </c>
      <c r="D4250" s="153" t="n"/>
      <c r="E4250" s="153" t="n"/>
      <c r="F4250" s="153" t="n"/>
      <c r="G4250" s="153" t="n"/>
      <c r="H4250" s="153" t="n"/>
      <c r="I4250" s="153">
        <f>ROUND((J4250*C4250)/100,0)*100</f>
        <v/>
      </c>
      <c r="J4250" s="118" t="n">
        <v>1.25</v>
      </c>
      <c r="K4250" s="219" t="n"/>
      <c r="L4250" s="219" t="n"/>
      <c r="M4250" s="219" t="n"/>
      <c r="P4250" s="117" t="n"/>
      <c r="R4250" s="117" t="n"/>
      <c r="T4250" s="117" t="n"/>
    </row>
    <row r="4251">
      <c r="A4251" s="134" t="inlineStr">
        <is>
          <t>55100</t>
        </is>
      </c>
      <c r="B4251" s="246" t="inlineStr">
        <is>
          <t>MUSCULOSA</t>
        </is>
      </c>
      <c r="C4251" s="153" t="n">
        <v>41900</v>
      </c>
      <c r="D4251" s="153" t="n"/>
      <c r="E4251" s="153" t="n"/>
      <c r="F4251" s="153" t="n"/>
      <c r="G4251" s="153" t="n"/>
      <c r="H4251" s="153" t="n"/>
      <c r="I4251" s="153">
        <f>ROUND((J4251*C4251)/100,0)*100</f>
        <v/>
      </c>
      <c r="J4251" s="118" t="n">
        <v>1.25</v>
      </c>
      <c r="K4251" s="219" t="n"/>
      <c r="L4251" s="219" t="n"/>
      <c r="M4251" s="219" t="n"/>
      <c r="P4251" s="117" t="n"/>
      <c r="R4251" s="117" t="n"/>
      <c r="T4251" s="117" t="n"/>
    </row>
    <row r="4252">
      <c r="A4252" s="134" t="inlineStr">
        <is>
          <t>04331XXX</t>
        </is>
      </c>
      <c r="B4252" s="246" t="inlineStr">
        <is>
          <t xml:space="preserve">MUSCULOSA TAVERNITI </t>
        </is>
      </c>
      <c r="C4252" s="153" t="n">
        <v>29500</v>
      </c>
      <c r="D4252" s="153" t="n"/>
      <c r="E4252" s="153" t="n"/>
      <c r="F4252" s="153" t="n"/>
      <c r="G4252" s="153" t="n"/>
      <c r="H4252" s="153" t="n"/>
      <c r="I4252" s="153">
        <f>ROUND((J4252*C4252)/100,0)*100</f>
        <v/>
      </c>
      <c r="J4252" s="118" t="n">
        <v>1.25</v>
      </c>
      <c r="K4252" s="219" t="n"/>
      <c r="L4252" s="219" t="n"/>
      <c r="M4252" s="219" t="n"/>
      <c r="P4252" s="117" t="n"/>
      <c r="R4252" s="117" t="n"/>
      <c r="T4252" s="117" t="n"/>
    </row>
    <row r="4253">
      <c r="A4253" s="134" t="inlineStr">
        <is>
          <t>04531XXX</t>
        </is>
      </c>
      <c r="B4253" s="246" t="inlineStr">
        <is>
          <t xml:space="preserve">MUSCULOSA TAVERNITI </t>
        </is>
      </c>
      <c r="C4253" s="153" t="n">
        <v>26100</v>
      </c>
      <c r="D4253" s="153" t="n"/>
      <c r="E4253" s="153" t="n"/>
      <c r="F4253" s="153" t="n"/>
      <c r="G4253" s="153" t="n"/>
      <c r="H4253" s="153" t="n"/>
      <c r="I4253" s="153">
        <f>ROUND((J4253*C4253)/100,0)*100</f>
        <v/>
      </c>
      <c r="J4253" s="118" t="n">
        <v>1.25</v>
      </c>
      <c r="K4253" s="219" t="n"/>
      <c r="L4253" s="219" t="n"/>
      <c r="M4253" s="219" t="n"/>
      <c r="P4253" s="117" t="n"/>
      <c r="R4253" s="117" t="n"/>
      <c r="T4253" s="117" t="n"/>
    </row>
    <row r="4254">
      <c r="A4254" s="134" t="inlineStr">
        <is>
          <t>06289XXX</t>
        </is>
      </c>
      <c r="B4254" s="246" t="inlineStr">
        <is>
          <t xml:space="preserve">MUSCULOSA TAVERNITI </t>
        </is>
      </c>
      <c r="C4254" s="153" t="n">
        <v>23400</v>
      </c>
      <c r="D4254" s="153" t="n"/>
      <c r="E4254" s="153" t="n"/>
      <c r="F4254" s="153" t="n"/>
      <c r="G4254" s="153" t="n"/>
      <c r="H4254" s="153" t="n"/>
      <c r="I4254" s="153">
        <f>ROUND((J4254*C4254)/100,0)*100</f>
        <v/>
      </c>
      <c r="J4254" s="118" t="n">
        <v>1.25</v>
      </c>
      <c r="K4254" s="219" t="n"/>
      <c r="L4254" s="219" t="n"/>
      <c r="M4254" s="219" t="n"/>
      <c r="P4254" s="117" t="n"/>
      <c r="R4254" s="117" t="n"/>
      <c r="T4254" s="117" t="n"/>
    </row>
    <row r="4255">
      <c r="A4255" s="134" t="inlineStr">
        <is>
          <t>19701XXX</t>
        </is>
      </c>
      <c r="B4255" s="246" t="inlineStr">
        <is>
          <t xml:space="preserve">MUSCULOSA TAVERNITI </t>
        </is>
      </c>
      <c r="C4255" s="153" t="n">
        <v>29700</v>
      </c>
      <c r="D4255" s="153" t="n"/>
      <c r="E4255" s="153" t="n"/>
      <c r="F4255" s="153" t="n"/>
      <c r="G4255" s="153" t="n"/>
      <c r="H4255" s="153" t="n"/>
      <c r="I4255" s="153">
        <f>ROUND((J4255*C4255)/100,0)*100</f>
        <v/>
      </c>
      <c r="J4255" s="118" t="n">
        <v>1.25</v>
      </c>
      <c r="K4255" s="219" t="n"/>
      <c r="L4255" s="219" t="n"/>
      <c r="M4255" s="219" t="n"/>
      <c r="P4255" s="117" t="n"/>
      <c r="R4255" s="117" t="n"/>
      <c r="T4255" s="117" t="n"/>
    </row>
    <row r="4256">
      <c r="A4256" s="134" t="n"/>
      <c r="B4256" s="246" t="n"/>
      <c r="C4256" s="153" t="n"/>
      <c r="D4256" s="153" t="n"/>
      <c r="E4256" s="153" t="n"/>
      <c r="F4256" s="153" t="n"/>
      <c r="G4256" s="153" t="n"/>
      <c r="H4256" s="153" t="n"/>
      <c r="I4256" s="153" t="n"/>
      <c r="J4256" s="153" t="n"/>
      <c r="K4256" s="219" t="n"/>
      <c r="L4256" s="219" t="n"/>
      <c r="M4256" s="219" t="n"/>
      <c r="P4256" s="117" t="n"/>
      <c r="R4256" s="117" t="n"/>
      <c r="T4256" s="117" t="n"/>
    </row>
    <row r="4257">
      <c r="A4257" s="134" t="n"/>
      <c r="B4257" s="246" t="n"/>
      <c r="C4257" s="153" t="n"/>
      <c r="D4257" s="153" t="n"/>
      <c r="E4257" s="153" t="n"/>
      <c r="F4257" s="153" t="n"/>
      <c r="G4257" s="153" t="n"/>
      <c r="H4257" s="153" t="n"/>
      <c r="I4257" s="153" t="n"/>
      <c r="J4257" s="153" t="n"/>
      <c r="K4257" s="219" t="n"/>
      <c r="L4257" s="219" t="n"/>
      <c r="M4257" s="219" t="n"/>
      <c r="P4257" s="117" t="n"/>
      <c r="R4257" s="117" t="n"/>
      <c r="T4257" s="117" t="n"/>
    </row>
    <row r="4258">
      <c r="A4258" s="134" t="n"/>
      <c r="B4258" s="200" t="inlineStr">
        <is>
          <t>REMERAS HILO M LARGA</t>
        </is>
      </c>
      <c r="C4258" s="219" t="n"/>
      <c r="D4258" s="219" t="n"/>
      <c r="E4258" s="219" t="n"/>
      <c r="F4258" s="219" t="n"/>
      <c r="G4258" s="219" t="n"/>
      <c r="H4258" s="134" t="inlineStr">
        <is>
          <t>01/24</t>
        </is>
      </c>
      <c r="I4258" s="219" t="n"/>
      <c r="J4258" s="219" t="n"/>
      <c r="K4258" s="219" t="n"/>
      <c r="L4258" s="219" t="n"/>
      <c r="M4258" s="219" t="n"/>
      <c r="P4258" s="117" t="n"/>
      <c r="R4258" s="117" t="n"/>
      <c r="T4258" s="117" t="n"/>
    </row>
    <row r="4259">
      <c r="A4259" s="134" t="inlineStr">
        <is>
          <t>28</t>
        </is>
      </c>
      <c r="B4259" s="246" t="n"/>
      <c r="C4259" s="219" t="n">
        <v>29300</v>
      </c>
      <c r="D4259" s="220">
        <f>ROUND((C4259*1.06)/100,0)*100</f>
        <v/>
      </c>
      <c r="E4259" s="220">
        <f>ROUND((C4259*1.13)/100,0)*100</f>
        <v/>
      </c>
      <c r="F4259" s="220" t="n"/>
      <c r="G4259" s="219" t="n"/>
      <c r="H4259" s="219" t="n"/>
      <c r="I4259" s="219">
        <f>ROUND((J4259*C4259)/100,0)*100</f>
        <v/>
      </c>
      <c r="J4259" s="118" t="n">
        <v>1.5</v>
      </c>
      <c r="K4259" s="219" t="n"/>
      <c r="L4259" s="219" t="n"/>
      <c r="M4259" s="219" t="n"/>
      <c r="P4259" s="117" t="n"/>
      <c r="R4259" s="117" t="n"/>
      <c r="T4259" s="117" t="n"/>
    </row>
    <row r="4260">
      <c r="A4260" s="134" t="inlineStr">
        <is>
          <t>2819</t>
        </is>
      </c>
      <c r="B4260" s="246" t="inlineStr">
        <is>
          <t>QUIMICO REM LYCRA</t>
        </is>
      </c>
      <c r="C4260" s="219" t="n">
        <v>29300</v>
      </c>
      <c r="D4260" s="220">
        <f>ROUND((C4260*1.06)/100,0)*100</f>
        <v/>
      </c>
      <c r="E4260" s="220">
        <f>ROUND((C4260*1.13)/100,0)*100</f>
        <v/>
      </c>
      <c r="F4260" s="220" t="n"/>
      <c r="G4260" s="219" t="n"/>
      <c r="H4260" s="219" t="n"/>
      <c r="I4260" s="219">
        <f>ROUND((J4260*C4260)/100,0)*100</f>
        <v/>
      </c>
      <c r="J4260" s="118" t="n">
        <v>1.5</v>
      </c>
      <c r="K4260" s="219" t="n"/>
      <c r="L4260" s="219" t="n"/>
      <c r="M4260" s="219" t="n"/>
      <c r="P4260" s="117" t="n"/>
      <c r="R4260" s="117" t="n"/>
      <c r="T4260" s="117" t="n"/>
    </row>
    <row r="4261">
      <c r="A4261" s="134" t="inlineStr">
        <is>
          <t>2820</t>
        </is>
      </c>
      <c r="B4261" s="246" t="inlineStr">
        <is>
          <t>QUIMICO REM LYCRA ML y 3/4</t>
        </is>
      </c>
      <c r="C4261" s="219" t="n">
        <v>27400</v>
      </c>
      <c r="D4261" s="220">
        <f>ROUND((C4261*1.06)/100,0)*100</f>
        <v/>
      </c>
      <c r="E4261" s="220">
        <f>ROUND((C4261*1.13)/100,0)*100</f>
        <v/>
      </c>
      <c r="F4261" s="153" t="n"/>
      <c r="G4261" s="219" t="n"/>
      <c r="H4261" s="219" t="n"/>
      <c r="I4261" s="219">
        <f>ROUND((J4261*C4261)/100,0)*100</f>
        <v/>
      </c>
      <c r="J4261" s="118" t="n">
        <v>1.5</v>
      </c>
      <c r="K4261" s="219" t="n"/>
      <c r="L4261" s="219" t="n"/>
      <c r="M4261" s="219" t="n"/>
      <c r="P4261" s="117" t="n"/>
      <c r="R4261" s="117" t="n"/>
      <c r="T4261" s="117" t="n"/>
    </row>
    <row r="4262">
      <c r="A4262" s="134" t="inlineStr">
        <is>
          <t>28201</t>
        </is>
      </c>
      <c r="B4262" s="246" t="inlineStr">
        <is>
          <t>HILO LYCRA</t>
        </is>
      </c>
      <c r="C4262" s="88" t="n">
        <v>33700</v>
      </c>
      <c r="D4262" s="220">
        <f>ROUND((C4262*1.06)/100,0)*100</f>
        <v/>
      </c>
      <c r="E4262" s="220">
        <f>ROUND((C4262*1.13)/100,0)*100</f>
        <v/>
      </c>
      <c r="F4262" s="153" t="n"/>
      <c r="G4262" s="219" t="n"/>
      <c r="H4262" s="219" t="n"/>
      <c r="I4262" s="219">
        <f>ROUND((J4262*C4262)/100,0)*100</f>
        <v/>
      </c>
      <c r="J4262" s="118" t="n">
        <v>1.5</v>
      </c>
      <c r="K4262" s="219" t="n"/>
      <c r="L4262" s="219" t="n"/>
      <c r="M4262" s="219" t="n"/>
      <c r="P4262" s="117" t="n"/>
      <c r="R4262" s="117" t="n"/>
      <c r="T4262" s="117" t="n"/>
    </row>
    <row r="4263">
      <c r="A4263" s="134" t="inlineStr">
        <is>
          <t>28202</t>
        </is>
      </c>
      <c r="B4263" s="246" t="inlineStr">
        <is>
          <t>HILO LYCRA</t>
        </is>
      </c>
      <c r="C4263" s="88" t="n">
        <v>34700</v>
      </c>
      <c r="D4263" s="220">
        <f>ROUND((C4263*1.06)/100,0)*100</f>
        <v/>
      </c>
      <c r="E4263" s="220">
        <f>ROUND((C4263*1.13)/100,0)*100</f>
        <v/>
      </c>
      <c r="F4263" s="153" t="n"/>
      <c r="G4263" s="219" t="n"/>
      <c r="H4263" s="219" t="n"/>
      <c r="I4263" s="219">
        <f>ROUND((J4263*C4263)/100,0)*100</f>
        <v/>
      </c>
      <c r="J4263" s="118" t="n">
        <v>1.5</v>
      </c>
      <c r="K4263" s="219" t="n"/>
      <c r="L4263" s="219" t="n"/>
      <c r="M4263" s="219" t="n"/>
      <c r="P4263" s="117" t="n"/>
      <c r="R4263" s="117" t="n"/>
      <c r="T4263" s="117" t="n"/>
    </row>
    <row r="4264">
      <c r="A4264" s="134" t="inlineStr">
        <is>
          <t>28203</t>
        </is>
      </c>
      <c r="B4264" s="246" t="inlineStr">
        <is>
          <t>HILO LYCRA</t>
        </is>
      </c>
      <c r="C4264" s="88" t="n">
        <v>40600</v>
      </c>
      <c r="D4264" s="220">
        <f>ROUND((C4264*1.06)/100,0)*100</f>
        <v/>
      </c>
      <c r="E4264" s="220">
        <f>ROUND((C4264*1.13)/100,0)*100</f>
        <v/>
      </c>
      <c r="F4264" s="153" t="n"/>
      <c r="G4264" s="219" t="n"/>
      <c r="H4264" s="219" t="n"/>
      <c r="I4264" s="219">
        <f>ROUND((J4264*C4264)/100,0)*100</f>
        <v/>
      </c>
      <c r="J4264" s="118" t="n">
        <v>1.5</v>
      </c>
      <c r="K4264" s="219" t="n"/>
      <c r="L4264" s="219" t="n"/>
      <c r="M4264" s="219" t="n"/>
      <c r="P4264" s="117" t="n"/>
      <c r="R4264" s="117" t="n"/>
      <c r="T4264" s="117" t="n"/>
    </row>
    <row r="4265">
      <c r="A4265" s="134" t="inlineStr">
        <is>
          <t>28204</t>
        </is>
      </c>
      <c r="B4265" s="246" t="inlineStr">
        <is>
          <t>HILO LYCRA</t>
        </is>
      </c>
      <c r="C4265" s="88" t="n">
        <v>41800</v>
      </c>
      <c r="D4265" s="220">
        <f>ROUND((C4265*1.06)/100,0)*100</f>
        <v/>
      </c>
      <c r="E4265" s="220">
        <f>ROUND((C4265*1.13)/100,0)*100</f>
        <v/>
      </c>
      <c r="F4265" s="153" t="n"/>
      <c r="G4265" s="219" t="n"/>
      <c r="H4265" s="219" t="n"/>
      <c r="I4265" s="219">
        <f>ROUND((J4265*C4265)/100,0)*100</f>
        <v/>
      </c>
      <c r="J4265" s="118" t="n">
        <v>1.5</v>
      </c>
      <c r="K4265" s="219" t="n"/>
      <c r="L4265" s="219" t="n"/>
      <c r="M4265" s="219" t="n"/>
      <c r="P4265" s="117" t="n"/>
      <c r="R4265" s="117" t="n"/>
      <c r="T4265" s="117" t="n"/>
    </row>
    <row r="4266">
      <c r="A4266" s="134" t="inlineStr">
        <is>
          <t>28205</t>
        </is>
      </c>
      <c r="B4266" s="246" t="inlineStr">
        <is>
          <t>HILO LYCRA</t>
        </is>
      </c>
      <c r="C4266" s="88" t="n">
        <v>47900</v>
      </c>
      <c r="D4266" s="220">
        <f>ROUND((C4266*1.06)/100,0)*100</f>
        <v/>
      </c>
      <c r="E4266" s="220">
        <f>ROUND((C4266*1.13)/100,0)*100</f>
        <v/>
      </c>
      <c r="F4266" s="153" t="n"/>
      <c r="G4266" s="219" t="n"/>
      <c r="H4266" s="219" t="n"/>
      <c r="I4266" s="219">
        <f>ROUND((J4266*C4266)/100,0)*100</f>
        <v/>
      </c>
      <c r="J4266" s="118" t="n">
        <v>1.5</v>
      </c>
      <c r="K4266" s="219" t="n"/>
      <c r="L4266" s="219" t="n"/>
      <c r="M4266" s="219" t="n"/>
      <c r="P4266" s="117" t="n"/>
      <c r="R4266" s="117" t="n"/>
      <c r="T4266" s="117" t="n"/>
    </row>
    <row r="4267">
      <c r="A4267" s="134" t="inlineStr">
        <is>
          <t>28206</t>
        </is>
      </c>
      <c r="B4267" s="246" t="inlineStr">
        <is>
          <t>HILO LYCRA</t>
        </is>
      </c>
      <c r="C4267" s="88" t="n">
        <v>48900</v>
      </c>
      <c r="D4267" s="220">
        <f>ROUND((C4267*1.06)/100,0)*100</f>
        <v/>
      </c>
      <c r="E4267" s="220">
        <f>ROUND((C4267*1.13)/100,0)*100</f>
        <v/>
      </c>
      <c r="F4267" s="153" t="n"/>
      <c r="G4267" s="219" t="n"/>
      <c r="H4267" s="219" t="n"/>
      <c r="I4267" s="219">
        <f>ROUND((J4267*C4267)/100,0)*100</f>
        <v/>
      </c>
      <c r="J4267" s="118" t="n">
        <v>1.5</v>
      </c>
      <c r="K4267" s="219" t="n"/>
      <c r="L4267" s="219" t="n"/>
      <c r="M4267" s="219" t="n"/>
      <c r="P4267" s="117" t="n"/>
      <c r="R4267" s="117" t="n"/>
      <c r="T4267" s="117" t="n"/>
    </row>
    <row r="4268">
      <c r="A4268" s="134" t="inlineStr">
        <is>
          <t>28207</t>
        </is>
      </c>
      <c r="B4268" s="246" t="inlineStr">
        <is>
          <t>HILO LYCRA</t>
        </is>
      </c>
      <c r="C4268" s="88" t="n">
        <v>30600</v>
      </c>
      <c r="D4268" s="220">
        <f>ROUND((C4268*1.06)/100,0)*100</f>
        <v/>
      </c>
      <c r="E4268" s="220">
        <f>ROUND((C4268*1.13)/100,0)*100</f>
        <v/>
      </c>
      <c r="F4268" s="153" t="n"/>
      <c r="G4268" s="219" t="n"/>
      <c r="H4268" s="219" t="n"/>
      <c r="I4268" s="219">
        <f>ROUND((J4268*C4268)/100,0)*100</f>
        <v/>
      </c>
      <c r="J4268" s="118" t="n">
        <v>1.5</v>
      </c>
      <c r="K4268" s="219" t="n"/>
      <c r="L4268" s="219" t="n"/>
      <c r="M4268" s="219" t="n"/>
      <c r="P4268" s="117" t="n"/>
      <c r="R4268" s="117" t="n"/>
      <c r="T4268" s="117" t="n"/>
    </row>
    <row r="4269">
      <c r="A4269" s="134" t="inlineStr">
        <is>
          <t>28208</t>
        </is>
      </c>
      <c r="B4269" s="246" t="inlineStr">
        <is>
          <t>HILO</t>
        </is>
      </c>
      <c r="C4269" s="88" t="n">
        <v>33900</v>
      </c>
      <c r="D4269" s="220">
        <f>ROUND((C4269*1.06)/100,0)*100</f>
        <v/>
      </c>
      <c r="E4269" s="220">
        <f>ROUND((C4269*1.13)/100,0)*100</f>
        <v/>
      </c>
      <c r="F4269" s="153" t="n"/>
      <c r="G4269" s="219" t="n"/>
      <c r="H4269" s="219" t="n"/>
      <c r="I4269" s="219">
        <f>ROUND((J4269*C4269)/100,0)*100</f>
        <v/>
      </c>
      <c r="J4269" s="118" t="n">
        <v>1.5</v>
      </c>
      <c r="K4269" s="219" t="n"/>
      <c r="L4269" s="219" t="n"/>
      <c r="M4269" s="219" t="n"/>
      <c r="P4269" s="117" t="n"/>
      <c r="R4269" s="117" t="n"/>
      <c r="T4269" s="117" t="n"/>
    </row>
    <row r="4270">
      <c r="A4270" s="134" t="inlineStr">
        <is>
          <t>28209</t>
        </is>
      </c>
      <c r="B4270" s="246" t="n"/>
      <c r="C4270" s="88" t="n">
        <v>36800</v>
      </c>
      <c r="D4270" s="220">
        <f>ROUND((C4270*1.06)/100,0)*100</f>
        <v/>
      </c>
      <c r="E4270" s="220">
        <f>ROUND((C4270*1.13)/100,0)*100</f>
        <v/>
      </c>
      <c r="F4270" s="153" t="n"/>
      <c r="G4270" s="219" t="n"/>
      <c r="H4270" s="219" t="n"/>
      <c r="I4270" s="219">
        <f>ROUND((J4270*C4270)/100,0)*100</f>
        <v/>
      </c>
      <c r="J4270" s="118" t="n">
        <v>1.5</v>
      </c>
      <c r="K4270" s="219" t="n"/>
      <c r="L4270" s="219" t="n"/>
      <c r="M4270" s="219" t="n"/>
      <c r="P4270" s="117" t="n"/>
      <c r="R4270" s="117" t="n"/>
      <c r="T4270" s="117" t="n"/>
    </row>
    <row r="4271">
      <c r="A4271" s="134" t="inlineStr">
        <is>
          <t>28210</t>
        </is>
      </c>
      <c r="B4271" s="246" t="n"/>
      <c r="C4271" s="88" t="n">
        <v>36600</v>
      </c>
      <c r="D4271" s="220">
        <f>ROUND((C4271*1.06)/100,0)*100</f>
        <v/>
      </c>
      <c r="E4271" s="220">
        <f>ROUND((C4271*1.13)/100,0)*100</f>
        <v/>
      </c>
      <c r="F4271" s="153" t="n"/>
      <c r="G4271" s="219" t="n"/>
      <c r="H4271" s="219" t="n"/>
      <c r="I4271" s="219">
        <f>ROUND((J4271*C4271)/100,0)*100</f>
        <v/>
      </c>
      <c r="J4271" s="118" t="n">
        <v>1.5</v>
      </c>
      <c r="K4271" s="219" t="n"/>
      <c r="L4271" s="219" t="n"/>
      <c r="M4271" s="219" t="n"/>
      <c r="P4271" s="117" t="n"/>
      <c r="R4271" s="117" t="n"/>
      <c r="T4271" s="117" t="n"/>
    </row>
    <row r="4272">
      <c r="A4272" s="134" t="inlineStr">
        <is>
          <t>28211</t>
        </is>
      </c>
      <c r="B4272" s="246" t="inlineStr">
        <is>
          <t>BREMMER</t>
        </is>
      </c>
      <c r="C4272" s="88" t="n">
        <v>32300</v>
      </c>
      <c r="D4272" s="220">
        <f>ROUND((C4272*1.06)/100,0)*100</f>
        <v/>
      </c>
      <c r="E4272" s="220">
        <f>ROUND((C4272*1.13)/100,0)*100</f>
        <v/>
      </c>
      <c r="F4272" s="153" t="n"/>
      <c r="G4272" s="219" t="n"/>
      <c r="H4272" s="219" t="n"/>
      <c r="I4272" s="219">
        <f>ROUND((J4272*C4272)/100,0)*100</f>
        <v/>
      </c>
      <c r="J4272" s="118" t="n">
        <v>1.5</v>
      </c>
      <c r="K4272" s="219" t="n"/>
      <c r="L4272" s="219" t="n"/>
      <c r="M4272" s="219" t="n"/>
      <c r="P4272" s="117" t="n"/>
      <c r="R4272" s="117" t="n"/>
      <c r="T4272" s="117" t="n"/>
    </row>
    <row r="4273">
      <c r="A4273" s="134" t="inlineStr">
        <is>
          <t>28212</t>
        </is>
      </c>
      <c r="B4273" s="246" t="n"/>
      <c r="C4273" s="88" t="n">
        <v>42900</v>
      </c>
      <c r="D4273" s="220">
        <f>ROUND((C4273*1.06)/100,0)*100</f>
        <v/>
      </c>
      <c r="E4273" s="220">
        <f>ROUND((C4273*1.13)/100,0)*100</f>
        <v/>
      </c>
      <c r="F4273" s="153" t="n"/>
      <c r="G4273" s="219" t="n"/>
      <c r="H4273" s="219" t="n"/>
      <c r="I4273" s="219">
        <f>ROUND((J4273*C4273)/100,0)*100</f>
        <v/>
      </c>
      <c r="J4273" s="118" t="n">
        <v>1.5</v>
      </c>
      <c r="K4273" s="219" t="n"/>
      <c r="L4273" s="219" t="n"/>
      <c r="M4273" s="219" t="n"/>
      <c r="P4273" s="117" t="n"/>
      <c r="R4273" s="117" t="n"/>
      <c r="T4273" s="117" t="n"/>
    </row>
    <row r="4274">
      <c r="A4274" s="134" t="inlineStr">
        <is>
          <t>28213</t>
        </is>
      </c>
      <c r="B4274" s="246" t="n"/>
      <c r="C4274" s="88" t="n">
        <v>39900</v>
      </c>
      <c r="D4274" s="220">
        <f>ROUND((C4274*1.06)/100,0)*100</f>
        <v/>
      </c>
      <c r="E4274" s="220">
        <f>ROUND((C4274*1.13)/100,0)*100</f>
        <v/>
      </c>
      <c r="F4274" s="153" t="n"/>
      <c r="G4274" s="219" t="n"/>
      <c r="H4274" s="219" t="n"/>
      <c r="I4274" s="219">
        <f>ROUND((J4274*C4274)/100,0)*100</f>
        <v/>
      </c>
      <c r="J4274" s="118" t="n">
        <v>1.5</v>
      </c>
      <c r="K4274" s="219" t="n"/>
      <c r="L4274" s="219" t="n"/>
      <c r="M4274" s="219" t="n"/>
      <c r="P4274" s="117" t="n"/>
      <c r="R4274" s="117" t="n"/>
      <c r="T4274" s="117" t="n"/>
    </row>
    <row r="4275">
      <c r="A4275" s="134" t="inlineStr">
        <is>
          <t>28214</t>
        </is>
      </c>
      <c r="B4275" s="246" t="n"/>
      <c r="C4275" s="88" t="n">
        <v>32700</v>
      </c>
      <c r="D4275" s="220">
        <f>ROUND((C4275*1.06)/100,0)*100</f>
        <v/>
      </c>
      <c r="E4275" s="220">
        <f>ROUND((C4275*1.13)/100,0)*100</f>
        <v/>
      </c>
      <c r="F4275" s="153" t="n"/>
      <c r="G4275" s="219" t="n"/>
      <c r="H4275" s="219" t="n"/>
      <c r="I4275" s="219">
        <f>ROUND((J4275*C4275)/100,0)*100</f>
        <v/>
      </c>
      <c r="J4275" s="118" t="n">
        <v>1.5</v>
      </c>
      <c r="K4275" s="219" t="n"/>
      <c r="L4275" s="219" t="n"/>
      <c r="M4275" s="219" t="n"/>
      <c r="P4275" s="117" t="n"/>
      <c r="R4275" s="117" t="n"/>
      <c r="T4275" s="117" t="n"/>
    </row>
    <row r="4276">
      <c r="A4276" s="134" t="inlineStr">
        <is>
          <t>28215</t>
        </is>
      </c>
      <c r="B4276" s="246" t="n"/>
      <c r="C4276" s="88" t="n">
        <v>27300</v>
      </c>
      <c r="D4276" s="220">
        <f>ROUND((C4276*1.06)/100,0)*100</f>
        <v/>
      </c>
      <c r="E4276" s="220">
        <f>ROUND((C4276*1.13)/100,0)*100</f>
        <v/>
      </c>
      <c r="F4276" s="153" t="n"/>
      <c r="G4276" s="219" t="n"/>
      <c r="H4276" s="219" t="n"/>
      <c r="I4276" s="219">
        <f>ROUND((J4276*C4276)/100,0)*100</f>
        <v/>
      </c>
      <c r="J4276" s="118" t="n">
        <v>1.5</v>
      </c>
      <c r="K4276" s="219" t="n"/>
      <c r="L4276" s="219" t="n"/>
      <c r="M4276" s="219" t="n"/>
      <c r="P4276" s="117" t="n"/>
      <c r="R4276" s="117" t="n"/>
      <c r="T4276" s="117" t="n"/>
    </row>
    <row r="4277">
      <c r="A4277" s="134" t="inlineStr">
        <is>
          <t>2821</t>
        </is>
      </c>
      <c r="B4277" s="246" t="inlineStr">
        <is>
          <t>V CRUZADO LYCRA</t>
        </is>
      </c>
      <c r="C4277" s="88" t="n">
        <v>36400</v>
      </c>
      <c r="D4277" s="220">
        <f>ROUND((C4277*1.06)/100,0)*100</f>
        <v/>
      </c>
      <c r="E4277" s="220">
        <f>ROUND((C4277*1.13)/100,0)*100</f>
        <v/>
      </c>
      <c r="F4277" s="153" t="n"/>
      <c r="G4277" s="219" t="n"/>
      <c r="H4277" s="219" t="n"/>
      <c r="I4277" s="219">
        <f>ROUND((J4277*C4277)/100,0)*100</f>
        <v/>
      </c>
      <c r="J4277" s="118" t="n">
        <v>1.5</v>
      </c>
      <c r="K4277" s="219" t="n"/>
      <c r="L4277" s="219" t="n"/>
      <c r="M4277" s="219" t="n"/>
      <c r="P4277" s="117" t="n"/>
      <c r="R4277" s="117" t="n"/>
      <c r="T4277" s="117" t="n"/>
    </row>
    <row r="4278">
      <c r="A4278" s="134" t="inlineStr">
        <is>
          <t>2822</t>
        </is>
      </c>
      <c r="B4278" s="246" t="inlineStr">
        <is>
          <t>HILO LYCRA ML</t>
        </is>
      </c>
      <c r="C4278" s="88" t="n">
        <v>36400</v>
      </c>
      <c r="D4278" s="220">
        <f>ROUND((C4278*1.06)/100,0)*100</f>
        <v/>
      </c>
      <c r="E4278" s="220">
        <f>ROUND((C4278*1.13)/100,0)*100</f>
        <v/>
      </c>
      <c r="F4278" s="153" t="n"/>
      <c r="G4278" s="219" t="n"/>
      <c r="H4278" s="219" t="n"/>
      <c r="I4278" s="219">
        <f>ROUND((J4278*C4278)/100,0)*100</f>
        <v/>
      </c>
      <c r="J4278" s="118" t="n">
        <v>1.5</v>
      </c>
      <c r="K4278" s="219" t="n"/>
      <c r="L4278" s="219" t="n"/>
      <c r="M4278" s="219" t="n"/>
      <c r="P4278" s="117" t="n"/>
      <c r="R4278" s="117" t="n"/>
      <c r="T4278" s="117" t="n"/>
    </row>
    <row r="4279">
      <c r="A4279" s="134" t="inlineStr">
        <is>
          <t>2823</t>
        </is>
      </c>
      <c r="B4279" s="246" t="inlineStr">
        <is>
          <t>V LYCRA QUIMICO T UNICO</t>
        </is>
      </c>
      <c r="C4279" s="88" t="n">
        <v>32000</v>
      </c>
      <c r="D4279" s="220">
        <f>ROUND((C4279*1.06)/100,0)*100</f>
        <v/>
      </c>
      <c r="E4279" s="220">
        <f>ROUND((C4279*1.13)/100,0)*100</f>
        <v/>
      </c>
      <c r="F4279" s="153" t="n"/>
      <c r="G4279" s="219" t="n"/>
      <c r="H4279" s="219" t="n"/>
      <c r="I4279" s="219">
        <f>ROUND((J4279*C4279)/100,0)*100</f>
        <v/>
      </c>
      <c r="J4279" s="118" t="n">
        <v>1.5</v>
      </c>
      <c r="K4279" s="219" t="n"/>
      <c r="L4279" s="219" t="n"/>
      <c r="M4279" s="219" t="n"/>
      <c r="P4279" s="117" t="n"/>
      <c r="R4279" s="117" t="n"/>
      <c r="T4279" s="117" t="n"/>
    </row>
    <row r="4280">
      <c r="A4280" s="134" t="inlineStr">
        <is>
          <t>2824</t>
        </is>
      </c>
      <c r="B4280" s="246" t="inlineStr">
        <is>
          <t>HILO LYCRA ML</t>
        </is>
      </c>
      <c r="C4280" s="88" t="n">
        <v>27300</v>
      </c>
      <c r="D4280" s="220">
        <f>ROUND((C4280*1.06)/100,0)*100</f>
        <v/>
      </c>
      <c r="E4280" s="220">
        <f>ROUND((C4280*1.13)/100,0)*100</f>
        <v/>
      </c>
      <c r="F4280" s="153" t="n"/>
      <c r="G4280" s="219" t="n"/>
      <c r="H4280" s="219" t="n"/>
      <c r="I4280" s="219">
        <f>ROUND((J4280*C4280)/100,0)*100</f>
        <v/>
      </c>
      <c r="J4280" s="118" t="n">
        <v>1.5</v>
      </c>
      <c r="K4280" s="219" t="n"/>
      <c r="L4280" s="219" t="n"/>
      <c r="M4280" s="219" t="n"/>
      <c r="P4280" s="117" t="n"/>
      <c r="R4280" s="117" t="n"/>
      <c r="T4280" s="117" t="n"/>
    </row>
    <row r="4281">
      <c r="A4281" s="134" t="inlineStr">
        <is>
          <t>2825</t>
        </is>
      </c>
      <c r="B4281" s="246" t="inlineStr">
        <is>
          <t>V SUBLIMADA</t>
        </is>
      </c>
      <c r="C4281" s="88" t="n">
        <v>46900</v>
      </c>
      <c r="D4281" s="220">
        <f>ROUND((C4281*1.06)/100,0)*100</f>
        <v/>
      </c>
      <c r="E4281" s="220">
        <f>ROUND((C4281*1.13)/100,0)*100</f>
        <v/>
      </c>
      <c r="F4281" s="153" t="n"/>
      <c r="G4281" s="219" t="n"/>
      <c r="H4281" s="219" t="n"/>
      <c r="I4281" s="219">
        <f>ROUND((J4281*C4281)/100,0)*100</f>
        <v/>
      </c>
      <c r="J4281" s="118" t="n">
        <v>1.5</v>
      </c>
      <c r="K4281" s="219" t="n"/>
      <c r="L4281" s="219" t="n"/>
      <c r="M4281" s="219" t="n"/>
      <c r="P4281" s="117" t="n"/>
      <c r="R4281" s="117" t="n"/>
      <c r="T4281" s="117" t="n"/>
    </row>
    <row r="4282">
      <c r="A4282" s="134" t="inlineStr">
        <is>
          <t>2826</t>
        </is>
      </c>
      <c r="B4282" s="246" t="inlineStr">
        <is>
          <t>QUIMICO HILO LYCRA ML</t>
        </is>
      </c>
      <c r="C4282" s="88" t="n">
        <v>36400</v>
      </c>
      <c r="D4282" s="220">
        <f>ROUND((C4282*1.06)/100,0)*100</f>
        <v/>
      </c>
      <c r="E4282" s="220">
        <f>ROUND((C4282*1.13)/100,0)*100</f>
        <v/>
      </c>
      <c r="F4282" s="153" t="n"/>
      <c r="G4282" s="219" t="n"/>
      <c r="H4282" s="219" t="n"/>
      <c r="I4282" s="219">
        <f>ROUND((J4282*C4282)/100,0)*100</f>
        <v/>
      </c>
      <c r="J4282" s="118" t="n">
        <v>1.5</v>
      </c>
      <c r="K4282" s="219" t="n"/>
      <c r="L4282" s="219" t="n"/>
      <c r="M4282" s="219" t="n"/>
      <c r="P4282" s="117" t="n"/>
      <c r="R4282" s="117" t="n"/>
      <c r="T4282" s="117" t="n"/>
    </row>
    <row r="4283">
      <c r="A4283" s="134" t="inlineStr">
        <is>
          <t>2827</t>
        </is>
      </c>
      <c r="B4283" s="246" t="inlineStr">
        <is>
          <t>O LYCRA ENCAJE EN CUELLO</t>
        </is>
      </c>
      <c r="C4283" s="88" t="n">
        <v>36400</v>
      </c>
      <c r="D4283" s="220">
        <f>ROUND((C4283*1.06)/100,0)*100</f>
        <v/>
      </c>
      <c r="E4283" s="220">
        <f>ROUND((C4283*1.13)/100,0)*100</f>
        <v/>
      </c>
      <c r="F4283" s="153" t="n"/>
      <c r="G4283" s="219" t="n"/>
      <c r="H4283" s="219" t="n"/>
      <c r="I4283" s="219">
        <f>ROUND((J4283*C4283)/100,0)*100</f>
        <v/>
      </c>
      <c r="J4283" s="118" t="n">
        <v>1.5</v>
      </c>
      <c r="K4283" s="219" t="n"/>
      <c r="L4283" s="219" t="n"/>
      <c r="M4283" s="219" t="n"/>
      <c r="P4283" s="117" t="n"/>
      <c r="R4283" s="117" t="n"/>
      <c r="T4283" s="117" t="n"/>
    </row>
    <row r="4284">
      <c r="A4284" s="134" t="inlineStr">
        <is>
          <t>2828</t>
        </is>
      </c>
      <c r="B4284" s="246" t="inlineStr">
        <is>
          <t>V LYCRA LUREX CUELLO Y PUÑO</t>
        </is>
      </c>
      <c r="C4284" s="88" t="n">
        <v>36400</v>
      </c>
      <c r="D4284" s="220">
        <f>ROUND((C4284*1.06)/100,0)*100</f>
        <v/>
      </c>
      <c r="E4284" s="220">
        <f>ROUND((C4284*1.13)/100,0)*100</f>
        <v/>
      </c>
      <c r="F4284" s="153" t="n"/>
      <c r="G4284" s="219" t="n"/>
      <c r="H4284" s="219" t="n"/>
      <c r="I4284" s="219">
        <f>ROUND((J4284*C4284)/100,0)*100</f>
        <v/>
      </c>
      <c r="J4284" s="118" t="n">
        <v>1.5</v>
      </c>
      <c r="K4284" s="219" t="n"/>
      <c r="L4284" s="219" t="n"/>
      <c r="M4284" s="219" t="n"/>
      <c r="P4284" s="117" t="n"/>
      <c r="R4284" s="117" t="n"/>
      <c r="T4284" s="117" t="n"/>
    </row>
    <row r="4285">
      <c r="A4285" s="134" t="inlineStr">
        <is>
          <t>2829</t>
        </is>
      </c>
      <c r="B4285" s="246" t="inlineStr">
        <is>
          <t>O LYCRA MARON</t>
        </is>
      </c>
      <c r="C4285" s="22" t="n">
        <v>37000</v>
      </c>
      <c r="D4285" s="220">
        <f>ROUND((C4285*1.06)/100,0)*100</f>
        <v/>
      </c>
      <c r="E4285" s="220">
        <f>ROUND((C4285*1.13)/100,0)*100</f>
        <v/>
      </c>
      <c r="F4285" s="153" t="n"/>
      <c r="G4285" s="219" t="n"/>
      <c r="H4285" s="219" t="n"/>
      <c r="I4285" s="219">
        <f>ROUND((J4285*C4285)/100,0)*100</f>
        <v/>
      </c>
      <c r="J4285" s="118" t="n">
        <v>1.5</v>
      </c>
      <c r="K4285" s="219" t="n"/>
      <c r="L4285" s="219" t="n"/>
      <c r="M4285" s="219" t="n"/>
      <c r="P4285" s="117" t="n"/>
      <c r="R4285" s="117" t="n"/>
      <c r="T4285" s="117" t="n"/>
    </row>
    <row r="4286">
      <c r="A4286" s="134" t="inlineStr">
        <is>
          <t>2830</t>
        </is>
      </c>
      <c r="B4286" s="246" t="inlineStr">
        <is>
          <t>O QUIMICO LYCRA</t>
        </is>
      </c>
      <c r="C4286" s="22" t="n">
        <v>36400</v>
      </c>
      <c r="D4286" s="220">
        <f>ROUND((C4286*1.06)/100,0)*100</f>
        <v/>
      </c>
      <c r="E4286" s="220">
        <f>ROUND((C4286*1.13)/100,0)*100</f>
        <v/>
      </c>
      <c r="F4286" s="153" t="n"/>
      <c r="G4286" s="219" t="n"/>
      <c r="H4286" s="219" t="n"/>
      <c r="I4286" s="219">
        <f>ROUND((J4286*C4286)/100,0)*100</f>
        <v/>
      </c>
      <c r="J4286" s="118" t="n">
        <v>1.5</v>
      </c>
      <c r="K4286" s="219" t="n"/>
      <c r="L4286" s="219" t="n"/>
      <c r="M4286" s="219" t="n"/>
      <c r="P4286" s="117" t="n"/>
      <c r="R4286" s="117" t="n"/>
      <c r="T4286" s="117" t="n"/>
    </row>
    <row r="4287">
      <c r="A4287" s="134" t="inlineStr">
        <is>
          <t>2831</t>
        </is>
      </c>
      <c r="B4287" s="246" t="inlineStr">
        <is>
          <t>O QUIMICO LYCRA</t>
        </is>
      </c>
      <c r="C4287" s="22" t="n">
        <v>39900</v>
      </c>
      <c r="D4287" s="220">
        <f>ROUND((C4287*1.06)/100,0)*100</f>
        <v/>
      </c>
      <c r="E4287" s="220">
        <f>ROUND((C4287*1.13)/100,0)*100</f>
        <v/>
      </c>
      <c r="F4287" s="153" t="n"/>
      <c r="G4287" s="219" t="n"/>
      <c r="H4287" s="219" t="n"/>
      <c r="I4287" s="219">
        <f>ROUND((J4287*C4287)/100,0)*100</f>
        <v/>
      </c>
      <c r="J4287" s="118" t="n">
        <v>1.5</v>
      </c>
      <c r="K4287" s="219" t="n"/>
      <c r="L4287" s="219" t="n"/>
      <c r="M4287" s="219" t="n"/>
      <c r="P4287" s="117" t="n"/>
      <c r="R4287" s="117" t="n"/>
      <c r="T4287" s="117" t="n"/>
    </row>
    <row r="4288">
      <c r="A4288" s="134" t="inlineStr">
        <is>
          <t>2832</t>
        </is>
      </c>
      <c r="B4288" s="246" t="inlineStr">
        <is>
          <t>V QUIMICO LYCRA</t>
        </is>
      </c>
      <c r="C4288" s="22" t="n">
        <v>29200</v>
      </c>
      <c r="D4288" s="220">
        <f>ROUND((C4288*1.06)/100,0)*100</f>
        <v/>
      </c>
      <c r="E4288" s="220">
        <f>ROUND((C4288*1.13)/100,0)*100</f>
        <v/>
      </c>
      <c r="F4288" s="153" t="n"/>
      <c r="G4288" s="219" t="n"/>
      <c r="H4288" s="219" t="n"/>
      <c r="I4288" s="219">
        <f>ROUND((J4288*C4288)/100,0)*100</f>
        <v/>
      </c>
      <c r="J4288" s="118" t="n">
        <v>1.5</v>
      </c>
      <c r="K4288" s="219" t="n"/>
      <c r="L4288" s="219" t="n"/>
      <c r="M4288" s="219" t="n"/>
      <c r="P4288" s="117" t="n"/>
      <c r="R4288" s="117" t="n"/>
      <c r="T4288" s="117" t="n"/>
    </row>
    <row r="4289">
      <c r="A4289" s="134" t="inlineStr">
        <is>
          <t>2833</t>
        </is>
      </c>
      <c r="B4289" s="246" t="inlineStr">
        <is>
          <t>O HILO ESTAMPADO</t>
        </is>
      </c>
      <c r="C4289" s="22" t="n">
        <v>25400</v>
      </c>
      <c r="D4289" s="220">
        <f>ROUND((C4289*1.06)/100,0)*100</f>
        <v/>
      </c>
      <c r="E4289" s="220">
        <f>ROUND((C4289*1.13)/100,0)*100</f>
        <v/>
      </c>
      <c r="F4289" s="153" t="n"/>
      <c r="G4289" s="219" t="n"/>
      <c r="H4289" s="219" t="n"/>
      <c r="I4289" s="219">
        <f>ROUND((J4289*C4289)/100,0)*100</f>
        <v/>
      </c>
      <c r="J4289" s="118" t="n">
        <v>1.5</v>
      </c>
      <c r="K4289" s="219" t="n"/>
      <c r="L4289" s="219" t="n"/>
      <c r="M4289" s="219" t="n"/>
      <c r="P4289" s="117" t="n"/>
      <c r="R4289" s="117" t="n"/>
      <c r="T4289" s="117" t="n"/>
    </row>
    <row r="4290">
      <c r="A4290" s="134" t="n"/>
      <c r="B4290" s="246" t="n"/>
      <c r="C4290" s="153" t="n"/>
      <c r="D4290" s="153" t="n"/>
      <c r="E4290" s="153" t="n"/>
      <c r="F4290" s="153" t="n"/>
      <c r="G4290" s="153" t="n"/>
      <c r="H4290" s="153" t="n"/>
      <c r="I4290" s="153" t="n"/>
      <c r="J4290" s="153" t="n"/>
      <c r="K4290" s="219" t="n"/>
      <c r="L4290" s="219" t="n"/>
      <c r="M4290" s="219" t="n"/>
      <c r="P4290" s="117" t="n"/>
      <c r="R4290" s="117" t="n"/>
      <c r="T4290" s="117" t="n"/>
    </row>
    <row r="4291">
      <c r="A4291" s="134" t="n"/>
      <c r="B4291" s="200" t="inlineStr">
        <is>
          <t>REMERAS HILO M CORTA</t>
        </is>
      </c>
      <c r="C4291" s="202" t="inlineStr">
        <is>
          <t>1 AL 4</t>
        </is>
      </c>
      <c r="D4291" s="202" t="n">
        <v>5</v>
      </c>
      <c r="E4291" s="202" t="n">
        <v>6</v>
      </c>
      <c r="F4291" s="202" t="n">
        <v>7</v>
      </c>
      <c r="G4291" s="202" t="n">
        <v>8</v>
      </c>
      <c r="H4291" s="153" t="n"/>
      <c r="I4291" s="153" t="n"/>
      <c r="J4291" s="153" t="n"/>
      <c r="K4291" s="219" t="n"/>
      <c r="L4291" s="219" t="n"/>
      <c r="M4291" s="219" t="n"/>
      <c r="P4291" s="117" t="n"/>
      <c r="R4291" s="117" t="n"/>
      <c r="T4291" s="117" t="n"/>
    </row>
    <row r="4292">
      <c r="A4292" s="134" t="inlineStr">
        <is>
          <t>2900</t>
        </is>
      </c>
      <c r="B4292" s="246" t="inlineStr">
        <is>
          <t>V HILO LYCRA</t>
        </is>
      </c>
      <c r="C4292" s="153" t="n">
        <v>34100</v>
      </c>
      <c r="D4292" s="153" t="n"/>
      <c r="E4292" s="153" t="n"/>
      <c r="F4292" s="153" t="n"/>
      <c r="G4292" s="153" t="n"/>
      <c r="H4292" s="153">
        <f>ROUND((I4292*C4292)/100,0)*100</f>
        <v/>
      </c>
      <c r="I4292" s="118" t="n">
        <v>2</v>
      </c>
      <c r="J4292" s="153" t="n"/>
      <c r="K4292" s="219" t="n"/>
      <c r="L4292" s="219" t="n"/>
      <c r="M4292" s="219" t="n"/>
      <c r="P4292" s="117" t="n"/>
      <c r="R4292" s="117" t="n"/>
      <c r="T4292" s="117" t="n"/>
    </row>
    <row r="4293">
      <c r="A4293" s="134" t="inlineStr">
        <is>
          <t>29005</t>
        </is>
      </c>
      <c r="B4293" s="246" t="n"/>
      <c r="C4293" s="153" t="n">
        <v>30900</v>
      </c>
      <c r="D4293" s="153" t="n"/>
      <c r="E4293" s="153" t="n"/>
      <c r="F4293" s="153" t="n"/>
      <c r="G4293" s="153" t="n"/>
      <c r="H4293" s="153">
        <f>ROUND((I4293*C4293)/100,0)*100</f>
        <v/>
      </c>
      <c r="I4293" s="118" t="n">
        <v>2</v>
      </c>
      <c r="J4293" s="153" t="n"/>
      <c r="K4293" s="219" t="n"/>
      <c r="L4293" s="219" t="n"/>
      <c r="M4293" s="219" t="n"/>
      <c r="P4293" s="117" t="n"/>
      <c r="R4293" s="117" t="n"/>
      <c r="T4293" s="117" t="n"/>
    </row>
    <row r="4294">
      <c r="A4294" s="134" t="inlineStr">
        <is>
          <t>29006</t>
        </is>
      </c>
      <c r="B4294" s="246" t="n"/>
      <c r="C4294" s="153" t="n">
        <v>35300</v>
      </c>
      <c r="D4294" s="153" t="n"/>
      <c r="E4294" s="153" t="n"/>
      <c r="F4294" s="153" t="n"/>
      <c r="G4294" s="153" t="n"/>
      <c r="H4294" s="153">
        <f>ROUND((I4294*C4294)/100,0)*100</f>
        <v/>
      </c>
      <c r="I4294" s="118" t="n">
        <v>2</v>
      </c>
      <c r="J4294" s="153" t="n"/>
      <c r="K4294" s="219" t="n"/>
      <c r="L4294" s="219" t="n"/>
      <c r="M4294" s="219" t="n"/>
      <c r="P4294" s="117" t="n"/>
      <c r="R4294" s="117" t="n"/>
      <c r="T4294" s="117" t="n"/>
    </row>
    <row r="4295">
      <c r="A4295" s="134" t="inlineStr">
        <is>
          <t>29007</t>
        </is>
      </c>
      <c r="B4295" s="246" t="n"/>
      <c r="C4295" s="153" t="n">
        <v>23600</v>
      </c>
      <c r="D4295" s="153" t="n"/>
      <c r="E4295" s="153" t="n"/>
      <c r="F4295" s="153" t="n"/>
      <c r="G4295" s="153" t="n"/>
      <c r="H4295" s="153">
        <f>ROUND((I4295*C4295)/100,0)*100</f>
        <v/>
      </c>
      <c r="I4295" s="118" t="n">
        <v>2</v>
      </c>
      <c r="J4295" s="153" t="n"/>
      <c r="K4295" s="219" t="n"/>
      <c r="L4295" s="219" t="n"/>
      <c r="M4295" s="219" t="n"/>
      <c r="P4295" s="117" t="n"/>
      <c r="R4295" s="117" t="n"/>
      <c r="T4295" s="117" t="n"/>
    </row>
    <row r="4296">
      <c r="A4296" s="134" t="n"/>
      <c r="B4296" s="246" t="n"/>
      <c r="C4296" s="153" t="n"/>
      <c r="D4296" s="153" t="n"/>
      <c r="E4296" s="153" t="n"/>
      <c r="F4296" s="153" t="n"/>
      <c r="G4296" s="153" t="n"/>
      <c r="H4296" s="153" t="n"/>
      <c r="I4296" s="118" t="n">
        <v>2</v>
      </c>
      <c r="J4296" s="153" t="n"/>
      <c r="K4296" s="219" t="n"/>
      <c r="L4296" s="219" t="n"/>
      <c r="M4296" s="219" t="n"/>
      <c r="P4296" s="117" t="n"/>
      <c r="R4296" s="117" t="n"/>
      <c r="T4296" s="117" t="n"/>
    </row>
    <row r="4297">
      <c r="A4297" s="134" t="n"/>
      <c r="B4297" s="200" t="inlineStr">
        <is>
          <t>REMERAS HILO M 3/4</t>
        </is>
      </c>
      <c r="C4297" s="202" t="inlineStr">
        <is>
          <t>1 AL 4</t>
        </is>
      </c>
      <c r="D4297" s="202" t="n">
        <v>5</v>
      </c>
      <c r="E4297" s="202" t="n">
        <v>6</v>
      </c>
      <c r="F4297" s="202" t="n">
        <v>7</v>
      </c>
      <c r="G4297" s="202" t="n">
        <v>8</v>
      </c>
      <c r="H4297" s="153" t="n"/>
      <c r="I4297" s="153" t="n"/>
      <c r="J4297" s="153" t="n"/>
      <c r="K4297" s="219" t="n"/>
      <c r="L4297" s="219" t="n"/>
      <c r="M4297" s="219" t="n"/>
      <c r="P4297" s="117" t="n"/>
      <c r="R4297" s="117" t="n"/>
      <c r="T4297" s="117" t="n"/>
    </row>
    <row r="4298">
      <c r="A4298" s="134" t="inlineStr">
        <is>
          <t>2820</t>
        </is>
      </c>
      <c r="B4298" s="246" t="inlineStr">
        <is>
          <t>QUIMICO HILO LYCRA CUELLO</t>
        </is>
      </c>
      <c r="C4298" s="153" t="n">
        <v>37500</v>
      </c>
      <c r="D4298" s="220">
        <f>ROUND((C4298*1.06)/100,0)*100</f>
        <v/>
      </c>
      <c r="E4298" s="153" t="n"/>
      <c r="F4298" s="230" t="n"/>
      <c r="G4298" s="153" t="n"/>
      <c r="H4298" s="153">
        <f>ROUND((J4298*C4298)/100,0)*100</f>
        <v/>
      </c>
      <c r="I4298" s="153" t="n"/>
      <c r="J4298" s="153" t="n">
        <v>3</v>
      </c>
      <c r="K4298" s="153" t="n"/>
      <c r="L4298" s="219" t="n"/>
      <c r="M4298" s="219" t="n"/>
      <c r="P4298" s="117" t="n"/>
      <c r="R4298" s="117" t="n"/>
      <c r="T4298" s="117" t="n"/>
    </row>
    <row r="4299">
      <c r="A4299" s="134" t="inlineStr">
        <is>
          <t>28201</t>
        </is>
      </c>
      <c r="B4299" s="246" t="inlineStr">
        <is>
          <t>HILO M 3/4</t>
        </is>
      </c>
      <c r="C4299" s="153" t="n">
        <v>24900</v>
      </c>
      <c r="D4299" s="220">
        <f>ROUND((C4299*1.06)/100,0)*100</f>
        <v/>
      </c>
      <c r="E4299" s="153" t="n"/>
      <c r="F4299" s="230" t="n"/>
      <c r="G4299" s="153" t="n"/>
      <c r="H4299" s="153">
        <f>ROUND((J4299*C4299)/100,0)*100</f>
        <v/>
      </c>
      <c r="I4299" s="153" t="n"/>
      <c r="J4299" s="153" t="n">
        <v>3</v>
      </c>
      <c r="K4299" s="153" t="n"/>
      <c r="L4299" s="219" t="n"/>
      <c r="M4299" s="219" t="n"/>
      <c r="P4299" s="117" t="n"/>
      <c r="R4299" s="117" t="n"/>
      <c r="T4299" s="117" t="n"/>
    </row>
    <row r="4300">
      <c r="A4300" s="134" t="n"/>
      <c r="B4300" s="246" t="n"/>
      <c r="C4300" s="153" t="n"/>
      <c r="D4300" s="153" t="n"/>
      <c r="E4300" s="153" t="n"/>
      <c r="F4300" s="230" t="n"/>
      <c r="G4300" s="153" t="n"/>
      <c r="H4300" s="153" t="n"/>
      <c r="I4300" s="153" t="n"/>
      <c r="J4300" s="153" t="n"/>
      <c r="K4300" s="219" t="n"/>
      <c r="L4300" s="219" t="n"/>
      <c r="M4300" s="219" t="n"/>
      <c r="P4300" s="117" t="n"/>
      <c r="R4300" s="117" t="n"/>
      <c r="T4300" s="117" t="n"/>
    </row>
    <row r="4301">
      <c r="A4301" s="134" t="n"/>
      <c r="B4301" s="246" t="n"/>
      <c r="C4301" s="153" t="n"/>
      <c r="D4301" s="153" t="n"/>
      <c r="E4301" s="153" t="n"/>
      <c r="F4301" s="153" t="n"/>
      <c r="G4301" s="153" t="n"/>
      <c r="H4301" s="153" t="n"/>
      <c r="I4301" s="153" t="n"/>
      <c r="J4301" s="153" t="n"/>
      <c r="K4301" s="219" t="n"/>
      <c r="L4301" s="219" t="n"/>
      <c r="M4301" s="219" t="n"/>
      <c r="P4301" s="117" t="n"/>
      <c r="R4301" s="117" t="n"/>
      <c r="T4301" s="117" t="n"/>
    </row>
    <row r="4302">
      <c r="A4302" s="134" t="n"/>
      <c r="B4302" s="200" t="inlineStr">
        <is>
          <t>REMERAS DAMA M CORTA</t>
        </is>
      </c>
      <c r="C4302" s="202" t="inlineStr">
        <is>
          <t>1 AL 4</t>
        </is>
      </c>
      <c r="D4302" s="202" t="n">
        <v>5</v>
      </c>
      <c r="E4302" s="202" t="n">
        <v>6</v>
      </c>
      <c r="F4302" s="202" t="n">
        <v>7</v>
      </c>
      <c r="G4302" s="202" t="n">
        <v>8</v>
      </c>
      <c r="H4302" s="215" t="inlineStr">
        <is>
          <t>9 al 12</t>
        </is>
      </c>
      <c r="I4302" s="153" t="n"/>
      <c r="J4302" s="134" t="inlineStr">
        <is>
          <t>10/24</t>
        </is>
      </c>
      <c r="K4302" s="219" t="n"/>
      <c r="L4302" s="219" t="n"/>
      <c r="M4302" s="219" t="n"/>
      <c r="N4302" s="96" t="n"/>
      <c r="P4302" s="117" t="n"/>
      <c r="R4302" s="117" t="n"/>
      <c r="T4302" s="117" t="n"/>
    </row>
    <row r="4303">
      <c r="A4303" s="134" t="inlineStr">
        <is>
          <t>28490</t>
        </is>
      </c>
      <c r="B4303" s="246" t="inlineStr">
        <is>
          <t>NIPIO ALG C/ LYCRA</t>
        </is>
      </c>
      <c r="C4303" s="88" t="n">
        <v>26800</v>
      </c>
      <c r="D4303" s="220">
        <f>ROUND((C4303*1.06)/100,0)*100</f>
        <v/>
      </c>
      <c r="E4303" s="220">
        <f>ROUND((C4303*1.13)/100,0)*100</f>
        <v/>
      </c>
      <c r="F4303" s="153" t="n"/>
      <c r="G4303" s="153" t="n"/>
      <c r="H4303" s="153" t="n"/>
      <c r="I4303" s="230" t="n"/>
      <c r="J4303" s="153" t="n"/>
      <c r="K4303" s="219">
        <f>ROUND((N4303*C4303)/100,0)*100</f>
        <v/>
      </c>
      <c r="M4303" s="219" t="n"/>
      <c r="N4303" s="96" t="n">
        <v>1.15</v>
      </c>
      <c r="O4303" s="96" t="n"/>
      <c r="P4303" s="150" t="n"/>
      <c r="R4303" s="117" t="n"/>
      <c r="T4303" s="117" t="n"/>
    </row>
    <row r="4304">
      <c r="A4304" s="134" t="inlineStr">
        <is>
          <t>2850</t>
        </is>
      </c>
      <c r="B4304" s="246" t="inlineStr">
        <is>
          <t>REMERA NIPIO</t>
        </is>
      </c>
      <c r="C4304" s="88" t="n">
        <v>26800</v>
      </c>
      <c r="D4304" s="220">
        <f>ROUND((C4304*1.06)/100,0)*100</f>
        <v/>
      </c>
      <c r="E4304" s="220">
        <f>ROUND((C4304*1.13)/100,0)*100</f>
        <v/>
      </c>
      <c r="F4304" s="153" t="n"/>
      <c r="G4304" s="153" t="n"/>
      <c r="H4304" s="153" t="n"/>
      <c r="I4304" s="230" t="n"/>
      <c r="J4304" s="153" t="n"/>
      <c r="K4304" s="219">
        <f>ROUND((N4304*C4304)/100,0)*100</f>
        <v/>
      </c>
      <c r="M4304" s="219" t="n"/>
      <c r="N4304" s="96" t="n">
        <v>1.15</v>
      </c>
      <c r="O4304" s="96" t="n"/>
      <c r="P4304" s="150" t="n"/>
      <c r="R4304" s="117" t="n"/>
      <c r="T4304" s="117" t="n"/>
    </row>
    <row r="4305">
      <c r="A4305" s="134" t="inlineStr">
        <is>
          <t>2861</t>
        </is>
      </c>
      <c r="B4305" s="246" t="inlineStr">
        <is>
          <t>REMERA CASUAL BASIC</t>
        </is>
      </c>
      <c r="C4305" s="88" t="n">
        <v>26800</v>
      </c>
      <c r="D4305" s="220">
        <f>ROUND((C4305*1.06)/100,0)*100</f>
        <v/>
      </c>
      <c r="E4305" s="220">
        <f>ROUND((C4305*1.13)/100,0)*100</f>
        <v/>
      </c>
      <c r="F4305" s="88" t="n"/>
      <c r="G4305" s="88" t="n"/>
      <c r="H4305" s="153" t="n"/>
      <c r="I4305" s="230" t="n"/>
      <c r="J4305" s="153" t="n"/>
      <c r="K4305" s="219">
        <f>ROUND((N4305*C4305)/100,0)*100</f>
        <v/>
      </c>
      <c r="M4305" s="219" t="n"/>
      <c r="N4305" s="96" t="n">
        <v>1.15</v>
      </c>
      <c r="O4305" s="96" t="n"/>
      <c r="P4305" s="150" t="n"/>
      <c r="R4305" s="117" t="n"/>
      <c r="T4305" s="117" t="n"/>
    </row>
    <row r="4306">
      <c r="A4306" s="134" t="inlineStr">
        <is>
          <t>28501</t>
        </is>
      </c>
      <c r="B4306" s="246" t="inlineStr">
        <is>
          <t>REMERA CRUZADAS</t>
        </is>
      </c>
      <c r="C4306" s="88" t="n">
        <v>26800</v>
      </c>
      <c r="D4306" s="220">
        <f>ROUND((C4306*1.06)/100,0)*100</f>
        <v/>
      </c>
      <c r="E4306" s="220">
        <f>ROUND((C4306*1.13)/100,0)*100</f>
        <v/>
      </c>
      <c r="F4306" s="153" t="n"/>
      <c r="G4306" s="153" t="n"/>
      <c r="H4306" s="153" t="n"/>
      <c r="I4306" s="230" t="n"/>
      <c r="J4306" s="153" t="n"/>
      <c r="K4306" s="219">
        <f>ROUND((N4306*C4306)/100,0)*100</f>
        <v/>
      </c>
      <c r="M4306" s="219" t="n"/>
      <c r="N4306" s="96" t="n">
        <v>1.15</v>
      </c>
      <c r="O4306" s="96" t="n"/>
      <c r="P4306" s="150" t="n"/>
      <c r="R4306" s="117" t="n"/>
      <c r="T4306" s="117" t="n"/>
    </row>
    <row r="4307">
      <c r="A4307" s="134" t="inlineStr">
        <is>
          <t>28502</t>
        </is>
      </c>
      <c r="B4307" s="246" t="inlineStr">
        <is>
          <t>REMERA C ENCAJE</t>
        </is>
      </c>
      <c r="C4307" s="88" t="n">
        <v>35100</v>
      </c>
      <c r="D4307" s="88" t="n"/>
      <c r="E4307" s="88" t="n"/>
      <c r="F4307" s="153" t="n"/>
      <c r="G4307" s="153" t="n"/>
      <c r="H4307" s="153" t="n"/>
      <c r="I4307" s="230" t="n"/>
      <c r="J4307" s="153" t="n"/>
      <c r="K4307" s="219">
        <f>ROUND((N4307*C4307)/100,0)*100</f>
        <v/>
      </c>
      <c r="M4307" s="219" t="n"/>
      <c r="N4307" s="96" t="n">
        <v>1.15</v>
      </c>
      <c r="O4307" s="96" t="n"/>
      <c r="P4307" s="150" t="n"/>
      <c r="R4307" s="117" t="n"/>
      <c r="T4307" s="117" t="n"/>
    </row>
    <row r="4308">
      <c r="A4308" s="134" t="inlineStr">
        <is>
          <t>28503</t>
        </is>
      </c>
      <c r="B4308" s="246" t="inlineStr">
        <is>
          <t xml:space="preserve">REMERA </t>
        </is>
      </c>
      <c r="C4308" s="88" t="n">
        <v>15300</v>
      </c>
      <c r="D4308" s="88" t="n"/>
      <c r="E4308" s="88" t="n"/>
      <c r="F4308" s="153" t="n"/>
      <c r="G4308" s="153" t="n"/>
      <c r="H4308" s="153" t="n"/>
      <c r="I4308" s="230" t="n"/>
      <c r="J4308" s="153" t="n"/>
      <c r="K4308" s="219">
        <f>ROUND((N4308*C4308)/100,0)*100</f>
        <v/>
      </c>
      <c r="M4308" s="219" t="n"/>
      <c r="N4308" s="96" t="n">
        <v>1.15</v>
      </c>
      <c r="O4308" s="96" t="n"/>
      <c r="P4308" s="150" t="n"/>
      <c r="R4308" s="117" t="n"/>
      <c r="T4308" s="117" t="n"/>
    </row>
    <row r="4309">
      <c r="A4309" s="134" t="inlineStr">
        <is>
          <t>28504</t>
        </is>
      </c>
      <c r="B4309" s="246" t="inlineStr">
        <is>
          <t xml:space="preserve">REMERA </t>
        </is>
      </c>
      <c r="C4309" s="88" t="n">
        <v>21000</v>
      </c>
      <c r="D4309" s="88" t="n"/>
      <c r="E4309" s="88" t="n"/>
      <c r="F4309" s="153" t="n"/>
      <c r="G4309" s="153" t="n"/>
      <c r="H4309" s="153" t="n"/>
      <c r="I4309" s="230" t="n"/>
      <c r="J4309" s="153" t="n"/>
      <c r="K4309" s="219">
        <f>ROUND((N4309*C4309)/100,0)*100</f>
        <v/>
      </c>
      <c r="M4309" s="219" t="n"/>
      <c r="N4309" s="96" t="n">
        <v>1.15</v>
      </c>
      <c r="O4309" s="96" t="n"/>
      <c r="P4309" s="150" t="n"/>
      <c r="R4309" s="117" t="n"/>
      <c r="T4309" s="117" t="n"/>
    </row>
    <row r="4310">
      <c r="A4310" s="134" t="inlineStr">
        <is>
          <t>28505</t>
        </is>
      </c>
      <c r="B4310" s="246" t="inlineStr">
        <is>
          <t xml:space="preserve">REMERA </t>
        </is>
      </c>
      <c r="C4310" s="88" t="n">
        <v>17700</v>
      </c>
      <c r="D4310" s="88" t="n"/>
      <c r="E4310" s="88" t="n"/>
      <c r="F4310" s="153" t="n"/>
      <c r="G4310" s="153" t="n"/>
      <c r="H4310" s="153" t="n"/>
      <c r="I4310" s="230" t="n"/>
      <c r="J4310" s="153" t="n"/>
      <c r="K4310" s="219">
        <f>ROUND((N4310*C4310)/100,0)*100</f>
        <v/>
      </c>
      <c r="M4310" s="219" t="n"/>
      <c r="N4310" s="96" t="n">
        <v>1.15</v>
      </c>
      <c r="O4310" s="96" t="n"/>
      <c r="P4310" s="150" t="n"/>
      <c r="R4310" s="117" t="n"/>
      <c r="T4310" s="117" t="n"/>
    </row>
    <row r="4311">
      <c r="A4311" s="134" t="inlineStr">
        <is>
          <t>28506</t>
        </is>
      </c>
      <c r="B4311" s="246" t="inlineStr">
        <is>
          <t xml:space="preserve">REMERA </t>
        </is>
      </c>
      <c r="C4311" s="88" t="n">
        <v>19300</v>
      </c>
      <c r="D4311" s="88" t="n"/>
      <c r="E4311" s="88" t="n"/>
      <c r="F4311" s="153" t="n"/>
      <c r="G4311" s="153" t="n"/>
      <c r="H4311" s="153" t="n"/>
      <c r="I4311" s="230" t="n"/>
      <c r="J4311" s="153" t="n"/>
      <c r="K4311" s="219">
        <f>ROUND((N4311*C4311)/100,0)*100</f>
        <v/>
      </c>
      <c r="M4311" s="219" t="n"/>
      <c r="N4311" s="96" t="n">
        <v>1.15</v>
      </c>
      <c r="O4311" s="96" t="n"/>
      <c r="P4311" s="150" t="n"/>
      <c r="R4311" s="117" t="n"/>
      <c r="T4311" s="117" t="n"/>
    </row>
    <row r="4312">
      <c r="A4312" s="134" t="inlineStr">
        <is>
          <t>28507</t>
        </is>
      </c>
      <c r="B4312" s="246" t="inlineStr">
        <is>
          <t xml:space="preserve">REMERA </t>
        </is>
      </c>
      <c r="C4312" s="88" t="n">
        <v>24500</v>
      </c>
      <c r="D4312" s="88" t="n"/>
      <c r="E4312" s="88" t="n"/>
      <c r="F4312" s="153" t="n"/>
      <c r="G4312" s="153" t="n"/>
      <c r="H4312" s="153" t="n"/>
      <c r="I4312" s="230" t="n"/>
      <c r="J4312" s="153" t="n"/>
      <c r="K4312" s="219">
        <f>ROUND((N4312*C4312)/100,0)*100</f>
        <v/>
      </c>
      <c r="M4312" s="219" t="n"/>
      <c r="N4312" s="96" t="n">
        <v>1.15</v>
      </c>
      <c r="O4312" s="96" t="n"/>
      <c r="P4312" s="150" t="n"/>
      <c r="R4312" s="117" t="n"/>
      <c r="T4312" s="117" t="n"/>
    </row>
    <row r="4313">
      <c r="A4313" s="134" t="inlineStr">
        <is>
          <t>28508</t>
        </is>
      </c>
      <c r="B4313" s="246" t="inlineStr">
        <is>
          <t xml:space="preserve">REMERA </t>
        </is>
      </c>
      <c r="C4313" s="88" t="n">
        <v>24500</v>
      </c>
      <c r="D4313" s="88" t="n"/>
      <c r="E4313" s="88" t="n"/>
      <c r="F4313" s="153" t="n"/>
      <c r="G4313" s="153" t="n"/>
      <c r="H4313" s="153" t="n"/>
      <c r="I4313" s="230" t="n"/>
      <c r="J4313" s="153" t="n"/>
      <c r="K4313" s="219">
        <f>ROUND((N4313*C4313)/100,0)*100</f>
        <v/>
      </c>
      <c r="M4313" s="219" t="n"/>
      <c r="N4313" s="96" t="n">
        <v>1.15</v>
      </c>
      <c r="O4313" s="96" t="n"/>
      <c r="P4313" s="150" t="n"/>
      <c r="R4313" s="117" t="n"/>
      <c r="T4313" s="117" t="n"/>
    </row>
    <row r="4314">
      <c r="A4314" s="134" t="inlineStr">
        <is>
          <t>28509</t>
        </is>
      </c>
      <c r="B4314" s="246" t="inlineStr">
        <is>
          <t xml:space="preserve">REMERA </t>
        </is>
      </c>
      <c r="C4314" s="88" t="n">
        <v>27200</v>
      </c>
      <c r="D4314" s="88" t="n"/>
      <c r="E4314" s="88" t="n"/>
      <c r="F4314" s="153" t="n"/>
      <c r="G4314" s="153" t="n"/>
      <c r="H4314" s="153" t="n"/>
      <c r="I4314" s="230" t="n"/>
      <c r="J4314" s="153" t="n"/>
      <c r="K4314" s="219">
        <f>ROUND((N4314*C4314)/100,0)*100</f>
        <v/>
      </c>
      <c r="M4314" s="219" t="n"/>
      <c r="N4314" s="96" t="n">
        <v>1.15</v>
      </c>
      <c r="O4314" s="96" t="n"/>
      <c r="P4314" s="150" t="n"/>
      <c r="R4314" s="117" t="n"/>
      <c r="T4314" s="117" t="n"/>
    </row>
    <row r="4315">
      <c r="A4315" s="134" t="inlineStr">
        <is>
          <t>28510</t>
        </is>
      </c>
      <c r="B4315" s="246" t="inlineStr">
        <is>
          <t xml:space="preserve">REMERA </t>
        </is>
      </c>
      <c r="C4315" s="88" t="n">
        <v>31600</v>
      </c>
      <c r="D4315" s="88" t="n"/>
      <c r="E4315" s="88" t="n"/>
      <c r="F4315" s="153" t="n"/>
      <c r="G4315" s="153" t="n"/>
      <c r="H4315" s="153" t="n"/>
      <c r="I4315" s="230" t="n"/>
      <c r="J4315" s="153" t="n"/>
      <c r="K4315" s="219">
        <f>ROUND((N4315*C4315)/100,0)*100</f>
        <v/>
      </c>
      <c r="M4315" s="219" t="n"/>
      <c r="N4315" s="96" t="n">
        <v>1.15</v>
      </c>
      <c r="O4315" s="96" t="n"/>
      <c r="P4315" s="150" t="n"/>
      <c r="R4315" s="117" t="n"/>
      <c r="T4315" s="117" t="n"/>
    </row>
    <row r="4316">
      <c r="A4316" s="134" t="inlineStr">
        <is>
          <t>28511</t>
        </is>
      </c>
      <c r="B4316" s="246" t="inlineStr">
        <is>
          <t xml:space="preserve">REMERA </t>
        </is>
      </c>
      <c r="C4316" s="88" t="n">
        <v>31600</v>
      </c>
      <c r="D4316" s="88" t="n"/>
      <c r="E4316" s="88" t="n"/>
      <c r="F4316" s="153" t="n"/>
      <c r="G4316" s="153" t="n"/>
      <c r="H4316" s="153" t="n"/>
      <c r="I4316" s="230" t="n"/>
      <c r="J4316" s="153" t="n"/>
      <c r="K4316" s="219">
        <f>ROUND((N4316*C4316)/100,0)*100</f>
        <v/>
      </c>
      <c r="M4316" s="219" t="n"/>
      <c r="N4316" s="96" t="n">
        <v>1.15</v>
      </c>
      <c r="O4316" s="96" t="n"/>
      <c r="P4316" s="150" t="n"/>
      <c r="R4316" s="117" t="n"/>
      <c r="T4316" s="117" t="n"/>
    </row>
    <row r="4317">
      <c r="A4317" s="134" t="inlineStr">
        <is>
          <t>28512</t>
        </is>
      </c>
      <c r="B4317" s="246" t="inlineStr">
        <is>
          <t xml:space="preserve">REMERA </t>
        </is>
      </c>
      <c r="C4317" s="88" t="n">
        <v>31600</v>
      </c>
      <c r="D4317" s="88" t="n"/>
      <c r="E4317" s="88" t="n"/>
      <c r="F4317" s="153" t="n"/>
      <c r="G4317" s="153" t="n"/>
      <c r="H4317" s="153" t="n"/>
      <c r="I4317" s="230" t="n"/>
      <c r="J4317" s="153" t="n"/>
      <c r="K4317" s="219">
        <f>ROUND((N4317*C4317)/100,0)*100</f>
        <v/>
      </c>
      <c r="M4317" s="219" t="n"/>
      <c r="N4317" s="96" t="n">
        <v>1.15</v>
      </c>
      <c r="O4317" s="96" t="n"/>
      <c r="P4317" s="150" t="n"/>
      <c r="R4317" s="117" t="n"/>
      <c r="T4317" s="117" t="n"/>
    </row>
    <row r="4318">
      <c r="A4318" s="134" t="inlineStr">
        <is>
          <t>28513</t>
        </is>
      </c>
      <c r="B4318" s="246" t="inlineStr">
        <is>
          <t xml:space="preserve">REMERA </t>
        </is>
      </c>
      <c r="C4318" s="88" t="n">
        <v>33300</v>
      </c>
      <c r="D4318" s="88" t="n"/>
      <c r="E4318" s="88" t="n"/>
      <c r="F4318" s="153" t="n"/>
      <c r="G4318" s="153" t="n"/>
      <c r="H4318" s="153" t="n"/>
      <c r="I4318" s="230" t="n"/>
      <c r="J4318" s="153" t="n"/>
      <c r="K4318" s="219">
        <f>ROUND((N4318*C4318)/100,0)*100</f>
        <v/>
      </c>
      <c r="M4318" s="219" t="n"/>
      <c r="N4318" s="96" t="n">
        <v>1.15</v>
      </c>
      <c r="O4318" s="96" t="n"/>
      <c r="P4318" s="150" t="n"/>
      <c r="R4318" s="117" t="n"/>
      <c r="T4318" s="117" t="n"/>
    </row>
    <row r="4319">
      <c r="A4319" s="134" t="inlineStr">
        <is>
          <t>28514</t>
        </is>
      </c>
      <c r="B4319" s="246" t="inlineStr">
        <is>
          <t xml:space="preserve">REMERA </t>
        </is>
      </c>
      <c r="C4319" s="88" t="n">
        <v>35100</v>
      </c>
      <c r="D4319" s="88" t="n"/>
      <c r="E4319" s="88" t="n"/>
      <c r="F4319" s="153" t="n"/>
      <c r="G4319" s="153" t="n"/>
      <c r="H4319" s="153" t="n"/>
      <c r="I4319" s="230" t="n"/>
      <c r="J4319" s="153" t="n"/>
      <c r="K4319" s="219">
        <f>ROUND((N4319*C4319)/100,0)*100</f>
        <v/>
      </c>
      <c r="M4319" s="219" t="n"/>
      <c r="N4319" s="96" t="n">
        <v>1.15</v>
      </c>
      <c r="O4319" s="96" t="n"/>
      <c r="P4319" s="150" t="n"/>
      <c r="R4319" s="117" t="n"/>
      <c r="T4319" s="117" t="n"/>
    </row>
    <row r="4320">
      <c r="A4320" s="134" t="inlineStr">
        <is>
          <t>28515</t>
        </is>
      </c>
      <c r="B4320" s="246" t="inlineStr">
        <is>
          <t xml:space="preserve">REMERA </t>
        </is>
      </c>
      <c r="C4320" s="88" t="n">
        <v>41200</v>
      </c>
      <c r="D4320" s="88" t="n"/>
      <c r="E4320" s="88" t="n"/>
      <c r="F4320" s="153" t="n"/>
      <c r="G4320" s="153" t="n"/>
      <c r="H4320" s="153" t="n"/>
      <c r="I4320" s="230" t="n"/>
      <c r="J4320" s="153" t="n"/>
      <c r="K4320" s="219">
        <f>ROUND((N4320*C4320)/100,0)*100</f>
        <v/>
      </c>
      <c r="M4320" s="219" t="n"/>
      <c r="N4320" s="96" t="n">
        <v>1.15</v>
      </c>
      <c r="O4320" s="96" t="n"/>
      <c r="P4320" s="150" t="n"/>
      <c r="R4320" s="117" t="n"/>
      <c r="T4320" s="117" t="n"/>
    </row>
    <row r="4321">
      <c r="A4321" s="134" t="inlineStr">
        <is>
          <t>28516</t>
        </is>
      </c>
      <c r="B4321" s="246" t="inlineStr">
        <is>
          <t xml:space="preserve">REMERA </t>
        </is>
      </c>
      <c r="C4321" s="88" t="n">
        <v>38600</v>
      </c>
      <c r="D4321" s="88" t="n"/>
      <c r="E4321" s="88" t="n"/>
      <c r="F4321" s="153" t="n"/>
      <c r="G4321" s="153" t="n"/>
      <c r="H4321" s="153" t="n"/>
      <c r="I4321" s="230" t="n"/>
      <c r="J4321" s="153" t="n"/>
      <c r="K4321" s="219">
        <f>ROUND((N4321*C4321)/100,0)*100</f>
        <v/>
      </c>
      <c r="M4321" s="219" t="n"/>
      <c r="N4321" s="96" t="n">
        <v>1.15</v>
      </c>
      <c r="O4321" s="96" t="n"/>
      <c r="P4321" s="150" t="n"/>
      <c r="R4321" s="117" t="n"/>
      <c r="T4321" s="117" t="n"/>
    </row>
    <row r="4322">
      <c r="A4322" s="134" t="inlineStr">
        <is>
          <t>28517</t>
        </is>
      </c>
      <c r="B4322" s="246" t="inlineStr">
        <is>
          <t xml:space="preserve">REMERA </t>
        </is>
      </c>
      <c r="C4322" s="88" t="n">
        <v>40400</v>
      </c>
      <c r="D4322" s="88" t="n"/>
      <c r="E4322" s="88" t="n"/>
      <c r="F4322" s="153" t="n"/>
      <c r="G4322" s="153" t="n"/>
      <c r="H4322" s="153" t="n"/>
      <c r="I4322" s="230" t="n"/>
      <c r="J4322" s="153" t="n"/>
      <c r="K4322" s="219">
        <f>ROUND((N4322*C4322)/100,0)*100</f>
        <v/>
      </c>
      <c r="M4322" s="219" t="n"/>
      <c r="N4322" s="96" t="n">
        <v>1.15</v>
      </c>
      <c r="O4322" s="96" t="n"/>
      <c r="P4322" s="150" t="n"/>
      <c r="R4322" s="117" t="n"/>
      <c r="T4322" s="117" t="n"/>
    </row>
    <row r="4323">
      <c r="A4323" s="134" t="inlineStr">
        <is>
          <t>28518</t>
        </is>
      </c>
      <c r="B4323" s="246" t="inlineStr">
        <is>
          <t xml:space="preserve">REMERA </t>
        </is>
      </c>
      <c r="C4323" s="88" t="n">
        <v>42100</v>
      </c>
      <c r="D4323" s="88" t="n"/>
      <c r="E4323" s="88" t="n"/>
      <c r="F4323" s="153" t="n"/>
      <c r="G4323" s="153" t="n"/>
      <c r="H4323" s="153" t="n"/>
      <c r="I4323" s="230" t="n"/>
      <c r="J4323" s="153" t="n"/>
      <c r="K4323" s="219">
        <f>ROUND((N4323*C4323)/100,0)*100</f>
        <v/>
      </c>
      <c r="M4323" s="219" t="n"/>
      <c r="N4323" s="96" t="n">
        <v>1.15</v>
      </c>
      <c r="O4323" s="96" t="n"/>
      <c r="P4323" s="150" t="n"/>
      <c r="R4323" s="117" t="n"/>
      <c r="T4323" s="117" t="n"/>
    </row>
    <row r="4324">
      <c r="A4324" s="134" t="inlineStr">
        <is>
          <t>28519</t>
        </is>
      </c>
      <c r="B4324" s="246" t="inlineStr">
        <is>
          <t xml:space="preserve">REMERA </t>
        </is>
      </c>
      <c r="C4324" s="88" t="n">
        <v>42100</v>
      </c>
      <c r="D4324" s="88" t="n"/>
      <c r="E4324" s="88" t="n"/>
      <c r="F4324" s="153" t="n"/>
      <c r="G4324" s="153" t="n"/>
      <c r="H4324" s="153" t="n"/>
      <c r="I4324" s="230" t="n"/>
      <c r="J4324" s="153" t="n"/>
      <c r="K4324" s="219">
        <f>ROUND((N4324*C4324)/100,0)*100</f>
        <v/>
      </c>
      <c r="M4324" s="219" t="n"/>
      <c r="N4324" s="96" t="n">
        <v>1.15</v>
      </c>
      <c r="O4324" s="96" t="n"/>
      <c r="P4324" s="150" t="n"/>
      <c r="R4324" s="117" t="n"/>
      <c r="T4324" s="117" t="n"/>
    </row>
    <row r="4325">
      <c r="A4325" s="134" t="inlineStr">
        <is>
          <t>28520</t>
        </is>
      </c>
      <c r="B4325" s="246" t="inlineStr">
        <is>
          <t xml:space="preserve">REMERA </t>
        </is>
      </c>
      <c r="C4325" s="88" t="n">
        <v>45700</v>
      </c>
      <c r="D4325" s="88" t="n"/>
      <c r="E4325" s="88" t="n"/>
      <c r="F4325" s="153" t="n"/>
      <c r="G4325" s="153" t="n"/>
      <c r="H4325" s="153" t="n"/>
      <c r="I4325" s="230" t="n"/>
      <c r="J4325" s="153" t="n"/>
      <c r="K4325" s="219">
        <f>ROUND((N4325*C4325)/100,0)*100</f>
        <v/>
      </c>
      <c r="M4325" s="219" t="n"/>
      <c r="N4325" s="96" t="n">
        <v>1.15</v>
      </c>
      <c r="O4325" s="96" t="n"/>
      <c r="P4325" s="150" t="n"/>
      <c r="R4325" s="117" t="n"/>
      <c r="T4325" s="117" t="n"/>
    </row>
    <row r="4326">
      <c r="A4326" s="134" t="inlineStr">
        <is>
          <t>28521</t>
        </is>
      </c>
      <c r="B4326" s="246" t="inlineStr">
        <is>
          <t xml:space="preserve">REMERA </t>
        </is>
      </c>
      <c r="C4326" s="88" t="n">
        <v>47400</v>
      </c>
      <c r="D4326" s="88" t="n"/>
      <c r="E4326" s="88" t="n"/>
      <c r="F4326" s="153" t="n"/>
      <c r="G4326" s="153" t="n"/>
      <c r="H4326" s="153" t="n"/>
      <c r="I4326" s="230" t="n"/>
      <c r="J4326" s="153" t="n"/>
      <c r="K4326" s="219">
        <f>ROUND((N4326*C4326)/100,0)*100</f>
        <v/>
      </c>
      <c r="M4326" s="219" t="n"/>
      <c r="N4326" s="96" t="n">
        <v>1.15</v>
      </c>
      <c r="O4326" s="96" t="n"/>
      <c r="P4326" s="150" t="n"/>
      <c r="R4326" s="117" t="n"/>
      <c r="T4326" s="117" t="n"/>
    </row>
    <row r="4327">
      <c r="A4327" s="134" t="inlineStr">
        <is>
          <t>28522</t>
        </is>
      </c>
      <c r="B4327" s="246" t="inlineStr">
        <is>
          <t xml:space="preserve">REMERA </t>
        </is>
      </c>
      <c r="C4327" s="88" t="n">
        <v>49200</v>
      </c>
      <c r="D4327" s="88" t="n"/>
      <c r="E4327" s="88" t="n"/>
      <c r="F4327" s="153" t="n"/>
      <c r="G4327" s="153" t="n"/>
      <c r="H4327" s="153" t="n"/>
      <c r="I4327" s="230" t="n"/>
      <c r="J4327" s="153" t="n"/>
      <c r="K4327" s="219">
        <f>ROUND((N4327*C4327)/100,0)*100</f>
        <v/>
      </c>
      <c r="M4327" s="219" t="n"/>
      <c r="N4327" s="96" t="n">
        <v>1.15</v>
      </c>
      <c r="O4327" s="96" t="n"/>
      <c r="P4327" s="150" t="n"/>
      <c r="R4327" s="117" t="n"/>
      <c r="T4327" s="117" t="n"/>
    </row>
    <row r="4328">
      <c r="A4328" s="134" t="inlineStr">
        <is>
          <t>28523</t>
        </is>
      </c>
      <c r="B4328" s="246" t="inlineStr">
        <is>
          <t xml:space="preserve">REMERA </t>
        </is>
      </c>
      <c r="C4328" s="88" t="n">
        <v>51000</v>
      </c>
      <c r="D4328" s="88" t="n"/>
      <c r="E4328" s="88" t="n"/>
      <c r="F4328" s="153" t="n"/>
      <c r="G4328" s="153" t="n"/>
      <c r="H4328" s="153" t="n"/>
      <c r="I4328" s="230" t="n"/>
      <c r="J4328" s="153" t="n"/>
      <c r="K4328" s="219">
        <f>ROUND((N4328*C4328)/100,0)*100</f>
        <v/>
      </c>
      <c r="M4328" s="219" t="n"/>
      <c r="N4328" s="96" t="n">
        <v>1.15</v>
      </c>
      <c r="O4328" s="96" t="n"/>
      <c r="P4328" s="150" t="n"/>
      <c r="R4328" s="117" t="n"/>
      <c r="T4328" s="117" t="n"/>
    </row>
    <row r="4329">
      <c r="A4329" s="134" t="inlineStr">
        <is>
          <t>15XXX</t>
        </is>
      </c>
      <c r="B4329" s="246" t="inlineStr">
        <is>
          <t>TAVERNITI</t>
        </is>
      </c>
      <c r="C4329" s="88" t="n">
        <v>18200</v>
      </c>
      <c r="D4329" s="220">
        <f>ROUND((C4329*1.06)/100,0)*100</f>
        <v/>
      </c>
      <c r="E4329" s="220">
        <f>ROUND((C4329*1.13)/100,0)*100</f>
        <v/>
      </c>
      <c r="F4329" s="153" t="n"/>
      <c r="G4329" s="153" t="n"/>
      <c r="H4329" s="153" t="n"/>
      <c r="I4329" s="230" t="n"/>
      <c r="J4329" s="153" t="n"/>
      <c r="K4329" s="219">
        <f>ROUND((N4329*C4329)/100,0)*100</f>
        <v/>
      </c>
      <c r="M4329" s="219" t="n"/>
      <c r="N4329" s="96" t="n">
        <v>1.15</v>
      </c>
      <c r="O4329" s="96" t="n"/>
      <c r="P4329" s="150" t="n"/>
      <c r="R4329" s="117" t="n"/>
      <c r="T4329" s="117" t="n"/>
    </row>
    <row r="4330">
      <c r="A4330" s="134" t="inlineStr">
        <is>
          <t>19293XXX</t>
        </is>
      </c>
      <c r="B4330" s="246" t="inlineStr">
        <is>
          <t>TAVERNITI</t>
        </is>
      </c>
      <c r="C4330" s="88" t="n">
        <v>23100</v>
      </c>
      <c r="D4330" s="220">
        <f>ROUND((C4330*1.06)/100,0)*100</f>
        <v/>
      </c>
      <c r="E4330" s="220">
        <f>ROUND((C4330*1.13)/100,0)*100</f>
        <v/>
      </c>
      <c r="F4330" s="153" t="n"/>
      <c r="G4330" s="153" t="n"/>
      <c r="H4330" s="153" t="n"/>
      <c r="I4330" s="230" t="n"/>
      <c r="J4330" s="153" t="n"/>
      <c r="K4330" s="219">
        <f>ROUND((N4330*C4330)/100,0)*100</f>
        <v/>
      </c>
      <c r="M4330" s="219" t="n"/>
      <c r="N4330" s="96" t="n">
        <v>1.15</v>
      </c>
      <c r="O4330" s="96" t="n"/>
      <c r="P4330" s="150" t="n"/>
      <c r="R4330" s="117" t="n"/>
      <c r="T4330" s="117" t="n"/>
    </row>
    <row r="4331">
      <c r="A4331" s="134" t="inlineStr">
        <is>
          <t>14315XXX</t>
        </is>
      </c>
      <c r="B4331" s="246" t="inlineStr">
        <is>
          <t>TAVERNITI</t>
        </is>
      </c>
      <c r="C4331" s="88" t="n">
        <v>24400</v>
      </c>
      <c r="D4331" s="220">
        <f>ROUND((C4331*1.06)/100,0)*100</f>
        <v/>
      </c>
      <c r="E4331" s="220">
        <f>ROUND((C4331*1.13)/100,0)*100</f>
        <v/>
      </c>
      <c r="F4331" s="153" t="n"/>
      <c r="G4331" s="153" t="n"/>
      <c r="H4331" s="153" t="n"/>
      <c r="I4331" s="230" t="n"/>
      <c r="J4331" s="153" t="n"/>
      <c r="K4331" s="219">
        <f>ROUND((N4331*C4331)/100,0)*100</f>
        <v/>
      </c>
      <c r="M4331" s="219" t="n"/>
      <c r="N4331" s="96" t="n">
        <v>1.15</v>
      </c>
      <c r="O4331" s="96" t="n"/>
      <c r="P4331" s="150" t="n"/>
      <c r="R4331" s="117" t="n"/>
      <c r="T4331" s="117" t="n"/>
    </row>
    <row r="4332">
      <c r="A4332" s="134" t="inlineStr">
        <is>
          <t>00112</t>
        </is>
      </c>
      <c r="B4332" s="246" t="inlineStr">
        <is>
          <t>MAR Y MAR</t>
        </is>
      </c>
      <c r="C4332" s="153" t="n">
        <v>32100</v>
      </c>
      <c r="D4332" s="220">
        <f>ROUND((C4332*1.06)/100,0)*100</f>
        <v/>
      </c>
      <c r="E4332" s="220">
        <f>ROUND((C4332*1.13)/100,0)*100</f>
        <v/>
      </c>
      <c r="F4332" s="220">
        <f>ROUND((C4332*1.19)/100,0)*100</f>
        <v/>
      </c>
      <c r="G4332" s="220">
        <f>ROUND((C4332*1.25)/100,0)*100</f>
        <v/>
      </c>
      <c r="H4332" s="220">
        <f>ROUND((C4332*1.32)/100,0)*100</f>
        <v/>
      </c>
      <c r="I4332" s="230" t="n"/>
      <c r="J4332" s="153" t="n"/>
      <c r="K4332" s="219">
        <f>ROUND((N4332*C4332)/100,0)*100</f>
        <v/>
      </c>
      <c r="M4332" s="219" t="n"/>
      <c r="N4332" s="96" t="n">
        <v>1.15</v>
      </c>
      <c r="P4332" s="117" t="n"/>
      <c r="Q4332" s="96" t="n"/>
      <c r="R4332" s="150" t="n"/>
      <c r="S4332" s="96" t="n"/>
      <c r="T4332" s="150" t="n"/>
      <c r="U4332" s="96" t="n"/>
      <c r="V4332" s="96" t="n"/>
    </row>
    <row r="4333">
      <c r="A4333" s="134" t="inlineStr">
        <is>
          <t>00201</t>
        </is>
      </c>
      <c r="B4333" s="246" t="inlineStr">
        <is>
          <t>MAR Y MAR</t>
        </is>
      </c>
      <c r="C4333" s="153" t="n">
        <v>24300</v>
      </c>
      <c r="D4333" s="220">
        <f>ROUND((C4333*1.06)/100,0)*100</f>
        <v/>
      </c>
      <c r="E4333" s="220">
        <f>ROUND((C4333*1.13)/100,0)*100</f>
        <v/>
      </c>
      <c r="F4333" s="220">
        <f>ROUND((C4333*1.19)/100,0)*100</f>
        <v/>
      </c>
      <c r="G4333" s="220">
        <f>ROUND((C4333*1.25)/100,0)*100</f>
        <v/>
      </c>
      <c r="H4333" s="220">
        <f>ROUND((C4333*1.32)/100,0)*100</f>
        <v/>
      </c>
      <c r="I4333" s="230" t="n"/>
      <c r="J4333" s="153" t="n"/>
      <c r="K4333" s="219">
        <f>ROUND((N4333*C4333)/100,0)*100</f>
        <v/>
      </c>
      <c r="M4333" s="219" t="n"/>
      <c r="N4333" s="96" t="n">
        <v>1.15</v>
      </c>
      <c r="P4333" s="117" t="n"/>
      <c r="Q4333" s="96" t="n"/>
      <c r="R4333" s="150" t="n"/>
      <c r="S4333" s="96" t="n"/>
      <c r="T4333" s="150" t="n"/>
      <c r="U4333" s="96" t="n"/>
      <c r="V4333" s="96" t="n"/>
    </row>
    <row r="4334">
      <c r="A4334" s="134" t="inlineStr">
        <is>
          <t>00272</t>
        </is>
      </c>
      <c r="B4334" s="246" t="inlineStr">
        <is>
          <t>MAR Y MAR</t>
        </is>
      </c>
      <c r="C4334" s="153" t="n">
        <v>24300</v>
      </c>
      <c r="D4334" s="220">
        <f>ROUND((C4334*1.06)/100,0)*100</f>
        <v/>
      </c>
      <c r="E4334" s="220">
        <f>ROUND((C4334*1.13)/100,0)*100</f>
        <v/>
      </c>
      <c r="F4334" s="220">
        <f>ROUND((C4334*1.19)/100,0)*100</f>
        <v/>
      </c>
      <c r="G4334" s="220">
        <f>ROUND((C4334*1.25)/100,0)*100</f>
        <v/>
      </c>
      <c r="H4334" s="220">
        <f>ROUND((C4334*1.32)/100,0)*100</f>
        <v/>
      </c>
      <c r="I4334" s="230" t="n"/>
      <c r="J4334" s="153" t="n"/>
      <c r="K4334" s="219">
        <f>ROUND((N4334*C4334)/100,0)*100</f>
        <v/>
      </c>
      <c r="M4334" s="219" t="n"/>
      <c r="N4334" s="96" t="n">
        <v>1.15</v>
      </c>
      <c r="P4334" s="117" t="n"/>
      <c r="Q4334" s="96" t="n"/>
      <c r="R4334" s="150" t="n"/>
      <c r="S4334" s="96" t="n"/>
      <c r="T4334" s="150" t="n"/>
      <c r="U4334" s="96" t="n"/>
      <c r="V4334" s="96" t="n"/>
    </row>
    <row r="4335">
      <c r="A4335" s="134" t="inlineStr">
        <is>
          <t>00277</t>
        </is>
      </c>
      <c r="B4335" s="246" t="inlineStr">
        <is>
          <t>MAR Y MAR</t>
        </is>
      </c>
      <c r="C4335" s="153" t="n">
        <v>31900</v>
      </c>
      <c r="D4335" s="220">
        <f>ROUND((C4335*1.06)/100,0)*100</f>
        <v/>
      </c>
      <c r="E4335" s="220">
        <f>ROUND((C4335*1.13)/100,0)*100</f>
        <v/>
      </c>
      <c r="F4335" s="220">
        <f>ROUND((C4335*1.19)/100,0)*100</f>
        <v/>
      </c>
      <c r="G4335" s="220">
        <f>ROUND((C4335*1.25)/100,0)*100</f>
        <v/>
      </c>
      <c r="H4335" s="220">
        <f>ROUND((C4335*1.32)/100,0)*100</f>
        <v/>
      </c>
      <c r="I4335" s="230" t="n"/>
      <c r="J4335" s="153" t="n"/>
      <c r="K4335" s="219">
        <f>ROUND((N4335*C4335)/100,0)*100</f>
        <v/>
      </c>
      <c r="M4335" s="219" t="n"/>
      <c r="N4335" s="96" t="n">
        <v>1.15</v>
      </c>
      <c r="P4335" s="117" t="n"/>
      <c r="Q4335" s="96" t="n"/>
      <c r="R4335" s="150" t="n"/>
      <c r="S4335" s="96" t="n"/>
      <c r="T4335" s="150" t="n"/>
      <c r="U4335" s="96" t="n"/>
      <c r="V4335" s="96" t="n"/>
    </row>
    <row r="4336">
      <c r="A4336" s="134" t="inlineStr">
        <is>
          <t>00320</t>
        </is>
      </c>
      <c r="B4336" s="246" t="inlineStr">
        <is>
          <t>MAR Y MAR</t>
        </is>
      </c>
      <c r="C4336" s="153" t="n">
        <v>37400</v>
      </c>
      <c r="D4336" s="220">
        <f>ROUND((C4336*1.06)/100,0)*100</f>
        <v/>
      </c>
      <c r="E4336" s="220">
        <f>ROUND((C4336*1.13)/100,0)*100</f>
        <v/>
      </c>
      <c r="F4336" s="220">
        <f>ROUND((C4336*1.19)/100,0)*100</f>
        <v/>
      </c>
      <c r="G4336" s="220">
        <f>ROUND((C4336*1.25)/100,0)*100</f>
        <v/>
      </c>
      <c r="H4336" s="220">
        <f>ROUND((C4336*1.32)/100,0)*100</f>
        <v/>
      </c>
      <c r="I4336" s="230" t="n"/>
      <c r="J4336" s="153" t="n"/>
      <c r="K4336" s="219">
        <f>ROUND((N4336*C4336)/100,0)*100</f>
        <v/>
      </c>
      <c r="M4336" s="219" t="n"/>
      <c r="N4336" s="96" t="n">
        <v>1.15</v>
      </c>
      <c r="P4336" s="117" t="n"/>
      <c r="Q4336" s="96" t="n"/>
      <c r="R4336" s="150" t="n"/>
      <c r="S4336" s="96" t="n"/>
      <c r="T4336" s="150" t="n"/>
      <c r="U4336" s="96" t="n"/>
      <c r="V4336" s="96" t="n"/>
    </row>
    <row r="4337">
      <c r="A4337" s="134" t="inlineStr">
        <is>
          <t>00321</t>
        </is>
      </c>
      <c r="B4337" s="246" t="inlineStr">
        <is>
          <t>MAR Y MAR</t>
        </is>
      </c>
      <c r="C4337" s="153" t="n">
        <v>37400</v>
      </c>
      <c r="D4337" s="220">
        <f>ROUND((C4337*1.06)/100,0)*100</f>
        <v/>
      </c>
      <c r="E4337" s="220">
        <f>ROUND((C4337*1.13)/100,0)*100</f>
        <v/>
      </c>
      <c r="F4337" s="220">
        <f>ROUND((C4337*1.19)/100,0)*100</f>
        <v/>
      </c>
      <c r="G4337" s="220">
        <f>ROUND((C4337*1.25)/100,0)*100</f>
        <v/>
      </c>
      <c r="H4337" s="220">
        <f>ROUND((C4337*1.32)/100,0)*100</f>
        <v/>
      </c>
      <c r="I4337" s="230" t="n"/>
      <c r="J4337" s="153" t="n"/>
      <c r="K4337" s="219">
        <f>ROUND((N4337*C4337)/100,0)*100</f>
        <v/>
      </c>
      <c r="M4337" s="219" t="n"/>
      <c r="N4337" s="96" t="n">
        <v>1.15</v>
      </c>
      <c r="P4337" s="117" t="n"/>
      <c r="Q4337" s="96" t="n"/>
      <c r="R4337" s="150" t="n"/>
      <c r="S4337" s="96" t="n"/>
      <c r="T4337" s="150" t="n"/>
      <c r="U4337" s="96" t="n"/>
      <c r="V4337" s="96" t="n"/>
    </row>
    <row r="4338">
      <c r="A4338" s="134" t="inlineStr">
        <is>
          <t>00321</t>
        </is>
      </c>
      <c r="B4338" s="246" t="inlineStr">
        <is>
          <t>MAR Y MAR</t>
        </is>
      </c>
      <c r="C4338" s="153" t="n">
        <v>37400</v>
      </c>
      <c r="D4338" s="220">
        <f>ROUND((C4338*1.06)/100,0)*100</f>
        <v/>
      </c>
      <c r="E4338" s="220">
        <f>ROUND((C4338*1.13)/100,0)*100</f>
        <v/>
      </c>
      <c r="F4338" s="220">
        <f>ROUND((C4338*1.19)/100,0)*100</f>
        <v/>
      </c>
      <c r="G4338" s="220">
        <f>ROUND((C4338*1.25)/100,0)*100</f>
        <v/>
      </c>
      <c r="H4338" s="220">
        <f>ROUND((C4338*1.32)/100,0)*100</f>
        <v/>
      </c>
      <c r="I4338" s="230" t="n"/>
      <c r="J4338" s="153" t="n"/>
      <c r="K4338" s="219">
        <f>ROUND((N4338*C4338)/100,0)*100</f>
        <v/>
      </c>
      <c r="M4338" s="219" t="n"/>
      <c r="N4338" s="96" t="n">
        <v>1.15</v>
      </c>
      <c r="P4338" s="117" t="n"/>
      <c r="Q4338" s="96" t="n"/>
      <c r="R4338" s="150" t="n"/>
      <c r="S4338" s="96" t="n"/>
      <c r="T4338" s="150" t="n"/>
      <c r="U4338" s="96" t="n"/>
      <c r="V4338" s="96" t="n"/>
    </row>
    <row r="4339">
      <c r="A4339" s="89" t="inlineStr">
        <is>
          <t>03331XXX</t>
        </is>
      </c>
      <c r="B4339" s="135" t="inlineStr">
        <is>
          <t>TAVERNITI REM DAMA M/C</t>
        </is>
      </c>
      <c r="C4339" s="88" t="n">
        <v>39400</v>
      </c>
      <c r="D4339" s="170" t="n"/>
      <c r="E4339" s="170" t="n"/>
      <c r="F4339" s="170" t="n"/>
      <c r="G4339" s="170" t="n"/>
      <c r="H4339" s="170" t="n"/>
      <c r="I4339" s="170" t="n"/>
      <c r="J4339" s="170" t="n"/>
      <c r="K4339" s="88">
        <f>ROUND((N4339*C4339)/100,0)*100</f>
        <v/>
      </c>
      <c r="L4339" s="30" t="n"/>
      <c r="M4339" s="170" t="n"/>
      <c r="N4339" s="96" t="n">
        <v>1.15</v>
      </c>
      <c r="O4339" s="30" t="n"/>
      <c r="P4339" s="170" t="n"/>
      <c r="Q4339" s="30" t="n"/>
      <c r="R4339" s="170" t="n"/>
      <c r="S4339" s="30" t="n"/>
      <c r="T4339" s="170" t="n"/>
      <c r="U4339" s="30" t="n"/>
      <c r="V4339" s="30" t="n"/>
      <c r="W4339" s="30" t="n"/>
      <c r="X4339" s="30" t="n"/>
      <c r="Y4339" s="30" t="n"/>
      <c r="Z4339" s="30" t="n"/>
      <c r="AA4339" s="30" t="n"/>
      <c r="AB4339" s="30" t="n"/>
      <c r="AC4339" s="30" t="n"/>
      <c r="AD4339" s="30" t="n"/>
      <c r="AE4339" s="30" t="n"/>
      <c r="AF4339" s="30" t="n"/>
      <c r="AG4339" s="30" t="n"/>
      <c r="AH4339" s="30" t="n"/>
      <c r="AI4339" s="30" t="n"/>
      <c r="AJ4339" s="30" t="n"/>
      <c r="AK4339" s="30" t="n"/>
      <c r="AL4339" s="30" t="n"/>
      <c r="AM4339" s="30" t="n"/>
      <c r="AN4339" s="30" t="n"/>
      <c r="AO4339" s="30" t="n"/>
    </row>
    <row r="4340">
      <c r="A4340" s="89" t="inlineStr">
        <is>
          <t>04003XXX</t>
        </is>
      </c>
      <c r="B4340" s="135" t="inlineStr">
        <is>
          <t>TAVERNITI REM DAMA M/C</t>
        </is>
      </c>
      <c r="C4340" s="88" t="n">
        <v>39300</v>
      </c>
      <c r="D4340" s="219" t="n"/>
      <c r="E4340" s="219" t="n"/>
      <c r="F4340" s="219" t="n"/>
      <c r="G4340" s="219" t="n"/>
      <c r="H4340" s="219" t="n"/>
      <c r="I4340" s="219" t="n"/>
      <c r="J4340" s="219" t="n"/>
      <c r="K4340" s="219">
        <f>ROUND((N4340*C4340)/100,0)*100</f>
        <v/>
      </c>
      <c r="M4340" s="219" t="n"/>
      <c r="N4340" s="96" t="n">
        <v>1.15</v>
      </c>
      <c r="O4340" s="96" t="n"/>
      <c r="P4340" s="150" t="n"/>
      <c r="Q4340" s="96" t="n"/>
      <c r="R4340" s="150" t="n"/>
      <c r="S4340" s="96" t="n"/>
      <c r="T4340" s="150" t="n"/>
      <c r="U4340" s="96" t="n"/>
      <c r="V4340" s="96" t="n"/>
      <c r="W4340" s="30" t="n"/>
      <c r="X4340" s="30" t="n"/>
      <c r="Y4340" s="30" t="n"/>
      <c r="Z4340" s="30" t="n"/>
      <c r="AA4340" s="30" t="n"/>
      <c r="AB4340" s="30" t="n"/>
      <c r="AC4340" s="30" t="n"/>
      <c r="AD4340" s="30" t="n"/>
      <c r="AE4340" s="30" t="n"/>
      <c r="AF4340" s="30" t="n"/>
      <c r="AG4340" s="30" t="n"/>
      <c r="AH4340" s="30" t="n"/>
      <c r="AI4340" s="30" t="n"/>
      <c r="AJ4340" s="30" t="n"/>
      <c r="AK4340" s="30" t="n"/>
      <c r="AL4340" s="30" t="n"/>
      <c r="AM4340" s="30" t="n"/>
      <c r="AN4340" s="30" t="n"/>
    </row>
    <row r="4341">
      <c r="A4341" s="89" t="inlineStr">
        <is>
          <t>04135XXX</t>
        </is>
      </c>
      <c r="B4341" s="135" t="inlineStr">
        <is>
          <t>TAVERNITI REM DAMA M/C</t>
        </is>
      </c>
      <c r="C4341" s="88" t="n">
        <v>39300</v>
      </c>
      <c r="D4341" s="88" t="n"/>
      <c r="E4341" s="88" t="n"/>
      <c r="F4341" s="88" t="n"/>
      <c r="G4341" s="88" t="n"/>
      <c r="H4341" s="88" t="n"/>
      <c r="I4341" s="88" t="n"/>
      <c r="J4341" s="88" t="n"/>
      <c r="K4341" s="219">
        <f>ROUND((N4341*C4341)/100,0)*100</f>
        <v/>
      </c>
      <c r="M4341" s="219" t="n"/>
      <c r="N4341" s="96" t="n">
        <v>1.15</v>
      </c>
      <c r="O4341" s="96" t="n"/>
      <c r="P4341" s="150" t="n"/>
      <c r="Q4341" s="96" t="n"/>
      <c r="R4341" s="150" t="n"/>
      <c r="S4341" s="96" t="n"/>
      <c r="T4341" s="150" t="n"/>
      <c r="U4341" s="96" t="n"/>
      <c r="V4341" s="96" t="n"/>
      <c r="W4341" s="30" t="n"/>
      <c r="X4341" s="30" t="n"/>
      <c r="Y4341" s="30" t="n"/>
      <c r="Z4341" s="30" t="n"/>
      <c r="AA4341" s="30" t="n"/>
      <c r="AB4341" s="30" t="n"/>
      <c r="AC4341" s="30" t="n"/>
      <c r="AD4341" s="30" t="n"/>
      <c r="AE4341" s="30" t="n"/>
      <c r="AF4341" s="30" t="n"/>
      <c r="AG4341" s="30" t="n"/>
      <c r="AH4341" s="30" t="n"/>
      <c r="AI4341" s="30" t="n"/>
      <c r="AJ4341" s="30" t="n"/>
      <c r="AK4341" s="30" t="n"/>
      <c r="AL4341" s="30" t="n"/>
      <c r="AM4341" s="30" t="n"/>
      <c r="AN4341" s="30" t="n"/>
    </row>
    <row r="4342">
      <c r="A4342" s="89" t="inlineStr">
        <is>
          <t>04135XXX</t>
        </is>
      </c>
      <c r="B4342" s="135" t="inlineStr">
        <is>
          <t>TAVERNITI REM DAMA M/C</t>
        </is>
      </c>
      <c r="C4342" s="88" t="n">
        <v>39300</v>
      </c>
      <c r="D4342" s="88" t="n"/>
      <c r="E4342" s="88" t="n"/>
      <c r="F4342" s="88" t="n"/>
      <c r="G4342" s="88" t="n"/>
      <c r="H4342" s="88" t="n"/>
      <c r="I4342" s="88" t="n"/>
      <c r="J4342" s="88" t="n"/>
      <c r="K4342" s="219">
        <f>ROUND((N4342*C4342)/100,0)*100</f>
        <v/>
      </c>
      <c r="M4342" s="219" t="n"/>
      <c r="N4342" s="96" t="n">
        <v>1.15</v>
      </c>
      <c r="O4342" s="96" t="n"/>
      <c r="P4342" s="150" t="n"/>
      <c r="Q4342" s="96" t="n"/>
      <c r="R4342" s="150" t="n"/>
      <c r="S4342" s="96" t="n"/>
      <c r="T4342" s="150" t="n"/>
      <c r="U4342" s="96" t="n"/>
      <c r="V4342" s="96" t="n"/>
      <c r="W4342" s="30" t="n"/>
      <c r="X4342" s="30" t="n"/>
      <c r="Y4342" s="30" t="n"/>
      <c r="Z4342" s="30" t="n"/>
      <c r="AA4342" s="30" t="n"/>
      <c r="AB4342" s="30" t="n"/>
      <c r="AC4342" s="30" t="n"/>
      <c r="AD4342" s="30" t="n"/>
      <c r="AE4342" s="30" t="n"/>
      <c r="AF4342" s="30" t="n"/>
      <c r="AG4342" s="30" t="n"/>
      <c r="AH4342" s="30" t="n"/>
      <c r="AI4342" s="30" t="n"/>
      <c r="AJ4342" s="30" t="n"/>
      <c r="AK4342" s="30" t="n"/>
      <c r="AL4342" s="30" t="n"/>
      <c r="AM4342" s="30" t="n"/>
      <c r="AN4342" s="30" t="n"/>
    </row>
    <row r="4343">
      <c r="A4343" s="89" t="inlineStr">
        <is>
          <t>04159XXX</t>
        </is>
      </c>
      <c r="B4343" s="135" t="inlineStr">
        <is>
          <t>TAVERNITI REM DAMA M/C</t>
        </is>
      </c>
      <c r="C4343" s="88" t="n">
        <v>39300</v>
      </c>
      <c r="D4343" s="88" t="n"/>
      <c r="E4343" s="88" t="n"/>
      <c r="F4343" s="88" t="n"/>
      <c r="G4343" s="88" t="n"/>
      <c r="H4343" s="88" t="n"/>
      <c r="I4343" s="88" t="n"/>
      <c r="J4343" s="88" t="n"/>
      <c r="K4343" s="219">
        <f>ROUND((N4343*C4343)/100,0)*100</f>
        <v/>
      </c>
      <c r="M4343" s="219" t="n"/>
      <c r="N4343" s="96" t="n">
        <v>1.15</v>
      </c>
      <c r="O4343" s="96" t="n"/>
      <c r="P4343" s="150" t="n"/>
      <c r="Q4343" s="96" t="n"/>
      <c r="R4343" s="150" t="n"/>
      <c r="S4343" s="96" t="n"/>
      <c r="T4343" s="150" t="n"/>
      <c r="U4343" s="96" t="n"/>
      <c r="V4343" s="96" t="n"/>
      <c r="W4343" s="30" t="n"/>
      <c r="X4343" s="30" t="n"/>
      <c r="Y4343" s="30" t="n"/>
      <c r="Z4343" s="30" t="n"/>
      <c r="AA4343" s="30" t="n"/>
      <c r="AB4343" s="30" t="n"/>
      <c r="AC4343" s="30" t="n"/>
      <c r="AD4343" s="30" t="n"/>
      <c r="AE4343" s="30" t="n"/>
      <c r="AF4343" s="30" t="n"/>
      <c r="AG4343" s="30" t="n"/>
      <c r="AH4343" s="30" t="n"/>
      <c r="AI4343" s="30" t="n"/>
      <c r="AJ4343" s="30" t="n"/>
      <c r="AK4343" s="30" t="n"/>
      <c r="AL4343" s="30" t="n"/>
      <c r="AM4343" s="30" t="n"/>
      <c r="AN4343" s="30" t="n"/>
    </row>
    <row r="4344">
      <c r="A4344" s="89" t="inlineStr">
        <is>
          <t>04165XXX</t>
        </is>
      </c>
      <c r="B4344" s="135" t="inlineStr">
        <is>
          <t>TAVERNITI REM DAMA M/C</t>
        </is>
      </c>
      <c r="C4344" s="88" t="n">
        <v>39300</v>
      </c>
      <c r="D4344" s="88" t="n"/>
      <c r="E4344" s="88" t="n"/>
      <c r="F4344" s="88" t="n"/>
      <c r="G4344" s="88" t="n"/>
      <c r="H4344" s="88" t="n"/>
      <c r="I4344" s="88" t="n"/>
      <c r="J4344" s="88" t="n"/>
      <c r="K4344" s="219">
        <f>ROUND((N4344*C4344)/100,0)*100</f>
        <v/>
      </c>
      <c r="M4344" s="219" t="n"/>
      <c r="N4344" s="96" t="n">
        <v>1.15</v>
      </c>
      <c r="O4344" s="96" t="n"/>
      <c r="P4344" s="150" t="n"/>
      <c r="Q4344" s="96" t="n"/>
      <c r="R4344" s="150" t="n"/>
      <c r="S4344" s="96" t="n"/>
      <c r="T4344" s="150" t="n"/>
      <c r="U4344" s="96" t="n"/>
      <c r="V4344" s="96" t="n"/>
      <c r="W4344" s="30" t="n"/>
      <c r="X4344" s="30" t="n"/>
      <c r="Y4344" s="30" t="n"/>
      <c r="Z4344" s="30" t="n"/>
      <c r="AA4344" s="30" t="n"/>
      <c r="AB4344" s="30" t="n"/>
      <c r="AC4344" s="30" t="n"/>
      <c r="AD4344" s="30" t="n"/>
      <c r="AE4344" s="30" t="n"/>
      <c r="AF4344" s="30" t="n"/>
      <c r="AG4344" s="30" t="n"/>
      <c r="AH4344" s="30" t="n"/>
      <c r="AI4344" s="30" t="n"/>
      <c r="AJ4344" s="30" t="n"/>
      <c r="AK4344" s="30" t="n"/>
      <c r="AL4344" s="30" t="n"/>
      <c r="AM4344" s="30" t="n"/>
      <c r="AN4344" s="30" t="n"/>
    </row>
    <row r="4345">
      <c r="A4345" s="89" t="inlineStr">
        <is>
          <t>04167XXX</t>
        </is>
      </c>
      <c r="B4345" s="135" t="inlineStr">
        <is>
          <t>TAVERNITI REM DAMA M/C</t>
        </is>
      </c>
      <c r="C4345" s="88" t="n">
        <v>39300</v>
      </c>
      <c r="D4345" s="88" t="n"/>
      <c r="E4345" s="88" t="n"/>
      <c r="F4345" s="88" t="n"/>
      <c r="G4345" s="88" t="n"/>
      <c r="H4345" s="88" t="n"/>
      <c r="I4345" s="88" t="n"/>
      <c r="J4345" s="88" t="n"/>
      <c r="K4345" s="219">
        <f>ROUND((N4345*C4345)/100,0)*100</f>
        <v/>
      </c>
      <c r="M4345" s="219" t="n"/>
      <c r="N4345" s="96" t="n">
        <v>1.15</v>
      </c>
      <c r="O4345" s="96" t="n"/>
      <c r="P4345" s="150" t="n"/>
      <c r="Q4345" s="96" t="n"/>
      <c r="R4345" s="150" t="n"/>
      <c r="S4345" s="96" t="n"/>
      <c r="T4345" s="150" t="n"/>
      <c r="U4345" s="96" t="n"/>
      <c r="V4345" s="96" t="n"/>
      <c r="W4345" s="30" t="n"/>
      <c r="X4345" s="30" t="n"/>
      <c r="Y4345" s="30" t="n"/>
      <c r="Z4345" s="30" t="n"/>
      <c r="AA4345" s="30" t="n"/>
      <c r="AB4345" s="30" t="n"/>
      <c r="AC4345" s="30" t="n"/>
      <c r="AD4345" s="30" t="n"/>
      <c r="AE4345" s="30" t="n"/>
      <c r="AF4345" s="30" t="n"/>
      <c r="AG4345" s="30" t="n"/>
      <c r="AH4345" s="30" t="n"/>
      <c r="AI4345" s="30" t="n"/>
      <c r="AJ4345" s="30" t="n"/>
      <c r="AK4345" s="30" t="n"/>
      <c r="AL4345" s="30" t="n"/>
      <c r="AM4345" s="30" t="n"/>
      <c r="AN4345" s="30" t="n"/>
    </row>
    <row r="4346">
      <c r="A4346" s="89" t="inlineStr">
        <is>
          <t>04169XXX</t>
        </is>
      </c>
      <c r="B4346" s="135" t="inlineStr">
        <is>
          <t>TAVERNITI REM DAMA M/C</t>
        </is>
      </c>
      <c r="C4346" s="88" t="n">
        <v>39400</v>
      </c>
      <c r="D4346" s="88" t="n"/>
      <c r="E4346" s="88" t="n"/>
      <c r="F4346" s="88" t="n"/>
      <c r="G4346" s="88" t="n"/>
      <c r="H4346" s="88" t="n"/>
      <c r="I4346" s="88" t="n"/>
      <c r="J4346" s="88" t="n"/>
      <c r="K4346" s="219">
        <f>ROUND((N4346*C4346)/100,0)*100</f>
        <v/>
      </c>
      <c r="M4346" s="219" t="n"/>
      <c r="N4346" s="96" t="n">
        <v>1.15</v>
      </c>
      <c r="O4346" s="96" t="n"/>
      <c r="P4346" s="150" t="n"/>
      <c r="Q4346" s="96" t="n"/>
      <c r="R4346" s="150" t="n"/>
      <c r="S4346" s="96" t="n"/>
      <c r="T4346" s="150" t="n"/>
      <c r="U4346" s="96" t="n"/>
      <c r="V4346" s="96" t="n"/>
      <c r="W4346" s="30" t="n"/>
      <c r="X4346" s="30" t="n"/>
      <c r="Y4346" s="30" t="n"/>
      <c r="Z4346" s="30" t="n"/>
      <c r="AA4346" s="30" t="n"/>
      <c r="AB4346" s="30" t="n"/>
      <c r="AC4346" s="30" t="n"/>
      <c r="AD4346" s="30" t="n"/>
      <c r="AE4346" s="30" t="n"/>
      <c r="AF4346" s="30" t="n"/>
      <c r="AG4346" s="30" t="n"/>
      <c r="AH4346" s="30" t="n"/>
      <c r="AI4346" s="30" t="n"/>
      <c r="AJ4346" s="30" t="n"/>
      <c r="AK4346" s="30" t="n"/>
      <c r="AL4346" s="30" t="n"/>
      <c r="AM4346" s="30" t="n"/>
      <c r="AN4346" s="30" t="n"/>
    </row>
    <row r="4347">
      <c r="A4347" s="89" t="inlineStr">
        <is>
          <t>04173XXX</t>
        </is>
      </c>
      <c r="B4347" s="135" t="inlineStr">
        <is>
          <t>TAVERNITI REM DAMA M/C</t>
        </is>
      </c>
      <c r="C4347" s="88" t="n">
        <v>39300</v>
      </c>
      <c r="D4347" s="88" t="n"/>
      <c r="E4347" s="88" t="n"/>
      <c r="F4347" s="88" t="n"/>
      <c r="G4347" s="88" t="n"/>
      <c r="H4347" s="88" t="n"/>
      <c r="I4347" s="88" t="n"/>
      <c r="J4347" s="88" t="n"/>
      <c r="K4347" s="219">
        <f>ROUND((N4347*C4347)/100,0)*100</f>
        <v/>
      </c>
      <c r="M4347" s="219" t="n"/>
      <c r="N4347" s="96" t="n">
        <v>1.15</v>
      </c>
      <c r="O4347" s="96" t="n"/>
      <c r="P4347" s="150" t="n"/>
      <c r="Q4347" s="96" t="n"/>
      <c r="R4347" s="150" t="n"/>
      <c r="S4347" s="96" t="n"/>
      <c r="T4347" s="150" t="n"/>
      <c r="U4347" s="96" t="n"/>
      <c r="V4347" s="96" t="n"/>
      <c r="W4347" s="30" t="n"/>
      <c r="X4347" s="30" t="n"/>
      <c r="Y4347" s="30" t="n"/>
      <c r="Z4347" s="30" t="n"/>
      <c r="AA4347" s="30" t="n"/>
      <c r="AB4347" s="30" t="n"/>
      <c r="AC4347" s="30" t="n"/>
      <c r="AD4347" s="30" t="n"/>
      <c r="AE4347" s="30" t="n"/>
      <c r="AF4347" s="30" t="n"/>
      <c r="AG4347" s="30" t="n"/>
      <c r="AH4347" s="30" t="n"/>
      <c r="AI4347" s="30" t="n"/>
      <c r="AJ4347" s="30" t="n"/>
      <c r="AK4347" s="30" t="n"/>
      <c r="AL4347" s="30" t="n"/>
      <c r="AM4347" s="30" t="n"/>
      <c r="AN4347" s="30" t="n"/>
    </row>
    <row r="4348">
      <c r="A4348" s="89" t="inlineStr">
        <is>
          <t>04179XXX</t>
        </is>
      </c>
      <c r="B4348" s="135" t="inlineStr">
        <is>
          <t>TAVERNITI REM DAMA M/C</t>
        </is>
      </c>
      <c r="C4348" s="88" t="n">
        <v>39300</v>
      </c>
      <c r="D4348" s="88" t="n"/>
      <c r="E4348" s="88" t="n"/>
      <c r="F4348" s="88" t="n"/>
      <c r="G4348" s="88" t="n"/>
      <c r="H4348" s="88" t="n"/>
      <c r="I4348" s="88" t="n"/>
      <c r="J4348" s="88" t="n"/>
      <c r="K4348" s="219">
        <f>ROUND((N4348*C4348)/100,0)*100</f>
        <v/>
      </c>
      <c r="M4348" s="219" t="n"/>
      <c r="N4348" s="96" t="n">
        <v>1.15</v>
      </c>
      <c r="O4348" s="96" t="n"/>
      <c r="P4348" s="150" t="n"/>
      <c r="Q4348" s="96" t="n"/>
      <c r="R4348" s="150" t="n"/>
      <c r="S4348" s="96" t="n"/>
      <c r="T4348" s="150" t="n"/>
      <c r="U4348" s="96" t="n"/>
      <c r="V4348" s="96" t="n"/>
      <c r="W4348" s="30" t="n"/>
      <c r="X4348" s="30" t="n"/>
      <c r="Y4348" s="30" t="n"/>
      <c r="Z4348" s="30" t="n"/>
      <c r="AA4348" s="30" t="n"/>
      <c r="AB4348" s="30" t="n"/>
      <c r="AC4348" s="30" t="n"/>
      <c r="AD4348" s="30" t="n"/>
      <c r="AE4348" s="30" t="n"/>
      <c r="AF4348" s="30" t="n"/>
      <c r="AG4348" s="30" t="n"/>
      <c r="AH4348" s="30" t="n"/>
      <c r="AI4348" s="30" t="n"/>
      <c r="AJ4348" s="30" t="n"/>
      <c r="AK4348" s="30" t="n"/>
      <c r="AL4348" s="30" t="n"/>
      <c r="AM4348" s="30" t="n"/>
      <c r="AN4348" s="30" t="n"/>
    </row>
    <row r="4349">
      <c r="A4349" s="89" t="inlineStr">
        <is>
          <t>04181XXX</t>
        </is>
      </c>
      <c r="B4349" s="135" t="inlineStr">
        <is>
          <t>TAVERNITI REM DAMA M/C</t>
        </is>
      </c>
      <c r="C4349" s="88" t="n">
        <v>39400</v>
      </c>
      <c r="D4349" s="88" t="n"/>
      <c r="E4349" s="88" t="n"/>
      <c r="F4349" s="88" t="n"/>
      <c r="G4349" s="88" t="n"/>
      <c r="H4349" s="88" t="n"/>
      <c r="I4349" s="88" t="n"/>
      <c r="J4349" s="88" t="n"/>
      <c r="K4349" s="219">
        <f>ROUND((N4349*C4349)/100,0)*100</f>
        <v/>
      </c>
      <c r="M4349" s="219" t="n"/>
      <c r="N4349" s="96" t="n">
        <v>1.15</v>
      </c>
      <c r="O4349" s="96" t="n"/>
      <c r="P4349" s="150" t="n"/>
      <c r="Q4349" s="96" t="n"/>
      <c r="R4349" s="150" t="n"/>
      <c r="S4349" s="96" t="n"/>
      <c r="T4349" s="150" t="n"/>
      <c r="U4349" s="96" t="n"/>
      <c r="V4349" s="96" t="n"/>
      <c r="W4349" s="30" t="n"/>
      <c r="X4349" s="30" t="n"/>
      <c r="Y4349" s="30" t="n"/>
      <c r="Z4349" s="30" t="n"/>
      <c r="AA4349" s="30" t="n"/>
      <c r="AB4349" s="30" t="n"/>
      <c r="AC4349" s="30" t="n"/>
      <c r="AD4349" s="30" t="n"/>
      <c r="AE4349" s="30" t="n"/>
      <c r="AF4349" s="30" t="n"/>
      <c r="AG4349" s="30" t="n"/>
      <c r="AH4349" s="30" t="n"/>
      <c r="AI4349" s="30" t="n"/>
      <c r="AJ4349" s="30" t="n"/>
      <c r="AK4349" s="30" t="n"/>
      <c r="AL4349" s="30" t="n"/>
      <c r="AM4349" s="30" t="n"/>
      <c r="AN4349" s="30" t="n"/>
    </row>
    <row r="4350">
      <c r="A4350" s="89" t="inlineStr">
        <is>
          <t>04185XXX</t>
        </is>
      </c>
      <c r="B4350" s="135" t="inlineStr">
        <is>
          <t>TAVERNITI REM DAMA M/C</t>
        </is>
      </c>
      <c r="C4350" s="88" t="n">
        <v>39400</v>
      </c>
      <c r="D4350" s="88" t="n"/>
      <c r="E4350" s="88" t="n"/>
      <c r="F4350" s="88" t="n"/>
      <c r="G4350" s="88" t="n"/>
      <c r="H4350" s="88" t="n"/>
      <c r="I4350" s="88" t="n"/>
      <c r="J4350" s="88" t="n"/>
      <c r="K4350" s="219">
        <f>ROUND((N4350*C4350)/100,0)*100</f>
        <v/>
      </c>
      <c r="M4350" s="219" t="n"/>
      <c r="N4350" s="96" t="n">
        <v>1.15</v>
      </c>
      <c r="O4350" s="96" t="n"/>
      <c r="P4350" s="150" t="n"/>
      <c r="Q4350" s="96" t="n"/>
      <c r="R4350" s="150" t="n"/>
      <c r="S4350" s="96" t="n"/>
      <c r="T4350" s="150" t="n"/>
      <c r="U4350" s="96" t="n"/>
      <c r="V4350" s="96" t="n"/>
      <c r="W4350" s="30" t="n"/>
      <c r="X4350" s="30" t="n"/>
      <c r="Y4350" s="30" t="n"/>
      <c r="Z4350" s="30" t="n"/>
      <c r="AA4350" s="30" t="n"/>
      <c r="AB4350" s="30" t="n"/>
      <c r="AC4350" s="30" t="n"/>
      <c r="AD4350" s="30" t="n"/>
      <c r="AE4350" s="30" t="n"/>
      <c r="AF4350" s="30" t="n"/>
      <c r="AG4350" s="30" t="n"/>
      <c r="AH4350" s="30" t="n"/>
      <c r="AI4350" s="30" t="n"/>
      <c r="AJ4350" s="30" t="n"/>
      <c r="AK4350" s="30" t="n"/>
      <c r="AL4350" s="30" t="n"/>
      <c r="AM4350" s="30" t="n"/>
      <c r="AN4350" s="30" t="n"/>
    </row>
    <row r="4351">
      <c r="A4351" s="89" t="inlineStr">
        <is>
          <t>04197XXX</t>
        </is>
      </c>
      <c r="B4351" s="135" t="inlineStr">
        <is>
          <t>TAVERNITI REM DAMA M/C</t>
        </is>
      </c>
      <c r="C4351" s="88" t="n">
        <v>39400</v>
      </c>
      <c r="D4351" s="88" t="n"/>
      <c r="E4351" s="88" t="n"/>
      <c r="F4351" s="88" t="n"/>
      <c r="G4351" s="88" t="n"/>
      <c r="H4351" s="88" t="n"/>
      <c r="I4351" s="88" t="n"/>
      <c r="J4351" s="88" t="n"/>
      <c r="K4351" s="219">
        <f>ROUND((N4351*C4351)/100,0)*100</f>
        <v/>
      </c>
      <c r="M4351" s="219" t="n"/>
      <c r="N4351" s="96" t="n">
        <v>1.15</v>
      </c>
      <c r="O4351" s="96" t="n"/>
      <c r="P4351" s="150" t="n"/>
      <c r="Q4351" s="96" t="n"/>
      <c r="R4351" s="150" t="n"/>
      <c r="S4351" s="96" t="n"/>
      <c r="T4351" s="150" t="n"/>
      <c r="U4351" s="96" t="n"/>
      <c r="V4351" s="96" t="n"/>
      <c r="W4351" s="30" t="n"/>
      <c r="X4351" s="30" t="n"/>
      <c r="Y4351" s="30" t="n"/>
      <c r="Z4351" s="30" t="n"/>
      <c r="AA4351" s="30" t="n"/>
      <c r="AB4351" s="30" t="n"/>
      <c r="AC4351" s="30" t="n"/>
      <c r="AD4351" s="30" t="n"/>
      <c r="AE4351" s="30" t="n"/>
      <c r="AF4351" s="30" t="n"/>
      <c r="AG4351" s="30" t="n"/>
      <c r="AH4351" s="30" t="n"/>
      <c r="AI4351" s="30" t="n"/>
      <c r="AJ4351" s="30" t="n"/>
      <c r="AK4351" s="30" t="n"/>
      <c r="AL4351" s="30" t="n"/>
      <c r="AM4351" s="30" t="n"/>
      <c r="AN4351" s="30" t="n"/>
    </row>
    <row r="4352">
      <c r="A4352" s="89" t="inlineStr">
        <is>
          <t>04199XXX</t>
        </is>
      </c>
      <c r="B4352" s="135" t="inlineStr">
        <is>
          <t>TAVERNITI REM DAMA M/C</t>
        </is>
      </c>
      <c r="C4352" s="88" t="n">
        <v>39400</v>
      </c>
      <c r="D4352" s="88" t="n"/>
      <c r="E4352" s="88" t="n"/>
      <c r="F4352" s="88" t="n"/>
      <c r="G4352" s="88" t="n"/>
      <c r="H4352" s="88" t="n"/>
      <c r="I4352" s="88" t="n"/>
      <c r="J4352" s="88" t="n"/>
      <c r="K4352" s="219">
        <f>ROUND((N4352*C4352)/100,0)*100</f>
        <v/>
      </c>
      <c r="M4352" s="219" t="n"/>
      <c r="N4352" s="96" t="n">
        <v>1.15</v>
      </c>
      <c r="O4352" s="96" t="n"/>
      <c r="P4352" s="150" t="n"/>
      <c r="Q4352" s="96" t="n"/>
      <c r="R4352" s="150" t="n"/>
      <c r="S4352" s="96" t="n"/>
      <c r="T4352" s="150" t="n"/>
      <c r="U4352" s="96" t="n"/>
      <c r="V4352" s="96" t="n"/>
      <c r="W4352" s="30" t="n"/>
      <c r="X4352" s="30" t="n"/>
      <c r="Y4352" s="30" t="n"/>
      <c r="Z4352" s="30" t="n"/>
      <c r="AA4352" s="30" t="n"/>
      <c r="AB4352" s="30" t="n"/>
      <c r="AC4352" s="30" t="n"/>
      <c r="AD4352" s="30" t="n"/>
      <c r="AE4352" s="30" t="n"/>
      <c r="AF4352" s="30" t="n"/>
      <c r="AG4352" s="30" t="n"/>
      <c r="AH4352" s="30" t="n"/>
      <c r="AI4352" s="30" t="n"/>
      <c r="AJ4352" s="30" t="n"/>
      <c r="AK4352" s="30" t="n"/>
      <c r="AL4352" s="30" t="n"/>
      <c r="AM4352" s="30" t="n"/>
      <c r="AN4352" s="30" t="n"/>
    </row>
    <row r="4353">
      <c r="A4353" s="89" t="inlineStr">
        <is>
          <t>04333XXX</t>
        </is>
      </c>
      <c r="B4353" s="135" t="inlineStr">
        <is>
          <t>TAVERNITI REM DAMA M/C</t>
        </is>
      </c>
      <c r="C4353" s="88" t="n">
        <v>39400</v>
      </c>
      <c r="D4353" s="88" t="n"/>
      <c r="E4353" s="88" t="n"/>
      <c r="F4353" s="88" t="n"/>
      <c r="G4353" s="88" t="n"/>
      <c r="H4353" s="88" t="n"/>
      <c r="I4353" s="88" t="n"/>
      <c r="J4353" s="88" t="n"/>
      <c r="K4353" s="219">
        <f>ROUND((N4353*C4353)/100,0)*100</f>
        <v/>
      </c>
      <c r="M4353" s="219" t="n"/>
      <c r="N4353" s="96" t="n">
        <v>1.15</v>
      </c>
      <c r="O4353" s="96" t="n"/>
      <c r="P4353" s="150" t="n"/>
      <c r="Q4353" s="96" t="n"/>
      <c r="R4353" s="150" t="n"/>
      <c r="S4353" s="96" t="n"/>
      <c r="T4353" s="150" t="n"/>
      <c r="U4353" s="96" t="n"/>
      <c r="V4353" s="96" t="n"/>
      <c r="W4353" s="30" t="n"/>
      <c r="X4353" s="30" t="n"/>
      <c r="Y4353" s="30" t="n"/>
      <c r="Z4353" s="30" t="n"/>
      <c r="AA4353" s="30" t="n"/>
      <c r="AB4353" s="30" t="n"/>
      <c r="AC4353" s="30" t="n"/>
      <c r="AD4353" s="30" t="n"/>
      <c r="AE4353" s="30" t="n"/>
      <c r="AF4353" s="30" t="n"/>
      <c r="AG4353" s="30" t="n"/>
      <c r="AH4353" s="30" t="n"/>
      <c r="AI4353" s="30" t="n"/>
      <c r="AJ4353" s="30" t="n"/>
      <c r="AK4353" s="30" t="n"/>
      <c r="AL4353" s="30" t="n"/>
      <c r="AM4353" s="30" t="n"/>
      <c r="AN4353" s="30" t="n"/>
    </row>
    <row r="4354">
      <c r="A4354" s="89" t="inlineStr">
        <is>
          <t>04353XXX</t>
        </is>
      </c>
      <c r="B4354" s="135" t="inlineStr">
        <is>
          <t>TAVERNITI REM DAMA M/C</t>
        </is>
      </c>
      <c r="C4354" s="88" t="n">
        <v>39400</v>
      </c>
      <c r="D4354" s="88" t="n"/>
      <c r="E4354" s="88" t="n"/>
      <c r="F4354" s="88" t="n"/>
      <c r="G4354" s="88" t="n"/>
      <c r="H4354" s="88" t="n"/>
      <c r="I4354" s="88" t="n"/>
      <c r="J4354" s="88" t="n"/>
      <c r="K4354" s="219">
        <f>ROUND((N4354*C4354)/100,0)*100</f>
        <v/>
      </c>
      <c r="M4354" s="219" t="n"/>
      <c r="N4354" s="96" t="n">
        <v>1.15</v>
      </c>
      <c r="O4354" s="96" t="n"/>
      <c r="P4354" s="150" t="n"/>
      <c r="Q4354" s="96" t="n"/>
      <c r="R4354" s="150" t="n"/>
      <c r="S4354" s="96" t="n"/>
      <c r="T4354" s="150" t="n"/>
      <c r="U4354" s="96" t="n"/>
      <c r="V4354" s="96" t="n"/>
      <c r="W4354" s="30" t="n"/>
      <c r="X4354" s="30" t="n"/>
      <c r="Y4354" s="30" t="n"/>
      <c r="Z4354" s="30" t="n"/>
      <c r="AA4354" s="30" t="n"/>
      <c r="AB4354" s="30" t="n"/>
      <c r="AC4354" s="30" t="n"/>
      <c r="AD4354" s="30" t="n"/>
      <c r="AE4354" s="30" t="n"/>
      <c r="AF4354" s="30" t="n"/>
      <c r="AG4354" s="30" t="n"/>
      <c r="AH4354" s="30" t="n"/>
      <c r="AI4354" s="30" t="n"/>
      <c r="AJ4354" s="30" t="n"/>
      <c r="AK4354" s="30" t="n"/>
      <c r="AL4354" s="30" t="n"/>
      <c r="AM4354" s="30" t="n"/>
      <c r="AN4354" s="30" t="n"/>
    </row>
    <row r="4355">
      <c r="A4355" s="89" t="inlineStr">
        <is>
          <t>04361XXX</t>
        </is>
      </c>
      <c r="B4355" s="135" t="inlineStr">
        <is>
          <t>TAVERNITI REM DAMA M/C</t>
        </is>
      </c>
      <c r="C4355" s="88" t="n">
        <v>39400</v>
      </c>
      <c r="D4355" s="88" t="n"/>
      <c r="E4355" s="88" t="n"/>
      <c r="F4355" s="88" t="n"/>
      <c r="G4355" s="88" t="n"/>
      <c r="H4355" s="88" t="n"/>
      <c r="I4355" s="88" t="n"/>
      <c r="J4355" s="88" t="n"/>
      <c r="K4355" s="219">
        <f>ROUND((N4355*C4355)/100,0)*100</f>
        <v/>
      </c>
      <c r="M4355" s="219" t="n"/>
      <c r="N4355" s="96" t="n">
        <v>1.15</v>
      </c>
      <c r="O4355" s="96" t="n"/>
      <c r="P4355" s="150" t="n"/>
      <c r="Q4355" s="96" t="n"/>
      <c r="R4355" s="150" t="n"/>
      <c r="S4355" s="96" t="n"/>
      <c r="T4355" s="150" t="n"/>
      <c r="U4355" s="96" t="n"/>
      <c r="V4355" s="96" t="n"/>
      <c r="W4355" s="30" t="n"/>
      <c r="X4355" s="30" t="n"/>
      <c r="Y4355" s="30" t="n"/>
      <c r="Z4355" s="30" t="n"/>
      <c r="AA4355" s="30" t="n"/>
      <c r="AB4355" s="30" t="n"/>
      <c r="AC4355" s="30" t="n"/>
      <c r="AD4355" s="30" t="n"/>
      <c r="AE4355" s="30" t="n"/>
      <c r="AF4355" s="30" t="n"/>
      <c r="AG4355" s="30" t="n"/>
      <c r="AH4355" s="30" t="n"/>
      <c r="AI4355" s="30" t="n"/>
      <c r="AJ4355" s="30" t="n"/>
      <c r="AK4355" s="30" t="n"/>
      <c r="AL4355" s="30" t="n"/>
      <c r="AM4355" s="30" t="n"/>
      <c r="AN4355" s="30" t="n"/>
    </row>
    <row r="4356">
      <c r="A4356" s="89" t="inlineStr">
        <is>
          <t>04371XXX</t>
        </is>
      </c>
      <c r="B4356" s="135" t="inlineStr">
        <is>
          <t>TAVERNITI REM DAMA M/C</t>
        </is>
      </c>
      <c r="C4356" s="88" t="n">
        <v>39400</v>
      </c>
      <c r="D4356" s="88" t="n"/>
      <c r="E4356" s="88" t="n"/>
      <c r="F4356" s="88" t="n"/>
      <c r="G4356" s="88" t="n"/>
      <c r="H4356" s="88" t="n"/>
      <c r="I4356" s="88" t="n"/>
      <c r="J4356" s="88" t="n"/>
      <c r="K4356" s="219">
        <f>ROUND((N4356*C4356)/100,0)*100</f>
        <v/>
      </c>
      <c r="M4356" s="219" t="n"/>
      <c r="N4356" s="96" t="n">
        <v>1.15</v>
      </c>
      <c r="O4356" s="96" t="n"/>
      <c r="P4356" s="150" t="n"/>
      <c r="Q4356" s="96" t="n"/>
      <c r="R4356" s="150" t="n"/>
      <c r="S4356" s="96" t="n"/>
      <c r="T4356" s="150" t="n"/>
      <c r="U4356" s="96" t="n"/>
      <c r="V4356" s="96" t="n"/>
      <c r="W4356" s="30" t="n"/>
      <c r="X4356" s="30" t="n"/>
      <c r="Y4356" s="30" t="n"/>
      <c r="Z4356" s="30" t="n"/>
      <c r="AA4356" s="30" t="n"/>
      <c r="AB4356" s="30" t="n"/>
      <c r="AC4356" s="30" t="n"/>
      <c r="AD4356" s="30" t="n"/>
      <c r="AE4356" s="30" t="n"/>
      <c r="AF4356" s="30" t="n"/>
      <c r="AG4356" s="30" t="n"/>
      <c r="AH4356" s="30" t="n"/>
      <c r="AI4356" s="30" t="n"/>
      <c r="AJ4356" s="30" t="n"/>
      <c r="AK4356" s="30" t="n"/>
      <c r="AL4356" s="30" t="n"/>
      <c r="AM4356" s="30" t="n"/>
      <c r="AN4356" s="30" t="n"/>
    </row>
    <row r="4357">
      <c r="A4357" s="89" t="inlineStr">
        <is>
          <t>04379XXX</t>
        </is>
      </c>
      <c r="B4357" s="135" t="inlineStr">
        <is>
          <t>TAVERNITI REM DAMA M/C</t>
        </is>
      </c>
      <c r="C4357" s="88" t="n">
        <v>39400</v>
      </c>
      <c r="D4357" s="88" t="n"/>
      <c r="E4357" s="88" t="n"/>
      <c r="F4357" s="88" t="n"/>
      <c r="G4357" s="88" t="n"/>
      <c r="H4357" s="88" t="n"/>
      <c r="I4357" s="88" t="n"/>
      <c r="J4357" s="88" t="n"/>
      <c r="K4357" s="219">
        <f>ROUND((N4357*C4357)/100,0)*100</f>
        <v/>
      </c>
      <c r="M4357" s="219" t="n"/>
      <c r="N4357" s="96" t="n">
        <v>1.15</v>
      </c>
      <c r="O4357" s="96" t="n"/>
      <c r="P4357" s="150" t="n"/>
      <c r="Q4357" s="96" t="n"/>
      <c r="R4357" s="150" t="n"/>
      <c r="S4357" s="96" t="n"/>
      <c r="T4357" s="150" t="n"/>
      <c r="U4357" s="96" t="n"/>
      <c r="V4357" s="96" t="n"/>
      <c r="W4357" s="30" t="n"/>
      <c r="X4357" s="30" t="n"/>
      <c r="Y4357" s="30" t="n"/>
      <c r="Z4357" s="30" t="n"/>
      <c r="AA4357" s="30" t="n"/>
      <c r="AB4357" s="30" t="n"/>
      <c r="AC4357" s="30" t="n"/>
      <c r="AD4357" s="30" t="n"/>
      <c r="AE4357" s="30" t="n"/>
      <c r="AF4357" s="30" t="n"/>
      <c r="AG4357" s="30" t="n"/>
      <c r="AH4357" s="30" t="n"/>
      <c r="AI4357" s="30" t="n"/>
      <c r="AJ4357" s="30" t="n"/>
      <c r="AK4357" s="30" t="n"/>
      <c r="AL4357" s="30" t="n"/>
      <c r="AM4357" s="30" t="n"/>
      <c r="AN4357" s="30" t="n"/>
    </row>
    <row r="4358">
      <c r="A4358" s="89" t="inlineStr">
        <is>
          <t>04381XXX</t>
        </is>
      </c>
      <c r="B4358" s="135" t="inlineStr">
        <is>
          <t>TAVERNITI REM DAMA M/C</t>
        </is>
      </c>
      <c r="C4358" s="88" t="n">
        <v>36200</v>
      </c>
      <c r="D4358" s="88" t="n"/>
      <c r="E4358" s="88" t="n"/>
      <c r="F4358" s="88" t="n"/>
      <c r="G4358" s="88" t="n"/>
      <c r="H4358" s="88" t="n"/>
      <c r="I4358" s="88" t="n"/>
      <c r="J4358" s="88" t="n"/>
      <c r="K4358" s="219">
        <f>ROUND((N4358*C4358)/100,0)*100</f>
        <v/>
      </c>
      <c r="M4358" s="219" t="n"/>
      <c r="N4358" s="96" t="n">
        <v>1.15</v>
      </c>
      <c r="O4358" s="96" t="n"/>
      <c r="P4358" s="150" t="n"/>
      <c r="Q4358" s="96" t="n"/>
      <c r="R4358" s="150" t="n"/>
      <c r="S4358" s="96" t="n"/>
      <c r="T4358" s="150" t="n"/>
      <c r="U4358" s="96" t="n"/>
      <c r="V4358" s="96" t="n"/>
      <c r="W4358" s="30" t="n"/>
      <c r="X4358" s="30" t="n"/>
      <c r="Y4358" s="30" t="n"/>
      <c r="Z4358" s="30" t="n"/>
      <c r="AA4358" s="30" t="n"/>
      <c r="AB4358" s="30" t="n"/>
      <c r="AC4358" s="30" t="n"/>
      <c r="AD4358" s="30" t="n"/>
      <c r="AE4358" s="30" t="n"/>
      <c r="AF4358" s="30" t="n"/>
      <c r="AG4358" s="30" t="n"/>
      <c r="AH4358" s="30" t="n"/>
      <c r="AI4358" s="30" t="n"/>
      <c r="AJ4358" s="30" t="n"/>
      <c r="AK4358" s="30" t="n"/>
      <c r="AL4358" s="30" t="n"/>
      <c r="AM4358" s="30" t="n"/>
      <c r="AN4358" s="30" t="n"/>
    </row>
    <row r="4359">
      <c r="A4359" s="89" t="inlineStr">
        <is>
          <t>04393XXX</t>
        </is>
      </c>
      <c r="B4359" s="135" t="inlineStr">
        <is>
          <t>TAVERNITI REM DAMA M/C</t>
        </is>
      </c>
      <c r="C4359" s="88" t="n">
        <v>33300</v>
      </c>
      <c r="D4359" s="88" t="n"/>
      <c r="E4359" s="88" t="n"/>
      <c r="F4359" s="88" t="n"/>
      <c r="G4359" s="88" t="n"/>
      <c r="H4359" s="88" t="n"/>
      <c r="I4359" s="88" t="n"/>
      <c r="J4359" s="88" t="n"/>
      <c r="K4359" s="219">
        <f>ROUND((N4359*C4359)/100,0)*100</f>
        <v/>
      </c>
      <c r="M4359" s="219" t="n"/>
      <c r="N4359" s="96" t="n">
        <v>1.15</v>
      </c>
      <c r="O4359" s="96" t="n"/>
      <c r="P4359" s="150" t="n"/>
      <c r="Q4359" s="96" t="n"/>
      <c r="R4359" s="150" t="n"/>
      <c r="S4359" s="96" t="n"/>
      <c r="T4359" s="150" t="n"/>
      <c r="U4359" s="96" t="n"/>
      <c r="V4359" s="96" t="n"/>
      <c r="W4359" s="30" t="n"/>
      <c r="X4359" s="30" t="n"/>
      <c r="Y4359" s="30" t="n"/>
      <c r="Z4359" s="30" t="n"/>
      <c r="AA4359" s="30" t="n"/>
      <c r="AB4359" s="30" t="n"/>
      <c r="AC4359" s="30" t="n"/>
      <c r="AD4359" s="30" t="n"/>
      <c r="AE4359" s="30" t="n"/>
      <c r="AF4359" s="30" t="n"/>
      <c r="AG4359" s="30" t="n"/>
      <c r="AH4359" s="30" t="n"/>
      <c r="AI4359" s="30" t="n"/>
      <c r="AJ4359" s="30" t="n"/>
      <c r="AK4359" s="30" t="n"/>
      <c r="AL4359" s="30" t="n"/>
      <c r="AM4359" s="30" t="n"/>
      <c r="AN4359" s="30" t="n"/>
    </row>
    <row r="4360">
      <c r="A4360" s="89" t="inlineStr">
        <is>
          <t>04415XXX</t>
        </is>
      </c>
      <c r="B4360" s="135" t="inlineStr">
        <is>
          <t>TAVERNITI MUSCULOSA DAMA</t>
        </is>
      </c>
      <c r="C4360" s="88" t="n">
        <v>33900</v>
      </c>
      <c r="D4360" s="88" t="n"/>
      <c r="E4360" s="88" t="n"/>
      <c r="F4360" s="88" t="n"/>
      <c r="G4360" s="88" t="n"/>
      <c r="H4360" s="88" t="n"/>
      <c r="I4360" s="88" t="n"/>
      <c r="J4360" s="88" t="n"/>
      <c r="K4360" s="219">
        <f>ROUND((N4360*C4360)/100,0)*100</f>
        <v/>
      </c>
      <c r="M4360" s="219" t="n"/>
      <c r="N4360" s="96" t="n">
        <v>1.15</v>
      </c>
      <c r="O4360" s="96" t="n"/>
      <c r="P4360" s="150" t="n"/>
      <c r="Q4360" s="96" t="n"/>
      <c r="R4360" s="150" t="n"/>
      <c r="S4360" s="96" t="n"/>
      <c r="T4360" s="150" t="n"/>
      <c r="U4360" s="96" t="n"/>
      <c r="V4360" s="96" t="n"/>
      <c r="W4360" s="30" t="n"/>
      <c r="X4360" s="30" t="n"/>
      <c r="Y4360" s="30" t="n"/>
      <c r="Z4360" s="30" t="n"/>
      <c r="AA4360" s="30" t="n"/>
      <c r="AB4360" s="30" t="n"/>
      <c r="AC4360" s="30" t="n"/>
      <c r="AD4360" s="30" t="n"/>
      <c r="AE4360" s="30" t="n"/>
      <c r="AF4360" s="30" t="n"/>
      <c r="AG4360" s="30" t="n"/>
      <c r="AH4360" s="30" t="n"/>
      <c r="AI4360" s="30" t="n"/>
      <c r="AJ4360" s="30" t="n"/>
      <c r="AK4360" s="30" t="n"/>
      <c r="AL4360" s="30" t="n"/>
      <c r="AM4360" s="30" t="n"/>
      <c r="AN4360" s="30" t="n"/>
    </row>
    <row r="4361">
      <c r="A4361" s="89" t="inlineStr">
        <is>
          <t>04417XXX</t>
        </is>
      </c>
      <c r="B4361" s="135" t="inlineStr">
        <is>
          <t>TAVERNITI REM DAMA M/C</t>
        </is>
      </c>
      <c r="C4361" s="88" t="n">
        <v>39300</v>
      </c>
      <c r="D4361" s="88" t="n"/>
      <c r="E4361" s="88" t="n"/>
      <c r="F4361" s="88" t="n"/>
      <c r="G4361" s="88" t="n"/>
      <c r="H4361" s="88" t="n"/>
      <c r="I4361" s="88" t="n"/>
      <c r="J4361" s="88" t="n"/>
      <c r="K4361" s="219">
        <f>ROUND((N4361*C4361)/100,0)*100</f>
        <v/>
      </c>
      <c r="M4361" s="219" t="n"/>
      <c r="N4361" s="96" t="n">
        <v>1.15</v>
      </c>
      <c r="O4361" s="96" t="n"/>
      <c r="P4361" s="150" t="n"/>
      <c r="Q4361" s="96" t="n"/>
      <c r="R4361" s="150" t="n"/>
      <c r="S4361" s="96" t="n"/>
      <c r="T4361" s="150" t="n"/>
      <c r="U4361" s="96" t="n"/>
      <c r="V4361" s="96" t="n"/>
      <c r="W4361" s="30" t="n"/>
      <c r="X4361" s="30" t="n"/>
      <c r="Y4361" s="30" t="n"/>
      <c r="Z4361" s="30" t="n"/>
      <c r="AA4361" s="30" t="n"/>
      <c r="AB4361" s="30" t="n"/>
      <c r="AC4361" s="30" t="n"/>
      <c r="AD4361" s="30" t="n"/>
      <c r="AE4361" s="30" t="n"/>
      <c r="AF4361" s="30" t="n"/>
      <c r="AG4361" s="30" t="n"/>
      <c r="AH4361" s="30" t="n"/>
      <c r="AI4361" s="30" t="n"/>
      <c r="AJ4361" s="30" t="n"/>
      <c r="AK4361" s="30" t="n"/>
      <c r="AL4361" s="30" t="n"/>
      <c r="AM4361" s="30" t="n"/>
      <c r="AN4361" s="30" t="n"/>
    </row>
    <row r="4362">
      <c r="A4362" s="89" t="inlineStr">
        <is>
          <t>04421XXX</t>
        </is>
      </c>
      <c r="B4362" s="135" t="inlineStr">
        <is>
          <t>TAVERNITI REM DAMA M/C</t>
        </is>
      </c>
      <c r="C4362" s="88" t="n">
        <v>39300</v>
      </c>
      <c r="D4362" s="88" t="n"/>
      <c r="E4362" s="88" t="n"/>
      <c r="F4362" s="88" t="n"/>
      <c r="G4362" s="88" t="n"/>
      <c r="H4362" s="88" t="n"/>
      <c r="I4362" s="88" t="n"/>
      <c r="J4362" s="88" t="n"/>
      <c r="K4362" s="219">
        <f>ROUND((N4362*C4362)/100,0)*100</f>
        <v/>
      </c>
      <c r="M4362" s="219" t="n"/>
      <c r="N4362" s="96" t="n">
        <v>1.15</v>
      </c>
      <c r="O4362" s="96" t="n"/>
      <c r="P4362" s="150" t="n"/>
      <c r="Q4362" s="96" t="n"/>
      <c r="R4362" s="150" t="n"/>
      <c r="S4362" s="96" t="n"/>
      <c r="T4362" s="150" t="n"/>
      <c r="U4362" s="96" t="n"/>
      <c r="V4362" s="96" t="n"/>
      <c r="W4362" s="30" t="n"/>
      <c r="X4362" s="30" t="n"/>
      <c r="Y4362" s="30" t="n"/>
      <c r="Z4362" s="30" t="n"/>
      <c r="AA4362" s="30" t="n"/>
      <c r="AB4362" s="30" t="n"/>
      <c r="AC4362" s="30" t="n"/>
      <c r="AD4362" s="30" t="n"/>
      <c r="AE4362" s="30" t="n"/>
      <c r="AF4362" s="30" t="n"/>
      <c r="AG4362" s="30" t="n"/>
      <c r="AH4362" s="30" t="n"/>
      <c r="AI4362" s="30" t="n"/>
      <c r="AJ4362" s="30" t="n"/>
      <c r="AK4362" s="30" t="n"/>
      <c r="AL4362" s="30" t="n"/>
      <c r="AM4362" s="30" t="n"/>
      <c r="AN4362" s="30" t="n"/>
    </row>
    <row r="4363">
      <c r="A4363" s="89" t="inlineStr">
        <is>
          <t>04423XXX</t>
        </is>
      </c>
      <c r="B4363" s="135" t="inlineStr">
        <is>
          <t>TAVERNITI REM DAMA M/C</t>
        </is>
      </c>
      <c r="C4363" s="219" t="n">
        <v>39300</v>
      </c>
      <c r="D4363" s="219" t="n"/>
      <c r="E4363" s="219" t="n"/>
      <c r="F4363" s="219" t="n"/>
      <c r="G4363" s="219" t="n"/>
      <c r="H4363" s="219" t="n"/>
      <c r="I4363" s="219" t="n"/>
      <c r="J4363" s="219" t="n"/>
      <c r="K4363" s="219">
        <f>ROUND((N4363*C4363)/100,0)*100</f>
        <v/>
      </c>
      <c r="M4363" s="219" t="n"/>
      <c r="N4363" s="96" t="n">
        <v>1.15</v>
      </c>
      <c r="O4363" s="96" t="n"/>
      <c r="P4363" s="150" t="n"/>
      <c r="Q4363" s="96" t="n"/>
      <c r="R4363" s="150" t="n"/>
      <c r="S4363" s="96" t="n"/>
      <c r="T4363" s="150" t="n"/>
      <c r="U4363" s="96" t="n"/>
      <c r="V4363" s="96" t="n"/>
      <c r="W4363" s="30" t="n"/>
      <c r="X4363" s="30" t="n"/>
      <c r="Y4363" s="30" t="n"/>
      <c r="Z4363" s="30" t="n"/>
      <c r="AA4363" s="30" t="n"/>
      <c r="AB4363" s="30" t="n"/>
      <c r="AC4363" s="30" t="n"/>
      <c r="AD4363" s="30" t="n"/>
      <c r="AE4363" s="30" t="n"/>
      <c r="AF4363" s="30" t="n"/>
      <c r="AG4363" s="30" t="n"/>
      <c r="AH4363" s="30" t="n"/>
      <c r="AI4363" s="30" t="n"/>
      <c r="AJ4363" s="30" t="n"/>
      <c r="AK4363" s="30" t="n"/>
      <c r="AL4363" s="30" t="n"/>
      <c r="AM4363" s="30" t="n"/>
      <c r="AN4363" s="30" t="n"/>
    </row>
    <row r="4364">
      <c r="A4364" s="89" t="inlineStr">
        <is>
          <t>04431XXX</t>
        </is>
      </c>
      <c r="B4364" s="135" t="inlineStr">
        <is>
          <t>TAVERNITI REM DAMA M/C</t>
        </is>
      </c>
      <c r="C4364" s="88" t="n">
        <v>39300</v>
      </c>
      <c r="D4364" s="88" t="n"/>
      <c r="E4364" s="88" t="n"/>
      <c r="F4364" s="88" t="n"/>
      <c r="G4364" s="88" t="n"/>
      <c r="H4364" s="88" t="n"/>
      <c r="I4364" s="88" t="n"/>
      <c r="J4364" s="88" t="n"/>
      <c r="K4364" s="219">
        <f>ROUND((N4364*C4364)/100,0)*100</f>
        <v/>
      </c>
      <c r="M4364" s="219" t="n"/>
      <c r="N4364" s="96" t="n">
        <v>1.15</v>
      </c>
      <c r="O4364" s="96" t="n"/>
      <c r="P4364" s="150" t="n"/>
      <c r="Q4364" s="96" t="n"/>
      <c r="R4364" s="150" t="n"/>
      <c r="S4364" s="96" t="n"/>
      <c r="T4364" s="150" t="n"/>
      <c r="U4364" s="96" t="n"/>
      <c r="V4364" s="96" t="n"/>
      <c r="W4364" s="30" t="n"/>
      <c r="X4364" s="30" t="n"/>
      <c r="Y4364" s="30" t="n"/>
      <c r="Z4364" s="30" t="n"/>
      <c r="AA4364" s="30" t="n"/>
      <c r="AB4364" s="30" t="n"/>
      <c r="AC4364" s="30" t="n"/>
      <c r="AD4364" s="30" t="n"/>
      <c r="AE4364" s="30" t="n"/>
      <c r="AF4364" s="30" t="n"/>
      <c r="AG4364" s="30" t="n"/>
      <c r="AH4364" s="30" t="n"/>
      <c r="AI4364" s="30" t="n"/>
      <c r="AJ4364" s="30" t="n"/>
      <c r="AK4364" s="30" t="n"/>
      <c r="AL4364" s="30" t="n"/>
      <c r="AM4364" s="30" t="n"/>
      <c r="AN4364" s="30" t="n"/>
    </row>
    <row r="4365">
      <c r="A4365" s="89" t="inlineStr">
        <is>
          <t>04435XXX</t>
        </is>
      </c>
      <c r="B4365" s="135" t="inlineStr">
        <is>
          <t>TAVERNITI REM DAMA M/C</t>
        </is>
      </c>
      <c r="C4365" s="88" t="n">
        <v>38100</v>
      </c>
      <c r="D4365" s="88" t="n"/>
      <c r="E4365" s="88" t="n"/>
      <c r="F4365" s="88" t="n"/>
      <c r="G4365" s="88" t="n"/>
      <c r="H4365" s="88" t="n"/>
      <c r="I4365" s="88" t="n"/>
      <c r="J4365" s="88" t="n"/>
      <c r="K4365" s="219">
        <f>ROUND((N4365*C4365)/100,0)*100</f>
        <v/>
      </c>
      <c r="M4365" s="219" t="n"/>
      <c r="N4365" s="96" t="n">
        <v>1.15</v>
      </c>
      <c r="O4365" s="96" t="n"/>
      <c r="P4365" s="150" t="n"/>
      <c r="Q4365" s="96" t="n"/>
      <c r="R4365" s="150" t="n"/>
      <c r="S4365" s="96" t="n"/>
      <c r="T4365" s="150" t="n"/>
      <c r="U4365" s="96" t="n"/>
      <c r="V4365" s="96" t="n"/>
      <c r="W4365" s="30" t="n"/>
      <c r="X4365" s="30" t="n"/>
      <c r="Y4365" s="30" t="n"/>
      <c r="Z4365" s="30" t="n"/>
      <c r="AA4365" s="30" t="n"/>
      <c r="AB4365" s="30" t="n"/>
      <c r="AC4365" s="30" t="n"/>
      <c r="AD4365" s="30" t="n"/>
      <c r="AE4365" s="30" t="n"/>
      <c r="AF4365" s="30" t="n"/>
      <c r="AG4365" s="30" t="n"/>
      <c r="AH4365" s="30" t="n"/>
      <c r="AI4365" s="30" t="n"/>
      <c r="AJ4365" s="30" t="n"/>
      <c r="AK4365" s="30" t="n"/>
      <c r="AL4365" s="30" t="n"/>
      <c r="AM4365" s="30" t="n"/>
      <c r="AN4365" s="30" t="n"/>
    </row>
    <row r="4366">
      <c r="A4366" s="89" t="inlineStr">
        <is>
          <t>04437XXX</t>
        </is>
      </c>
      <c r="B4366" s="135" t="inlineStr">
        <is>
          <t>TAVERNITI REM DAMA M/C</t>
        </is>
      </c>
      <c r="C4366" s="88" t="n">
        <v>38100</v>
      </c>
      <c r="D4366" s="88" t="n"/>
      <c r="E4366" s="88" t="n"/>
      <c r="F4366" s="88" t="n"/>
      <c r="G4366" s="88" t="n"/>
      <c r="H4366" s="88" t="n"/>
      <c r="I4366" s="88" t="n"/>
      <c r="J4366" s="88" t="n"/>
      <c r="K4366" s="219">
        <f>ROUND((N4366*C4366)/100,0)*100</f>
        <v/>
      </c>
      <c r="M4366" s="219" t="n"/>
      <c r="N4366" s="96" t="n">
        <v>1.15</v>
      </c>
      <c r="O4366" s="96" t="n"/>
      <c r="P4366" s="150" t="n"/>
      <c r="Q4366" s="96" t="n"/>
      <c r="R4366" s="150" t="n"/>
      <c r="S4366" s="96" t="n"/>
      <c r="T4366" s="150" t="n"/>
      <c r="U4366" s="96" t="n"/>
      <c r="V4366" s="96" t="n"/>
      <c r="W4366" s="30" t="n"/>
      <c r="X4366" s="30" t="n"/>
      <c r="Y4366" s="30" t="n"/>
      <c r="Z4366" s="30" t="n"/>
      <c r="AA4366" s="30" t="n"/>
      <c r="AB4366" s="30" t="n"/>
      <c r="AC4366" s="30" t="n"/>
      <c r="AD4366" s="30" t="n"/>
      <c r="AE4366" s="30" t="n"/>
      <c r="AF4366" s="30" t="n"/>
      <c r="AG4366" s="30" t="n"/>
      <c r="AH4366" s="30" t="n"/>
      <c r="AI4366" s="30" t="n"/>
      <c r="AJ4366" s="30" t="n"/>
      <c r="AK4366" s="30" t="n"/>
      <c r="AL4366" s="30" t="n"/>
      <c r="AM4366" s="30" t="n"/>
      <c r="AN4366" s="30" t="n"/>
    </row>
    <row r="4367">
      <c r="A4367" s="89" t="inlineStr">
        <is>
          <t>04439XXX</t>
        </is>
      </c>
      <c r="B4367" s="135" t="inlineStr">
        <is>
          <t>TAVERNITI REM DAMA M/C</t>
        </is>
      </c>
      <c r="C4367" s="88" t="n">
        <v>39300</v>
      </c>
      <c r="D4367" s="88" t="n"/>
      <c r="E4367" s="88" t="n"/>
      <c r="F4367" s="88" t="n"/>
      <c r="G4367" s="88" t="n"/>
      <c r="H4367" s="88" t="n"/>
      <c r="I4367" s="88" t="n"/>
      <c r="J4367" s="88" t="n"/>
      <c r="K4367" s="219">
        <f>ROUND((N4367*C4367)/100,0)*100</f>
        <v/>
      </c>
      <c r="M4367" s="219" t="n"/>
      <c r="N4367" s="96" t="n">
        <v>1.15</v>
      </c>
      <c r="O4367" s="96" t="n"/>
      <c r="P4367" s="150" t="n"/>
      <c r="Q4367" s="96" t="n"/>
      <c r="R4367" s="150" t="n"/>
      <c r="S4367" s="96" t="n"/>
      <c r="T4367" s="150" t="n"/>
      <c r="U4367" s="96" t="n"/>
      <c r="V4367" s="96" t="n"/>
      <c r="W4367" s="30" t="n"/>
      <c r="X4367" s="30" t="n"/>
      <c r="Y4367" s="30" t="n"/>
      <c r="Z4367" s="30" t="n"/>
      <c r="AA4367" s="30" t="n"/>
      <c r="AB4367" s="30" t="n"/>
      <c r="AC4367" s="30" t="n"/>
      <c r="AD4367" s="30" t="n"/>
      <c r="AE4367" s="30" t="n"/>
      <c r="AF4367" s="30" t="n"/>
      <c r="AG4367" s="30" t="n"/>
      <c r="AH4367" s="30" t="n"/>
      <c r="AI4367" s="30" t="n"/>
      <c r="AJ4367" s="30" t="n"/>
      <c r="AK4367" s="30" t="n"/>
      <c r="AL4367" s="30" t="n"/>
      <c r="AM4367" s="30" t="n"/>
      <c r="AN4367" s="30" t="n"/>
    </row>
    <row r="4368">
      <c r="A4368" s="89" t="inlineStr">
        <is>
          <t>04441XXX</t>
        </is>
      </c>
      <c r="B4368" s="135" t="inlineStr">
        <is>
          <t>TAVERNITI REM DAMA M/C</t>
        </is>
      </c>
      <c r="C4368" s="219" t="n">
        <v>38500</v>
      </c>
      <c r="D4368" s="219" t="n"/>
      <c r="E4368" s="219" t="n"/>
      <c r="F4368" s="219" t="n"/>
      <c r="G4368" s="219" t="n"/>
      <c r="H4368" s="219" t="n"/>
      <c r="I4368" s="219" t="n"/>
      <c r="J4368" s="219" t="n"/>
      <c r="K4368" s="219">
        <f>ROUND((N4368*C4368)/100,0)*100</f>
        <v/>
      </c>
      <c r="M4368" s="219" t="n"/>
      <c r="N4368" s="96" t="n">
        <v>1.15</v>
      </c>
      <c r="O4368" s="96" t="n"/>
      <c r="P4368" s="150" t="n"/>
      <c r="Q4368" s="96" t="n"/>
      <c r="R4368" s="150" t="n"/>
      <c r="S4368" s="96" t="n"/>
      <c r="T4368" s="150" t="n"/>
      <c r="U4368" s="96" t="n"/>
      <c r="V4368" s="96" t="n"/>
      <c r="W4368" s="30" t="n"/>
      <c r="X4368" s="30" t="n"/>
      <c r="Y4368" s="30" t="n"/>
      <c r="Z4368" s="30" t="n"/>
      <c r="AA4368" s="30" t="n"/>
      <c r="AB4368" s="30" t="n"/>
      <c r="AC4368" s="30" t="n"/>
      <c r="AD4368" s="30" t="n"/>
      <c r="AE4368" s="30" t="n"/>
      <c r="AF4368" s="30" t="n"/>
      <c r="AG4368" s="30" t="n"/>
      <c r="AH4368" s="30" t="n"/>
      <c r="AI4368" s="30" t="n"/>
      <c r="AJ4368" s="30" t="n"/>
      <c r="AK4368" s="30" t="n"/>
      <c r="AL4368" s="30" t="n"/>
      <c r="AM4368" s="30" t="n"/>
      <c r="AN4368" s="30" t="n"/>
    </row>
    <row r="4369">
      <c r="A4369" s="89" t="inlineStr">
        <is>
          <t>04443XXX</t>
        </is>
      </c>
      <c r="B4369" s="135" t="inlineStr">
        <is>
          <t>TAVERNITI REM DAMA M/C</t>
        </is>
      </c>
      <c r="C4369" s="219" t="n">
        <v>39300</v>
      </c>
      <c r="D4369" s="219" t="n"/>
      <c r="E4369" s="219" t="n"/>
      <c r="F4369" s="219" t="n"/>
      <c r="G4369" s="219" t="n"/>
      <c r="H4369" s="219" t="n"/>
      <c r="I4369" s="219" t="n"/>
      <c r="J4369" s="219" t="n"/>
      <c r="K4369" s="219">
        <f>ROUND((N4369*C4369)/100,0)*100</f>
        <v/>
      </c>
      <c r="M4369" s="219" t="n"/>
      <c r="N4369" s="96" t="n">
        <v>1.15</v>
      </c>
      <c r="O4369" s="96" t="n"/>
      <c r="P4369" s="150" t="n"/>
      <c r="Q4369" s="96" t="n"/>
      <c r="R4369" s="150" t="n"/>
      <c r="S4369" s="96" t="n"/>
      <c r="T4369" s="150" t="n"/>
      <c r="U4369" s="96" t="n"/>
      <c r="V4369" s="96" t="n"/>
      <c r="W4369" s="30" t="n"/>
      <c r="X4369" s="30" t="n"/>
      <c r="Y4369" s="30" t="n"/>
      <c r="Z4369" s="30" t="n"/>
      <c r="AA4369" s="30" t="n"/>
      <c r="AB4369" s="30" t="n"/>
      <c r="AC4369" s="30" t="n"/>
      <c r="AD4369" s="30" t="n"/>
      <c r="AE4369" s="30" t="n"/>
      <c r="AF4369" s="30" t="n"/>
      <c r="AG4369" s="30" t="n"/>
      <c r="AH4369" s="30" t="n"/>
      <c r="AI4369" s="30" t="n"/>
      <c r="AJ4369" s="30" t="n"/>
      <c r="AK4369" s="30" t="n"/>
      <c r="AL4369" s="30" t="n"/>
      <c r="AM4369" s="30" t="n"/>
      <c r="AN4369" s="30" t="n"/>
    </row>
    <row r="4370">
      <c r="A4370" s="89" t="inlineStr">
        <is>
          <t>04447XXX</t>
        </is>
      </c>
      <c r="B4370" s="135" t="inlineStr">
        <is>
          <t>TAVERNITI REM DAMA M/C</t>
        </is>
      </c>
      <c r="C4370" s="219" t="n">
        <v>36800</v>
      </c>
      <c r="D4370" s="219" t="n"/>
      <c r="E4370" s="219" t="n"/>
      <c r="F4370" s="219" t="n"/>
      <c r="G4370" s="219" t="n"/>
      <c r="H4370" s="219" t="n"/>
      <c r="I4370" s="219" t="n"/>
      <c r="J4370" s="219" t="n"/>
      <c r="K4370" s="219">
        <f>ROUND((N4370*C4370)/100,0)*100</f>
        <v/>
      </c>
      <c r="M4370" s="219" t="n"/>
      <c r="N4370" s="96" t="n">
        <v>1.15</v>
      </c>
      <c r="O4370" s="96" t="n"/>
      <c r="P4370" s="150" t="n"/>
      <c r="Q4370" s="96" t="n"/>
      <c r="R4370" s="150" t="n"/>
      <c r="S4370" s="96" t="n"/>
      <c r="T4370" s="150" t="n"/>
      <c r="U4370" s="96" t="n"/>
      <c r="V4370" s="96" t="n"/>
      <c r="W4370" s="30" t="n"/>
      <c r="X4370" s="30" t="n"/>
      <c r="Y4370" s="30" t="n"/>
      <c r="Z4370" s="30" t="n"/>
      <c r="AA4370" s="30" t="n"/>
      <c r="AB4370" s="30" t="n"/>
      <c r="AC4370" s="30" t="n"/>
      <c r="AD4370" s="30" t="n"/>
      <c r="AE4370" s="30" t="n"/>
      <c r="AF4370" s="30" t="n"/>
      <c r="AG4370" s="30" t="n"/>
      <c r="AH4370" s="30" t="n"/>
      <c r="AI4370" s="30" t="n"/>
      <c r="AJ4370" s="30" t="n"/>
      <c r="AK4370" s="30" t="n"/>
      <c r="AL4370" s="30" t="n"/>
      <c r="AM4370" s="30" t="n"/>
      <c r="AN4370" s="30" t="n"/>
    </row>
    <row r="4371">
      <c r="A4371" s="89" t="inlineStr">
        <is>
          <t>04449XXX</t>
        </is>
      </c>
      <c r="B4371" s="135" t="inlineStr">
        <is>
          <t>TAVERNITI REM DAMA M/C</t>
        </is>
      </c>
      <c r="C4371" s="219" t="n">
        <v>36800</v>
      </c>
      <c r="D4371" s="219" t="n"/>
      <c r="E4371" s="219" t="n"/>
      <c r="F4371" s="219" t="n"/>
      <c r="G4371" s="219" t="n"/>
      <c r="H4371" s="219" t="n"/>
      <c r="I4371" s="219" t="n"/>
      <c r="J4371" s="219" t="n"/>
      <c r="K4371" s="219">
        <f>ROUND((N4371*C4371)/100,0)*100</f>
        <v/>
      </c>
      <c r="M4371" s="219" t="n"/>
      <c r="N4371" s="96" t="n">
        <v>1.15</v>
      </c>
      <c r="O4371" s="96" t="n"/>
      <c r="P4371" s="150" t="n"/>
      <c r="Q4371" s="96" t="n"/>
      <c r="R4371" s="150" t="n"/>
      <c r="S4371" s="96" t="n"/>
      <c r="T4371" s="150" t="n"/>
      <c r="U4371" s="96" t="n"/>
      <c r="V4371" s="96" t="n"/>
      <c r="W4371" s="30" t="n"/>
      <c r="X4371" s="30" t="n"/>
      <c r="Y4371" s="30" t="n"/>
      <c r="Z4371" s="30" t="n"/>
      <c r="AA4371" s="30" t="n"/>
      <c r="AB4371" s="30" t="n"/>
      <c r="AC4371" s="30" t="n"/>
      <c r="AD4371" s="30" t="n"/>
      <c r="AE4371" s="30" t="n"/>
      <c r="AF4371" s="30" t="n"/>
      <c r="AG4371" s="30" t="n"/>
      <c r="AH4371" s="30" t="n"/>
      <c r="AI4371" s="30" t="n"/>
      <c r="AJ4371" s="30" t="n"/>
      <c r="AK4371" s="30" t="n"/>
      <c r="AL4371" s="30" t="n"/>
      <c r="AM4371" s="30" t="n"/>
      <c r="AN4371" s="30" t="n"/>
    </row>
    <row r="4372">
      <c r="A4372" s="89" t="inlineStr">
        <is>
          <t>04451XXX</t>
        </is>
      </c>
      <c r="B4372" s="135" t="inlineStr">
        <is>
          <t>TAVERNITI REM DAMA M/C</t>
        </is>
      </c>
      <c r="C4372" s="219" t="n">
        <v>38100</v>
      </c>
      <c r="D4372" s="219" t="n"/>
      <c r="E4372" s="219" t="n"/>
      <c r="F4372" s="219" t="n"/>
      <c r="G4372" s="219" t="n"/>
      <c r="H4372" s="219" t="n"/>
      <c r="I4372" s="219" t="n"/>
      <c r="J4372" s="219" t="n"/>
      <c r="K4372" s="219">
        <f>ROUND((N4372*C4372)/100,0)*100</f>
        <v/>
      </c>
      <c r="M4372" s="219" t="n"/>
      <c r="N4372" s="96" t="n">
        <v>1.15</v>
      </c>
      <c r="O4372" s="96" t="n"/>
      <c r="P4372" s="150" t="n"/>
      <c r="Q4372" s="96" t="n"/>
      <c r="R4372" s="150" t="n"/>
      <c r="S4372" s="96" t="n"/>
      <c r="T4372" s="150" t="n"/>
      <c r="U4372" s="96" t="n"/>
      <c r="V4372" s="96" t="n"/>
      <c r="W4372" s="30" t="n"/>
      <c r="X4372" s="30" t="n"/>
      <c r="Y4372" s="30" t="n"/>
      <c r="Z4372" s="30" t="n"/>
      <c r="AA4372" s="30" t="n"/>
      <c r="AB4372" s="30" t="n"/>
      <c r="AC4372" s="30" t="n"/>
      <c r="AD4372" s="30" t="n"/>
      <c r="AE4372" s="30" t="n"/>
      <c r="AF4372" s="30" t="n"/>
      <c r="AG4372" s="30" t="n"/>
      <c r="AH4372" s="30" t="n"/>
      <c r="AI4372" s="30" t="n"/>
      <c r="AJ4372" s="30" t="n"/>
      <c r="AK4372" s="30" t="n"/>
      <c r="AL4372" s="30" t="n"/>
      <c r="AM4372" s="30" t="n"/>
      <c r="AN4372" s="30" t="n"/>
    </row>
    <row r="4373">
      <c r="A4373" s="89" t="inlineStr">
        <is>
          <t>04453XXX</t>
        </is>
      </c>
      <c r="B4373" s="135" t="inlineStr">
        <is>
          <t>TAVERNITI REM DAMA M/C</t>
        </is>
      </c>
      <c r="C4373" s="219" t="n">
        <v>38100</v>
      </c>
      <c r="D4373" s="219" t="n"/>
      <c r="E4373" s="219" t="n"/>
      <c r="F4373" s="219" t="n"/>
      <c r="G4373" s="219" t="n"/>
      <c r="H4373" s="219" t="n"/>
      <c r="I4373" s="219" t="n"/>
      <c r="J4373" s="219" t="n"/>
      <c r="K4373" s="219">
        <f>ROUND((N4373*C4373)/100,0)*100</f>
        <v/>
      </c>
      <c r="M4373" s="219" t="n"/>
      <c r="N4373" s="96" t="n">
        <v>1.15</v>
      </c>
      <c r="O4373" s="96" t="n"/>
      <c r="P4373" s="150" t="n"/>
      <c r="Q4373" s="96" t="n"/>
      <c r="R4373" s="150" t="n"/>
      <c r="S4373" s="96" t="n"/>
      <c r="T4373" s="150" t="n"/>
      <c r="U4373" s="96" t="n"/>
      <c r="V4373" s="96" t="n"/>
      <c r="W4373" s="30" t="n"/>
      <c r="X4373" s="30" t="n"/>
      <c r="Y4373" s="30" t="n"/>
      <c r="Z4373" s="30" t="n"/>
      <c r="AA4373" s="30" t="n"/>
      <c r="AB4373" s="30" t="n"/>
      <c r="AC4373" s="30" t="n"/>
      <c r="AD4373" s="30" t="n"/>
      <c r="AE4373" s="30" t="n"/>
      <c r="AF4373" s="30" t="n"/>
      <c r="AG4373" s="30" t="n"/>
      <c r="AH4373" s="30" t="n"/>
      <c r="AI4373" s="30" t="n"/>
      <c r="AJ4373" s="30" t="n"/>
      <c r="AK4373" s="30" t="n"/>
      <c r="AL4373" s="30" t="n"/>
      <c r="AM4373" s="30" t="n"/>
      <c r="AN4373" s="30" t="n"/>
    </row>
    <row r="4374">
      <c r="A4374" s="89" t="inlineStr">
        <is>
          <t>04455XXX</t>
        </is>
      </c>
      <c r="B4374" s="135" t="inlineStr">
        <is>
          <t>TAVERNITI REM DAMA M/C</t>
        </is>
      </c>
      <c r="C4374" s="219" t="n">
        <v>38100</v>
      </c>
      <c r="D4374" s="219" t="n"/>
      <c r="E4374" s="219" t="n"/>
      <c r="F4374" s="219" t="n"/>
      <c r="G4374" s="219" t="n"/>
      <c r="H4374" s="219" t="n"/>
      <c r="I4374" s="219" t="n"/>
      <c r="J4374" s="219" t="n"/>
      <c r="K4374" s="219">
        <f>ROUND((N4374*C4374)/100,0)*100</f>
        <v/>
      </c>
      <c r="M4374" s="219" t="n"/>
      <c r="N4374" s="96" t="n">
        <v>1.15</v>
      </c>
      <c r="O4374" s="96" t="n"/>
      <c r="P4374" s="150" t="n"/>
      <c r="Q4374" s="96" t="n"/>
      <c r="R4374" s="150" t="n"/>
      <c r="S4374" s="96" t="n"/>
      <c r="T4374" s="150" t="n"/>
      <c r="U4374" s="96" t="n"/>
      <c r="V4374" s="96" t="n"/>
      <c r="W4374" s="30" t="n"/>
      <c r="X4374" s="30" t="n"/>
      <c r="Y4374" s="30" t="n"/>
      <c r="Z4374" s="30" t="n"/>
      <c r="AA4374" s="30" t="n"/>
      <c r="AB4374" s="30" t="n"/>
      <c r="AC4374" s="30" t="n"/>
      <c r="AD4374" s="30" t="n"/>
      <c r="AE4374" s="30" t="n"/>
      <c r="AF4374" s="30" t="n"/>
      <c r="AG4374" s="30" t="n"/>
      <c r="AH4374" s="30" t="n"/>
      <c r="AI4374" s="30" t="n"/>
      <c r="AJ4374" s="30" t="n"/>
      <c r="AK4374" s="30" t="n"/>
      <c r="AL4374" s="30" t="n"/>
      <c r="AM4374" s="30" t="n"/>
      <c r="AN4374" s="30" t="n"/>
    </row>
    <row r="4375">
      <c r="A4375" s="89" t="inlineStr">
        <is>
          <t>04459XXX</t>
        </is>
      </c>
      <c r="B4375" s="135" t="inlineStr">
        <is>
          <t>TAVERNITI REM DAMA M/C</t>
        </is>
      </c>
      <c r="C4375" s="219" t="n">
        <v>38100</v>
      </c>
      <c r="D4375" s="219" t="n"/>
      <c r="E4375" s="219" t="n"/>
      <c r="F4375" s="219" t="n"/>
      <c r="G4375" s="219" t="n"/>
      <c r="H4375" s="219" t="n"/>
      <c r="I4375" s="219" t="n"/>
      <c r="J4375" s="219" t="n"/>
      <c r="K4375" s="219">
        <f>ROUND((N4375*C4375)/100,0)*100</f>
        <v/>
      </c>
      <c r="M4375" s="219" t="n"/>
      <c r="N4375" s="96" t="n">
        <v>1.15</v>
      </c>
      <c r="O4375" s="96" t="n"/>
      <c r="P4375" s="150" t="n"/>
      <c r="Q4375" s="96" t="n"/>
      <c r="R4375" s="150" t="n"/>
      <c r="S4375" s="96" t="n"/>
      <c r="T4375" s="150" t="n"/>
      <c r="U4375" s="96" t="n"/>
      <c r="V4375" s="96" t="n"/>
      <c r="W4375" s="30" t="n"/>
      <c r="X4375" s="30" t="n"/>
      <c r="Y4375" s="30" t="n"/>
      <c r="Z4375" s="30" t="n"/>
      <c r="AA4375" s="30" t="n"/>
      <c r="AB4375" s="30" t="n"/>
      <c r="AC4375" s="30" t="n"/>
      <c r="AD4375" s="30" t="n"/>
      <c r="AE4375" s="30" t="n"/>
      <c r="AF4375" s="30" t="n"/>
      <c r="AG4375" s="30" t="n"/>
      <c r="AH4375" s="30" t="n"/>
      <c r="AI4375" s="30" t="n"/>
      <c r="AJ4375" s="30" t="n"/>
      <c r="AK4375" s="30" t="n"/>
      <c r="AL4375" s="30" t="n"/>
      <c r="AM4375" s="30" t="n"/>
      <c r="AN4375" s="30" t="n"/>
    </row>
    <row r="4376">
      <c r="A4376" s="89" t="inlineStr">
        <is>
          <t>04463XXX</t>
        </is>
      </c>
      <c r="B4376" s="135" t="inlineStr">
        <is>
          <t>TAVERNITI REM DAMA M/C</t>
        </is>
      </c>
      <c r="C4376" s="219" t="n">
        <v>38100</v>
      </c>
      <c r="D4376" s="219" t="n"/>
      <c r="E4376" s="219" t="n"/>
      <c r="F4376" s="219" t="n"/>
      <c r="G4376" s="219" t="n"/>
      <c r="H4376" s="219" t="n"/>
      <c r="I4376" s="219" t="n"/>
      <c r="J4376" s="219" t="n"/>
      <c r="K4376" s="219">
        <f>ROUND((N4376*C4376)/100,0)*100</f>
        <v/>
      </c>
      <c r="M4376" s="219" t="n"/>
      <c r="N4376" s="96" t="n">
        <v>1.15</v>
      </c>
      <c r="O4376" s="96" t="n"/>
      <c r="P4376" s="150" t="n"/>
      <c r="Q4376" s="96" t="n"/>
      <c r="R4376" s="150" t="n"/>
      <c r="S4376" s="96" t="n"/>
      <c r="T4376" s="150" t="n"/>
      <c r="U4376" s="96" t="n"/>
      <c r="V4376" s="96" t="n"/>
      <c r="W4376" s="30" t="n"/>
      <c r="X4376" s="30" t="n"/>
      <c r="Y4376" s="30" t="n"/>
      <c r="Z4376" s="30" t="n"/>
      <c r="AA4376" s="30" t="n"/>
      <c r="AB4376" s="30" t="n"/>
      <c r="AC4376" s="30" t="n"/>
      <c r="AD4376" s="30" t="n"/>
      <c r="AE4376" s="30" t="n"/>
      <c r="AF4376" s="30" t="n"/>
      <c r="AG4376" s="30" t="n"/>
      <c r="AH4376" s="30" t="n"/>
      <c r="AI4376" s="30" t="n"/>
      <c r="AJ4376" s="30" t="n"/>
      <c r="AK4376" s="30" t="n"/>
      <c r="AL4376" s="30" t="n"/>
      <c r="AM4376" s="30" t="n"/>
      <c r="AN4376" s="30" t="n"/>
    </row>
    <row r="4377">
      <c r="A4377" s="89" t="inlineStr">
        <is>
          <t>04465XXX</t>
        </is>
      </c>
      <c r="B4377" s="135" t="inlineStr">
        <is>
          <t>TAVERNITI REM DAMA M/C</t>
        </is>
      </c>
      <c r="C4377" s="219" t="n">
        <v>35200</v>
      </c>
      <c r="D4377" s="219" t="n"/>
      <c r="E4377" s="219" t="n"/>
      <c r="F4377" s="219" t="n"/>
      <c r="G4377" s="219" t="n"/>
      <c r="H4377" s="219" t="n"/>
      <c r="I4377" s="219" t="n"/>
      <c r="J4377" s="219" t="n"/>
      <c r="K4377" s="219">
        <f>ROUND((N4377*C4377)/100,0)*100</f>
        <v/>
      </c>
      <c r="M4377" s="219" t="n"/>
      <c r="N4377" s="96" t="n">
        <v>1.15</v>
      </c>
      <c r="O4377" s="96" t="n"/>
      <c r="P4377" s="150" t="n"/>
      <c r="Q4377" s="96" t="n"/>
      <c r="R4377" s="150" t="n"/>
      <c r="S4377" s="96" t="n"/>
      <c r="T4377" s="150" t="n"/>
      <c r="U4377" s="96" t="n"/>
      <c r="V4377" s="96" t="n"/>
      <c r="W4377" s="30" t="n"/>
      <c r="X4377" s="30" t="n"/>
      <c r="Y4377" s="30" t="n"/>
      <c r="Z4377" s="30" t="n"/>
      <c r="AA4377" s="30" t="n"/>
      <c r="AB4377" s="30" t="n"/>
      <c r="AC4377" s="30" t="n"/>
      <c r="AD4377" s="30" t="n"/>
      <c r="AE4377" s="30" t="n"/>
      <c r="AF4377" s="30" t="n"/>
      <c r="AG4377" s="30" t="n"/>
      <c r="AH4377" s="30" t="n"/>
      <c r="AI4377" s="30" t="n"/>
      <c r="AJ4377" s="30" t="n"/>
      <c r="AK4377" s="30" t="n"/>
      <c r="AL4377" s="30" t="n"/>
      <c r="AM4377" s="30" t="n"/>
      <c r="AN4377" s="30" t="n"/>
    </row>
    <row r="4378">
      <c r="A4378" s="89" t="inlineStr">
        <is>
          <t>04467XXX</t>
        </is>
      </c>
      <c r="B4378" s="135" t="inlineStr">
        <is>
          <t>TAVERNITI REM DAMA M/C</t>
        </is>
      </c>
      <c r="C4378" s="219" t="n">
        <v>35200</v>
      </c>
      <c r="D4378" s="219" t="n"/>
      <c r="E4378" s="219" t="n"/>
      <c r="F4378" s="219" t="n"/>
      <c r="G4378" s="219" t="n"/>
      <c r="H4378" s="219" t="n"/>
      <c r="I4378" s="219" t="n"/>
      <c r="J4378" s="219" t="n"/>
      <c r="K4378" s="219">
        <f>ROUND((N4378*C4378)/100,0)*100</f>
        <v/>
      </c>
      <c r="M4378" s="219" t="n"/>
      <c r="N4378" s="96" t="n">
        <v>1.15</v>
      </c>
      <c r="O4378" s="96" t="n"/>
      <c r="P4378" s="150" t="n"/>
      <c r="Q4378" s="96" t="n"/>
      <c r="R4378" s="150" t="n"/>
      <c r="S4378" s="96" t="n"/>
      <c r="T4378" s="150" t="n"/>
      <c r="U4378" s="96" t="n"/>
      <c r="V4378" s="96" t="n"/>
      <c r="W4378" s="30" t="n"/>
      <c r="X4378" s="30" t="n"/>
      <c r="Y4378" s="30" t="n"/>
      <c r="Z4378" s="30" t="n"/>
      <c r="AA4378" s="30" t="n"/>
      <c r="AB4378" s="30" t="n"/>
      <c r="AC4378" s="30" t="n"/>
      <c r="AD4378" s="30" t="n"/>
      <c r="AE4378" s="30" t="n"/>
      <c r="AF4378" s="30" t="n"/>
      <c r="AG4378" s="30" t="n"/>
      <c r="AH4378" s="30" t="n"/>
      <c r="AI4378" s="30" t="n"/>
      <c r="AJ4378" s="30" t="n"/>
      <c r="AK4378" s="30" t="n"/>
      <c r="AL4378" s="30" t="n"/>
      <c r="AM4378" s="30" t="n"/>
      <c r="AN4378" s="30" t="n"/>
    </row>
    <row r="4379">
      <c r="A4379" s="89" t="inlineStr">
        <is>
          <t>04469XXX</t>
        </is>
      </c>
      <c r="B4379" s="135" t="inlineStr">
        <is>
          <t>TAVERNITI REM DAMA M/C</t>
        </is>
      </c>
      <c r="C4379" s="219" t="n">
        <v>35200</v>
      </c>
      <c r="D4379" s="219" t="n"/>
      <c r="E4379" s="219" t="n"/>
      <c r="F4379" s="219" t="n"/>
      <c r="G4379" s="219" t="n"/>
      <c r="H4379" s="219" t="n"/>
      <c r="I4379" s="219" t="n"/>
      <c r="J4379" s="219" t="n"/>
      <c r="K4379" s="219">
        <f>ROUND((N4379*C4379)/100,0)*100</f>
        <v/>
      </c>
      <c r="M4379" s="219" t="n"/>
      <c r="N4379" s="96" t="n">
        <v>1.15</v>
      </c>
      <c r="O4379" s="96" t="n"/>
      <c r="P4379" s="150" t="n"/>
      <c r="Q4379" s="96" t="n"/>
      <c r="R4379" s="150" t="n"/>
      <c r="S4379" s="96" t="n"/>
      <c r="T4379" s="150" t="n"/>
      <c r="U4379" s="96" t="n"/>
      <c r="V4379" s="96" t="n"/>
      <c r="W4379" s="30" t="n"/>
      <c r="X4379" s="30" t="n"/>
      <c r="Y4379" s="30" t="n"/>
      <c r="Z4379" s="30" t="n"/>
      <c r="AA4379" s="30" t="n"/>
      <c r="AB4379" s="30" t="n"/>
      <c r="AC4379" s="30" t="n"/>
      <c r="AD4379" s="30" t="n"/>
      <c r="AE4379" s="30" t="n"/>
      <c r="AF4379" s="30" t="n"/>
      <c r="AG4379" s="30" t="n"/>
      <c r="AH4379" s="30" t="n"/>
      <c r="AI4379" s="30" t="n"/>
      <c r="AJ4379" s="30" t="n"/>
      <c r="AK4379" s="30" t="n"/>
      <c r="AL4379" s="30" t="n"/>
      <c r="AM4379" s="30" t="n"/>
      <c r="AN4379" s="30" t="n"/>
    </row>
    <row r="4380">
      <c r="A4380" s="89" t="inlineStr">
        <is>
          <t>04471XXX</t>
        </is>
      </c>
      <c r="B4380" s="135" t="inlineStr">
        <is>
          <t>TAVERNITI REM DAMA M/C</t>
        </is>
      </c>
      <c r="C4380" s="219" t="n">
        <v>38100</v>
      </c>
      <c r="D4380" s="219" t="n"/>
      <c r="E4380" s="219" t="n"/>
      <c r="F4380" s="219" t="n"/>
      <c r="G4380" s="219" t="n"/>
      <c r="H4380" s="219" t="n"/>
      <c r="I4380" s="219" t="n"/>
      <c r="J4380" s="219" t="n"/>
      <c r="K4380" s="219">
        <f>ROUND((N4380*C4380)/100,0)*100</f>
        <v/>
      </c>
      <c r="M4380" s="219" t="n"/>
      <c r="N4380" s="96" t="n">
        <v>1.15</v>
      </c>
      <c r="O4380" s="96" t="n"/>
      <c r="P4380" s="150" t="n"/>
      <c r="Q4380" s="96" t="n"/>
      <c r="R4380" s="150" t="n"/>
      <c r="S4380" s="96" t="n"/>
      <c r="T4380" s="150" t="n"/>
      <c r="U4380" s="96" t="n"/>
      <c r="V4380" s="96" t="n"/>
      <c r="W4380" s="30" t="n"/>
      <c r="X4380" s="30" t="n"/>
      <c r="Y4380" s="30" t="n"/>
      <c r="Z4380" s="30" t="n"/>
      <c r="AA4380" s="30" t="n"/>
      <c r="AB4380" s="30" t="n"/>
      <c r="AC4380" s="30" t="n"/>
      <c r="AD4380" s="30" t="n"/>
      <c r="AE4380" s="30" t="n"/>
      <c r="AF4380" s="30" t="n"/>
      <c r="AG4380" s="30" t="n"/>
      <c r="AH4380" s="30" t="n"/>
      <c r="AI4380" s="30" t="n"/>
      <c r="AJ4380" s="30" t="n"/>
      <c r="AK4380" s="30" t="n"/>
      <c r="AL4380" s="30" t="n"/>
      <c r="AM4380" s="30" t="n"/>
      <c r="AN4380" s="30" t="n"/>
    </row>
    <row r="4381">
      <c r="A4381" s="89" t="inlineStr">
        <is>
          <t>04473XXX</t>
        </is>
      </c>
      <c r="B4381" s="135" t="inlineStr">
        <is>
          <t>TAVERNITI REM DAMA M/C</t>
        </is>
      </c>
      <c r="C4381" s="219" t="n">
        <v>35200</v>
      </c>
      <c r="D4381" s="219" t="n"/>
      <c r="E4381" s="219" t="n"/>
      <c r="F4381" s="219" t="n"/>
      <c r="G4381" s="219" t="n"/>
      <c r="H4381" s="219" t="n"/>
      <c r="I4381" s="219" t="n"/>
      <c r="J4381" s="219" t="n"/>
      <c r="K4381" s="219">
        <f>ROUND((N4381*C4381)/100,0)*100</f>
        <v/>
      </c>
      <c r="M4381" s="219" t="n"/>
      <c r="N4381" s="96" t="n">
        <v>1.15</v>
      </c>
      <c r="O4381" s="96" t="n"/>
      <c r="P4381" s="150" t="n"/>
      <c r="Q4381" s="96" t="n"/>
      <c r="R4381" s="150" t="n"/>
      <c r="S4381" s="96" t="n"/>
      <c r="T4381" s="150" t="n"/>
      <c r="U4381" s="96" t="n"/>
      <c r="V4381" s="96" t="n"/>
      <c r="W4381" s="30" t="n"/>
      <c r="X4381" s="30" t="n"/>
      <c r="Y4381" s="30" t="n"/>
      <c r="Z4381" s="30" t="n"/>
      <c r="AA4381" s="30" t="n"/>
      <c r="AB4381" s="30" t="n"/>
      <c r="AC4381" s="30" t="n"/>
      <c r="AD4381" s="30" t="n"/>
      <c r="AE4381" s="30" t="n"/>
      <c r="AF4381" s="30" t="n"/>
      <c r="AG4381" s="30" t="n"/>
      <c r="AH4381" s="30" t="n"/>
      <c r="AI4381" s="30" t="n"/>
      <c r="AJ4381" s="30" t="n"/>
      <c r="AK4381" s="30" t="n"/>
      <c r="AL4381" s="30" t="n"/>
      <c r="AM4381" s="30" t="n"/>
      <c r="AN4381" s="30" t="n"/>
    </row>
    <row r="4382">
      <c r="A4382" s="89" t="inlineStr">
        <is>
          <t>04475XXX</t>
        </is>
      </c>
      <c r="B4382" s="135" t="inlineStr">
        <is>
          <t>TAVERNITI REM DAMA M/C</t>
        </is>
      </c>
      <c r="C4382" s="219" t="n">
        <v>34800</v>
      </c>
      <c r="D4382" s="219" t="n"/>
      <c r="E4382" s="219" t="n"/>
      <c r="F4382" s="219" t="n"/>
      <c r="G4382" s="219" t="n"/>
      <c r="H4382" s="219" t="n"/>
      <c r="I4382" s="219" t="n"/>
      <c r="J4382" s="219" t="n"/>
      <c r="K4382" s="219">
        <f>ROUND((N4382*C4382)/100,0)*100</f>
        <v/>
      </c>
      <c r="M4382" s="219" t="n"/>
      <c r="N4382" s="96" t="n">
        <v>1.15</v>
      </c>
      <c r="O4382" s="96" t="n"/>
      <c r="P4382" s="150" t="n"/>
      <c r="Q4382" s="96" t="n"/>
      <c r="R4382" s="150" t="n"/>
      <c r="S4382" s="96" t="n"/>
      <c r="T4382" s="150" t="n"/>
      <c r="U4382" s="96" t="n"/>
      <c r="V4382" s="96" t="n"/>
      <c r="W4382" s="30" t="n"/>
      <c r="X4382" s="30" t="n"/>
      <c r="Y4382" s="30" t="n"/>
      <c r="Z4382" s="30" t="n"/>
      <c r="AA4382" s="30" t="n"/>
      <c r="AB4382" s="30" t="n"/>
      <c r="AC4382" s="30" t="n"/>
      <c r="AD4382" s="30" t="n"/>
      <c r="AE4382" s="30" t="n"/>
      <c r="AF4382" s="30" t="n"/>
      <c r="AG4382" s="30" t="n"/>
      <c r="AH4382" s="30" t="n"/>
      <c r="AI4382" s="30" t="n"/>
      <c r="AJ4382" s="30" t="n"/>
      <c r="AK4382" s="30" t="n"/>
      <c r="AL4382" s="30" t="n"/>
      <c r="AM4382" s="30" t="n"/>
      <c r="AN4382" s="30" t="n"/>
    </row>
    <row r="4383">
      <c r="A4383" s="89" t="inlineStr">
        <is>
          <t>04479XXX</t>
        </is>
      </c>
      <c r="B4383" s="135" t="inlineStr">
        <is>
          <t>TAVERNITI REM DAMA M/C</t>
        </is>
      </c>
      <c r="C4383" s="219" t="n">
        <v>34800</v>
      </c>
      <c r="D4383" s="219" t="n"/>
      <c r="E4383" s="219" t="n"/>
      <c r="F4383" s="219" t="n"/>
      <c r="G4383" s="219" t="n"/>
      <c r="H4383" s="219" t="n"/>
      <c r="I4383" s="219" t="n"/>
      <c r="J4383" s="219" t="n"/>
      <c r="K4383" s="219">
        <f>ROUND((N4383*C4383)/100,0)*100</f>
        <v/>
      </c>
      <c r="M4383" s="219" t="n"/>
      <c r="N4383" s="96" t="n">
        <v>1.15</v>
      </c>
      <c r="O4383" s="96" t="n"/>
      <c r="P4383" s="150" t="n"/>
      <c r="Q4383" s="96" t="n"/>
      <c r="R4383" s="150" t="n"/>
      <c r="S4383" s="96" t="n"/>
      <c r="T4383" s="150" t="n"/>
      <c r="U4383" s="96" t="n"/>
      <c r="V4383" s="96" t="n"/>
      <c r="W4383" s="30" t="n"/>
      <c r="X4383" s="30" t="n"/>
      <c r="Y4383" s="30" t="n"/>
      <c r="Z4383" s="30" t="n"/>
      <c r="AA4383" s="30" t="n"/>
      <c r="AB4383" s="30" t="n"/>
      <c r="AC4383" s="30" t="n"/>
      <c r="AD4383" s="30" t="n"/>
      <c r="AE4383" s="30" t="n"/>
      <c r="AF4383" s="30" t="n"/>
      <c r="AG4383" s="30" t="n"/>
      <c r="AH4383" s="30" t="n"/>
      <c r="AI4383" s="30" t="n"/>
      <c r="AJ4383" s="30" t="n"/>
      <c r="AK4383" s="30" t="n"/>
      <c r="AL4383" s="30" t="n"/>
      <c r="AM4383" s="30" t="n"/>
      <c r="AN4383" s="30" t="n"/>
    </row>
    <row r="4384">
      <c r="A4384" s="89" t="inlineStr">
        <is>
          <t>04483XXX</t>
        </is>
      </c>
      <c r="B4384" s="135" t="inlineStr">
        <is>
          <t>TAVERNITI REM DAMA M/C</t>
        </is>
      </c>
      <c r="C4384" s="219" t="n">
        <v>28500</v>
      </c>
      <c r="D4384" s="219" t="n"/>
      <c r="E4384" s="219" t="n"/>
      <c r="F4384" s="219" t="n"/>
      <c r="G4384" s="219" t="n"/>
      <c r="H4384" s="219" t="n"/>
      <c r="I4384" s="219" t="n"/>
      <c r="J4384" s="219" t="n"/>
      <c r="K4384" s="219">
        <f>ROUND((N4384*C4384)/100,0)*100</f>
        <v/>
      </c>
      <c r="M4384" s="219" t="n"/>
      <c r="N4384" s="96" t="n">
        <v>1.15</v>
      </c>
      <c r="O4384" s="96" t="n"/>
      <c r="P4384" s="150" t="n"/>
      <c r="Q4384" s="96" t="n"/>
      <c r="R4384" s="150" t="n"/>
      <c r="S4384" s="96" t="n"/>
      <c r="T4384" s="150" t="n"/>
      <c r="U4384" s="96" t="n"/>
      <c r="V4384" s="96" t="n"/>
      <c r="W4384" s="30" t="n"/>
      <c r="X4384" s="30" t="n"/>
      <c r="Y4384" s="30" t="n"/>
      <c r="Z4384" s="30" t="n"/>
      <c r="AA4384" s="30" t="n"/>
      <c r="AB4384" s="30" t="n"/>
      <c r="AC4384" s="30" t="n"/>
      <c r="AD4384" s="30" t="n"/>
      <c r="AE4384" s="30" t="n"/>
      <c r="AF4384" s="30" t="n"/>
      <c r="AG4384" s="30" t="n"/>
      <c r="AH4384" s="30" t="n"/>
      <c r="AI4384" s="30" t="n"/>
      <c r="AJ4384" s="30" t="n"/>
      <c r="AK4384" s="30" t="n"/>
      <c r="AL4384" s="30" t="n"/>
      <c r="AM4384" s="30" t="n"/>
      <c r="AN4384" s="30" t="n"/>
    </row>
    <row r="4385">
      <c r="A4385" s="89" t="inlineStr">
        <is>
          <t>04499XXX</t>
        </is>
      </c>
      <c r="B4385" s="135" t="inlineStr">
        <is>
          <t>TAVERNITI REM DAMA M/C</t>
        </is>
      </c>
      <c r="C4385" s="219" t="n">
        <v>40500</v>
      </c>
      <c r="D4385" s="219" t="n"/>
      <c r="E4385" s="219" t="n"/>
      <c r="F4385" s="219" t="n"/>
      <c r="G4385" s="219" t="n"/>
      <c r="H4385" s="219" t="n"/>
      <c r="I4385" s="219" t="n"/>
      <c r="J4385" s="219" t="n"/>
      <c r="K4385" s="219">
        <f>ROUND((N4385*C4385)/100,0)*100</f>
        <v/>
      </c>
      <c r="M4385" s="219" t="n"/>
      <c r="N4385" s="96" t="n">
        <v>1.15</v>
      </c>
      <c r="O4385" s="96" t="n"/>
      <c r="P4385" s="150" t="n"/>
      <c r="Q4385" s="96" t="n"/>
      <c r="R4385" s="150" t="n"/>
      <c r="S4385" s="96" t="n"/>
      <c r="T4385" s="150" t="n"/>
      <c r="U4385" s="96" t="n"/>
      <c r="V4385" s="96" t="n"/>
      <c r="W4385" s="30" t="n"/>
      <c r="X4385" s="30" t="n"/>
      <c r="Y4385" s="30" t="n"/>
      <c r="Z4385" s="30" t="n"/>
      <c r="AA4385" s="30" t="n"/>
      <c r="AB4385" s="30" t="n"/>
      <c r="AC4385" s="30" t="n"/>
      <c r="AD4385" s="30" t="n"/>
      <c r="AE4385" s="30" t="n"/>
      <c r="AF4385" s="30" t="n"/>
      <c r="AG4385" s="30" t="n"/>
      <c r="AH4385" s="30" t="n"/>
      <c r="AI4385" s="30" t="n"/>
      <c r="AJ4385" s="30" t="n"/>
      <c r="AK4385" s="30" t="n"/>
      <c r="AL4385" s="30" t="n"/>
      <c r="AM4385" s="30" t="n"/>
      <c r="AN4385" s="30" t="n"/>
    </row>
    <row r="4386">
      <c r="A4386" s="89" t="inlineStr">
        <is>
          <t>04503XXX</t>
        </is>
      </c>
      <c r="B4386" s="135" t="inlineStr">
        <is>
          <t>TAVERNITI REM DAMA M/C</t>
        </is>
      </c>
      <c r="C4386" s="219" t="n">
        <v>39400</v>
      </c>
      <c r="D4386" s="88" t="n"/>
      <c r="E4386" s="88" t="n"/>
      <c r="F4386" s="88" t="n"/>
      <c r="G4386" s="88" t="n"/>
      <c r="H4386" s="88" t="n"/>
      <c r="I4386" s="88" t="n"/>
      <c r="J4386" s="88" t="n"/>
      <c r="K4386" s="219">
        <f>ROUND((N4386*C4386)/100,0)*100</f>
        <v/>
      </c>
      <c r="M4386" s="219" t="n"/>
      <c r="N4386" s="96" t="n">
        <v>1.15</v>
      </c>
      <c r="O4386" s="96" t="n"/>
      <c r="P4386" s="150" t="n"/>
      <c r="Q4386" s="96" t="n"/>
      <c r="R4386" s="150" t="n"/>
      <c r="S4386" s="96" t="n"/>
      <c r="T4386" s="150" t="n"/>
      <c r="U4386" s="96" t="n"/>
      <c r="V4386" s="96" t="n"/>
      <c r="W4386" s="30" t="n"/>
      <c r="X4386" s="30" t="n"/>
      <c r="Y4386" s="30" t="n"/>
      <c r="Z4386" s="30" t="n"/>
      <c r="AA4386" s="30" t="n"/>
      <c r="AB4386" s="30" t="n"/>
      <c r="AC4386" s="30" t="n"/>
      <c r="AD4386" s="30" t="n"/>
      <c r="AE4386" s="30" t="n"/>
      <c r="AF4386" s="30" t="n"/>
      <c r="AG4386" s="30" t="n"/>
      <c r="AH4386" s="30" t="n"/>
      <c r="AI4386" s="30" t="n"/>
      <c r="AJ4386" s="30" t="n"/>
      <c r="AK4386" s="30" t="n"/>
      <c r="AL4386" s="30" t="n"/>
      <c r="AM4386" s="30" t="n"/>
      <c r="AN4386" s="30" t="n"/>
    </row>
    <row r="4387">
      <c r="A4387" s="89" t="inlineStr">
        <is>
          <t>04503XXX</t>
        </is>
      </c>
      <c r="B4387" s="135" t="inlineStr">
        <is>
          <t>TAVERNITI REM DAMA M/C</t>
        </is>
      </c>
      <c r="C4387" s="219" t="n">
        <v>39400</v>
      </c>
      <c r="D4387" s="88" t="n"/>
      <c r="E4387" s="88" t="n"/>
      <c r="F4387" s="88" t="n"/>
      <c r="G4387" s="88" t="n"/>
      <c r="H4387" s="88" t="n"/>
      <c r="I4387" s="88" t="n"/>
      <c r="J4387" s="88" t="n"/>
      <c r="K4387" s="219">
        <f>ROUND((N4387*C4387)/100,0)*100</f>
        <v/>
      </c>
      <c r="M4387" s="219" t="n"/>
      <c r="N4387" s="96" t="n">
        <v>1.15</v>
      </c>
      <c r="O4387" s="96" t="n"/>
      <c r="P4387" s="150" t="n"/>
      <c r="Q4387" s="96" t="n"/>
      <c r="R4387" s="150" t="n"/>
      <c r="S4387" s="96" t="n"/>
      <c r="T4387" s="150" t="n"/>
      <c r="U4387" s="96" t="n"/>
      <c r="V4387" s="96" t="n"/>
      <c r="W4387" s="30" t="n"/>
      <c r="X4387" s="30" t="n"/>
      <c r="Y4387" s="30" t="n"/>
      <c r="Z4387" s="30" t="n"/>
      <c r="AA4387" s="30" t="n"/>
      <c r="AB4387" s="30" t="n"/>
      <c r="AC4387" s="30" t="n"/>
      <c r="AD4387" s="30" t="n"/>
      <c r="AE4387" s="30" t="n"/>
      <c r="AF4387" s="30" t="n"/>
      <c r="AG4387" s="30" t="n"/>
      <c r="AH4387" s="30" t="n"/>
      <c r="AI4387" s="30" t="n"/>
      <c r="AJ4387" s="30" t="n"/>
      <c r="AK4387" s="30" t="n"/>
      <c r="AL4387" s="30" t="n"/>
      <c r="AM4387" s="30" t="n"/>
      <c r="AN4387" s="30" t="n"/>
    </row>
    <row r="4388">
      <c r="A4388" s="89" t="inlineStr">
        <is>
          <t>04505XXX</t>
        </is>
      </c>
      <c r="B4388" s="135" t="inlineStr">
        <is>
          <t>TAVERNITI REM DAMA M/C</t>
        </is>
      </c>
      <c r="C4388" s="219" t="n">
        <v>39400</v>
      </c>
      <c r="D4388" s="219" t="n"/>
      <c r="E4388" s="219" t="n"/>
      <c r="F4388" s="219" t="n"/>
      <c r="G4388" s="219" t="n"/>
      <c r="H4388" s="219" t="n"/>
      <c r="I4388" s="219" t="n"/>
      <c r="J4388" s="219" t="n"/>
      <c r="K4388" s="219">
        <f>ROUND((N4388*C4388)/100,0)*100</f>
        <v/>
      </c>
      <c r="M4388" s="219" t="n"/>
      <c r="N4388" s="96" t="n">
        <v>1.15</v>
      </c>
      <c r="O4388" s="96" t="n"/>
      <c r="P4388" s="150" t="n"/>
      <c r="Q4388" s="96" t="n"/>
      <c r="R4388" s="150" t="n"/>
      <c r="S4388" s="96" t="n"/>
      <c r="T4388" s="150" t="n"/>
      <c r="U4388" s="96" t="n"/>
      <c r="V4388" s="96" t="n"/>
      <c r="W4388" s="30" t="n"/>
      <c r="X4388" s="30" t="n"/>
      <c r="Y4388" s="30" t="n"/>
      <c r="Z4388" s="30" t="n"/>
      <c r="AA4388" s="30" t="n"/>
      <c r="AB4388" s="30" t="n"/>
      <c r="AC4388" s="30" t="n"/>
      <c r="AD4388" s="30" t="n"/>
      <c r="AE4388" s="30" t="n"/>
      <c r="AF4388" s="30" t="n"/>
      <c r="AG4388" s="30" t="n"/>
      <c r="AH4388" s="30" t="n"/>
      <c r="AI4388" s="30" t="n"/>
      <c r="AJ4388" s="30" t="n"/>
      <c r="AK4388" s="30" t="n"/>
      <c r="AL4388" s="30" t="n"/>
      <c r="AM4388" s="30" t="n"/>
      <c r="AN4388" s="30" t="n"/>
    </row>
    <row r="4389">
      <c r="A4389" s="89" t="inlineStr">
        <is>
          <t>04515XXX</t>
        </is>
      </c>
      <c r="B4389" s="135" t="inlineStr">
        <is>
          <t>TAVERNITI REM DAMA M/C</t>
        </is>
      </c>
      <c r="C4389" s="219" t="n">
        <v>39400</v>
      </c>
      <c r="D4389" s="219" t="n"/>
      <c r="E4389" s="219" t="n"/>
      <c r="F4389" s="219" t="n"/>
      <c r="G4389" s="219" t="n"/>
      <c r="H4389" s="219" t="n"/>
      <c r="I4389" s="219" t="n"/>
      <c r="J4389" s="219" t="n"/>
      <c r="K4389" s="219">
        <f>ROUND((N4389*C4389)/100,0)*100</f>
        <v/>
      </c>
      <c r="M4389" s="219" t="n"/>
      <c r="N4389" s="96" t="n">
        <v>1.15</v>
      </c>
      <c r="O4389" s="96" t="n"/>
      <c r="P4389" s="150" t="n"/>
      <c r="Q4389" s="96" t="n"/>
      <c r="R4389" s="150" t="n"/>
      <c r="S4389" s="96" t="n"/>
      <c r="T4389" s="150" t="n"/>
      <c r="U4389" s="96" t="n"/>
      <c r="V4389" s="96" t="n"/>
      <c r="W4389" s="30" t="n"/>
      <c r="X4389" s="30" t="n"/>
      <c r="Y4389" s="30" t="n"/>
      <c r="Z4389" s="30" t="n"/>
      <c r="AA4389" s="30" t="n"/>
      <c r="AB4389" s="30" t="n"/>
      <c r="AC4389" s="30" t="n"/>
      <c r="AD4389" s="30" t="n"/>
      <c r="AE4389" s="30" t="n"/>
      <c r="AF4389" s="30" t="n"/>
      <c r="AG4389" s="30" t="n"/>
      <c r="AH4389" s="30" t="n"/>
      <c r="AI4389" s="30" t="n"/>
      <c r="AJ4389" s="30" t="n"/>
      <c r="AK4389" s="30" t="n"/>
      <c r="AL4389" s="30" t="n"/>
      <c r="AM4389" s="30" t="n"/>
      <c r="AN4389" s="30" t="n"/>
    </row>
    <row r="4390">
      <c r="A4390" s="89" t="inlineStr">
        <is>
          <t>04525XXX</t>
        </is>
      </c>
      <c r="B4390" s="135" t="inlineStr">
        <is>
          <t>TAVERNITI REM DAMA M/C</t>
        </is>
      </c>
      <c r="C4390" s="219" t="n">
        <v>39400</v>
      </c>
      <c r="D4390" s="219" t="n"/>
      <c r="E4390" s="219" t="n"/>
      <c r="F4390" s="219" t="n"/>
      <c r="G4390" s="219" t="n"/>
      <c r="H4390" s="219" t="n"/>
      <c r="I4390" s="219" t="n"/>
      <c r="J4390" s="219" t="n"/>
      <c r="K4390" s="219">
        <f>ROUND((N4390*C4390)/100,0)*100</f>
        <v/>
      </c>
      <c r="M4390" s="219" t="n"/>
      <c r="N4390" s="96" t="n">
        <v>1.15</v>
      </c>
      <c r="O4390" s="96" t="n"/>
      <c r="P4390" s="150" t="n"/>
      <c r="Q4390" s="96" t="n"/>
      <c r="R4390" s="150" t="n"/>
      <c r="S4390" s="96" t="n"/>
      <c r="T4390" s="150" t="n"/>
      <c r="U4390" s="96" t="n"/>
      <c r="V4390" s="96" t="n"/>
      <c r="W4390" s="30" t="n"/>
      <c r="X4390" s="30" t="n"/>
      <c r="Y4390" s="30" t="n"/>
      <c r="Z4390" s="30" t="n"/>
      <c r="AA4390" s="30" t="n"/>
      <c r="AB4390" s="30" t="n"/>
      <c r="AC4390" s="30" t="n"/>
      <c r="AD4390" s="30" t="n"/>
      <c r="AE4390" s="30" t="n"/>
      <c r="AF4390" s="30" t="n"/>
      <c r="AG4390" s="30" t="n"/>
      <c r="AH4390" s="30" t="n"/>
      <c r="AI4390" s="30" t="n"/>
      <c r="AJ4390" s="30" t="n"/>
      <c r="AK4390" s="30" t="n"/>
      <c r="AL4390" s="30" t="n"/>
      <c r="AM4390" s="30" t="n"/>
      <c r="AN4390" s="30" t="n"/>
    </row>
    <row r="4391">
      <c r="A4391" s="89" t="inlineStr">
        <is>
          <t>04553XXX</t>
        </is>
      </c>
      <c r="B4391" s="135" t="inlineStr">
        <is>
          <t>TAVERNITI REM DAMA M/C</t>
        </is>
      </c>
      <c r="C4391" s="219" t="n">
        <v>39400</v>
      </c>
      <c r="D4391" s="219" t="n"/>
      <c r="E4391" s="219" t="n"/>
      <c r="F4391" s="219" t="n"/>
      <c r="G4391" s="219" t="n"/>
      <c r="H4391" s="219" t="n"/>
      <c r="I4391" s="219" t="n"/>
      <c r="J4391" s="219" t="n"/>
      <c r="K4391" s="219">
        <f>ROUND((N4391*C4391)/100,0)*100</f>
        <v/>
      </c>
      <c r="M4391" s="219" t="n"/>
      <c r="N4391" s="96" t="n">
        <v>1.15</v>
      </c>
      <c r="O4391" s="96" t="n"/>
      <c r="P4391" s="150" t="n"/>
      <c r="Q4391" s="96" t="n"/>
      <c r="R4391" s="150" t="n"/>
      <c r="S4391" s="96" t="n"/>
      <c r="T4391" s="150" t="n"/>
      <c r="U4391" s="96" t="n"/>
      <c r="V4391" s="96" t="n"/>
      <c r="W4391" s="30" t="n"/>
      <c r="X4391" s="30" t="n"/>
      <c r="Y4391" s="30" t="n"/>
      <c r="Z4391" s="30" t="n"/>
      <c r="AA4391" s="30" t="n"/>
      <c r="AB4391" s="30" t="n"/>
      <c r="AC4391" s="30" t="n"/>
      <c r="AD4391" s="30" t="n"/>
      <c r="AE4391" s="30" t="n"/>
      <c r="AF4391" s="30" t="n"/>
      <c r="AG4391" s="30" t="n"/>
      <c r="AH4391" s="30" t="n"/>
      <c r="AI4391" s="30" t="n"/>
      <c r="AJ4391" s="30" t="n"/>
      <c r="AK4391" s="30" t="n"/>
      <c r="AL4391" s="30" t="n"/>
      <c r="AM4391" s="30" t="n"/>
      <c r="AN4391" s="30" t="n"/>
    </row>
    <row r="4392">
      <c r="A4392" s="89" t="inlineStr">
        <is>
          <t>04825XXX</t>
        </is>
      </c>
      <c r="B4392" s="135" t="inlineStr">
        <is>
          <t>TAVERNITI REM DAMA M/C</t>
        </is>
      </c>
      <c r="C4392" s="88" t="n">
        <v>38300</v>
      </c>
      <c r="D4392" s="88" t="n"/>
      <c r="E4392" s="88" t="n"/>
      <c r="F4392" s="88" t="n"/>
      <c r="G4392" s="88" t="n"/>
      <c r="H4392" s="88" t="n"/>
      <c r="I4392" s="88" t="n"/>
      <c r="J4392" s="88" t="n"/>
      <c r="K4392" s="219">
        <f>ROUND((N4392*C4392)/100,0)*100</f>
        <v/>
      </c>
      <c r="M4392" s="219" t="n"/>
      <c r="N4392" s="96" t="n">
        <v>1.15</v>
      </c>
      <c r="O4392" s="96" t="n"/>
      <c r="P4392" s="150" t="n"/>
      <c r="Q4392" s="96" t="n"/>
      <c r="R4392" s="150" t="n"/>
      <c r="S4392" s="96" t="n"/>
      <c r="T4392" s="150" t="n"/>
      <c r="U4392" s="96" t="n"/>
      <c r="V4392" s="96" t="n"/>
      <c r="W4392" s="30" t="n"/>
      <c r="X4392" s="30" t="n"/>
      <c r="Y4392" s="30" t="n"/>
      <c r="Z4392" s="30" t="n"/>
      <c r="AA4392" s="30" t="n"/>
      <c r="AB4392" s="30" t="n"/>
      <c r="AC4392" s="30" t="n"/>
      <c r="AD4392" s="30" t="n"/>
      <c r="AE4392" s="30" t="n"/>
      <c r="AF4392" s="30" t="n"/>
      <c r="AG4392" s="30" t="n"/>
      <c r="AH4392" s="30" t="n"/>
      <c r="AI4392" s="30" t="n"/>
      <c r="AJ4392" s="30" t="n"/>
      <c r="AK4392" s="30" t="n"/>
      <c r="AL4392" s="30" t="n"/>
      <c r="AM4392" s="30" t="n"/>
      <c r="AN4392" s="30" t="n"/>
    </row>
    <row r="4393">
      <c r="A4393" s="89" t="inlineStr">
        <is>
          <t>04855XXX</t>
        </is>
      </c>
      <c r="B4393" s="135" t="inlineStr">
        <is>
          <t>TAVERNITI REM DAMA M/C</t>
        </is>
      </c>
      <c r="C4393" s="88" t="n">
        <v>37500</v>
      </c>
      <c r="D4393" s="88" t="n"/>
      <c r="E4393" s="88" t="n"/>
      <c r="F4393" s="88" t="n"/>
      <c r="G4393" s="88" t="n"/>
      <c r="H4393" s="88" t="n"/>
      <c r="I4393" s="88" t="n"/>
      <c r="J4393" s="88" t="n"/>
      <c r="K4393" s="219">
        <f>ROUND((N4393*C4393)/100,0)*100</f>
        <v/>
      </c>
      <c r="M4393" s="219" t="n"/>
      <c r="N4393" s="96" t="n">
        <v>1.15</v>
      </c>
      <c r="O4393" s="96" t="n"/>
      <c r="P4393" s="150" t="n"/>
      <c r="Q4393" s="96" t="n"/>
      <c r="R4393" s="150" t="n"/>
      <c r="S4393" s="96" t="n"/>
      <c r="T4393" s="150" t="n"/>
      <c r="U4393" s="96" t="n"/>
      <c r="V4393" s="96" t="n"/>
      <c r="W4393" s="30" t="n"/>
      <c r="X4393" s="30" t="n"/>
      <c r="Y4393" s="30" t="n"/>
      <c r="Z4393" s="30" t="n"/>
      <c r="AA4393" s="30" t="n"/>
      <c r="AB4393" s="30" t="n"/>
      <c r="AC4393" s="30" t="n"/>
      <c r="AD4393" s="30" t="n"/>
      <c r="AE4393" s="30" t="n"/>
      <c r="AF4393" s="30" t="n"/>
      <c r="AG4393" s="30" t="n"/>
      <c r="AH4393" s="30" t="n"/>
      <c r="AI4393" s="30" t="n"/>
      <c r="AJ4393" s="30" t="n"/>
      <c r="AK4393" s="30" t="n"/>
      <c r="AL4393" s="30" t="n"/>
      <c r="AM4393" s="30" t="n"/>
      <c r="AN4393" s="30" t="n"/>
    </row>
    <row r="4394">
      <c r="A4394" s="89" t="inlineStr">
        <is>
          <t>0XXX</t>
        </is>
      </c>
      <c r="B4394" s="135" t="inlineStr">
        <is>
          <t>TAVERNITI REM DAMA M/C</t>
        </is>
      </c>
      <c r="C4394" s="88" t="n">
        <v>35300</v>
      </c>
      <c r="D4394" s="88" t="n"/>
      <c r="E4394" s="88" t="n"/>
      <c r="F4394" s="88" t="n"/>
      <c r="G4394" s="88" t="n"/>
      <c r="H4394" s="88" t="n"/>
      <c r="I4394" s="88" t="n"/>
      <c r="J4394" s="88" t="n"/>
      <c r="K4394" s="219">
        <f>ROUND((N4394*C4394)/100,0)*100</f>
        <v/>
      </c>
      <c r="M4394" s="219" t="n"/>
      <c r="N4394" s="96" t="n">
        <v>1.15</v>
      </c>
      <c r="O4394" s="96" t="n"/>
      <c r="P4394" s="150" t="n"/>
      <c r="Q4394" s="96" t="n"/>
      <c r="R4394" s="150" t="n"/>
      <c r="S4394" s="96" t="n"/>
      <c r="T4394" s="150" t="n"/>
      <c r="U4394" s="96" t="n"/>
      <c r="V4394" s="96" t="n"/>
      <c r="W4394" s="30" t="n"/>
      <c r="X4394" s="30" t="n"/>
      <c r="Y4394" s="30" t="n"/>
      <c r="Z4394" s="30" t="n"/>
      <c r="AA4394" s="30" t="n"/>
      <c r="AB4394" s="30" t="n"/>
      <c r="AC4394" s="30" t="n"/>
      <c r="AD4394" s="30" t="n"/>
      <c r="AE4394" s="30" t="n"/>
      <c r="AF4394" s="30" t="n"/>
      <c r="AG4394" s="30" t="n"/>
      <c r="AH4394" s="30" t="n"/>
      <c r="AI4394" s="30" t="n"/>
      <c r="AJ4394" s="30" t="n"/>
      <c r="AK4394" s="30" t="n"/>
      <c r="AL4394" s="30" t="n"/>
      <c r="AM4394" s="30" t="n"/>
      <c r="AN4394" s="30" t="n"/>
    </row>
    <row r="4395">
      <c r="A4395" s="89" t="inlineStr">
        <is>
          <t>04905XXX</t>
        </is>
      </c>
      <c r="B4395" s="135" t="inlineStr">
        <is>
          <t>TAVERNITI REM DAMA M/C</t>
        </is>
      </c>
      <c r="C4395" s="88" t="n">
        <v>38900</v>
      </c>
      <c r="D4395" s="88" t="n"/>
      <c r="E4395" s="88" t="n"/>
      <c r="F4395" s="88" t="n"/>
      <c r="G4395" s="88" t="n"/>
      <c r="H4395" s="88" t="n"/>
      <c r="I4395" s="88" t="n"/>
      <c r="J4395" s="88" t="n"/>
      <c r="K4395" s="219">
        <f>ROUND((N4395*C4395)/100,0)*100</f>
        <v/>
      </c>
      <c r="M4395" s="219" t="n"/>
      <c r="N4395" s="96" t="n">
        <v>1.15</v>
      </c>
      <c r="O4395" s="96" t="n"/>
      <c r="P4395" s="150" t="n"/>
      <c r="Q4395" s="96" t="n"/>
      <c r="R4395" s="150" t="n"/>
      <c r="S4395" s="96" t="n"/>
      <c r="T4395" s="150" t="n"/>
      <c r="U4395" s="96" t="n"/>
      <c r="V4395" s="96" t="n"/>
      <c r="W4395" s="30" t="n"/>
      <c r="X4395" s="30" t="n"/>
      <c r="Y4395" s="30" t="n"/>
      <c r="Z4395" s="30" t="n"/>
      <c r="AA4395" s="30" t="n"/>
      <c r="AB4395" s="30" t="n"/>
      <c r="AC4395" s="30" t="n"/>
      <c r="AD4395" s="30" t="n"/>
      <c r="AE4395" s="30" t="n"/>
      <c r="AF4395" s="30" t="n"/>
      <c r="AG4395" s="30" t="n"/>
      <c r="AH4395" s="30" t="n"/>
      <c r="AI4395" s="30" t="n"/>
      <c r="AJ4395" s="30" t="n"/>
      <c r="AK4395" s="30" t="n"/>
      <c r="AL4395" s="30" t="n"/>
      <c r="AM4395" s="30" t="n"/>
      <c r="AN4395" s="30" t="n"/>
    </row>
    <row r="4396">
      <c r="A4396" s="89" t="inlineStr">
        <is>
          <t>04925XXX</t>
        </is>
      </c>
      <c r="B4396" s="135" t="inlineStr">
        <is>
          <t>TAVERNITI REM DAMA M/C</t>
        </is>
      </c>
      <c r="C4396" s="219" t="n">
        <v>36900</v>
      </c>
      <c r="D4396" s="219" t="n"/>
      <c r="E4396" s="219" t="n"/>
      <c r="F4396" s="219" t="n"/>
      <c r="G4396" s="219" t="n"/>
      <c r="H4396" s="219" t="n"/>
      <c r="I4396" s="219" t="n"/>
      <c r="J4396" s="219" t="n"/>
      <c r="K4396" s="219">
        <f>ROUND((N4396*C4396)/100,0)*100</f>
        <v/>
      </c>
      <c r="M4396" s="219" t="n"/>
      <c r="N4396" s="96" t="n">
        <v>1.15</v>
      </c>
      <c r="O4396" s="96" t="n"/>
      <c r="P4396" s="150" t="n"/>
      <c r="Q4396" s="96" t="n"/>
      <c r="R4396" s="150" t="n"/>
      <c r="S4396" s="96" t="n"/>
      <c r="T4396" s="150" t="n"/>
      <c r="U4396" s="96" t="n"/>
      <c r="V4396" s="96" t="n"/>
      <c r="W4396" s="30" t="n"/>
      <c r="X4396" s="30" t="n"/>
      <c r="Y4396" s="30" t="n"/>
      <c r="Z4396" s="30" t="n"/>
      <c r="AA4396" s="30" t="n"/>
      <c r="AB4396" s="30" t="n"/>
      <c r="AC4396" s="30" t="n"/>
      <c r="AD4396" s="30" t="n"/>
      <c r="AE4396" s="30" t="n"/>
      <c r="AF4396" s="30" t="n"/>
      <c r="AG4396" s="30" t="n"/>
      <c r="AH4396" s="30" t="n"/>
      <c r="AI4396" s="30" t="n"/>
      <c r="AJ4396" s="30" t="n"/>
      <c r="AK4396" s="30" t="n"/>
      <c r="AL4396" s="30" t="n"/>
      <c r="AM4396" s="30" t="n"/>
      <c r="AN4396" s="30" t="n"/>
    </row>
    <row r="4397">
      <c r="A4397" s="89" t="inlineStr">
        <is>
          <t>04939XXX</t>
        </is>
      </c>
      <c r="B4397" s="135" t="inlineStr">
        <is>
          <t>TAVERNITI REM DAMA M/C</t>
        </is>
      </c>
      <c r="C4397" s="219" t="n">
        <v>38300</v>
      </c>
      <c r="D4397" s="219" t="n"/>
      <c r="E4397" s="219" t="n"/>
      <c r="F4397" s="219" t="n"/>
      <c r="G4397" s="219" t="n"/>
      <c r="H4397" s="219" t="n"/>
      <c r="I4397" s="219" t="n"/>
      <c r="J4397" s="219" t="n"/>
      <c r="K4397" s="219">
        <f>ROUND((N4397*C4397)/100,0)*100</f>
        <v/>
      </c>
      <c r="M4397" s="219" t="n"/>
      <c r="N4397" s="96" t="n">
        <v>1.15</v>
      </c>
      <c r="O4397" s="96" t="n"/>
      <c r="P4397" s="150" t="n"/>
      <c r="Q4397" s="96" t="n"/>
      <c r="R4397" s="150" t="n"/>
      <c r="S4397" s="96" t="n"/>
      <c r="T4397" s="150" t="n"/>
      <c r="U4397" s="96" t="n"/>
      <c r="V4397" s="96" t="n"/>
      <c r="W4397" s="30" t="n"/>
      <c r="X4397" s="30" t="n"/>
      <c r="Y4397" s="30" t="n"/>
      <c r="Z4397" s="30" t="n"/>
      <c r="AA4397" s="30" t="n"/>
      <c r="AB4397" s="30" t="n"/>
      <c r="AC4397" s="30" t="n"/>
      <c r="AD4397" s="30" t="n"/>
      <c r="AE4397" s="30" t="n"/>
      <c r="AF4397" s="30" t="n"/>
      <c r="AG4397" s="30" t="n"/>
      <c r="AH4397" s="30" t="n"/>
      <c r="AI4397" s="30" t="n"/>
      <c r="AJ4397" s="30" t="n"/>
      <c r="AK4397" s="30" t="n"/>
      <c r="AL4397" s="30" t="n"/>
      <c r="AM4397" s="30" t="n"/>
      <c r="AN4397" s="30" t="n"/>
    </row>
    <row r="4398">
      <c r="A4398" s="89" t="inlineStr">
        <is>
          <t>04993XXX</t>
        </is>
      </c>
      <c r="B4398" s="135" t="inlineStr">
        <is>
          <t>TAVERNITI REM DAMA M/C</t>
        </is>
      </c>
      <c r="C4398" s="219" t="n">
        <v>35300</v>
      </c>
      <c r="D4398" s="219" t="n"/>
      <c r="E4398" s="219" t="n"/>
      <c r="F4398" s="219" t="n"/>
      <c r="G4398" s="219" t="n"/>
      <c r="H4398" s="219" t="n"/>
      <c r="I4398" s="219" t="n"/>
      <c r="J4398" s="219" t="n"/>
      <c r="K4398" s="219">
        <f>ROUND((N4398*C4398)/100,0)*100</f>
        <v/>
      </c>
      <c r="M4398" s="219" t="n"/>
      <c r="N4398" s="96" t="n">
        <v>1.15</v>
      </c>
      <c r="O4398" s="96" t="n"/>
      <c r="P4398" s="150" t="n"/>
      <c r="Q4398" s="96" t="n"/>
      <c r="R4398" s="150" t="n"/>
      <c r="S4398" s="96" t="n"/>
      <c r="T4398" s="150" t="n"/>
      <c r="U4398" s="96" t="n"/>
      <c r="V4398" s="96" t="n"/>
      <c r="W4398" s="30" t="n"/>
      <c r="X4398" s="30" t="n"/>
      <c r="Y4398" s="30" t="n"/>
      <c r="Z4398" s="30" t="n"/>
      <c r="AA4398" s="30" t="n"/>
      <c r="AB4398" s="30" t="n"/>
      <c r="AC4398" s="30" t="n"/>
      <c r="AD4398" s="30" t="n"/>
      <c r="AE4398" s="30" t="n"/>
      <c r="AF4398" s="30" t="n"/>
      <c r="AG4398" s="30" t="n"/>
      <c r="AH4398" s="30" t="n"/>
      <c r="AI4398" s="30" t="n"/>
      <c r="AJ4398" s="30" t="n"/>
      <c r="AK4398" s="30" t="n"/>
      <c r="AL4398" s="30" t="n"/>
      <c r="AM4398" s="30" t="n"/>
      <c r="AN4398" s="30" t="n"/>
    </row>
    <row r="4399">
      <c r="A4399" s="89" t="inlineStr">
        <is>
          <t>05191XXX</t>
        </is>
      </c>
      <c r="B4399" s="135" t="inlineStr">
        <is>
          <t>TAVERNITI REM DAMA M/C</t>
        </is>
      </c>
      <c r="C4399" s="88" t="n">
        <v>37600</v>
      </c>
      <c r="D4399" s="88" t="n"/>
      <c r="E4399" s="88" t="n"/>
      <c r="F4399" s="88" t="n"/>
      <c r="G4399" s="88" t="n"/>
      <c r="H4399" s="88" t="n"/>
      <c r="I4399" s="88" t="n"/>
      <c r="J4399" s="88" t="n"/>
      <c r="K4399" s="219">
        <f>ROUND((N4399*C4399)/100,0)*100</f>
        <v/>
      </c>
      <c r="M4399" s="219" t="n"/>
      <c r="N4399" s="96" t="n">
        <v>1.15</v>
      </c>
      <c r="O4399" s="96" t="n"/>
      <c r="P4399" s="150" t="n"/>
      <c r="Q4399" s="96" t="n"/>
      <c r="R4399" s="150" t="n"/>
      <c r="S4399" s="96" t="n"/>
      <c r="T4399" s="150" t="n"/>
      <c r="U4399" s="96" t="n"/>
      <c r="V4399" s="96" t="n"/>
      <c r="W4399" s="30" t="n"/>
      <c r="X4399" s="30" t="n"/>
      <c r="Y4399" s="30" t="n"/>
      <c r="Z4399" s="30" t="n"/>
      <c r="AA4399" s="30" t="n"/>
      <c r="AB4399" s="30" t="n"/>
      <c r="AC4399" s="30" t="n"/>
      <c r="AD4399" s="30" t="n"/>
      <c r="AE4399" s="30" t="n"/>
      <c r="AF4399" s="30" t="n"/>
      <c r="AG4399" s="30" t="n"/>
      <c r="AH4399" s="30" t="n"/>
      <c r="AI4399" s="30" t="n"/>
      <c r="AJ4399" s="30" t="n"/>
      <c r="AK4399" s="30" t="n"/>
      <c r="AL4399" s="30" t="n"/>
      <c r="AM4399" s="30" t="n"/>
      <c r="AN4399" s="30" t="n"/>
    </row>
    <row r="4400">
      <c r="A4400" s="89" t="inlineStr">
        <is>
          <t>05193XXX</t>
        </is>
      </c>
      <c r="B4400" s="135" t="inlineStr">
        <is>
          <t>TAVERNITI REM DAMA M/C</t>
        </is>
      </c>
      <c r="C4400" s="88" t="n">
        <v>47000</v>
      </c>
      <c r="D4400" s="88" t="n"/>
      <c r="E4400" s="88" t="n"/>
      <c r="F4400" s="88" t="n"/>
      <c r="G4400" s="88" t="n"/>
      <c r="H4400" s="88" t="n"/>
      <c r="I4400" s="88" t="n"/>
      <c r="J4400" s="88" t="n"/>
      <c r="K4400" s="219">
        <f>ROUND((N4400*C4400)/100,0)*100</f>
        <v/>
      </c>
      <c r="M4400" s="219" t="n"/>
      <c r="N4400" s="96" t="n">
        <v>1.15</v>
      </c>
      <c r="O4400" s="96" t="n"/>
      <c r="P4400" s="150" t="n"/>
      <c r="Q4400" s="96" t="n"/>
      <c r="R4400" s="150" t="n"/>
      <c r="S4400" s="96" t="n"/>
      <c r="T4400" s="150" t="n"/>
      <c r="U4400" s="96" t="n"/>
      <c r="V4400" s="96" t="n"/>
      <c r="W4400" s="30" t="n"/>
      <c r="X4400" s="30" t="n"/>
      <c r="Y4400" s="30" t="n"/>
      <c r="Z4400" s="30" t="n"/>
      <c r="AA4400" s="30" t="n"/>
      <c r="AB4400" s="30" t="n"/>
      <c r="AC4400" s="30" t="n"/>
      <c r="AD4400" s="30" t="n"/>
      <c r="AE4400" s="30" t="n"/>
      <c r="AF4400" s="30" t="n"/>
      <c r="AG4400" s="30" t="n"/>
      <c r="AH4400" s="30" t="n"/>
      <c r="AI4400" s="30" t="n"/>
      <c r="AJ4400" s="30" t="n"/>
      <c r="AK4400" s="30" t="n"/>
      <c r="AL4400" s="30" t="n"/>
      <c r="AM4400" s="30" t="n"/>
      <c r="AN4400" s="30" t="n"/>
    </row>
    <row r="4401">
      <c r="A4401" s="89" t="inlineStr">
        <is>
          <t>05281XXX</t>
        </is>
      </c>
      <c r="B4401" s="135" t="inlineStr">
        <is>
          <t>TAVERNITI REM DAMA M/C</t>
        </is>
      </c>
      <c r="C4401" s="88" t="n">
        <v>49200</v>
      </c>
      <c r="D4401" s="88" t="n"/>
      <c r="E4401" s="88" t="n"/>
      <c r="F4401" s="88" t="n"/>
      <c r="G4401" s="88" t="n"/>
      <c r="H4401" s="88" t="n"/>
      <c r="I4401" s="88" t="n"/>
      <c r="J4401" s="88" t="n"/>
      <c r="K4401" s="219">
        <f>ROUND((N4401*C4401)/100,0)*100</f>
        <v/>
      </c>
      <c r="M4401" s="219" t="n"/>
      <c r="N4401" s="96" t="n">
        <v>1.15</v>
      </c>
      <c r="O4401" s="96" t="n"/>
      <c r="P4401" s="150" t="n"/>
      <c r="Q4401" s="96" t="n"/>
      <c r="R4401" s="150" t="n"/>
      <c r="S4401" s="96" t="n"/>
      <c r="T4401" s="150" t="n"/>
      <c r="U4401" s="96" t="n"/>
      <c r="V4401" s="96" t="n"/>
      <c r="W4401" s="30" t="n"/>
      <c r="X4401" s="30" t="n"/>
      <c r="Y4401" s="30" t="n"/>
      <c r="Z4401" s="30" t="n"/>
      <c r="AA4401" s="30" t="n"/>
      <c r="AB4401" s="30" t="n"/>
      <c r="AC4401" s="30" t="n"/>
      <c r="AD4401" s="30" t="n"/>
      <c r="AE4401" s="30" t="n"/>
      <c r="AF4401" s="30" t="n"/>
      <c r="AG4401" s="30" t="n"/>
      <c r="AH4401" s="30" t="n"/>
      <c r="AI4401" s="30" t="n"/>
      <c r="AJ4401" s="30" t="n"/>
      <c r="AK4401" s="30" t="n"/>
      <c r="AL4401" s="30" t="n"/>
      <c r="AM4401" s="30" t="n"/>
      <c r="AN4401" s="30" t="n"/>
    </row>
    <row r="4402">
      <c r="A4402" s="89" t="inlineStr">
        <is>
          <t>05335XXX</t>
        </is>
      </c>
      <c r="B4402" s="135" t="inlineStr">
        <is>
          <t>TAVERNITI REM DAMA M/C</t>
        </is>
      </c>
      <c r="C4402" s="219" t="n">
        <v>35300</v>
      </c>
      <c r="D4402" s="219" t="n"/>
      <c r="E4402" s="219" t="n"/>
      <c r="F4402" s="219" t="n"/>
      <c r="G4402" s="219" t="n"/>
      <c r="H4402" s="219" t="n"/>
      <c r="I4402" s="219" t="n"/>
      <c r="J4402" s="219" t="n"/>
      <c r="K4402" s="219">
        <f>ROUND((N4402*C4402)/100,0)*100</f>
        <v/>
      </c>
      <c r="M4402" s="219" t="n"/>
      <c r="N4402" s="96" t="n">
        <v>1.15</v>
      </c>
      <c r="O4402" s="96" t="n"/>
      <c r="P4402" s="150" t="n"/>
      <c r="Q4402" s="96" t="n"/>
      <c r="R4402" s="150" t="n"/>
      <c r="S4402" s="96" t="n"/>
      <c r="T4402" s="150" t="n"/>
      <c r="U4402" s="96" t="n"/>
      <c r="V4402" s="96" t="n"/>
      <c r="W4402" s="30" t="n"/>
      <c r="X4402" s="30" t="n"/>
      <c r="Y4402" s="30" t="n"/>
      <c r="Z4402" s="30" t="n"/>
      <c r="AA4402" s="30" t="n"/>
      <c r="AB4402" s="30" t="n"/>
      <c r="AC4402" s="30" t="n"/>
      <c r="AD4402" s="30" t="n"/>
      <c r="AE4402" s="30" t="n"/>
      <c r="AF4402" s="30" t="n"/>
      <c r="AG4402" s="30" t="n"/>
      <c r="AH4402" s="30" t="n"/>
      <c r="AI4402" s="30" t="n"/>
      <c r="AJ4402" s="30" t="n"/>
      <c r="AK4402" s="30" t="n"/>
      <c r="AL4402" s="30" t="n"/>
      <c r="AM4402" s="30" t="n"/>
      <c r="AN4402" s="30" t="n"/>
    </row>
    <row r="4403">
      <c r="A4403" s="89" t="inlineStr">
        <is>
          <t>05661XXX</t>
        </is>
      </c>
      <c r="B4403" s="135" t="inlineStr">
        <is>
          <t>TAVERNITI REM DAMA M/C</t>
        </is>
      </c>
      <c r="C4403" s="219" t="n">
        <v>39400</v>
      </c>
      <c r="D4403" s="219" t="n"/>
      <c r="E4403" s="219" t="n"/>
      <c r="F4403" s="219" t="n"/>
      <c r="G4403" s="219" t="n"/>
      <c r="H4403" s="219" t="n"/>
      <c r="I4403" s="219" t="n"/>
      <c r="J4403" s="219" t="n"/>
      <c r="K4403" s="219">
        <f>ROUND((N4403*C4403)/100,0)*100</f>
        <v/>
      </c>
      <c r="M4403" s="219" t="n"/>
      <c r="N4403" s="96" t="n">
        <v>1.15</v>
      </c>
      <c r="O4403" s="96" t="n"/>
      <c r="P4403" s="150" t="n"/>
      <c r="Q4403" s="96" t="n"/>
      <c r="R4403" s="150" t="n"/>
      <c r="S4403" s="96" t="n"/>
      <c r="T4403" s="150" t="n"/>
      <c r="U4403" s="96" t="n"/>
      <c r="V4403" s="96" t="n"/>
      <c r="W4403" s="30" t="n"/>
      <c r="X4403" s="30" t="n"/>
      <c r="Y4403" s="30" t="n"/>
      <c r="Z4403" s="30" t="n"/>
      <c r="AA4403" s="30" t="n"/>
      <c r="AB4403" s="30" t="n"/>
      <c r="AC4403" s="30" t="n"/>
      <c r="AD4403" s="30" t="n"/>
      <c r="AE4403" s="30" t="n"/>
      <c r="AF4403" s="30" t="n"/>
      <c r="AG4403" s="30" t="n"/>
      <c r="AH4403" s="30" t="n"/>
      <c r="AI4403" s="30" t="n"/>
      <c r="AJ4403" s="30" t="n"/>
      <c r="AK4403" s="30" t="n"/>
      <c r="AL4403" s="30" t="n"/>
      <c r="AM4403" s="30" t="n"/>
      <c r="AN4403" s="30" t="n"/>
    </row>
    <row r="4404">
      <c r="A4404" s="89" t="inlineStr">
        <is>
          <t>05663XXX</t>
        </is>
      </c>
      <c r="B4404" s="135" t="inlineStr">
        <is>
          <t>TAVERNITI REM DAMA M/C</t>
        </is>
      </c>
      <c r="C4404" s="219" t="n">
        <v>29600</v>
      </c>
      <c r="D4404" s="219" t="n"/>
      <c r="E4404" s="219" t="n"/>
      <c r="F4404" s="219" t="n"/>
      <c r="G4404" s="219" t="n"/>
      <c r="H4404" s="219" t="n"/>
      <c r="I4404" s="219" t="n"/>
      <c r="J4404" s="219" t="n"/>
      <c r="K4404" s="219">
        <f>ROUND((N4404*C4404)/100,0)*100</f>
        <v/>
      </c>
      <c r="M4404" s="219" t="n"/>
      <c r="N4404" s="96" t="n">
        <v>1.15</v>
      </c>
      <c r="O4404" s="96" t="n"/>
      <c r="P4404" s="150" t="n"/>
      <c r="Q4404" s="96" t="n"/>
      <c r="R4404" s="150" t="n"/>
      <c r="S4404" s="96" t="n"/>
      <c r="T4404" s="150" t="n"/>
      <c r="U4404" s="96" t="n"/>
      <c r="V4404" s="96" t="n"/>
      <c r="W4404" s="30" t="n"/>
      <c r="X4404" s="30" t="n"/>
      <c r="Y4404" s="30" t="n"/>
      <c r="Z4404" s="30" t="n"/>
      <c r="AA4404" s="30" t="n"/>
      <c r="AB4404" s="30" t="n"/>
      <c r="AC4404" s="30" t="n"/>
      <c r="AD4404" s="30" t="n"/>
      <c r="AE4404" s="30" t="n"/>
      <c r="AF4404" s="30" t="n"/>
      <c r="AG4404" s="30" t="n"/>
      <c r="AH4404" s="30" t="n"/>
      <c r="AI4404" s="30" t="n"/>
      <c r="AJ4404" s="30" t="n"/>
      <c r="AK4404" s="30" t="n"/>
      <c r="AL4404" s="30" t="n"/>
      <c r="AM4404" s="30" t="n"/>
      <c r="AN4404" s="30" t="n"/>
    </row>
    <row r="4405">
      <c r="A4405" s="89" t="inlineStr">
        <is>
          <t>05665XXX</t>
        </is>
      </c>
      <c r="B4405" s="135" t="inlineStr">
        <is>
          <t>TAVERNITI REM DAMA M/C</t>
        </is>
      </c>
      <c r="C4405" s="219" t="n">
        <v>29600</v>
      </c>
      <c r="D4405" s="219" t="n"/>
      <c r="E4405" s="219" t="n"/>
      <c r="F4405" s="219" t="n"/>
      <c r="G4405" s="219" t="n"/>
      <c r="H4405" s="219" t="n"/>
      <c r="I4405" s="219" t="n"/>
      <c r="J4405" s="219" t="n"/>
      <c r="K4405" s="219">
        <f>ROUND((N4405*C4405)/100,0)*100</f>
        <v/>
      </c>
      <c r="M4405" s="219" t="n"/>
      <c r="N4405" s="96" t="n">
        <v>1.15</v>
      </c>
      <c r="O4405" s="96" t="n"/>
      <c r="P4405" s="150" t="n"/>
      <c r="Q4405" s="96" t="n"/>
      <c r="R4405" s="150" t="n"/>
      <c r="S4405" s="96" t="n"/>
      <c r="T4405" s="150" t="n"/>
      <c r="U4405" s="96" t="n"/>
      <c r="V4405" s="96" t="n"/>
      <c r="W4405" s="30" t="n"/>
      <c r="X4405" s="30" t="n"/>
      <c r="Y4405" s="30" t="n"/>
      <c r="Z4405" s="30" t="n"/>
      <c r="AA4405" s="30" t="n"/>
      <c r="AB4405" s="30" t="n"/>
      <c r="AC4405" s="30" t="n"/>
      <c r="AD4405" s="30" t="n"/>
      <c r="AE4405" s="30" t="n"/>
      <c r="AF4405" s="30" t="n"/>
      <c r="AG4405" s="30" t="n"/>
      <c r="AH4405" s="30" t="n"/>
      <c r="AI4405" s="30" t="n"/>
      <c r="AJ4405" s="30" t="n"/>
      <c r="AK4405" s="30" t="n"/>
      <c r="AL4405" s="30" t="n"/>
      <c r="AM4405" s="30" t="n"/>
      <c r="AN4405" s="30" t="n"/>
    </row>
    <row r="4406">
      <c r="A4406" s="89" t="inlineStr">
        <is>
          <t>05871XXX</t>
        </is>
      </c>
      <c r="B4406" s="135" t="inlineStr">
        <is>
          <t>TAVERNITI REM DAMA M/C</t>
        </is>
      </c>
      <c r="C4406" s="88" t="n">
        <v>36800</v>
      </c>
      <c r="D4406" s="170" t="n"/>
      <c r="E4406" s="170" t="n"/>
      <c r="F4406" s="170" t="n"/>
      <c r="G4406" s="170" t="n"/>
      <c r="H4406" s="170" t="n"/>
      <c r="I4406" s="170" t="n"/>
      <c r="J4406" s="170" t="n"/>
      <c r="K4406" s="88">
        <f>ROUND((N4406*C4406)/100,0)*100</f>
        <v/>
      </c>
      <c r="L4406" s="30" t="n"/>
      <c r="M4406" s="170" t="n"/>
      <c r="N4406" s="96" t="n">
        <v>1.15</v>
      </c>
      <c r="O4406" s="30" t="n"/>
      <c r="P4406" s="170" t="n"/>
      <c r="Q4406" s="30" t="n"/>
      <c r="R4406" s="170" t="n"/>
      <c r="S4406" s="30" t="n"/>
      <c r="T4406" s="170" t="n"/>
      <c r="U4406" s="30" t="n"/>
      <c r="V4406" s="30" t="n"/>
      <c r="W4406" s="30" t="n"/>
      <c r="X4406" s="30" t="n"/>
      <c r="Y4406" s="30" t="n"/>
      <c r="Z4406" s="30" t="n"/>
      <c r="AA4406" s="30" t="n"/>
      <c r="AB4406" s="30" t="n"/>
      <c r="AC4406" s="30" t="n"/>
      <c r="AD4406" s="30" t="n"/>
      <c r="AE4406" s="30" t="n"/>
      <c r="AF4406" s="30" t="n"/>
      <c r="AG4406" s="30" t="n"/>
      <c r="AH4406" s="30" t="n"/>
      <c r="AI4406" s="30" t="n"/>
      <c r="AJ4406" s="30" t="n"/>
      <c r="AK4406" s="30" t="n"/>
      <c r="AL4406" s="30" t="n"/>
      <c r="AM4406" s="30" t="n"/>
      <c r="AN4406" s="30" t="n"/>
      <c r="AO4406" s="30" t="n"/>
    </row>
    <row r="4407">
      <c r="A4407" s="89" t="inlineStr">
        <is>
          <t>05873XXX</t>
        </is>
      </c>
      <c r="B4407" s="135" t="inlineStr">
        <is>
          <t>TAVERNITI REM DAMA M/C</t>
        </is>
      </c>
      <c r="C4407" s="88" t="n">
        <v>36800</v>
      </c>
      <c r="D4407" s="170" t="n"/>
      <c r="E4407" s="170" t="n"/>
      <c r="F4407" s="170" t="n"/>
      <c r="G4407" s="170" t="n"/>
      <c r="H4407" s="170" t="n"/>
      <c r="I4407" s="170" t="n"/>
      <c r="J4407" s="170" t="n"/>
      <c r="K4407" s="88">
        <f>ROUND((N4407*C4407)/100,0)*100</f>
        <v/>
      </c>
      <c r="L4407" s="30" t="n"/>
      <c r="M4407" s="170" t="n"/>
      <c r="N4407" s="96" t="n">
        <v>1.15</v>
      </c>
      <c r="O4407" s="30" t="n"/>
      <c r="P4407" s="170" t="n"/>
      <c r="Q4407" s="30" t="n"/>
      <c r="R4407" s="170" t="n"/>
      <c r="S4407" s="30" t="n"/>
      <c r="T4407" s="170" t="n"/>
      <c r="U4407" s="30" t="n"/>
      <c r="V4407" s="30" t="n"/>
      <c r="W4407" s="30" t="n"/>
      <c r="X4407" s="30" t="n"/>
      <c r="Y4407" s="30" t="n"/>
      <c r="Z4407" s="30" t="n"/>
      <c r="AA4407" s="30" t="n"/>
      <c r="AB4407" s="30" t="n"/>
      <c r="AC4407" s="30" t="n"/>
      <c r="AD4407" s="30" t="n"/>
      <c r="AE4407" s="30" t="n"/>
      <c r="AF4407" s="30" t="n"/>
      <c r="AG4407" s="30" t="n"/>
      <c r="AH4407" s="30" t="n"/>
      <c r="AI4407" s="30" t="n"/>
      <c r="AJ4407" s="30" t="n"/>
      <c r="AK4407" s="30" t="n"/>
      <c r="AL4407" s="30" t="n"/>
      <c r="AM4407" s="30" t="n"/>
      <c r="AN4407" s="30" t="n"/>
      <c r="AO4407" s="30" t="n"/>
    </row>
    <row r="4408">
      <c r="A4408" s="89" t="inlineStr">
        <is>
          <t>05875XXX</t>
        </is>
      </c>
      <c r="B4408" s="135" t="inlineStr">
        <is>
          <t>TAVERNITI REM DAMA M/C</t>
        </is>
      </c>
      <c r="C4408" s="88" t="n">
        <v>41500</v>
      </c>
      <c r="D4408" s="88" t="n"/>
      <c r="E4408" s="88" t="n"/>
      <c r="F4408" s="88" t="n"/>
      <c r="G4408" s="88" t="n"/>
      <c r="H4408" s="88" t="n"/>
      <c r="I4408" s="88" t="n"/>
      <c r="J4408" s="88" t="n"/>
      <c r="K4408" s="88">
        <f>ROUND((N4408*C4408)/100,0)*100</f>
        <v/>
      </c>
      <c r="L4408" s="30" t="n"/>
      <c r="M4408" s="88" t="n"/>
      <c r="N4408" s="96" t="n">
        <v>1.15</v>
      </c>
      <c r="O4408" s="30" t="n"/>
      <c r="P4408" s="170" t="n"/>
      <c r="Q4408" s="30" t="n"/>
      <c r="R4408" s="170" t="n"/>
      <c r="S4408" s="30" t="n"/>
      <c r="T4408" s="170" t="n"/>
      <c r="U4408" s="30" t="n"/>
      <c r="V4408" s="30" t="n"/>
      <c r="W4408" s="30" t="n"/>
      <c r="X4408" s="30" t="n"/>
      <c r="Y4408" s="30" t="n"/>
      <c r="Z4408" s="30" t="n"/>
      <c r="AA4408" s="30" t="n"/>
      <c r="AB4408" s="30" t="n"/>
      <c r="AC4408" s="30" t="n"/>
      <c r="AD4408" s="30" t="n"/>
      <c r="AE4408" s="30" t="n"/>
      <c r="AF4408" s="30" t="n"/>
      <c r="AG4408" s="30" t="n"/>
      <c r="AH4408" s="30" t="n"/>
      <c r="AI4408" s="30" t="n"/>
      <c r="AJ4408" s="30" t="n"/>
      <c r="AK4408" s="30" t="n"/>
      <c r="AL4408" s="30" t="n"/>
      <c r="AM4408" s="30" t="n"/>
      <c r="AN4408" s="30" t="n"/>
      <c r="AO4408" s="30" t="n"/>
    </row>
    <row r="4409">
      <c r="A4409" s="89" t="inlineStr">
        <is>
          <t>05879XXX</t>
        </is>
      </c>
      <c r="B4409" s="135" t="inlineStr">
        <is>
          <t>TAVERNITI REM DAMA M/C</t>
        </is>
      </c>
      <c r="C4409" s="88" t="n">
        <v>41500</v>
      </c>
      <c r="D4409" s="170" t="n"/>
      <c r="E4409" s="170" t="n"/>
      <c r="F4409" s="170" t="n"/>
      <c r="G4409" s="170" t="n"/>
      <c r="H4409" s="170" t="n"/>
      <c r="I4409" s="170" t="n"/>
      <c r="J4409" s="170" t="n"/>
      <c r="K4409" s="88">
        <f>ROUND((N4409*C4409)/100,0)*100</f>
        <v/>
      </c>
      <c r="L4409" s="30" t="n"/>
      <c r="M4409" s="170" t="n"/>
      <c r="N4409" s="96" t="n">
        <v>1.15</v>
      </c>
      <c r="O4409" s="30" t="n"/>
      <c r="P4409" s="170" t="n"/>
      <c r="Q4409" s="30" t="n"/>
      <c r="R4409" s="170" t="n"/>
      <c r="S4409" s="30" t="n"/>
      <c r="T4409" s="170" t="n"/>
      <c r="U4409" s="30" t="n"/>
      <c r="V4409" s="30" t="n"/>
      <c r="W4409" s="30" t="n"/>
      <c r="X4409" s="30" t="n"/>
      <c r="Y4409" s="30" t="n"/>
      <c r="Z4409" s="30" t="n"/>
      <c r="AA4409" s="30" t="n"/>
      <c r="AB4409" s="30" t="n"/>
      <c r="AC4409" s="30" t="n"/>
      <c r="AD4409" s="30" t="n"/>
      <c r="AE4409" s="30" t="n"/>
      <c r="AF4409" s="30" t="n"/>
      <c r="AG4409" s="30" t="n"/>
      <c r="AH4409" s="30" t="n"/>
      <c r="AI4409" s="30" t="n"/>
      <c r="AJ4409" s="30" t="n"/>
      <c r="AK4409" s="30" t="n"/>
      <c r="AL4409" s="30" t="n"/>
      <c r="AM4409" s="30" t="n"/>
      <c r="AN4409" s="30" t="n"/>
      <c r="AO4409" s="30" t="n"/>
    </row>
    <row r="4410">
      <c r="A4410" s="89" t="inlineStr">
        <is>
          <t>05885XXX</t>
        </is>
      </c>
      <c r="B4410" s="135" t="inlineStr">
        <is>
          <t>TAVERNITI REM DAMA M/C</t>
        </is>
      </c>
      <c r="C4410" s="88" t="n">
        <v>41700</v>
      </c>
      <c r="D4410" s="170" t="n"/>
      <c r="E4410" s="170" t="n"/>
      <c r="F4410" s="170" t="n"/>
      <c r="G4410" s="170" t="n"/>
      <c r="H4410" s="170" t="n"/>
      <c r="I4410" s="170" t="n"/>
      <c r="J4410" s="170" t="n"/>
      <c r="K4410" s="88">
        <f>ROUND((N4410*C4410)/100,0)*100</f>
        <v/>
      </c>
      <c r="L4410" s="30" t="n"/>
      <c r="M4410" s="170" t="n"/>
      <c r="N4410" s="96" t="n">
        <v>1.15</v>
      </c>
      <c r="O4410" s="30" t="n"/>
      <c r="P4410" s="170" t="n"/>
      <c r="Q4410" s="30" t="n"/>
      <c r="R4410" s="170" t="n"/>
      <c r="S4410" s="30" t="n"/>
      <c r="T4410" s="170" t="n"/>
      <c r="U4410" s="30" t="n"/>
      <c r="V4410" s="30" t="n"/>
      <c r="W4410" s="30" t="n"/>
      <c r="X4410" s="30" t="n"/>
      <c r="Y4410" s="30" t="n"/>
      <c r="Z4410" s="30" t="n"/>
      <c r="AA4410" s="30" t="n"/>
      <c r="AB4410" s="30" t="n"/>
      <c r="AC4410" s="30" t="n"/>
      <c r="AD4410" s="30" t="n"/>
      <c r="AE4410" s="30" t="n"/>
      <c r="AF4410" s="30" t="n"/>
      <c r="AG4410" s="30" t="n"/>
      <c r="AH4410" s="30" t="n"/>
      <c r="AI4410" s="30" t="n"/>
      <c r="AJ4410" s="30" t="n"/>
      <c r="AK4410" s="30" t="n"/>
      <c r="AL4410" s="30" t="n"/>
      <c r="AM4410" s="30" t="n"/>
      <c r="AN4410" s="30" t="n"/>
      <c r="AO4410" s="30" t="n"/>
    </row>
    <row r="4411">
      <c r="A4411" s="89" t="inlineStr">
        <is>
          <t>05897XXX</t>
        </is>
      </c>
      <c r="B4411" s="135" t="inlineStr">
        <is>
          <t>TAVERNITI REM DAMA M/C</t>
        </is>
      </c>
      <c r="C4411" s="88" t="n">
        <v>41300</v>
      </c>
      <c r="D4411" s="88" t="n"/>
      <c r="E4411" s="88" t="n"/>
      <c r="F4411" s="88" t="n"/>
      <c r="G4411" s="88" t="n"/>
      <c r="H4411" s="88" t="n"/>
      <c r="I4411" s="88" t="n"/>
      <c r="J4411" s="88" t="n"/>
      <c r="K4411" s="88">
        <f>ROUND((N4411*C4411)/100,0)*100</f>
        <v/>
      </c>
      <c r="L4411" s="30" t="n"/>
      <c r="M4411" s="88" t="n"/>
      <c r="N4411" s="96" t="n">
        <v>1.15</v>
      </c>
      <c r="O4411" s="30" t="n"/>
      <c r="P4411" s="170" t="n"/>
      <c r="Q4411" s="30" t="n"/>
      <c r="R4411" s="170" t="n"/>
      <c r="S4411" s="30" t="n"/>
      <c r="T4411" s="170" t="n"/>
      <c r="U4411" s="30" t="n"/>
      <c r="V4411" s="30" t="n"/>
      <c r="W4411" s="30" t="n"/>
      <c r="X4411" s="30" t="n"/>
      <c r="Y4411" s="30" t="n"/>
      <c r="Z4411" s="30" t="n"/>
      <c r="AA4411" s="30" t="n"/>
      <c r="AB4411" s="30" t="n"/>
      <c r="AC4411" s="30" t="n"/>
      <c r="AD4411" s="30" t="n"/>
      <c r="AE4411" s="30" t="n"/>
      <c r="AF4411" s="30" t="n"/>
      <c r="AG4411" s="30" t="n"/>
      <c r="AH4411" s="30" t="n"/>
      <c r="AI4411" s="30" t="n"/>
      <c r="AJ4411" s="30" t="n"/>
      <c r="AK4411" s="30" t="n"/>
      <c r="AL4411" s="30" t="n"/>
      <c r="AM4411" s="30" t="n"/>
      <c r="AN4411" s="30" t="n"/>
      <c r="AO4411" s="30" t="n"/>
    </row>
    <row r="4412">
      <c r="A4412" s="89" t="inlineStr">
        <is>
          <t>05959XXX</t>
        </is>
      </c>
      <c r="B4412" s="135" t="inlineStr">
        <is>
          <t>TAVERNITI REM DAMA M/C</t>
        </is>
      </c>
      <c r="C4412" s="88" t="n">
        <v>41300</v>
      </c>
      <c r="D4412" s="88" t="n"/>
      <c r="E4412" s="88" t="n"/>
      <c r="F4412" s="88" t="n"/>
      <c r="G4412" s="88" t="n"/>
      <c r="H4412" s="88" t="n"/>
      <c r="I4412" s="88" t="n"/>
      <c r="J4412" s="88" t="n"/>
      <c r="K4412" s="88">
        <f>ROUND((N4412*C4412)/100,0)*100</f>
        <v/>
      </c>
      <c r="L4412" s="30" t="n"/>
      <c r="M4412" s="88" t="n"/>
      <c r="N4412" s="96" t="n">
        <v>1.15</v>
      </c>
      <c r="O4412" s="30" t="n"/>
      <c r="P4412" s="170" t="n"/>
      <c r="Q4412" s="30" t="n"/>
      <c r="R4412" s="170" t="n"/>
      <c r="S4412" s="30" t="n"/>
      <c r="T4412" s="170" t="n"/>
      <c r="U4412" s="30" t="n"/>
      <c r="V4412" s="30" t="n"/>
      <c r="W4412" s="30" t="n"/>
      <c r="X4412" s="30" t="n"/>
      <c r="Y4412" s="30" t="n"/>
      <c r="Z4412" s="30" t="n"/>
      <c r="AA4412" s="30" t="n"/>
      <c r="AB4412" s="30" t="n"/>
      <c r="AC4412" s="30" t="n"/>
      <c r="AD4412" s="30" t="n"/>
      <c r="AE4412" s="30" t="n"/>
      <c r="AF4412" s="30" t="n"/>
      <c r="AG4412" s="30" t="n"/>
      <c r="AH4412" s="30" t="n"/>
      <c r="AI4412" s="30" t="n"/>
      <c r="AJ4412" s="30" t="n"/>
      <c r="AK4412" s="30" t="n"/>
      <c r="AL4412" s="30" t="n"/>
      <c r="AM4412" s="30" t="n"/>
      <c r="AN4412" s="30" t="n"/>
      <c r="AO4412" s="30" t="n"/>
    </row>
    <row r="4413">
      <c r="A4413" s="89" t="inlineStr">
        <is>
          <t>05965XXX</t>
        </is>
      </c>
      <c r="B4413" s="135" t="inlineStr">
        <is>
          <t>TAVERNITI REM DAMA M/C</t>
        </is>
      </c>
      <c r="C4413" s="88" t="n">
        <v>41800</v>
      </c>
      <c r="D4413" s="88" t="n"/>
      <c r="E4413" s="88" t="n"/>
      <c r="F4413" s="88" t="n"/>
      <c r="G4413" s="88" t="n"/>
      <c r="H4413" s="88" t="n"/>
      <c r="I4413" s="88" t="n"/>
      <c r="J4413" s="88" t="n"/>
      <c r="K4413" s="88">
        <f>ROUND((N4413*C4413)/100,0)*100</f>
        <v/>
      </c>
      <c r="L4413" s="30" t="n"/>
      <c r="M4413" s="88" t="n"/>
      <c r="N4413" s="96" t="n">
        <v>1.15</v>
      </c>
      <c r="O4413" s="30" t="n"/>
      <c r="P4413" s="170" t="n"/>
      <c r="Q4413" s="30" t="n"/>
      <c r="R4413" s="170" t="n"/>
      <c r="S4413" s="30" t="n"/>
      <c r="T4413" s="170" t="n"/>
      <c r="U4413" s="30" t="n"/>
      <c r="V4413" s="30" t="n"/>
      <c r="W4413" s="30" t="n"/>
      <c r="X4413" s="30" t="n"/>
      <c r="Y4413" s="30" t="n"/>
      <c r="Z4413" s="30" t="n"/>
      <c r="AA4413" s="30" t="n"/>
      <c r="AB4413" s="30" t="n"/>
      <c r="AC4413" s="30" t="n"/>
      <c r="AD4413" s="30" t="n"/>
      <c r="AE4413" s="30" t="n"/>
      <c r="AF4413" s="30" t="n"/>
      <c r="AG4413" s="30" t="n"/>
      <c r="AH4413" s="30" t="n"/>
      <c r="AI4413" s="30" t="n"/>
      <c r="AJ4413" s="30" t="n"/>
      <c r="AK4413" s="30" t="n"/>
      <c r="AL4413" s="30" t="n"/>
      <c r="AM4413" s="30" t="n"/>
      <c r="AN4413" s="30" t="n"/>
      <c r="AO4413" s="30" t="n"/>
    </row>
    <row r="4414">
      <c r="A4414" s="89" t="inlineStr">
        <is>
          <t>05981XXX</t>
        </is>
      </c>
      <c r="B4414" s="135" t="inlineStr">
        <is>
          <t>TAVERNITI REM DAMA M/C</t>
        </is>
      </c>
      <c r="C4414" s="219" t="n">
        <v>39400</v>
      </c>
      <c r="D4414" s="88" t="n"/>
      <c r="E4414" s="88" t="n"/>
      <c r="F4414" s="88" t="n"/>
      <c r="G4414" s="88" t="n"/>
      <c r="H4414" s="88" t="n"/>
      <c r="I4414" s="88" t="n"/>
      <c r="J4414" s="88" t="n"/>
      <c r="K4414" s="88">
        <f>ROUND((N4414*C4414)/100,0)*100</f>
        <v/>
      </c>
      <c r="L4414" s="30" t="n"/>
      <c r="M4414" s="88" t="n"/>
      <c r="N4414" s="96" t="n">
        <v>1.15</v>
      </c>
      <c r="O4414" s="30" t="n"/>
      <c r="P4414" s="170" t="n"/>
      <c r="Q4414" s="30" t="n"/>
      <c r="R4414" s="170" t="n"/>
      <c r="S4414" s="30" t="n"/>
      <c r="T4414" s="170" t="n"/>
      <c r="U4414" s="30" t="n"/>
      <c r="V4414" s="30" t="n"/>
      <c r="W4414" s="30" t="n"/>
      <c r="X4414" s="30" t="n"/>
      <c r="Y4414" s="30" t="n"/>
      <c r="Z4414" s="30" t="n"/>
      <c r="AA4414" s="30" t="n"/>
      <c r="AB4414" s="30" t="n"/>
      <c r="AC4414" s="30" t="n"/>
      <c r="AD4414" s="30" t="n"/>
      <c r="AE4414" s="30" t="n"/>
      <c r="AF4414" s="30" t="n"/>
      <c r="AG4414" s="30" t="n"/>
      <c r="AH4414" s="30" t="n"/>
      <c r="AI4414" s="30" t="n"/>
      <c r="AJ4414" s="30" t="n"/>
      <c r="AK4414" s="30" t="n"/>
      <c r="AL4414" s="30" t="n"/>
      <c r="AM4414" s="30" t="n"/>
      <c r="AN4414" s="30" t="n"/>
      <c r="AO4414" s="30" t="n"/>
    </row>
    <row r="4415">
      <c r="A4415" s="89" t="inlineStr">
        <is>
          <t>05983XXX</t>
        </is>
      </c>
      <c r="B4415" s="135" t="inlineStr">
        <is>
          <t>TAVERNITI REM DAMA M/C</t>
        </is>
      </c>
      <c r="C4415" s="219" t="n">
        <v>39400</v>
      </c>
      <c r="D4415" s="219" t="n"/>
      <c r="E4415" s="219" t="n"/>
      <c r="F4415" s="219" t="n"/>
      <c r="G4415" s="219" t="n"/>
      <c r="H4415" s="219" t="n"/>
      <c r="I4415" s="219" t="n"/>
      <c r="J4415" s="219" t="n"/>
      <c r="K4415" s="219">
        <f>ROUND((N4415*C4415)/100,0)*100</f>
        <v/>
      </c>
      <c r="M4415" s="219" t="n"/>
      <c r="N4415" s="96" t="n">
        <v>1.15</v>
      </c>
      <c r="O4415" s="96" t="n"/>
      <c r="P4415" s="150" t="n"/>
      <c r="Q4415" s="96" t="n"/>
      <c r="R4415" s="150" t="n"/>
      <c r="S4415" s="96" t="n"/>
      <c r="T4415" s="150" t="n"/>
      <c r="U4415" s="96" t="n"/>
      <c r="V4415" s="96" t="n"/>
      <c r="W4415" s="30" t="n"/>
      <c r="X4415" s="30" t="n"/>
      <c r="Y4415" s="30" t="n"/>
      <c r="Z4415" s="30" t="n"/>
      <c r="AA4415" s="30" t="n"/>
      <c r="AB4415" s="30" t="n"/>
      <c r="AC4415" s="30" t="n"/>
      <c r="AD4415" s="30" t="n"/>
      <c r="AE4415" s="30" t="n"/>
      <c r="AF4415" s="30" t="n"/>
      <c r="AG4415" s="30" t="n"/>
      <c r="AH4415" s="30" t="n"/>
      <c r="AI4415" s="30" t="n"/>
      <c r="AJ4415" s="30" t="n"/>
      <c r="AK4415" s="30" t="n"/>
      <c r="AL4415" s="30" t="n"/>
      <c r="AM4415" s="30" t="n"/>
      <c r="AN4415" s="30" t="n"/>
    </row>
    <row r="4416">
      <c r="A4416" s="89" t="inlineStr">
        <is>
          <t>05985XXX</t>
        </is>
      </c>
      <c r="B4416" s="135" t="inlineStr">
        <is>
          <t>TAVERNITI REM DAMA M/C</t>
        </is>
      </c>
      <c r="C4416" s="219" t="n">
        <v>39400</v>
      </c>
      <c r="D4416" s="219" t="n"/>
      <c r="E4416" s="219" t="n"/>
      <c r="F4416" s="219" t="n"/>
      <c r="G4416" s="219" t="n"/>
      <c r="H4416" s="219" t="n"/>
      <c r="I4416" s="219" t="n"/>
      <c r="J4416" s="219" t="n"/>
      <c r="K4416" s="219">
        <f>ROUND((N4416*C4416)/100,0)*100</f>
        <v/>
      </c>
      <c r="M4416" s="219" t="n"/>
      <c r="N4416" s="96" t="n">
        <v>1.15</v>
      </c>
      <c r="O4416" s="96" t="n"/>
      <c r="P4416" s="150" t="n"/>
      <c r="Q4416" s="96" t="n"/>
      <c r="R4416" s="150" t="n"/>
      <c r="S4416" s="96" t="n"/>
      <c r="T4416" s="150" t="n"/>
      <c r="U4416" s="96" t="n"/>
      <c r="V4416" s="96" t="n"/>
      <c r="W4416" s="30" t="n"/>
      <c r="X4416" s="30" t="n"/>
      <c r="Y4416" s="30" t="n"/>
      <c r="Z4416" s="30" t="n"/>
      <c r="AA4416" s="30" t="n"/>
      <c r="AB4416" s="30" t="n"/>
      <c r="AC4416" s="30" t="n"/>
      <c r="AD4416" s="30" t="n"/>
      <c r="AE4416" s="30" t="n"/>
      <c r="AF4416" s="30" t="n"/>
      <c r="AG4416" s="30" t="n"/>
      <c r="AH4416" s="30" t="n"/>
      <c r="AI4416" s="30" t="n"/>
      <c r="AJ4416" s="30" t="n"/>
      <c r="AK4416" s="30" t="n"/>
      <c r="AL4416" s="30" t="n"/>
      <c r="AM4416" s="30" t="n"/>
      <c r="AN4416" s="30" t="n"/>
    </row>
    <row r="4417">
      <c r="A4417" s="89" t="inlineStr">
        <is>
          <t>05989XXX</t>
        </is>
      </c>
      <c r="B4417" s="135" t="inlineStr">
        <is>
          <t>TAVERNITI REM DAMA M/C</t>
        </is>
      </c>
      <c r="C4417" s="219" t="n">
        <v>39200</v>
      </c>
      <c r="D4417" s="219" t="n"/>
      <c r="E4417" s="219" t="n"/>
      <c r="F4417" s="219" t="n"/>
      <c r="G4417" s="219" t="n"/>
      <c r="H4417" s="219" t="n"/>
      <c r="I4417" s="219" t="n"/>
      <c r="J4417" s="219" t="n"/>
      <c r="K4417" s="219">
        <f>ROUND((N4417*C4417)/100,0)*100</f>
        <v/>
      </c>
      <c r="M4417" s="219" t="n"/>
      <c r="N4417" s="96" t="n">
        <v>1.15</v>
      </c>
      <c r="O4417" s="96" t="n"/>
      <c r="P4417" s="150" t="n"/>
      <c r="Q4417" s="96" t="n"/>
      <c r="R4417" s="150" t="n"/>
      <c r="S4417" s="96" t="n"/>
      <c r="T4417" s="150" t="n"/>
      <c r="U4417" s="96" t="n"/>
      <c r="V4417" s="96" t="n"/>
      <c r="W4417" s="30" t="n"/>
      <c r="X4417" s="30" t="n"/>
      <c r="Y4417" s="30" t="n"/>
      <c r="Z4417" s="30" t="n"/>
      <c r="AA4417" s="30" t="n"/>
      <c r="AB4417" s="30" t="n"/>
      <c r="AC4417" s="30" t="n"/>
      <c r="AD4417" s="30" t="n"/>
      <c r="AE4417" s="30" t="n"/>
      <c r="AF4417" s="30" t="n"/>
      <c r="AG4417" s="30" t="n"/>
      <c r="AH4417" s="30" t="n"/>
      <c r="AI4417" s="30" t="n"/>
      <c r="AJ4417" s="30" t="n"/>
      <c r="AK4417" s="30" t="n"/>
      <c r="AL4417" s="30" t="n"/>
      <c r="AM4417" s="30" t="n"/>
      <c r="AN4417" s="30" t="n"/>
    </row>
    <row r="4418">
      <c r="A4418" s="89" t="inlineStr">
        <is>
          <t>05993XXX</t>
        </is>
      </c>
      <c r="B4418" s="135" t="inlineStr">
        <is>
          <t>TAVERNITI REM DAMA M/C</t>
        </is>
      </c>
      <c r="C4418" s="219" t="n">
        <v>51000</v>
      </c>
      <c r="D4418" s="219" t="n"/>
      <c r="E4418" s="219" t="n"/>
      <c r="F4418" s="219" t="n"/>
      <c r="G4418" s="219" t="n"/>
      <c r="H4418" s="219" t="n"/>
      <c r="I4418" s="219" t="n"/>
      <c r="J4418" s="219" t="n"/>
      <c r="K4418" s="219">
        <f>ROUND((N4418*C4418)/100,0)*100</f>
        <v/>
      </c>
      <c r="M4418" s="219" t="n"/>
      <c r="N4418" s="96" t="n">
        <v>1.15</v>
      </c>
      <c r="O4418" s="96" t="n"/>
      <c r="P4418" s="150" t="n"/>
      <c r="Q4418" s="96" t="n"/>
      <c r="R4418" s="150" t="n"/>
      <c r="S4418" s="96" t="n"/>
      <c r="T4418" s="150" t="n"/>
      <c r="U4418" s="96" t="n"/>
      <c r="V4418" s="96" t="n"/>
      <c r="W4418" s="30" t="n"/>
      <c r="X4418" s="30" t="n"/>
      <c r="Y4418" s="30" t="n"/>
      <c r="Z4418" s="30" t="n"/>
      <c r="AA4418" s="30" t="n"/>
      <c r="AB4418" s="30" t="n"/>
      <c r="AC4418" s="30" t="n"/>
      <c r="AD4418" s="30" t="n"/>
      <c r="AE4418" s="30" t="n"/>
      <c r="AF4418" s="30" t="n"/>
      <c r="AG4418" s="30" t="n"/>
      <c r="AH4418" s="30" t="n"/>
      <c r="AI4418" s="30" t="n"/>
      <c r="AJ4418" s="30" t="n"/>
      <c r="AK4418" s="30" t="n"/>
      <c r="AL4418" s="30" t="n"/>
      <c r="AM4418" s="30" t="n"/>
      <c r="AN4418" s="30" t="n"/>
    </row>
    <row r="4419">
      <c r="A4419" s="89" t="inlineStr">
        <is>
          <t>06025XXX</t>
        </is>
      </c>
      <c r="B4419" s="135" t="inlineStr">
        <is>
          <t>TAVERNITI REM DAMA M/C</t>
        </is>
      </c>
      <c r="C4419" s="88" t="n">
        <v>37600</v>
      </c>
      <c r="D4419" s="88" t="n"/>
      <c r="E4419" s="88" t="n"/>
      <c r="F4419" s="88" t="n"/>
      <c r="G4419" s="88" t="n"/>
      <c r="H4419" s="88" t="n"/>
      <c r="I4419" s="88" t="n"/>
      <c r="J4419" s="88" t="n"/>
      <c r="K4419" s="88">
        <f>ROUND((N4419*C4419)/100,0)*100</f>
        <v/>
      </c>
      <c r="L4419" s="30" t="n"/>
      <c r="M4419" s="88" t="n"/>
      <c r="N4419" s="96" t="n">
        <v>1.15</v>
      </c>
      <c r="O4419" s="30" t="n"/>
      <c r="P4419" s="170" t="n"/>
      <c r="Q4419" s="30" t="n"/>
      <c r="R4419" s="170" t="n"/>
      <c r="S4419" s="30" t="n"/>
      <c r="T4419" s="170" t="n"/>
      <c r="U4419" s="30" t="n"/>
      <c r="V4419" s="30" t="n"/>
      <c r="W4419" s="30" t="n"/>
      <c r="X4419" s="30" t="n"/>
      <c r="Y4419" s="30" t="n"/>
      <c r="Z4419" s="30" t="n"/>
      <c r="AA4419" s="30" t="n"/>
      <c r="AB4419" s="30" t="n"/>
      <c r="AC4419" s="30" t="n"/>
      <c r="AD4419" s="30" t="n"/>
      <c r="AE4419" s="30" t="n"/>
      <c r="AF4419" s="30" t="n"/>
      <c r="AG4419" s="30" t="n"/>
      <c r="AH4419" s="30" t="n"/>
      <c r="AI4419" s="30" t="n"/>
      <c r="AJ4419" s="30" t="n"/>
      <c r="AK4419" s="30" t="n"/>
      <c r="AL4419" s="30" t="n"/>
      <c r="AM4419" s="30" t="n"/>
      <c r="AN4419" s="30" t="n"/>
      <c r="AO4419" s="30" t="n"/>
    </row>
    <row r="4420">
      <c r="A4420" s="89" t="inlineStr">
        <is>
          <t>06049XXX</t>
        </is>
      </c>
      <c r="B4420" s="135" t="inlineStr">
        <is>
          <t>TAVERNITI REM DAMA M/C</t>
        </is>
      </c>
      <c r="C4420" s="88" t="n">
        <v>37800</v>
      </c>
      <c r="D4420" s="88" t="n"/>
      <c r="E4420" s="88" t="n"/>
      <c r="F4420" s="88" t="n"/>
      <c r="G4420" s="88" t="n"/>
      <c r="H4420" s="88" t="n"/>
      <c r="I4420" s="88" t="n"/>
      <c r="J4420" s="88" t="n"/>
      <c r="K4420" s="88">
        <f>ROUND((N4420*C4420)/100,0)*100</f>
        <v/>
      </c>
      <c r="L4420" s="30" t="n"/>
      <c r="M4420" s="88" t="n"/>
      <c r="N4420" s="96" t="n">
        <v>1.15</v>
      </c>
      <c r="O4420" s="30" t="n"/>
      <c r="P4420" s="170" t="n"/>
      <c r="Q4420" s="30" t="n"/>
      <c r="R4420" s="170" t="n"/>
      <c r="S4420" s="30" t="n"/>
      <c r="T4420" s="170" t="n"/>
      <c r="U4420" s="30" t="n"/>
      <c r="V4420" s="30" t="n"/>
      <c r="W4420" s="30" t="n"/>
      <c r="X4420" s="30" t="n"/>
      <c r="Y4420" s="30" t="n"/>
      <c r="Z4420" s="30" t="n"/>
      <c r="AA4420" s="30" t="n"/>
      <c r="AB4420" s="30" t="n"/>
      <c r="AC4420" s="30" t="n"/>
      <c r="AD4420" s="30" t="n"/>
      <c r="AE4420" s="30" t="n"/>
      <c r="AF4420" s="30" t="n"/>
      <c r="AG4420" s="30" t="n"/>
      <c r="AH4420" s="30" t="n"/>
      <c r="AI4420" s="30" t="n"/>
      <c r="AJ4420" s="30" t="n"/>
      <c r="AK4420" s="30" t="n"/>
      <c r="AL4420" s="30" t="n"/>
      <c r="AM4420" s="30" t="n"/>
      <c r="AN4420" s="30" t="n"/>
      <c r="AO4420" s="30" t="n"/>
    </row>
    <row r="4421">
      <c r="A4421" s="89" t="inlineStr">
        <is>
          <t>06053XXX</t>
        </is>
      </c>
      <c r="B4421" s="135" t="inlineStr">
        <is>
          <t>TAVERNITI REM DAMA M/C</t>
        </is>
      </c>
      <c r="C4421" s="88" t="n">
        <v>40600</v>
      </c>
      <c r="D4421" s="88" t="n"/>
      <c r="E4421" s="88" t="n"/>
      <c r="F4421" s="88" t="n"/>
      <c r="G4421" s="88" t="n"/>
      <c r="H4421" s="88" t="n"/>
      <c r="I4421" s="88" t="n"/>
      <c r="J4421" s="88" t="n"/>
      <c r="K4421" s="88">
        <f>ROUND((N4421*C4421)/100,0)*100</f>
        <v/>
      </c>
      <c r="L4421" s="30" t="n"/>
      <c r="M4421" s="88" t="n"/>
      <c r="N4421" s="96" t="n">
        <v>1.15</v>
      </c>
      <c r="O4421" s="30" t="n"/>
      <c r="P4421" s="170" t="n"/>
      <c r="Q4421" s="30" t="n"/>
      <c r="R4421" s="170" t="n"/>
      <c r="S4421" s="30" t="n"/>
      <c r="T4421" s="170" t="n"/>
      <c r="U4421" s="30" t="n"/>
      <c r="V4421" s="30" t="n"/>
      <c r="W4421" s="30" t="n"/>
      <c r="X4421" s="30" t="n"/>
      <c r="Y4421" s="30" t="n"/>
      <c r="Z4421" s="30" t="n"/>
      <c r="AA4421" s="30" t="n"/>
      <c r="AB4421" s="30" t="n"/>
      <c r="AC4421" s="30" t="n"/>
      <c r="AD4421" s="30" t="n"/>
      <c r="AE4421" s="30" t="n"/>
      <c r="AF4421" s="30" t="n"/>
      <c r="AG4421" s="30" t="n"/>
      <c r="AH4421" s="30" t="n"/>
      <c r="AI4421" s="30" t="n"/>
      <c r="AJ4421" s="30" t="n"/>
      <c r="AK4421" s="30" t="n"/>
      <c r="AL4421" s="30" t="n"/>
      <c r="AM4421" s="30" t="n"/>
      <c r="AN4421" s="30" t="n"/>
      <c r="AO4421" s="30" t="n"/>
    </row>
    <row r="4422">
      <c r="A4422" s="89" t="inlineStr">
        <is>
          <t>06121XXX</t>
        </is>
      </c>
      <c r="B4422" s="135" t="inlineStr">
        <is>
          <t>TAVERNITI REM DAMA M/C</t>
        </is>
      </c>
      <c r="C4422" s="88" t="n">
        <v>41100</v>
      </c>
      <c r="D4422" s="88" t="n"/>
      <c r="E4422" s="88" t="n"/>
      <c r="F4422" s="88" t="n"/>
      <c r="G4422" s="88" t="n"/>
      <c r="H4422" s="88" t="n"/>
      <c r="I4422" s="88" t="n"/>
      <c r="J4422" s="88" t="n"/>
      <c r="K4422" s="88">
        <f>ROUND((N4422*C4422)/100,0)*100</f>
        <v/>
      </c>
      <c r="L4422" s="30" t="n"/>
      <c r="M4422" s="88" t="n"/>
      <c r="N4422" s="96" t="n">
        <v>1.15</v>
      </c>
      <c r="O4422" s="30" t="n"/>
      <c r="P4422" s="170" t="n"/>
      <c r="Q4422" s="30" t="n"/>
      <c r="R4422" s="170" t="n"/>
      <c r="S4422" s="30" t="n"/>
      <c r="T4422" s="170" t="n"/>
      <c r="U4422" s="30" t="n"/>
      <c r="V4422" s="30" t="n"/>
      <c r="W4422" s="30" t="n"/>
      <c r="X4422" s="30" t="n"/>
      <c r="Y4422" s="30" t="n"/>
      <c r="Z4422" s="30" t="n"/>
      <c r="AA4422" s="30" t="n"/>
      <c r="AB4422" s="30" t="n"/>
      <c r="AC4422" s="30" t="n"/>
      <c r="AD4422" s="30" t="n"/>
      <c r="AE4422" s="30" t="n"/>
      <c r="AF4422" s="30" t="n"/>
      <c r="AG4422" s="30" t="n"/>
      <c r="AH4422" s="30" t="n"/>
      <c r="AI4422" s="30" t="n"/>
      <c r="AJ4422" s="30" t="n"/>
      <c r="AK4422" s="30" t="n"/>
      <c r="AL4422" s="30" t="n"/>
      <c r="AM4422" s="30" t="n"/>
      <c r="AN4422" s="30" t="n"/>
      <c r="AO4422" s="30" t="n"/>
    </row>
    <row r="4423">
      <c r="A4423" s="89" t="inlineStr">
        <is>
          <t>06161XXX</t>
        </is>
      </c>
      <c r="B4423" s="135" t="inlineStr">
        <is>
          <t>TAVERNITI REM DAMA M/C</t>
        </is>
      </c>
      <c r="C4423" s="88" t="n">
        <v>33200</v>
      </c>
      <c r="D4423" s="170" t="n"/>
      <c r="E4423" s="170" t="n"/>
      <c r="F4423" s="170" t="n"/>
      <c r="G4423" s="170" t="n"/>
      <c r="H4423" s="170" t="n"/>
      <c r="I4423" s="170" t="n"/>
      <c r="J4423" s="170" t="n"/>
      <c r="K4423" s="88">
        <f>ROUND((N4423*C4423)/100,0)*100</f>
        <v/>
      </c>
      <c r="L4423" s="30" t="n"/>
      <c r="M4423" s="170" t="n"/>
      <c r="N4423" s="96" t="n">
        <v>1.15</v>
      </c>
      <c r="O4423" s="30" t="n"/>
      <c r="P4423" s="170" t="n"/>
      <c r="Q4423" s="30" t="n"/>
      <c r="R4423" s="170" t="n"/>
      <c r="S4423" s="30" t="n"/>
      <c r="T4423" s="170" t="n"/>
      <c r="U4423" s="30" t="n"/>
      <c r="V4423" s="30" t="n"/>
      <c r="W4423" s="30" t="n"/>
      <c r="X4423" s="30" t="n"/>
      <c r="Y4423" s="30" t="n"/>
      <c r="Z4423" s="30" t="n"/>
      <c r="AA4423" s="30" t="n"/>
      <c r="AB4423" s="30" t="n"/>
      <c r="AC4423" s="30" t="n"/>
      <c r="AD4423" s="30" t="n"/>
      <c r="AE4423" s="30" t="n"/>
      <c r="AF4423" s="30" t="n"/>
      <c r="AG4423" s="30" t="n"/>
      <c r="AH4423" s="30" t="n"/>
      <c r="AI4423" s="30" t="n"/>
      <c r="AJ4423" s="30" t="n"/>
      <c r="AK4423" s="30" t="n"/>
      <c r="AL4423" s="30" t="n"/>
      <c r="AM4423" s="30" t="n"/>
      <c r="AN4423" s="30" t="n"/>
      <c r="AO4423" s="30" t="n"/>
    </row>
    <row r="4424">
      <c r="A4424" s="89" t="inlineStr">
        <is>
          <t>06177XXX</t>
        </is>
      </c>
      <c r="B4424" s="135" t="inlineStr">
        <is>
          <t>TAVERNITI REM DAMA M/C</t>
        </is>
      </c>
      <c r="C4424" s="88" t="n">
        <v>34800</v>
      </c>
      <c r="D4424" s="88" t="n"/>
      <c r="E4424" s="88" t="n"/>
      <c r="F4424" s="88" t="n"/>
      <c r="G4424" s="88" t="n"/>
      <c r="H4424" s="88" t="n"/>
      <c r="I4424" s="88" t="n"/>
      <c r="J4424" s="88" t="n"/>
      <c r="K4424" s="88">
        <f>ROUND((N4424*C4424)/100,0)*100</f>
        <v/>
      </c>
      <c r="L4424" s="30" t="n"/>
      <c r="M4424" s="88" t="n"/>
      <c r="N4424" s="96" t="n">
        <v>1.15</v>
      </c>
      <c r="O4424" s="30" t="n"/>
      <c r="P4424" s="170" t="n"/>
      <c r="Q4424" s="30" t="n"/>
      <c r="R4424" s="170" t="n"/>
      <c r="S4424" s="30" t="n"/>
      <c r="T4424" s="170" t="n"/>
      <c r="U4424" s="30" t="n"/>
      <c r="V4424" s="30" t="n"/>
      <c r="W4424" s="30" t="n"/>
      <c r="X4424" s="30" t="n"/>
      <c r="Y4424" s="30" t="n"/>
      <c r="Z4424" s="30" t="n"/>
      <c r="AA4424" s="30" t="n"/>
      <c r="AB4424" s="30" t="n"/>
      <c r="AC4424" s="30" t="n"/>
      <c r="AD4424" s="30" t="n"/>
      <c r="AE4424" s="30" t="n"/>
      <c r="AF4424" s="30" t="n"/>
      <c r="AG4424" s="30" t="n"/>
      <c r="AH4424" s="30" t="n"/>
      <c r="AI4424" s="30" t="n"/>
      <c r="AJ4424" s="30" t="n"/>
      <c r="AK4424" s="30" t="n"/>
      <c r="AL4424" s="30" t="n"/>
      <c r="AM4424" s="30" t="n"/>
      <c r="AN4424" s="30" t="n"/>
      <c r="AO4424" s="30" t="n"/>
    </row>
    <row r="4425">
      <c r="A4425" s="89" t="inlineStr">
        <is>
          <t>06199XXX</t>
        </is>
      </c>
      <c r="B4425" s="135" t="inlineStr">
        <is>
          <t>TAVERNITI REM DAMA M/C</t>
        </is>
      </c>
      <c r="C4425" s="88" t="n">
        <v>33900</v>
      </c>
      <c r="D4425" s="88" t="n"/>
      <c r="E4425" s="88" t="n"/>
      <c r="F4425" s="88" t="n"/>
      <c r="G4425" s="88" t="n"/>
      <c r="H4425" s="88" t="n"/>
      <c r="I4425" s="88" t="n"/>
      <c r="J4425" s="88" t="n"/>
      <c r="K4425" s="88">
        <f>ROUND((N4425*C4425)/100,0)*100</f>
        <v/>
      </c>
      <c r="L4425" s="30" t="n"/>
      <c r="M4425" s="88" t="n"/>
      <c r="N4425" s="96" t="n">
        <v>1.15</v>
      </c>
      <c r="O4425" s="30" t="n"/>
      <c r="P4425" s="170" t="n"/>
      <c r="Q4425" s="30" t="n"/>
      <c r="R4425" s="170" t="n"/>
      <c r="S4425" s="30" t="n"/>
      <c r="T4425" s="170" t="n"/>
      <c r="U4425" s="30" t="n"/>
      <c r="V4425" s="30" t="n"/>
      <c r="W4425" s="30" t="n"/>
      <c r="X4425" s="30" t="n"/>
      <c r="Y4425" s="30" t="n"/>
      <c r="Z4425" s="30" t="n"/>
      <c r="AA4425" s="30" t="n"/>
      <c r="AB4425" s="30" t="n"/>
      <c r="AC4425" s="30" t="n"/>
      <c r="AD4425" s="30" t="n"/>
      <c r="AE4425" s="30" t="n"/>
      <c r="AF4425" s="30" t="n"/>
      <c r="AG4425" s="30" t="n"/>
      <c r="AH4425" s="30" t="n"/>
      <c r="AI4425" s="30" t="n"/>
      <c r="AJ4425" s="30" t="n"/>
      <c r="AK4425" s="30" t="n"/>
      <c r="AL4425" s="30" t="n"/>
      <c r="AM4425" s="30" t="n"/>
      <c r="AN4425" s="30" t="n"/>
      <c r="AO4425" s="30" t="n"/>
    </row>
    <row r="4426">
      <c r="A4426" s="89" t="inlineStr">
        <is>
          <t>06207XXX</t>
        </is>
      </c>
      <c r="B4426" s="135" t="inlineStr">
        <is>
          <t>TAVERNITI REM DAMA M/C</t>
        </is>
      </c>
      <c r="C4426" s="88" t="n">
        <v>29700</v>
      </c>
      <c r="D4426" s="170" t="n"/>
      <c r="E4426" s="170" t="n"/>
      <c r="F4426" s="170" t="n"/>
      <c r="G4426" s="170" t="n"/>
      <c r="H4426" s="170" t="n"/>
      <c r="I4426" s="170" t="n"/>
      <c r="J4426" s="170" t="n"/>
      <c r="K4426" s="88">
        <f>ROUND((N4426*C4426)/100,0)*100</f>
        <v/>
      </c>
      <c r="L4426" s="30" t="n"/>
      <c r="M4426" s="170" t="n"/>
      <c r="N4426" s="96" t="n">
        <v>1.15</v>
      </c>
      <c r="O4426" s="30" t="n"/>
      <c r="P4426" s="170" t="n"/>
      <c r="Q4426" s="30" t="n"/>
      <c r="R4426" s="170" t="n"/>
      <c r="S4426" s="30" t="n"/>
      <c r="T4426" s="170" t="n"/>
      <c r="U4426" s="30" t="n"/>
      <c r="V4426" s="30" t="n"/>
      <c r="W4426" s="30" t="n"/>
      <c r="X4426" s="30" t="n"/>
      <c r="Y4426" s="30" t="n"/>
      <c r="Z4426" s="30" t="n"/>
      <c r="AA4426" s="30" t="n"/>
      <c r="AB4426" s="30" t="n"/>
      <c r="AC4426" s="30" t="n"/>
      <c r="AD4426" s="30" t="n"/>
      <c r="AE4426" s="30" t="n"/>
      <c r="AF4426" s="30" t="n"/>
      <c r="AG4426" s="30" t="n"/>
      <c r="AH4426" s="30" t="n"/>
      <c r="AI4426" s="30" t="n"/>
      <c r="AJ4426" s="30" t="n"/>
      <c r="AK4426" s="30" t="n"/>
      <c r="AL4426" s="30" t="n"/>
      <c r="AM4426" s="30" t="n"/>
      <c r="AN4426" s="30" t="n"/>
      <c r="AO4426" s="30" t="n"/>
    </row>
    <row r="4427">
      <c r="A4427" s="89" t="inlineStr">
        <is>
          <t>08047XXX</t>
        </is>
      </c>
      <c r="B4427" s="135" t="inlineStr">
        <is>
          <t>TAVERNITI REM DAMA M/C</t>
        </is>
      </c>
      <c r="C4427" s="88" t="n">
        <v>38500</v>
      </c>
      <c r="D4427" s="170" t="n"/>
      <c r="E4427" s="170" t="n"/>
      <c r="F4427" s="170" t="n"/>
      <c r="G4427" s="170" t="n"/>
      <c r="H4427" s="170" t="n"/>
      <c r="I4427" s="170" t="n"/>
      <c r="J4427" s="170" t="n"/>
      <c r="K4427" s="88">
        <f>ROUND((N4427*C4427)/100,0)*100</f>
        <v/>
      </c>
      <c r="L4427" s="30" t="n"/>
      <c r="M4427" s="170" t="n"/>
      <c r="N4427" s="96" t="n">
        <v>1.15</v>
      </c>
      <c r="O4427" s="30" t="n"/>
      <c r="P4427" s="170" t="n"/>
      <c r="Q4427" s="30" t="n"/>
      <c r="R4427" s="170" t="n"/>
      <c r="S4427" s="30" t="n"/>
      <c r="T4427" s="170" t="n"/>
      <c r="U4427" s="30" t="n"/>
      <c r="V4427" s="30" t="n"/>
      <c r="W4427" s="30" t="n"/>
      <c r="X4427" s="30" t="n"/>
      <c r="Y4427" s="30" t="n"/>
      <c r="Z4427" s="30" t="n"/>
      <c r="AA4427" s="30" t="n"/>
      <c r="AB4427" s="30" t="n"/>
      <c r="AC4427" s="30" t="n"/>
      <c r="AD4427" s="30" t="n"/>
      <c r="AE4427" s="30" t="n"/>
      <c r="AF4427" s="30" t="n"/>
      <c r="AG4427" s="30" t="n"/>
      <c r="AH4427" s="30" t="n"/>
      <c r="AI4427" s="30" t="n"/>
      <c r="AJ4427" s="30" t="n"/>
      <c r="AK4427" s="30" t="n"/>
      <c r="AL4427" s="30" t="n"/>
      <c r="AM4427" s="30" t="n"/>
      <c r="AN4427" s="30" t="n"/>
      <c r="AO4427" s="30" t="n"/>
    </row>
    <row r="4428">
      <c r="A4428" s="89" t="inlineStr">
        <is>
          <t>08117XXX</t>
        </is>
      </c>
      <c r="B4428" s="135" t="inlineStr">
        <is>
          <t>TAVERNITI REM DAMA M/C</t>
        </is>
      </c>
      <c r="C4428" s="88" t="n">
        <v>44400</v>
      </c>
      <c r="D4428" s="170" t="n"/>
      <c r="E4428" s="170" t="n"/>
      <c r="F4428" s="170" t="n"/>
      <c r="G4428" s="170" t="n"/>
      <c r="H4428" s="170" t="n"/>
      <c r="I4428" s="170" t="n"/>
      <c r="J4428" s="170" t="n"/>
      <c r="K4428" s="88">
        <f>ROUND((N4428*C4428)/100,0)*100</f>
        <v/>
      </c>
      <c r="L4428" s="30" t="n"/>
      <c r="M4428" s="170" t="n"/>
      <c r="N4428" s="96" t="n">
        <v>1.15</v>
      </c>
      <c r="O4428" s="30" t="n"/>
      <c r="P4428" s="170" t="n"/>
      <c r="Q4428" s="30" t="n"/>
      <c r="R4428" s="170" t="n"/>
      <c r="S4428" s="30" t="n"/>
      <c r="T4428" s="170" t="n"/>
      <c r="U4428" s="30" t="n"/>
      <c r="V4428" s="30" t="n"/>
      <c r="W4428" s="30" t="n"/>
      <c r="X4428" s="30" t="n"/>
      <c r="Y4428" s="30" t="n"/>
      <c r="Z4428" s="30" t="n"/>
      <c r="AA4428" s="30" t="n"/>
      <c r="AB4428" s="30" t="n"/>
      <c r="AC4428" s="30" t="n"/>
      <c r="AD4428" s="30" t="n"/>
      <c r="AE4428" s="30" t="n"/>
      <c r="AF4428" s="30" t="n"/>
      <c r="AG4428" s="30" t="n"/>
      <c r="AH4428" s="30" t="n"/>
      <c r="AI4428" s="30" t="n"/>
      <c r="AJ4428" s="30" t="n"/>
      <c r="AK4428" s="30" t="n"/>
      <c r="AL4428" s="30" t="n"/>
      <c r="AM4428" s="30" t="n"/>
      <c r="AN4428" s="30" t="n"/>
      <c r="AO4428" s="30" t="n"/>
    </row>
    <row r="4429">
      <c r="A4429" s="89" t="inlineStr">
        <is>
          <t>08159XXX</t>
        </is>
      </c>
      <c r="B4429" s="135" t="inlineStr">
        <is>
          <t>TAVERNITI REM DAMA M/C</t>
        </is>
      </c>
      <c r="C4429" s="88" t="n">
        <v>40900</v>
      </c>
      <c r="D4429" s="170" t="n"/>
      <c r="E4429" s="170" t="n"/>
      <c r="F4429" s="170" t="n"/>
      <c r="G4429" s="170" t="n"/>
      <c r="H4429" s="170" t="n"/>
      <c r="I4429" s="170" t="n"/>
      <c r="J4429" s="170" t="n"/>
      <c r="K4429" s="88">
        <f>ROUND((N4429*C4429)/100,0)*100</f>
        <v/>
      </c>
      <c r="L4429" s="30" t="n"/>
      <c r="M4429" s="170" t="n"/>
      <c r="N4429" s="96" t="n">
        <v>1.15</v>
      </c>
      <c r="O4429" s="30" t="n"/>
      <c r="P4429" s="170" t="n"/>
      <c r="Q4429" s="30" t="n"/>
      <c r="R4429" s="170" t="n"/>
      <c r="S4429" s="30" t="n"/>
      <c r="T4429" s="170" t="n"/>
      <c r="U4429" s="30" t="n"/>
      <c r="V4429" s="30" t="n"/>
      <c r="W4429" s="30" t="n"/>
      <c r="X4429" s="30" t="n"/>
      <c r="Y4429" s="30" t="n"/>
      <c r="Z4429" s="30" t="n"/>
      <c r="AA4429" s="30" t="n"/>
      <c r="AB4429" s="30" t="n"/>
      <c r="AC4429" s="30" t="n"/>
      <c r="AD4429" s="30" t="n"/>
      <c r="AE4429" s="30" t="n"/>
      <c r="AF4429" s="30" t="n"/>
      <c r="AG4429" s="30" t="n"/>
      <c r="AH4429" s="30" t="n"/>
      <c r="AI4429" s="30" t="n"/>
      <c r="AJ4429" s="30" t="n"/>
      <c r="AK4429" s="30" t="n"/>
      <c r="AL4429" s="30" t="n"/>
      <c r="AM4429" s="30" t="n"/>
      <c r="AN4429" s="30" t="n"/>
      <c r="AO4429" s="30" t="n"/>
    </row>
    <row r="4430">
      <c r="A4430" s="89" t="inlineStr">
        <is>
          <t>08167XXX</t>
        </is>
      </c>
      <c r="B4430" s="135" t="inlineStr">
        <is>
          <t>TAVERNITI REM DAMA M/C</t>
        </is>
      </c>
      <c r="C4430" s="88" t="n">
        <v>37300</v>
      </c>
      <c r="D4430" s="170" t="n"/>
      <c r="E4430" s="170" t="n"/>
      <c r="F4430" s="170" t="n"/>
      <c r="G4430" s="170" t="n"/>
      <c r="H4430" s="170" t="n"/>
      <c r="I4430" s="170" t="n"/>
      <c r="J4430" s="170" t="n"/>
      <c r="K4430" s="88">
        <f>ROUND((N4430*C4430)/100,0)*100</f>
        <v/>
      </c>
      <c r="L4430" s="30" t="n"/>
      <c r="M4430" s="170" t="n"/>
      <c r="N4430" s="96" t="n">
        <v>1.15</v>
      </c>
      <c r="O4430" s="30" t="n"/>
      <c r="P4430" s="170" t="n"/>
      <c r="Q4430" s="30" t="n"/>
      <c r="R4430" s="170" t="n"/>
      <c r="S4430" s="30" t="n"/>
      <c r="T4430" s="170" t="n"/>
      <c r="U4430" s="30" t="n"/>
      <c r="V4430" s="30" t="n"/>
      <c r="W4430" s="30" t="n"/>
      <c r="X4430" s="30" t="n"/>
      <c r="Y4430" s="30" t="n"/>
      <c r="Z4430" s="30" t="n"/>
      <c r="AA4430" s="30" t="n"/>
      <c r="AB4430" s="30" t="n"/>
      <c r="AC4430" s="30" t="n"/>
      <c r="AD4430" s="30" t="n"/>
      <c r="AE4430" s="30" t="n"/>
      <c r="AF4430" s="30" t="n"/>
      <c r="AG4430" s="30" t="n"/>
      <c r="AH4430" s="30" t="n"/>
      <c r="AI4430" s="30" t="n"/>
      <c r="AJ4430" s="30" t="n"/>
      <c r="AK4430" s="30" t="n"/>
      <c r="AL4430" s="30" t="n"/>
      <c r="AM4430" s="30" t="n"/>
      <c r="AN4430" s="30" t="n"/>
      <c r="AO4430" s="30" t="n"/>
    </row>
    <row r="4431">
      <c r="A4431" s="89" t="inlineStr">
        <is>
          <t>08169XXX</t>
        </is>
      </c>
      <c r="B4431" s="135" t="inlineStr">
        <is>
          <t>TAVERNITI REM DAMA M/C</t>
        </is>
      </c>
      <c r="C4431" s="88" t="n">
        <v>37300</v>
      </c>
      <c r="D4431" s="170" t="n"/>
      <c r="E4431" s="170" t="n"/>
      <c r="F4431" s="170" t="n"/>
      <c r="G4431" s="170" t="n"/>
      <c r="H4431" s="170" t="n"/>
      <c r="I4431" s="170" t="n"/>
      <c r="J4431" s="170" t="n"/>
      <c r="K4431" s="88">
        <f>ROUND((N4431*C4431)/100,0)*100</f>
        <v/>
      </c>
      <c r="L4431" s="30" t="n"/>
      <c r="M4431" s="170" t="n"/>
      <c r="N4431" s="96" t="n">
        <v>1.15</v>
      </c>
      <c r="O4431" s="30" t="n"/>
      <c r="P4431" s="170" t="n"/>
      <c r="Q4431" s="30" t="n"/>
      <c r="R4431" s="170" t="n"/>
      <c r="S4431" s="30" t="n"/>
      <c r="T4431" s="170" t="n"/>
      <c r="U4431" s="30" t="n"/>
      <c r="V4431" s="30" t="n"/>
      <c r="W4431" s="30" t="n"/>
      <c r="X4431" s="30" t="n"/>
      <c r="Y4431" s="30" t="n"/>
      <c r="Z4431" s="30" t="n"/>
      <c r="AA4431" s="30" t="n"/>
      <c r="AB4431" s="30" t="n"/>
      <c r="AC4431" s="30" t="n"/>
      <c r="AD4431" s="30" t="n"/>
      <c r="AE4431" s="30" t="n"/>
      <c r="AF4431" s="30" t="n"/>
      <c r="AG4431" s="30" t="n"/>
      <c r="AH4431" s="30" t="n"/>
      <c r="AI4431" s="30" t="n"/>
      <c r="AJ4431" s="30" t="n"/>
      <c r="AK4431" s="30" t="n"/>
      <c r="AL4431" s="30" t="n"/>
      <c r="AM4431" s="30" t="n"/>
      <c r="AN4431" s="30" t="n"/>
      <c r="AO4431" s="30" t="n"/>
    </row>
    <row r="4432">
      <c r="A4432" s="89" t="inlineStr">
        <is>
          <t>08179XXX</t>
        </is>
      </c>
      <c r="B4432" s="135" t="inlineStr">
        <is>
          <t>TAVERNITI REM DAMA M/C</t>
        </is>
      </c>
      <c r="C4432" s="88" t="n">
        <v>40500</v>
      </c>
      <c r="D4432" s="170" t="n"/>
      <c r="E4432" s="170" t="n"/>
      <c r="F4432" s="170" t="n"/>
      <c r="G4432" s="170" t="n"/>
      <c r="H4432" s="170" t="n"/>
      <c r="I4432" s="170" t="n"/>
      <c r="J4432" s="170" t="n"/>
      <c r="K4432" s="88">
        <f>ROUND((N4432*C4432)/100,0)*100</f>
        <v/>
      </c>
      <c r="L4432" s="30" t="n"/>
      <c r="M4432" s="170" t="n"/>
      <c r="N4432" s="96" t="n">
        <v>1.15</v>
      </c>
      <c r="O4432" s="30" t="n"/>
      <c r="P4432" s="170" t="n"/>
      <c r="Q4432" s="30" t="n"/>
      <c r="R4432" s="170" t="n"/>
      <c r="S4432" s="30" t="n"/>
      <c r="T4432" s="170" t="n"/>
      <c r="U4432" s="30" t="n"/>
      <c r="V4432" s="30" t="n"/>
      <c r="W4432" s="30" t="n"/>
      <c r="X4432" s="30" t="n"/>
      <c r="Y4432" s="30" t="n"/>
      <c r="Z4432" s="30" t="n"/>
      <c r="AA4432" s="30" t="n"/>
      <c r="AB4432" s="30" t="n"/>
      <c r="AC4432" s="30" t="n"/>
      <c r="AD4432" s="30" t="n"/>
      <c r="AE4432" s="30" t="n"/>
      <c r="AF4432" s="30" t="n"/>
      <c r="AG4432" s="30" t="n"/>
      <c r="AH4432" s="30" t="n"/>
      <c r="AI4432" s="30" t="n"/>
      <c r="AJ4432" s="30" t="n"/>
      <c r="AK4432" s="30" t="n"/>
      <c r="AL4432" s="30" t="n"/>
      <c r="AM4432" s="30" t="n"/>
      <c r="AN4432" s="30" t="n"/>
      <c r="AO4432" s="30" t="n"/>
    </row>
    <row r="4433">
      <c r="A4433" s="89" t="inlineStr">
        <is>
          <t>08181XXX</t>
        </is>
      </c>
      <c r="B4433" s="135" t="inlineStr">
        <is>
          <t>TAVERNITI REM DAMA M/C</t>
        </is>
      </c>
      <c r="C4433" s="88" t="n">
        <v>37300</v>
      </c>
      <c r="D4433" s="170" t="n"/>
      <c r="E4433" s="170" t="n"/>
      <c r="F4433" s="170" t="n"/>
      <c r="G4433" s="170" t="n"/>
      <c r="H4433" s="170" t="n"/>
      <c r="I4433" s="170" t="n"/>
      <c r="J4433" s="170" t="n"/>
      <c r="K4433" s="88">
        <f>ROUND((N4433*C4433)/100,0)*100</f>
        <v/>
      </c>
      <c r="L4433" s="30" t="n"/>
      <c r="M4433" s="170" t="n"/>
      <c r="N4433" s="96" t="n">
        <v>1.15</v>
      </c>
      <c r="O4433" s="30" t="n"/>
      <c r="P4433" s="170" t="n"/>
      <c r="Q4433" s="30" t="n"/>
      <c r="R4433" s="170" t="n"/>
      <c r="S4433" s="30" t="n"/>
      <c r="T4433" s="170" t="n"/>
      <c r="U4433" s="30" t="n"/>
      <c r="V4433" s="30" t="n"/>
      <c r="W4433" s="30" t="n"/>
      <c r="X4433" s="30" t="n"/>
      <c r="Y4433" s="30" t="n"/>
      <c r="Z4433" s="30" t="n"/>
      <c r="AA4433" s="30" t="n"/>
      <c r="AB4433" s="30" t="n"/>
      <c r="AC4433" s="30" t="n"/>
      <c r="AD4433" s="30" t="n"/>
      <c r="AE4433" s="30" t="n"/>
      <c r="AF4433" s="30" t="n"/>
      <c r="AG4433" s="30" t="n"/>
      <c r="AH4433" s="30" t="n"/>
      <c r="AI4433" s="30" t="n"/>
      <c r="AJ4433" s="30" t="n"/>
      <c r="AK4433" s="30" t="n"/>
      <c r="AL4433" s="30" t="n"/>
      <c r="AM4433" s="30" t="n"/>
      <c r="AN4433" s="30" t="n"/>
      <c r="AO4433" s="30" t="n"/>
    </row>
    <row r="4434">
      <c r="A4434" s="89" t="inlineStr">
        <is>
          <t>08185XXX</t>
        </is>
      </c>
      <c r="B4434" s="135" t="inlineStr">
        <is>
          <t>TAVERNITI REM DAMA M/C</t>
        </is>
      </c>
      <c r="C4434" s="88" t="n">
        <v>36800</v>
      </c>
      <c r="D4434" s="170" t="n"/>
      <c r="E4434" s="170" t="n"/>
      <c r="F4434" s="170" t="n"/>
      <c r="G4434" s="170" t="n"/>
      <c r="H4434" s="170" t="n"/>
      <c r="I4434" s="170" t="n"/>
      <c r="J4434" s="170" t="n"/>
      <c r="K4434" s="88">
        <f>ROUND((N4434*C4434)/100,0)*100</f>
        <v/>
      </c>
      <c r="L4434" s="30" t="n"/>
      <c r="M4434" s="170" t="n"/>
      <c r="N4434" s="96" t="n">
        <v>1.15</v>
      </c>
      <c r="O4434" s="30" t="n"/>
      <c r="P4434" s="170" t="n"/>
      <c r="Q4434" s="30" t="n"/>
      <c r="R4434" s="170" t="n"/>
      <c r="S4434" s="30" t="n"/>
      <c r="T4434" s="170" t="n"/>
      <c r="U4434" s="30" t="n"/>
      <c r="V4434" s="30" t="n"/>
      <c r="W4434" s="30" t="n"/>
      <c r="X4434" s="30" t="n"/>
      <c r="Y4434" s="30" t="n"/>
      <c r="Z4434" s="30" t="n"/>
      <c r="AA4434" s="30" t="n"/>
      <c r="AB4434" s="30" t="n"/>
      <c r="AC4434" s="30" t="n"/>
      <c r="AD4434" s="30" t="n"/>
      <c r="AE4434" s="30" t="n"/>
      <c r="AF4434" s="30" t="n"/>
      <c r="AG4434" s="30" t="n"/>
      <c r="AH4434" s="30" t="n"/>
      <c r="AI4434" s="30" t="n"/>
      <c r="AJ4434" s="30" t="n"/>
      <c r="AK4434" s="30" t="n"/>
      <c r="AL4434" s="30" t="n"/>
      <c r="AM4434" s="30" t="n"/>
      <c r="AN4434" s="30" t="n"/>
      <c r="AO4434" s="30" t="n"/>
    </row>
    <row r="4435">
      <c r="A4435" s="89" t="inlineStr">
        <is>
          <t>08249XXX</t>
        </is>
      </c>
      <c r="B4435" s="135" t="inlineStr">
        <is>
          <t>TAVERNITI REM DAMA M/C</t>
        </is>
      </c>
      <c r="C4435" s="88" t="n">
        <v>41100</v>
      </c>
      <c r="D4435" s="170" t="n"/>
      <c r="E4435" s="170" t="n"/>
      <c r="F4435" s="170" t="n"/>
      <c r="G4435" s="170" t="n"/>
      <c r="H4435" s="170" t="n"/>
      <c r="I4435" s="170" t="n"/>
      <c r="J4435" s="170" t="n"/>
      <c r="K4435" s="88">
        <f>ROUND((N4435*C4435)/100,0)*100</f>
        <v/>
      </c>
      <c r="L4435" s="30" t="n"/>
      <c r="M4435" s="170" t="n"/>
      <c r="N4435" s="96" t="n">
        <v>1.15</v>
      </c>
      <c r="O4435" s="30" t="n"/>
      <c r="P4435" s="170" t="n"/>
      <c r="Q4435" s="30" t="n"/>
      <c r="R4435" s="170" t="n"/>
      <c r="S4435" s="30" t="n"/>
      <c r="T4435" s="170" t="n"/>
      <c r="U4435" s="30" t="n"/>
      <c r="V4435" s="30" t="n"/>
      <c r="W4435" s="30" t="n"/>
      <c r="X4435" s="30" t="n"/>
      <c r="Y4435" s="30" t="n"/>
      <c r="Z4435" s="30" t="n"/>
      <c r="AA4435" s="30" t="n"/>
      <c r="AB4435" s="30" t="n"/>
      <c r="AC4435" s="30" t="n"/>
      <c r="AD4435" s="30" t="n"/>
      <c r="AE4435" s="30" t="n"/>
      <c r="AF4435" s="30" t="n"/>
      <c r="AG4435" s="30" t="n"/>
      <c r="AH4435" s="30" t="n"/>
      <c r="AI4435" s="30" t="n"/>
      <c r="AJ4435" s="30" t="n"/>
      <c r="AK4435" s="30" t="n"/>
      <c r="AL4435" s="30" t="n"/>
      <c r="AM4435" s="30" t="n"/>
      <c r="AN4435" s="30" t="n"/>
      <c r="AO4435" s="30" t="n"/>
    </row>
    <row r="4436">
      <c r="A4436" s="89" t="inlineStr">
        <is>
          <t>08255XXX</t>
        </is>
      </c>
      <c r="B4436" s="135" t="inlineStr">
        <is>
          <t>TAVERNITI REM DAMA M/C</t>
        </is>
      </c>
      <c r="C4436" s="88" t="n">
        <v>41100</v>
      </c>
      <c r="D4436" s="170" t="n"/>
      <c r="E4436" s="170" t="n"/>
      <c r="F4436" s="170" t="n"/>
      <c r="G4436" s="170" t="n"/>
      <c r="H4436" s="170" t="n"/>
      <c r="I4436" s="170" t="n"/>
      <c r="J4436" s="170" t="n"/>
      <c r="K4436" s="88">
        <f>ROUND((N4436*C4436)/100,0)*100</f>
        <v/>
      </c>
      <c r="L4436" s="30" t="n"/>
      <c r="M4436" s="170" t="n"/>
      <c r="N4436" s="96" t="n">
        <v>1.15</v>
      </c>
      <c r="O4436" s="30" t="n"/>
      <c r="P4436" s="170" t="n"/>
      <c r="Q4436" s="30" t="n"/>
      <c r="R4436" s="170" t="n"/>
      <c r="S4436" s="30" t="n"/>
      <c r="T4436" s="170" t="n"/>
      <c r="U4436" s="30" t="n"/>
      <c r="V4436" s="30" t="n"/>
      <c r="W4436" s="30" t="n"/>
      <c r="X4436" s="30" t="n"/>
      <c r="Y4436" s="30" t="n"/>
      <c r="Z4436" s="30" t="n"/>
      <c r="AA4436" s="30" t="n"/>
      <c r="AB4436" s="30" t="n"/>
      <c r="AC4436" s="30" t="n"/>
      <c r="AD4436" s="30" t="n"/>
      <c r="AE4436" s="30" t="n"/>
      <c r="AF4436" s="30" t="n"/>
      <c r="AG4436" s="30" t="n"/>
      <c r="AH4436" s="30" t="n"/>
      <c r="AI4436" s="30" t="n"/>
      <c r="AJ4436" s="30" t="n"/>
      <c r="AK4436" s="30" t="n"/>
      <c r="AL4436" s="30" t="n"/>
      <c r="AM4436" s="30" t="n"/>
      <c r="AN4436" s="30" t="n"/>
      <c r="AO4436" s="30" t="n"/>
    </row>
    <row r="4437">
      <c r="A4437" s="89" t="inlineStr">
        <is>
          <t>08257XXX</t>
        </is>
      </c>
      <c r="B4437" s="135" t="inlineStr">
        <is>
          <t>TAVERNITI REM DAMA M/C</t>
        </is>
      </c>
      <c r="C4437" s="88" t="n">
        <v>39400</v>
      </c>
      <c r="D4437" s="170" t="n"/>
      <c r="E4437" s="170" t="n"/>
      <c r="F4437" s="170" t="n"/>
      <c r="G4437" s="170" t="n"/>
      <c r="H4437" s="170" t="n"/>
      <c r="I4437" s="170" t="n"/>
      <c r="J4437" s="170" t="n"/>
      <c r="K4437" s="88">
        <f>ROUND((N4437*C4437)/100,0)*100</f>
        <v/>
      </c>
      <c r="L4437" s="30" t="n"/>
      <c r="M4437" s="170" t="n"/>
      <c r="N4437" s="96" t="n">
        <v>1.15</v>
      </c>
      <c r="O4437" s="30" t="n"/>
      <c r="P4437" s="170" t="n"/>
      <c r="Q4437" s="30" t="n"/>
      <c r="R4437" s="170" t="n"/>
      <c r="S4437" s="30" t="n"/>
      <c r="T4437" s="170" t="n"/>
      <c r="U4437" s="30" t="n"/>
      <c r="V4437" s="30" t="n"/>
      <c r="W4437" s="30" t="n"/>
      <c r="X4437" s="30" t="n"/>
      <c r="Y4437" s="30" t="n"/>
      <c r="Z4437" s="30" t="n"/>
      <c r="AA4437" s="30" t="n"/>
      <c r="AB4437" s="30" t="n"/>
      <c r="AC4437" s="30" t="n"/>
      <c r="AD4437" s="30" t="n"/>
      <c r="AE4437" s="30" t="n"/>
      <c r="AF4437" s="30" t="n"/>
      <c r="AG4437" s="30" t="n"/>
      <c r="AH4437" s="30" t="n"/>
      <c r="AI4437" s="30" t="n"/>
      <c r="AJ4437" s="30" t="n"/>
      <c r="AK4437" s="30" t="n"/>
      <c r="AL4437" s="30" t="n"/>
      <c r="AM4437" s="30" t="n"/>
      <c r="AN4437" s="30" t="n"/>
      <c r="AO4437" s="30" t="n"/>
    </row>
    <row r="4438">
      <c r="A4438" s="89" t="inlineStr">
        <is>
          <t>08259XXX</t>
        </is>
      </c>
      <c r="B4438" s="135" t="inlineStr">
        <is>
          <t>TAVERNITI REM DAMA M/C</t>
        </is>
      </c>
      <c r="C4438" s="88" t="n">
        <v>37800</v>
      </c>
      <c r="D4438" s="170" t="n"/>
      <c r="E4438" s="170" t="n"/>
      <c r="F4438" s="170" t="n"/>
      <c r="G4438" s="170" t="n"/>
      <c r="H4438" s="170" t="n"/>
      <c r="I4438" s="170" t="n"/>
      <c r="J4438" s="170" t="n"/>
      <c r="K4438" s="88">
        <f>ROUND((N4438*C4438)/100,0)*100</f>
        <v/>
      </c>
      <c r="L4438" s="30" t="n"/>
      <c r="M4438" s="170" t="n"/>
      <c r="N4438" s="96" t="n">
        <v>1.15</v>
      </c>
      <c r="O4438" s="30" t="n"/>
      <c r="P4438" s="170" t="n"/>
      <c r="Q4438" s="30" t="n"/>
      <c r="R4438" s="170" t="n"/>
      <c r="S4438" s="30" t="n"/>
      <c r="T4438" s="170" t="n"/>
      <c r="U4438" s="30" t="n"/>
      <c r="V4438" s="30" t="n"/>
      <c r="W4438" s="30" t="n"/>
      <c r="X4438" s="30" t="n"/>
      <c r="Y4438" s="30" t="n"/>
      <c r="Z4438" s="30" t="n"/>
      <c r="AA4438" s="30" t="n"/>
      <c r="AB4438" s="30" t="n"/>
      <c r="AC4438" s="30" t="n"/>
      <c r="AD4438" s="30" t="n"/>
      <c r="AE4438" s="30" t="n"/>
      <c r="AF4438" s="30" t="n"/>
      <c r="AG4438" s="30" t="n"/>
      <c r="AH4438" s="30" t="n"/>
      <c r="AI4438" s="30" t="n"/>
      <c r="AJ4438" s="30" t="n"/>
      <c r="AK4438" s="30" t="n"/>
      <c r="AL4438" s="30" t="n"/>
      <c r="AM4438" s="30" t="n"/>
      <c r="AN4438" s="30" t="n"/>
      <c r="AO4438" s="30" t="n"/>
    </row>
    <row r="4439">
      <c r="A4439" s="89" t="inlineStr">
        <is>
          <t>08289XXX</t>
        </is>
      </c>
      <c r="B4439" s="135" t="inlineStr">
        <is>
          <t>TAVERNITI REM DAMA M/C</t>
        </is>
      </c>
      <c r="C4439" s="88" t="n">
        <v>45800</v>
      </c>
      <c r="D4439" s="170" t="n"/>
      <c r="E4439" s="170" t="n"/>
      <c r="F4439" s="170" t="n"/>
      <c r="G4439" s="170" t="n"/>
      <c r="H4439" s="170" t="n"/>
      <c r="I4439" s="170" t="n"/>
      <c r="J4439" s="170" t="n"/>
      <c r="K4439" s="88">
        <f>ROUND((N4439*C4439)/100,0)*100</f>
        <v/>
      </c>
      <c r="L4439" s="30" t="n"/>
      <c r="M4439" s="170" t="n"/>
      <c r="N4439" s="96" t="n">
        <v>1.15</v>
      </c>
      <c r="O4439" s="30" t="n"/>
      <c r="P4439" s="170" t="n"/>
      <c r="Q4439" s="30" t="n"/>
      <c r="R4439" s="170" t="n"/>
      <c r="S4439" s="30" t="n"/>
      <c r="T4439" s="170" t="n"/>
      <c r="U4439" s="30" t="n"/>
      <c r="V4439" s="30" t="n"/>
      <c r="W4439" s="30" t="n"/>
      <c r="X4439" s="30" t="n"/>
      <c r="Y4439" s="30" t="n"/>
      <c r="Z4439" s="30" t="n"/>
      <c r="AA4439" s="30" t="n"/>
      <c r="AB4439" s="30" t="n"/>
      <c r="AC4439" s="30" t="n"/>
      <c r="AD4439" s="30" t="n"/>
      <c r="AE4439" s="30" t="n"/>
      <c r="AF4439" s="30" t="n"/>
      <c r="AG4439" s="30" t="n"/>
      <c r="AH4439" s="30" t="n"/>
      <c r="AI4439" s="30" t="n"/>
      <c r="AJ4439" s="30" t="n"/>
      <c r="AK4439" s="30" t="n"/>
      <c r="AL4439" s="30" t="n"/>
      <c r="AM4439" s="30" t="n"/>
      <c r="AN4439" s="30" t="n"/>
      <c r="AO4439" s="30" t="n"/>
    </row>
    <row r="4440">
      <c r="A4440" s="89" t="inlineStr">
        <is>
          <t>08291XXX</t>
        </is>
      </c>
      <c r="B4440" s="135" t="inlineStr">
        <is>
          <t>TAVERNITI REM DAMA M/C</t>
        </is>
      </c>
      <c r="C4440" s="88" t="n">
        <v>42100</v>
      </c>
      <c r="D4440" s="170" t="n"/>
      <c r="E4440" s="170" t="n"/>
      <c r="F4440" s="170" t="n"/>
      <c r="G4440" s="170" t="n"/>
      <c r="H4440" s="170" t="n"/>
      <c r="I4440" s="170" t="n"/>
      <c r="J4440" s="170" t="n"/>
      <c r="K4440" s="88">
        <f>ROUND((N4440*C4440)/100,0)*100</f>
        <v/>
      </c>
      <c r="L4440" s="30" t="n"/>
      <c r="M4440" s="170" t="n"/>
      <c r="N4440" s="96" t="n">
        <v>1.15</v>
      </c>
      <c r="O4440" s="30" t="n"/>
      <c r="P4440" s="170" t="n"/>
      <c r="Q4440" s="30" t="n"/>
      <c r="R4440" s="170" t="n"/>
      <c r="S4440" s="30" t="n"/>
      <c r="T4440" s="170" t="n"/>
      <c r="U4440" s="30" t="n"/>
      <c r="V4440" s="30" t="n"/>
      <c r="W4440" s="30" t="n"/>
      <c r="X4440" s="30" t="n"/>
      <c r="Y4440" s="30" t="n"/>
      <c r="Z4440" s="30" t="n"/>
      <c r="AA4440" s="30" t="n"/>
      <c r="AB4440" s="30" t="n"/>
      <c r="AC4440" s="30" t="n"/>
      <c r="AD4440" s="30" t="n"/>
      <c r="AE4440" s="30" t="n"/>
      <c r="AF4440" s="30" t="n"/>
      <c r="AG4440" s="30" t="n"/>
      <c r="AH4440" s="30" t="n"/>
      <c r="AI4440" s="30" t="n"/>
      <c r="AJ4440" s="30" t="n"/>
      <c r="AK4440" s="30" t="n"/>
      <c r="AL4440" s="30" t="n"/>
      <c r="AM4440" s="30" t="n"/>
      <c r="AN4440" s="30" t="n"/>
      <c r="AO4440" s="30" t="n"/>
    </row>
    <row r="4441">
      <c r="A4441" s="89" t="inlineStr">
        <is>
          <t>08467XXX</t>
        </is>
      </c>
      <c r="B4441" s="135" t="inlineStr">
        <is>
          <t>TAVERNITI REM DAMA M/C</t>
        </is>
      </c>
      <c r="C4441" s="88" t="n">
        <v>44500</v>
      </c>
      <c r="D4441" s="88" t="n"/>
      <c r="E4441" s="88" t="n"/>
      <c r="F4441" s="88" t="n"/>
      <c r="G4441" s="88" t="n"/>
      <c r="H4441" s="88" t="n"/>
      <c r="I4441" s="88" t="n"/>
      <c r="J4441" s="88" t="n"/>
      <c r="K4441" s="219">
        <f>ROUND((N4441*C4441)/100,0)*100</f>
        <v/>
      </c>
      <c r="M4441" s="219" t="n"/>
      <c r="N4441" s="96" t="n">
        <v>1.15</v>
      </c>
      <c r="O4441" s="96" t="n"/>
      <c r="P4441" s="150" t="n"/>
      <c r="Q4441" s="96" t="n"/>
      <c r="R4441" s="150" t="n"/>
      <c r="S4441" s="96" t="n"/>
      <c r="T4441" s="150" t="n"/>
      <c r="U4441" s="96" t="n"/>
      <c r="V4441" s="96" t="n"/>
      <c r="W4441" s="30" t="n"/>
      <c r="X4441" s="30" t="n"/>
      <c r="Y4441" s="30" t="n"/>
      <c r="Z4441" s="30" t="n"/>
      <c r="AA4441" s="30" t="n"/>
      <c r="AB4441" s="30" t="n"/>
      <c r="AC4441" s="30" t="n"/>
      <c r="AD4441" s="30" t="n"/>
      <c r="AE4441" s="30" t="n"/>
      <c r="AF4441" s="30" t="n"/>
      <c r="AG4441" s="30" t="n"/>
      <c r="AH4441" s="30" t="n"/>
      <c r="AI4441" s="30" t="n"/>
      <c r="AJ4441" s="30" t="n"/>
      <c r="AK4441" s="30" t="n"/>
      <c r="AL4441" s="30" t="n"/>
      <c r="AM4441" s="30" t="n"/>
      <c r="AN4441" s="30" t="n"/>
    </row>
    <row r="4442">
      <c r="A4442" s="89" t="inlineStr">
        <is>
          <t>0XXX</t>
        </is>
      </c>
      <c r="B4442" s="135" t="inlineStr">
        <is>
          <t>TAVERNITI REM DAMA M/C</t>
        </is>
      </c>
      <c r="C4442" s="88" t="n">
        <v>47000</v>
      </c>
      <c r="D4442" s="88" t="n"/>
      <c r="E4442" s="88" t="n"/>
      <c r="F4442" s="88" t="n"/>
      <c r="G4442" s="88" t="n"/>
      <c r="H4442" s="88" t="n"/>
      <c r="I4442" s="88" t="n"/>
      <c r="J4442" s="88" t="n"/>
      <c r="K4442" s="219">
        <f>ROUND((N4442*C4442)/100,0)*100</f>
        <v/>
      </c>
      <c r="M4442" s="219" t="n"/>
      <c r="N4442" s="96" t="n">
        <v>1.15</v>
      </c>
      <c r="O4442" s="96" t="n"/>
      <c r="P4442" s="150" t="n"/>
      <c r="Q4442" s="96" t="n"/>
      <c r="R4442" s="150" t="n"/>
      <c r="S4442" s="96" t="n"/>
      <c r="T4442" s="150" t="n"/>
      <c r="U4442" s="96" t="n"/>
      <c r="V4442" s="96" t="n"/>
      <c r="W4442" s="30" t="n"/>
      <c r="X4442" s="30" t="n"/>
      <c r="Y4442" s="30" t="n"/>
      <c r="Z4442" s="30" t="n"/>
      <c r="AA4442" s="30" t="n"/>
      <c r="AB4442" s="30" t="n"/>
      <c r="AC4442" s="30" t="n"/>
      <c r="AD4442" s="30" t="n"/>
      <c r="AE4442" s="30" t="n"/>
      <c r="AF4442" s="30" t="n"/>
      <c r="AG4442" s="30" t="n"/>
      <c r="AH4442" s="30" t="n"/>
      <c r="AI4442" s="30" t="n"/>
      <c r="AJ4442" s="30" t="n"/>
      <c r="AK4442" s="30" t="n"/>
      <c r="AL4442" s="30" t="n"/>
      <c r="AM4442" s="30" t="n"/>
      <c r="AN4442" s="30" t="n"/>
    </row>
    <row r="4443">
      <c r="A4443" s="89" t="inlineStr">
        <is>
          <t>10065XXX</t>
        </is>
      </c>
      <c r="B4443" s="135" t="inlineStr">
        <is>
          <t>TAVERNITI REM DAMA M/C</t>
        </is>
      </c>
      <c r="C4443" s="219" t="n">
        <v>49500</v>
      </c>
      <c r="D4443" s="111" t="n"/>
      <c r="E4443" s="111" t="n"/>
      <c r="F4443" s="111" t="n"/>
      <c r="G4443" s="111" t="n"/>
      <c r="H4443" s="111" t="n"/>
      <c r="I4443" s="111" t="n"/>
      <c r="J4443" s="111" t="n"/>
      <c r="K4443" s="88">
        <f>ROUND((N4443*C4443)/100,0)*100</f>
        <v/>
      </c>
      <c r="L4443" s="30" t="n"/>
      <c r="M4443" s="170" t="n"/>
      <c r="N4443" s="96" t="n">
        <v>1.15</v>
      </c>
      <c r="O4443" s="30" t="n"/>
      <c r="P4443" s="170" t="n"/>
      <c r="Q4443" s="30" t="n"/>
      <c r="R4443" s="170" t="n"/>
      <c r="S4443" s="30" t="n"/>
      <c r="T4443" s="170" t="n"/>
      <c r="U4443" s="30" t="n"/>
      <c r="V4443" s="30" t="n"/>
      <c r="W4443" s="30" t="n"/>
      <c r="X4443" s="30" t="n"/>
      <c r="Y4443" s="30" t="n"/>
      <c r="Z4443" s="30" t="n"/>
      <c r="AA4443" s="30" t="n"/>
      <c r="AB4443" s="30" t="n"/>
      <c r="AC4443" s="30" t="n"/>
      <c r="AD4443" s="30" t="n"/>
      <c r="AE4443" s="30" t="n"/>
      <c r="AF4443" s="30" t="n"/>
      <c r="AG4443" s="30" t="n"/>
      <c r="AH4443" s="30" t="n"/>
      <c r="AI4443" s="30" t="n"/>
      <c r="AJ4443" s="30" t="n"/>
      <c r="AK4443" s="30" t="n"/>
      <c r="AL4443" s="30" t="n"/>
      <c r="AM4443" s="30" t="n"/>
      <c r="AN4443" s="30" t="n"/>
      <c r="AO4443" s="30" t="n"/>
    </row>
    <row r="4444">
      <c r="A4444" s="134" t="inlineStr">
        <is>
          <t>14797XXX</t>
        </is>
      </c>
      <c r="B4444" s="135" t="inlineStr">
        <is>
          <t>TAVERNITI REM DAMA M/C</t>
        </is>
      </c>
      <c r="C4444" s="153" t="n">
        <v>28600</v>
      </c>
      <c r="D4444" s="153" t="n"/>
      <c r="E4444" s="153" t="n"/>
      <c r="F4444" s="153" t="n"/>
      <c r="G4444" s="153" t="n"/>
      <c r="H4444" s="153" t="n"/>
      <c r="I4444" s="153" t="n"/>
      <c r="J4444" s="153" t="n"/>
      <c r="K4444" s="219">
        <f>ROUND((N4444*C4444)/100,0)*100</f>
        <v/>
      </c>
      <c r="M4444" s="219" t="n"/>
      <c r="N4444" s="96" t="n">
        <v>1.15</v>
      </c>
      <c r="P4444" s="117" t="n"/>
      <c r="Q4444" s="96" t="n"/>
      <c r="R4444" s="150" t="n"/>
      <c r="S4444" s="96" t="n"/>
      <c r="T4444" s="150" t="n"/>
      <c r="U4444" s="96" t="n"/>
      <c r="V4444" s="96" t="n"/>
    </row>
    <row r="4445">
      <c r="A4445" s="134" t="inlineStr">
        <is>
          <t>14813XXX</t>
        </is>
      </c>
      <c r="B4445" s="135" t="inlineStr">
        <is>
          <t>TAVERNITI REM DAMA M/C</t>
        </is>
      </c>
      <c r="C4445" s="153" t="n">
        <v>35000</v>
      </c>
      <c r="D4445" s="153" t="n"/>
      <c r="E4445" s="153" t="n"/>
      <c r="F4445" s="153" t="n"/>
      <c r="G4445" s="153" t="n"/>
      <c r="H4445" s="153" t="n"/>
      <c r="I4445" s="153" t="n"/>
      <c r="J4445" s="153" t="n"/>
      <c r="K4445" s="219">
        <f>ROUND((N4445*C4445)/100,0)*100</f>
        <v/>
      </c>
      <c r="M4445" s="219" t="n"/>
      <c r="N4445" s="96" t="n">
        <v>1.15</v>
      </c>
      <c r="P4445" s="117" t="n"/>
      <c r="Q4445" s="96" t="n"/>
      <c r="R4445" s="150" t="n"/>
      <c r="S4445" s="96" t="n"/>
      <c r="T4445" s="150" t="n"/>
      <c r="U4445" s="96" t="n"/>
      <c r="V4445" s="96" t="n"/>
    </row>
    <row r="4446">
      <c r="A4446" s="134" t="inlineStr">
        <is>
          <t>14821XXX</t>
        </is>
      </c>
      <c r="B4446" s="135" t="inlineStr">
        <is>
          <t>TAVERNITI REM DAMA M/C</t>
        </is>
      </c>
      <c r="C4446" s="153" t="n">
        <v>37500</v>
      </c>
      <c r="D4446" s="153" t="n"/>
      <c r="E4446" s="153" t="n"/>
      <c r="F4446" s="153" t="n"/>
      <c r="G4446" s="153" t="n"/>
      <c r="H4446" s="153" t="n"/>
      <c r="I4446" s="153" t="n"/>
      <c r="J4446" s="153" t="n"/>
      <c r="K4446" s="219">
        <f>ROUND((N4446*C4446)/100,0)*100</f>
        <v/>
      </c>
      <c r="M4446" s="219" t="n"/>
      <c r="N4446" s="96" t="n">
        <v>1.15</v>
      </c>
      <c r="P4446" s="117" t="n"/>
      <c r="Q4446" s="96" t="n"/>
      <c r="R4446" s="150" t="n"/>
      <c r="S4446" s="96" t="n"/>
      <c r="T4446" s="150" t="n"/>
      <c r="U4446" s="96" t="n"/>
      <c r="V4446" s="96" t="n"/>
    </row>
    <row r="4447">
      <c r="A4447" s="134" t="inlineStr">
        <is>
          <t>14911XXX</t>
        </is>
      </c>
      <c r="B4447" s="135" t="inlineStr">
        <is>
          <t>TAVERNITI REM DAMA M/C</t>
        </is>
      </c>
      <c r="C4447" s="153" t="n">
        <v>37200</v>
      </c>
      <c r="D4447" s="153" t="n"/>
      <c r="E4447" s="153" t="n"/>
      <c r="F4447" s="153" t="n"/>
      <c r="G4447" s="153" t="n"/>
      <c r="H4447" s="153" t="n"/>
      <c r="I4447" s="153" t="n"/>
      <c r="J4447" s="153" t="n"/>
      <c r="K4447" s="219">
        <f>ROUND((N4447*C4447)/100,0)*100</f>
        <v/>
      </c>
      <c r="M4447" s="219" t="n"/>
      <c r="N4447" s="96" t="n">
        <v>1.15</v>
      </c>
      <c r="P4447" s="117" t="n"/>
      <c r="Q4447" s="96" t="n"/>
      <c r="R4447" s="150" t="n"/>
      <c r="S4447" s="96" t="n"/>
      <c r="T4447" s="150" t="n"/>
      <c r="U4447" s="96" t="n"/>
      <c r="V4447" s="96" t="n"/>
    </row>
    <row r="4448">
      <c r="A4448" s="134" t="inlineStr">
        <is>
          <t>19657XXX</t>
        </is>
      </c>
      <c r="B4448" s="135" t="inlineStr">
        <is>
          <t>TAVERNITI REM DAMA M/C</t>
        </is>
      </c>
      <c r="C4448" s="153" t="n">
        <v>37200</v>
      </c>
      <c r="D4448" s="153" t="n"/>
      <c r="E4448" s="153" t="n"/>
      <c r="F4448" s="153" t="n"/>
      <c r="G4448" s="153" t="n"/>
      <c r="H4448" s="153" t="n"/>
      <c r="I4448" s="153" t="n"/>
      <c r="J4448" s="153" t="n"/>
      <c r="K4448" s="219">
        <f>ROUND((N4448*C4448)/100,0)*100</f>
        <v/>
      </c>
      <c r="M4448" s="219" t="n"/>
      <c r="N4448" s="96" t="n">
        <v>1.15</v>
      </c>
      <c r="P4448" s="117" t="n"/>
      <c r="Q4448" s="96" t="n"/>
      <c r="R4448" s="150" t="n"/>
      <c r="S4448" s="96" t="n"/>
      <c r="T4448" s="150" t="n"/>
      <c r="U4448" s="96" t="n"/>
      <c r="V4448" s="96" t="n"/>
    </row>
    <row r="4449">
      <c r="A4449" s="134" t="inlineStr">
        <is>
          <t>19659XXX</t>
        </is>
      </c>
      <c r="B4449" s="135" t="inlineStr">
        <is>
          <t>TAVERNITI REM DAMA M/C</t>
        </is>
      </c>
      <c r="C4449" s="153" t="n">
        <v>37200</v>
      </c>
      <c r="D4449" s="153" t="n"/>
      <c r="E4449" s="153" t="n"/>
      <c r="F4449" s="153" t="n"/>
      <c r="G4449" s="153" t="n"/>
      <c r="H4449" s="153" t="n"/>
      <c r="I4449" s="153" t="n"/>
      <c r="J4449" s="153" t="n"/>
      <c r="K4449" s="219">
        <f>ROUND((N4449*C4449)/100,0)*100</f>
        <v/>
      </c>
      <c r="M4449" s="219" t="n"/>
      <c r="N4449" s="96" t="n">
        <v>1.15</v>
      </c>
      <c r="P4449" s="117" t="n"/>
      <c r="Q4449" s="96" t="n"/>
      <c r="R4449" s="150" t="n"/>
      <c r="S4449" s="96" t="n"/>
      <c r="T4449" s="150" t="n"/>
      <c r="U4449" s="96" t="n"/>
      <c r="V4449" s="96" t="n"/>
    </row>
    <row r="4450">
      <c r="A4450" s="134" t="inlineStr">
        <is>
          <t>24533XXX</t>
        </is>
      </c>
      <c r="B4450" s="135" t="inlineStr">
        <is>
          <t>TAVERNITI REM DAMA M/C</t>
        </is>
      </c>
      <c r="C4450" s="153" t="n">
        <v>37200</v>
      </c>
      <c r="D4450" s="153" t="n"/>
      <c r="E4450" s="153" t="n"/>
      <c r="F4450" s="153" t="n"/>
      <c r="G4450" s="153" t="n"/>
      <c r="H4450" s="153" t="n"/>
      <c r="I4450" s="153" t="n"/>
      <c r="J4450" s="153" t="n"/>
      <c r="K4450" s="219">
        <f>ROUND((N4450*C4450)/100,0)*100</f>
        <v/>
      </c>
      <c r="M4450" s="219" t="n"/>
      <c r="N4450" s="96" t="n">
        <v>1.15</v>
      </c>
      <c r="P4450" s="117" t="n"/>
      <c r="Q4450" s="96" t="n"/>
      <c r="R4450" s="150" t="n"/>
      <c r="S4450" s="96" t="n"/>
      <c r="T4450" s="150" t="n"/>
      <c r="U4450" s="96" t="n"/>
      <c r="V4450" s="96" t="n"/>
    </row>
    <row r="4451">
      <c r="A4451" s="134" t="inlineStr">
        <is>
          <t>9</t>
        </is>
      </c>
      <c r="B4451" s="246" t="inlineStr">
        <is>
          <t>BLUSA LIDAN</t>
        </is>
      </c>
      <c r="C4451" s="153" t="n">
        <v>36300</v>
      </c>
      <c r="D4451" s="153" t="n"/>
      <c r="E4451" s="153" t="n"/>
      <c r="F4451" s="153" t="n"/>
      <c r="G4451" s="153" t="n"/>
      <c r="H4451" s="153" t="n"/>
      <c r="I4451" s="153" t="n"/>
      <c r="J4451" s="153" t="n"/>
      <c r="K4451" s="219">
        <f>ROUND((N4451*C4451)/100,0)*100</f>
        <v/>
      </c>
      <c r="M4451" s="219" t="n"/>
      <c r="N4451" s="96" t="n">
        <v>1.15</v>
      </c>
      <c r="O4451" s="96" t="n"/>
      <c r="P4451" s="150" t="n"/>
      <c r="R4451" s="117" t="n"/>
      <c r="T4451" s="117" t="n"/>
    </row>
    <row r="4452">
      <c r="A4452" s="89" t="inlineStr">
        <is>
          <t>14252</t>
        </is>
      </c>
      <c r="B4452" s="135" t="inlineStr">
        <is>
          <t>BLUSA WALEY</t>
        </is>
      </c>
      <c r="C4452" s="219" t="n">
        <v>38100</v>
      </c>
      <c r="D4452" s="111" t="n"/>
      <c r="E4452" s="111" t="n"/>
      <c r="F4452" s="111" t="n"/>
      <c r="G4452" s="111" t="n"/>
      <c r="H4452" s="111" t="n"/>
      <c r="I4452" s="111" t="n"/>
      <c r="J4452" s="111" t="n"/>
      <c r="K4452" s="219">
        <f>ROUND((N4452*C4452)/100,0)*100</f>
        <v/>
      </c>
      <c r="M4452" s="219" t="n"/>
      <c r="N4452" s="96" t="n">
        <v>1.15</v>
      </c>
      <c r="O4452" s="96" t="n"/>
      <c r="P4452" s="150" t="n"/>
      <c r="Q4452" s="30" t="n"/>
      <c r="R4452" s="170" t="n"/>
      <c r="S4452" s="30" t="n"/>
      <c r="T4452" s="170" t="n"/>
      <c r="U4452" s="30" t="n"/>
      <c r="V4452" s="30" t="n"/>
      <c r="W4452" s="30" t="n"/>
      <c r="X4452" s="30" t="n"/>
      <c r="Y4452" s="30" t="n"/>
      <c r="Z4452" s="30" t="n"/>
      <c r="AA4452" s="30" t="n"/>
      <c r="AB4452" s="30" t="n"/>
      <c r="AC4452" s="30" t="n"/>
      <c r="AD4452" s="30" t="n"/>
      <c r="AE4452" s="30" t="n"/>
      <c r="AF4452" s="30" t="n"/>
      <c r="AG4452" s="30" t="n"/>
      <c r="AH4452" s="30" t="n"/>
      <c r="AI4452" s="30" t="n"/>
      <c r="AJ4452" s="30" t="n"/>
      <c r="AK4452" s="30" t="n"/>
      <c r="AL4452" s="30" t="n"/>
      <c r="AM4452" s="30" t="n"/>
      <c r="AN4452" s="30" t="n"/>
    </row>
    <row r="4453">
      <c r="A4453" s="89" t="inlineStr">
        <is>
          <t>6098/6004</t>
        </is>
      </c>
      <c r="B4453" s="135" t="inlineStr">
        <is>
          <t>REMERA MORA</t>
        </is>
      </c>
      <c r="C4453" s="219" t="n">
        <v>16700</v>
      </c>
      <c r="D4453" s="111" t="n"/>
      <c r="E4453" s="111" t="n"/>
      <c r="F4453" s="111" t="n"/>
      <c r="G4453" s="111" t="n"/>
      <c r="H4453" s="111" t="n"/>
      <c r="I4453" s="111" t="n"/>
      <c r="J4453" s="111" t="n"/>
      <c r="K4453" s="219">
        <f>ROUND((N4453*C4453)/100,0)*100</f>
        <v/>
      </c>
      <c r="M4453" s="219" t="n"/>
      <c r="N4453" s="96" t="n">
        <v>1.15</v>
      </c>
      <c r="O4453" s="96" t="n"/>
      <c r="P4453" s="150" t="n"/>
      <c r="Q4453" s="30" t="n"/>
      <c r="R4453" s="170" t="n"/>
      <c r="S4453" s="30" t="n"/>
      <c r="T4453" s="170" t="n"/>
      <c r="U4453" s="30" t="n"/>
      <c r="V4453" s="30" t="n"/>
      <c r="W4453" s="30" t="n"/>
      <c r="X4453" s="30" t="n"/>
      <c r="Y4453" s="30" t="n"/>
      <c r="Z4453" s="30" t="n"/>
      <c r="AA4453" s="30" t="n"/>
      <c r="AB4453" s="30" t="n"/>
      <c r="AC4453" s="30" t="n"/>
      <c r="AD4453" s="30" t="n"/>
      <c r="AE4453" s="30" t="n"/>
      <c r="AF4453" s="30" t="n"/>
      <c r="AG4453" s="30" t="n"/>
      <c r="AH4453" s="30" t="n"/>
      <c r="AI4453" s="30" t="n"/>
      <c r="AJ4453" s="30" t="n"/>
      <c r="AK4453" s="30" t="n"/>
      <c r="AL4453" s="30" t="n"/>
      <c r="AM4453" s="30" t="n"/>
      <c r="AN4453" s="30" t="n"/>
    </row>
    <row r="4454">
      <c r="A4454" s="89" t="inlineStr">
        <is>
          <t>6098/14119</t>
        </is>
      </c>
      <c r="B4454" s="135" t="inlineStr">
        <is>
          <t>BLUSA MIHALI</t>
        </is>
      </c>
      <c r="C4454" s="219" t="n">
        <v>30300</v>
      </c>
      <c r="D4454" s="111" t="n"/>
      <c r="E4454" s="111" t="n"/>
      <c r="F4454" s="111" t="n"/>
      <c r="G4454" s="111" t="n"/>
      <c r="H4454" s="111" t="n"/>
      <c r="I4454" s="111" t="n"/>
      <c r="J4454" s="111" t="n"/>
      <c r="K4454" s="219">
        <f>ROUND((N4454*C4454)/100,0)*100</f>
        <v/>
      </c>
      <c r="M4454" s="219" t="n"/>
      <c r="N4454" s="96" t="n">
        <v>1.15</v>
      </c>
      <c r="O4454" s="96" t="n"/>
      <c r="P4454" s="150" t="n"/>
      <c r="Q4454" s="30" t="n"/>
      <c r="R4454" s="170" t="n"/>
      <c r="S4454" s="30" t="n"/>
      <c r="T4454" s="170" t="n"/>
      <c r="U4454" s="30" t="n"/>
      <c r="V4454" s="30" t="n"/>
      <c r="W4454" s="30" t="n"/>
      <c r="X4454" s="30" t="n"/>
      <c r="Y4454" s="30" t="n"/>
      <c r="Z4454" s="30" t="n"/>
      <c r="AA4454" s="30" t="n"/>
      <c r="AB4454" s="30" t="n"/>
      <c r="AC4454" s="30" t="n"/>
      <c r="AD4454" s="30" t="n"/>
      <c r="AE4454" s="30" t="n"/>
      <c r="AF4454" s="30" t="n"/>
      <c r="AG4454" s="30" t="n"/>
      <c r="AH4454" s="30" t="n"/>
      <c r="AI4454" s="30" t="n"/>
      <c r="AJ4454" s="30" t="n"/>
      <c r="AK4454" s="30" t="n"/>
      <c r="AL4454" s="30" t="n"/>
      <c r="AM4454" s="30" t="n"/>
      <c r="AN4454" s="30" t="n"/>
    </row>
    <row r="4455">
      <c r="A4455" s="89" t="n"/>
      <c r="B4455" s="135" t="n"/>
      <c r="C4455" s="219" t="n"/>
      <c r="D4455" s="111" t="n"/>
      <c r="E4455" s="111" t="n"/>
      <c r="F4455" s="111" t="n"/>
      <c r="G4455" s="111" t="n"/>
      <c r="H4455" s="111" t="n"/>
      <c r="I4455" s="111" t="n"/>
      <c r="J4455" s="111" t="n"/>
      <c r="K4455" s="219" t="n"/>
      <c r="M4455" s="219" t="n"/>
      <c r="N4455" s="96" t="n"/>
      <c r="O4455" s="96" t="n"/>
      <c r="P4455" s="150" t="n"/>
      <c r="Q4455" s="30" t="n"/>
      <c r="R4455" s="170" t="n"/>
      <c r="S4455" s="30" t="n"/>
      <c r="T4455" s="170" t="n"/>
      <c r="U4455" s="30" t="n"/>
      <c r="V4455" s="30" t="n"/>
      <c r="W4455" s="30" t="n"/>
      <c r="X4455" s="30" t="n"/>
      <c r="Y4455" s="30" t="n"/>
      <c r="Z4455" s="30" t="n"/>
      <c r="AA4455" s="30" t="n"/>
      <c r="AB4455" s="30" t="n"/>
      <c r="AC4455" s="30" t="n"/>
      <c r="AD4455" s="30" t="n"/>
      <c r="AE4455" s="30" t="n"/>
      <c r="AF4455" s="30" t="n"/>
      <c r="AG4455" s="30" t="n"/>
      <c r="AH4455" s="30" t="n"/>
      <c r="AI4455" s="30" t="n"/>
      <c r="AJ4455" s="30" t="n"/>
      <c r="AK4455" s="30" t="n"/>
      <c r="AL4455" s="30" t="n"/>
      <c r="AM4455" s="30" t="n"/>
      <c r="AN4455" s="30" t="n"/>
    </row>
    <row r="4456">
      <c r="A4456" s="89" t="n"/>
      <c r="B4456" s="135" t="n"/>
      <c r="C4456" s="219" t="n"/>
      <c r="D4456" s="111" t="n"/>
      <c r="E4456" s="111" t="n"/>
      <c r="F4456" s="111" t="n"/>
      <c r="G4456" s="111" t="n"/>
      <c r="H4456" s="111" t="n"/>
      <c r="I4456" s="111" t="n"/>
      <c r="J4456" s="111" t="n"/>
      <c r="K4456" s="170" t="n"/>
      <c r="L4456" s="170" t="n"/>
      <c r="M4456" s="170" t="n"/>
      <c r="N4456" s="30" t="n"/>
      <c r="O4456" s="30" t="n"/>
      <c r="P4456" s="170" t="n"/>
      <c r="Q4456" s="30" t="n"/>
      <c r="R4456" s="170" t="n"/>
      <c r="S4456" s="30" t="n"/>
      <c r="T4456" s="170" t="n"/>
      <c r="U4456" s="30" t="n"/>
      <c r="V4456" s="30" t="n"/>
      <c r="W4456" s="30" t="n"/>
      <c r="X4456" s="30" t="n"/>
      <c r="Y4456" s="30" t="n"/>
      <c r="Z4456" s="30" t="n"/>
      <c r="AA4456" s="30" t="n"/>
      <c r="AB4456" s="30" t="n"/>
      <c r="AC4456" s="30" t="n"/>
      <c r="AD4456" s="30" t="n"/>
      <c r="AE4456" s="30" t="n"/>
      <c r="AF4456" s="30" t="n"/>
      <c r="AG4456" s="30" t="n"/>
      <c r="AH4456" s="30" t="n"/>
      <c r="AI4456" s="30" t="n"/>
      <c r="AJ4456" s="30" t="n"/>
      <c r="AK4456" s="30" t="n"/>
      <c r="AL4456" s="30" t="n"/>
      <c r="AM4456" s="30" t="n"/>
      <c r="AN4456" s="30" t="n"/>
    </row>
    <row r="4457">
      <c r="A4457" s="89" t="n"/>
      <c r="B4457" s="135" t="n"/>
      <c r="C4457" s="219" t="n"/>
      <c r="D4457" s="111" t="n"/>
      <c r="E4457" s="111" t="n"/>
      <c r="F4457" s="111" t="n"/>
      <c r="G4457" s="111" t="n"/>
      <c r="H4457" s="111" t="n"/>
      <c r="I4457" s="111" t="n"/>
      <c r="J4457" s="111" t="n"/>
      <c r="K4457" s="170" t="n"/>
      <c r="L4457" s="170" t="n"/>
      <c r="M4457" s="170" t="n"/>
      <c r="N4457" s="30" t="n"/>
      <c r="O4457" s="30" t="n"/>
      <c r="P4457" s="170" t="n"/>
      <c r="Q4457" s="30" t="n"/>
      <c r="R4457" s="170" t="n"/>
      <c r="S4457" s="30" t="n"/>
      <c r="T4457" s="170" t="n"/>
      <c r="U4457" s="30" t="n"/>
      <c r="V4457" s="30" t="n"/>
      <c r="W4457" s="30" t="n"/>
      <c r="X4457" s="30" t="n"/>
      <c r="Y4457" s="30" t="n"/>
      <c r="Z4457" s="30" t="n"/>
      <c r="AA4457" s="30" t="n"/>
      <c r="AB4457" s="30" t="n"/>
      <c r="AC4457" s="30" t="n"/>
      <c r="AD4457" s="30" t="n"/>
      <c r="AE4457" s="30" t="n"/>
      <c r="AF4457" s="30" t="n"/>
      <c r="AG4457" s="30" t="n"/>
      <c r="AH4457" s="30" t="n"/>
      <c r="AI4457" s="30" t="n"/>
      <c r="AJ4457" s="30" t="n"/>
      <c r="AK4457" s="30" t="n"/>
      <c r="AL4457" s="30" t="n"/>
      <c r="AM4457" s="30" t="n"/>
      <c r="AN4457" s="30" t="n"/>
    </row>
    <row r="4458">
      <c r="A4458" s="134" t="n"/>
      <c r="B4458" s="200" t="inlineStr">
        <is>
          <t>REMERAS DAMA MANGA LARGA</t>
        </is>
      </c>
      <c r="C4458" s="219" t="inlineStr">
        <is>
          <t>1 AL 4</t>
        </is>
      </c>
      <c r="D4458" s="219" t="n">
        <v>5</v>
      </c>
      <c r="E4458" s="219" t="n">
        <v>6</v>
      </c>
      <c r="F4458" s="219" t="n">
        <v>7</v>
      </c>
      <c r="G4458" s="219" t="n">
        <v>8</v>
      </c>
      <c r="H4458" s="219" t="n"/>
      <c r="I4458" s="153" t="n"/>
      <c r="J4458" s="134" t="inlineStr">
        <is>
          <t>04/25</t>
        </is>
      </c>
      <c r="K4458" s="219" t="n"/>
      <c r="L4458" s="219" t="n"/>
      <c r="M4458" s="219" t="n"/>
      <c r="P4458" s="117" t="n"/>
      <c r="R4458" s="117" t="n"/>
      <c r="T4458" s="117" t="n"/>
    </row>
    <row r="4459">
      <c r="A4459" s="134" t="inlineStr">
        <is>
          <t>28500</t>
        </is>
      </c>
      <c r="B4459" s="246" t="inlineStr">
        <is>
          <t>REMERA NIPIO M LARGA</t>
        </is>
      </c>
      <c r="C4459" s="88" t="n">
        <v>18600</v>
      </c>
      <c r="D4459" s="220">
        <f>ROUND((C4459*1.06)/100,0)*100</f>
        <v/>
      </c>
      <c r="E4459" s="220">
        <f>ROUND((C4459*1.13)/100,0)*100</f>
        <v/>
      </c>
      <c r="F4459" s="220">
        <f>ROUND((C4459*1.19)/100,0)*100</f>
        <v/>
      </c>
      <c r="G4459" s="219" t="n"/>
      <c r="H4459" s="219" t="n"/>
      <c r="I4459" s="153" t="n"/>
      <c r="J4459" s="153" t="n"/>
      <c r="K4459" s="219">
        <f>ROUND((N4459*C4459)/100,0)*100</f>
        <v/>
      </c>
      <c r="L4459" s="219" t="n"/>
      <c r="M4459" s="219" t="n"/>
      <c r="N4459" s="118" t="n">
        <v>1.35</v>
      </c>
      <c r="P4459" s="117" t="n"/>
      <c r="R4459" s="117" t="n"/>
      <c r="T4459" s="117" t="n"/>
    </row>
    <row r="4460">
      <c r="A4460" s="134" t="inlineStr">
        <is>
          <t>28501</t>
        </is>
      </c>
      <c r="B4460" s="246" t="inlineStr">
        <is>
          <t>REMERA LANILLA</t>
        </is>
      </c>
      <c r="C4460" s="88" t="n">
        <v>23500</v>
      </c>
      <c r="D4460" s="220">
        <f>ROUND((C4460*1.06)/100,0)*100</f>
        <v/>
      </c>
      <c r="E4460" s="220">
        <f>ROUND((C4460*1.13)/100,0)*100</f>
        <v/>
      </c>
      <c r="F4460" s="220">
        <f>ROUND((C4460*1.19)/100,0)*100</f>
        <v/>
      </c>
      <c r="G4460" s="219" t="n"/>
      <c r="H4460" s="219" t="n"/>
      <c r="I4460" s="153" t="n"/>
      <c r="J4460" s="153" t="n"/>
      <c r="K4460" s="219">
        <f>ROUND((N4460*C4460)/100,0)*100</f>
        <v/>
      </c>
      <c r="L4460" s="219" t="n"/>
      <c r="M4460" s="219" t="n"/>
      <c r="N4460" s="118" t="n">
        <v>1.35</v>
      </c>
      <c r="P4460" s="117" t="n"/>
      <c r="R4460" s="117" t="n"/>
      <c r="T4460" s="117" t="n"/>
    </row>
    <row r="4461">
      <c r="A4461" s="134" t="inlineStr">
        <is>
          <t>28502</t>
        </is>
      </c>
      <c r="B4461" s="246" t="inlineStr">
        <is>
          <t>REMERA SEDA FRIA</t>
        </is>
      </c>
      <c r="C4461" s="88" t="n">
        <v>20700</v>
      </c>
      <c r="D4461" s="220">
        <f>ROUND((C4461*1.06)/100,0)*100</f>
        <v/>
      </c>
      <c r="E4461" s="220">
        <f>ROUND((C4461*1.13)/100,0)*100</f>
        <v/>
      </c>
      <c r="F4461" s="220">
        <f>ROUND((C4461*1.19)/100,0)*100</f>
        <v/>
      </c>
      <c r="G4461" s="219" t="n"/>
      <c r="H4461" s="219" t="n"/>
      <c r="I4461" s="153" t="n"/>
      <c r="J4461" s="153" t="n"/>
      <c r="K4461" s="219">
        <f>ROUND((N4461*C4461)/100,0)*100</f>
        <v/>
      </c>
      <c r="L4461" s="219" t="n"/>
      <c r="M4461" s="219" t="n"/>
      <c r="N4461" s="118" t="n">
        <v>1.35</v>
      </c>
      <c r="P4461" s="117" t="n"/>
      <c r="R4461" s="117" t="n"/>
      <c r="T4461" s="117" t="n"/>
    </row>
    <row r="4462">
      <c r="A4462" s="134" t="inlineStr">
        <is>
          <t>28505</t>
        </is>
      </c>
      <c r="B4462" s="246" t="inlineStr">
        <is>
          <t>REM PINTADA MAR Y MAR</t>
        </is>
      </c>
      <c r="C4462" s="88" t="n">
        <v>44000</v>
      </c>
      <c r="D4462" s="220">
        <f>ROUND((C4462*1.06)/100,0)*100</f>
        <v/>
      </c>
      <c r="E4462" s="220">
        <f>ROUND((C4462*1.13)/100,0)*100</f>
        <v/>
      </c>
      <c r="F4462" s="220">
        <f>ROUND((C4462*1.19)/100,0)*100</f>
        <v/>
      </c>
      <c r="G4462" s="219" t="n"/>
      <c r="H4462" s="219" t="n"/>
      <c r="I4462" s="153" t="n"/>
      <c r="J4462" s="153" t="n"/>
      <c r="K4462" s="219">
        <f>ROUND((N4462*C4462)/100,0)*100</f>
        <v/>
      </c>
      <c r="L4462" s="219" t="n"/>
      <c r="M4462" s="219" t="n"/>
      <c r="N4462" s="118" t="n">
        <v>1.35</v>
      </c>
      <c r="P4462" s="117" t="n"/>
      <c r="R4462" s="117" t="n"/>
      <c r="T4462" s="117" t="n"/>
    </row>
    <row r="4463">
      <c r="A4463" s="134" t="inlineStr">
        <is>
          <t>28570</t>
        </is>
      </c>
      <c r="B4463" s="246" t="inlineStr">
        <is>
          <t>REMERA CON BRILLOS</t>
        </is>
      </c>
      <c r="C4463" s="88" t="n">
        <v>36100</v>
      </c>
      <c r="D4463" s="220">
        <f>ROUND((C4463*1.06)/100,0)*100</f>
        <v/>
      </c>
      <c r="E4463" s="220">
        <f>ROUND((C4463*1.13)/100,0)*100</f>
        <v/>
      </c>
      <c r="F4463" s="220">
        <f>ROUND((C4463*1.19)/100,0)*100</f>
        <v/>
      </c>
      <c r="G4463" s="219" t="n"/>
      <c r="H4463" s="219" t="n"/>
      <c r="I4463" s="153" t="n"/>
      <c r="J4463" s="153" t="n"/>
      <c r="K4463" s="219">
        <f>ROUND((N4463*C4463)/100,0)*100</f>
        <v/>
      </c>
      <c r="L4463" s="219" t="n"/>
      <c r="M4463" s="219" t="n"/>
      <c r="N4463" s="118" t="n">
        <v>1.35</v>
      </c>
      <c r="P4463" s="117" t="n"/>
      <c r="R4463" s="117" t="n"/>
      <c r="T4463" s="117" t="n"/>
    </row>
    <row r="4464">
      <c r="A4464" s="134" t="inlineStr">
        <is>
          <t>28571</t>
        </is>
      </c>
      <c r="B4464" s="246" t="inlineStr">
        <is>
          <t>REMERA FIBRANA ESTAMPADA</t>
        </is>
      </c>
      <c r="C4464" s="88" t="n">
        <v>25100</v>
      </c>
      <c r="D4464" s="220">
        <f>ROUND((C4464*1.06)/100,0)*100</f>
        <v/>
      </c>
      <c r="E4464" s="220">
        <f>ROUND((C4464*1.13)/100,0)*100</f>
        <v/>
      </c>
      <c r="F4464" s="220">
        <f>ROUND((C4464*1.19)/100,0)*100</f>
        <v/>
      </c>
      <c r="G4464" s="219" t="n"/>
      <c r="H4464" s="219" t="n"/>
      <c r="I4464" s="153" t="n"/>
      <c r="J4464" s="153" t="n"/>
      <c r="K4464" s="219">
        <f>ROUND((N4464*C4464)/100,0)*100</f>
        <v/>
      </c>
      <c r="L4464" s="219" t="n"/>
      <c r="M4464" s="219" t="n"/>
      <c r="N4464" s="118" t="n">
        <v>1.35</v>
      </c>
      <c r="P4464" s="117" t="n"/>
      <c r="R4464" s="117" t="n"/>
      <c r="T4464" s="117" t="n"/>
    </row>
    <row r="4465">
      <c r="A4465" s="134" t="inlineStr">
        <is>
          <t>28572</t>
        </is>
      </c>
      <c r="B4465" s="246" t="inlineStr">
        <is>
          <t>REMERA FIBRANA IMPORTADA</t>
        </is>
      </c>
      <c r="C4465" s="88" t="n">
        <v>37000</v>
      </c>
      <c r="D4465" s="220">
        <f>ROUND((C4465*1.06)/100,0)*100</f>
        <v/>
      </c>
      <c r="E4465" s="220">
        <f>ROUND((C4465*1.13)/100,0)*100</f>
        <v/>
      </c>
      <c r="F4465" s="220">
        <f>ROUND((C4465*1.19)/100,0)*100</f>
        <v/>
      </c>
      <c r="G4465" s="219" t="n"/>
      <c r="H4465" s="219" t="n"/>
      <c r="I4465" s="153" t="n"/>
      <c r="J4465" s="153" t="n"/>
      <c r="K4465" s="219">
        <f>ROUND((N4465*C4465)/100,0)*100</f>
        <v/>
      </c>
      <c r="L4465" s="219" t="n"/>
      <c r="M4465" s="219" t="n"/>
      <c r="N4465" s="118" t="n">
        <v>1.35</v>
      </c>
      <c r="P4465" s="117" t="n"/>
      <c r="R4465" s="117" t="n"/>
      <c r="T4465" s="117" t="n"/>
    </row>
    <row r="4466">
      <c r="A4466" s="134" t="inlineStr">
        <is>
          <t>28573</t>
        </is>
      </c>
      <c r="B4466" s="246" t="inlineStr">
        <is>
          <t>REMERA FIBRANA ESTAMPADA</t>
        </is>
      </c>
      <c r="C4466" s="88" t="n">
        <v>31100</v>
      </c>
      <c r="D4466" s="220">
        <f>ROUND((C4466*1.06)/100,0)*100</f>
        <v/>
      </c>
      <c r="E4466" s="220">
        <f>ROUND((C4466*1.13)/100,0)*100</f>
        <v/>
      </c>
      <c r="F4466" s="220">
        <f>ROUND((C4466*1.19)/100,0)*100</f>
        <v/>
      </c>
      <c r="G4466" s="219" t="n"/>
      <c r="H4466" s="219" t="n"/>
      <c r="I4466" s="153" t="n"/>
      <c r="J4466" s="153" t="n"/>
      <c r="K4466" s="219">
        <f>ROUND((N4466*C4466)/100,0)*100</f>
        <v/>
      </c>
      <c r="L4466" s="219" t="n"/>
      <c r="M4466" s="219" t="n"/>
      <c r="N4466" s="118" t="n">
        <v>1.35</v>
      </c>
      <c r="P4466" s="117" t="n"/>
      <c r="R4466" s="117" t="n"/>
      <c r="T4466" s="117" t="n"/>
    </row>
    <row r="4467">
      <c r="A4467" s="134" t="inlineStr">
        <is>
          <t>28574</t>
        </is>
      </c>
      <c r="B4467" s="246" t="inlineStr">
        <is>
          <t>REMERA FIBRANA ESTAMPADA</t>
        </is>
      </c>
      <c r="C4467" s="88" t="n">
        <v>41700</v>
      </c>
      <c r="D4467" s="220">
        <f>ROUND((C4467*1.06)/100,0)*100</f>
        <v/>
      </c>
      <c r="E4467" s="220">
        <f>ROUND((C4467*1.13)/100,0)*100</f>
        <v/>
      </c>
      <c r="F4467" s="220">
        <f>ROUND((C4467*1.19)/100,0)*100</f>
        <v/>
      </c>
      <c r="G4467" s="219" t="n"/>
      <c r="H4467" s="219" t="n"/>
      <c r="I4467" s="153" t="n"/>
      <c r="J4467" s="153" t="n"/>
      <c r="K4467" s="219">
        <f>ROUND((N4467*C4467)/100,0)*100</f>
        <v/>
      </c>
      <c r="L4467" s="219" t="n"/>
      <c r="M4467" s="219" t="n"/>
      <c r="N4467" s="118" t="n">
        <v>1.35</v>
      </c>
      <c r="P4467" s="117" t="n"/>
      <c r="R4467" s="117" t="n"/>
      <c r="T4467" s="117" t="n"/>
    </row>
    <row r="4468">
      <c r="A4468" s="134" t="inlineStr">
        <is>
          <t>28578</t>
        </is>
      </c>
      <c r="B4468" s="246" t="inlineStr">
        <is>
          <t>REMERA M LARGA</t>
        </is>
      </c>
      <c r="C4468" s="88" t="n">
        <v>30000</v>
      </c>
      <c r="D4468" s="220">
        <f>ROUND((C4468*1.06)/100,0)*100</f>
        <v/>
      </c>
      <c r="E4468" s="220">
        <f>ROUND((C4468*1.13)/100,0)*100</f>
        <v/>
      </c>
      <c r="F4468" s="220">
        <f>ROUND((C4468*1.19)/100,0)*100</f>
        <v/>
      </c>
      <c r="G4468" s="219" t="n"/>
      <c r="H4468" s="219" t="n"/>
      <c r="I4468" s="153" t="n"/>
      <c r="J4468" s="153" t="n"/>
      <c r="K4468" s="219">
        <f>ROUND((N4468*C4468)/100,0)*100</f>
        <v/>
      </c>
      <c r="L4468" s="219" t="n"/>
      <c r="M4468" s="219" t="n"/>
      <c r="N4468" s="118" t="n">
        <v>1.35</v>
      </c>
      <c r="P4468" s="117" t="n"/>
      <c r="R4468" s="117" t="n"/>
      <c r="T4468" s="117" t="n"/>
    </row>
    <row r="4469">
      <c r="A4469" s="134" t="inlineStr">
        <is>
          <t>28575</t>
        </is>
      </c>
      <c r="B4469" s="246" t="inlineStr">
        <is>
          <t>REMERA M LARGA</t>
        </is>
      </c>
      <c r="C4469" s="88" t="n">
        <v>37300</v>
      </c>
      <c r="D4469" s="220">
        <f>ROUND((C4469*1.06)/100,0)*100</f>
        <v/>
      </c>
      <c r="E4469" s="220">
        <f>ROUND((C4469*1.13)/100,0)*100</f>
        <v/>
      </c>
      <c r="F4469" s="220">
        <f>ROUND((C4469*1.19)/100,0)*100</f>
        <v/>
      </c>
      <c r="G4469" s="219" t="n"/>
      <c r="H4469" s="219" t="n"/>
      <c r="I4469" s="153" t="n"/>
      <c r="J4469" s="153" t="n"/>
      <c r="K4469" s="219">
        <f>ROUND((N4469*C4469)/100,0)*100</f>
        <v/>
      </c>
      <c r="L4469" s="219" t="n"/>
      <c r="M4469" s="219" t="n"/>
      <c r="N4469" s="118" t="n">
        <v>1.35</v>
      </c>
      <c r="P4469" s="117" t="n"/>
      <c r="R4469" s="117" t="n"/>
      <c r="T4469" s="117" t="n"/>
    </row>
    <row r="4470">
      <c r="A4470" s="134" t="inlineStr">
        <is>
          <t>28576</t>
        </is>
      </c>
      <c r="B4470" s="246" t="inlineStr">
        <is>
          <t>REMERA M LARGA</t>
        </is>
      </c>
      <c r="C4470" s="88" t="n">
        <v>46700</v>
      </c>
      <c r="D4470" s="220">
        <f>ROUND((C4470*1.06)/100,0)*100</f>
        <v/>
      </c>
      <c r="E4470" s="220">
        <f>ROUND((C4470*1.13)/100,0)*100</f>
        <v/>
      </c>
      <c r="F4470" s="220">
        <f>ROUND((C4470*1.19)/100,0)*100</f>
        <v/>
      </c>
      <c r="G4470" s="219" t="n"/>
      <c r="H4470" s="219" t="n"/>
      <c r="I4470" s="153" t="n"/>
      <c r="J4470" s="153" t="n"/>
      <c r="K4470" s="219">
        <f>ROUND((N4470*C4470)/100,0)*100</f>
        <v/>
      </c>
      <c r="L4470" s="219" t="n"/>
      <c r="M4470" s="219" t="n"/>
      <c r="N4470" s="118" t="n">
        <v>1.35</v>
      </c>
      <c r="P4470" s="117" t="n"/>
      <c r="R4470" s="117" t="n"/>
      <c r="T4470" s="117" t="n"/>
    </row>
    <row r="4471">
      <c r="A4471" s="134" t="inlineStr">
        <is>
          <t>28577</t>
        </is>
      </c>
      <c r="B4471" s="246" t="inlineStr">
        <is>
          <t>REMERA M LARGA</t>
        </is>
      </c>
      <c r="C4471" s="88" t="n">
        <v>31100</v>
      </c>
      <c r="D4471" s="220">
        <f>ROUND((C4471*1.06)/100,0)*100</f>
        <v/>
      </c>
      <c r="E4471" s="220">
        <f>ROUND((C4471*1.13)/100,0)*100</f>
        <v/>
      </c>
      <c r="F4471" s="220">
        <f>ROUND((C4471*1.19)/100,0)*100</f>
        <v/>
      </c>
      <c r="G4471" s="219" t="n"/>
      <c r="H4471" s="219" t="n"/>
      <c r="I4471" s="153" t="n"/>
      <c r="J4471" s="153" t="n"/>
      <c r="K4471" s="219">
        <f>ROUND((N4471*C4471)/100,0)*100</f>
        <v/>
      </c>
      <c r="L4471" s="219" t="n"/>
      <c r="M4471" s="219" t="n"/>
      <c r="N4471" s="118" t="n">
        <v>1.35</v>
      </c>
      <c r="P4471" s="117" t="n"/>
      <c r="R4471" s="117" t="n"/>
      <c r="T4471" s="117" t="n"/>
    </row>
    <row r="4472">
      <c r="A4472" s="134" t="inlineStr">
        <is>
          <t>28579</t>
        </is>
      </c>
      <c r="B4472" s="246" t="inlineStr">
        <is>
          <t>REMERA M LARGA</t>
        </is>
      </c>
      <c r="C4472" s="88" t="n">
        <v>26900</v>
      </c>
      <c r="D4472" s="219" t="n"/>
      <c r="E4472" s="219" t="n"/>
      <c r="F4472" s="219" t="n"/>
      <c r="G4472" s="219" t="n"/>
      <c r="H4472" s="219" t="n"/>
      <c r="I4472" s="153" t="n"/>
      <c r="J4472" s="153" t="n"/>
      <c r="K4472" s="219">
        <f>ROUND((N4472*C4472)/100,0)*100</f>
        <v/>
      </c>
      <c r="L4472" s="219" t="n"/>
      <c r="M4472" s="219" t="n"/>
      <c r="N4472" s="118" t="n">
        <v>1.35</v>
      </c>
      <c r="P4472" s="117" t="n"/>
      <c r="R4472" s="117" t="n"/>
      <c r="T4472" s="117" t="n"/>
    </row>
    <row r="4473">
      <c r="A4473" s="134" t="inlineStr">
        <is>
          <t>28580</t>
        </is>
      </c>
      <c r="B4473" s="246" t="inlineStr">
        <is>
          <t>REMERA M LARGA</t>
        </is>
      </c>
      <c r="C4473" s="88" t="n">
        <v>31000</v>
      </c>
      <c r="D4473" s="219" t="n"/>
      <c r="E4473" s="219" t="n"/>
      <c r="F4473" s="219" t="n"/>
      <c r="G4473" s="219" t="n"/>
      <c r="H4473" s="219" t="n"/>
      <c r="I4473" s="153" t="n"/>
      <c r="J4473" s="153" t="n"/>
      <c r="K4473" s="219">
        <f>ROUND((N4473*C4473)/100,0)*100</f>
        <v/>
      </c>
      <c r="L4473" s="219" t="n"/>
      <c r="M4473" s="219" t="n"/>
      <c r="N4473" s="118" t="n">
        <v>1.35</v>
      </c>
      <c r="P4473" s="117" t="n"/>
      <c r="R4473" s="117" t="n"/>
      <c r="T4473" s="117" t="n"/>
    </row>
    <row r="4474">
      <c r="A4474" s="134" t="inlineStr">
        <is>
          <t>28581</t>
        </is>
      </c>
      <c r="B4474" s="246" t="inlineStr">
        <is>
          <t>REMERA M LARGA</t>
        </is>
      </c>
      <c r="C4474" s="88" t="n">
        <v>35400</v>
      </c>
      <c r="D4474" s="219" t="n"/>
      <c r="E4474" s="219" t="n"/>
      <c r="F4474" s="219" t="n"/>
      <c r="G4474" s="219" t="n"/>
      <c r="H4474" s="219" t="n"/>
      <c r="I4474" s="153" t="n"/>
      <c r="J4474" s="153" t="n"/>
      <c r="K4474" s="219">
        <f>ROUND((N4474*C4474)/100,0)*100</f>
        <v/>
      </c>
      <c r="L4474" s="219" t="n"/>
      <c r="M4474" s="219" t="n"/>
      <c r="N4474" s="118" t="n">
        <v>1.35</v>
      </c>
      <c r="P4474" s="117" t="n"/>
      <c r="R4474" s="117" t="n"/>
      <c r="T4474" s="117" t="n"/>
    </row>
    <row r="4475">
      <c r="A4475" s="134" t="inlineStr">
        <is>
          <t>28582</t>
        </is>
      </c>
      <c r="B4475" s="246" t="inlineStr">
        <is>
          <t>REMERA M LARGA</t>
        </is>
      </c>
      <c r="C4475" s="88" t="n">
        <v>18400</v>
      </c>
      <c r="D4475" s="219" t="n"/>
      <c r="E4475" s="219" t="n"/>
      <c r="F4475" s="219" t="n"/>
      <c r="G4475" s="219" t="n"/>
      <c r="H4475" s="219" t="n"/>
      <c r="I4475" s="153" t="n"/>
      <c r="J4475" s="153" t="n"/>
      <c r="K4475" s="219">
        <f>ROUND((N4475*C4475)/100,0)*100</f>
        <v/>
      </c>
      <c r="L4475" s="219" t="n"/>
      <c r="M4475" s="219" t="n"/>
      <c r="N4475" s="118" t="n">
        <v>1.35</v>
      </c>
      <c r="P4475" s="117" t="n"/>
      <c r="R4475" s="117" t="n"/>
      <c r="T4475" s="117" t="n"/>
    </row>
    <row r="4476">
      <c r="A4476" s="134" t="inlineStr">
        <is>
          <t>28583</t>
        </is>
      </c>
      <c r="B4476" s="246" t="inlineStr">
        <is>
          <t>REMERA M LARGA</t>
        </is>
      </c>
      <c r="C4476" s="88" t="n">
        <v>23000</v>
      </c>
      <c r="D4476" s="219" t="n"/>
      <c r="E4476" s="219" t="n"/>
      <c r="F4476" s="219" t="n"/>
      <c r="G4476" s="219" t="n"/>
      <c r="H4476" s="219" t="n"/>
      <c r="I4476" s="153" t="n"/>
      <c r="J4476" s="153" t="n"/>
      <c r="K4476" s="219">
        <f>ROUND((N4476*C4476)/100,0)*100</f>
        <v/>
      </c>
      <c r="L4476" s="219" t="n"/>
      <c r="M4476" s="219" t="n"/>
      <c r="N4476" s="118" t="n">
        <v>1.35</v>
      </c>
      <c r="P4476" s="117" t="n"/>
      <c r="R4476" s="117" t="n"/>
      <c r="T4476" s="117" t="n"/>
    </row>
    <row r="4477">
      <c r="A4477" s="134" t="inlineStr">
        <is>
          <t>28584</t>
        </is>
      </c>
      <c r="B4477" s="246" t="inlineStr">
        <is>
          <t>REMERA M LARGA</t>
        </is>
      </c>
      <c r="C4477" s="88" t="n">
        <v>23000</v>
      </c>
      <c r="D4477" s="219" t="n"/>
      <c r="E4477" s="219" t="n"/>
      <c r="F4477" s="219" t="n"/>
      <c r="G4477" s="219" t="n"/>
      <c r="H4477" s="219" t="n"/>
      <c r="I4477" s="153" t="n"/>
      <c r="J4477" s="153" t="n"/>
      <c r="K4477" s="219">
        <f>ROUND((N4477*C4477)/100,0)*100</f>
        <v/>
      </c>
      <c r="L4477" s="219" t="n"/>
      <c r="M4477" s="219" t="n"/>
      <c r="N4477" s="118" t="n">
        <v>1.35</v>
      </c>
      <c r="P4477" s="117" t="n"/>
      <c r="R4477" s="117" t="n"/>
      <c r="T4477" s="117" t="n"/>
    </row>
    <row r="4478">
      <c r="A4478" s="134" t="inlineStr">
        <is>
          <t>28585</t>
        </is>
      </c>
      <c r="B4478" s="246" t="inlineStr">
        <is>
          <t>REMERA M LARGA</t>
        </is>
      </c>
      <c r="C4478" s="88" t="n">
        <v>28100</v>
      </c>
      <c r="D4478" s="219" t="n"/>
      <c r="E4478" s="219" t="n"/>
      <c r="F4478" s="219" t="n"/>
      <c r="G4478" s="219" t="n"/>
      <c r="H4478" s="219" t="n"/>
      <c r="I4478" s="153" t="n"/>
      <c r="J4478" s="153" t="n"/>
      <c r="K4478" s="219">
        <f>ROUND((N4478*C4478)/100,0)*100</f>
        <v/>
      </c>
      <c r="L4478" s="219" t="n"/>
      <c r="M4478" s="219" t="n"/>
      <c r="N4478" s="118" t="n">
        <v>1.35</v>
      </c>
      <c r="P4478" s="117" t="n"/>
      <c r="R4478" s="117" t="n"/>
      <c r="T4478" s="117" t="n"/>
    </row>
    <row r="4479">
      <c r="A4479" s="134" t="inlineStr">
        <is>
          <t>28610</t>
        </is>
      </c>
      <c r="B4479" s="246" t="inlineStr">
        <is>
          <t>REMERA M LARGA</t>
        </is>
      </c>
      <c r="C4479" s="88" t="n">
        <v>16000</v>
      </c>
      <c r="D4479" s="219" t="n"/>
      <c r="E4479" s="219" t="n"/>
      <c r="F4479" s="219" t="n"/>
      <c r="G4479" s="219" t="n"/>
      <c r="H4479" s="219" t="n"/>
      <c r="I4479" s="153" t="n"/>
      <c r="J4479" s="153" t="n"/>
      <c r="K4479" s="219">
        <f>ROUND((N4479*C4479)/100,0)*100</f>
        <v/>
      </c>
      <c r="L4479" s="219" t="n"/>
      <c r="M4479" s="219" t="n"/>
      <c r="N4479" s="118" t="n">
        <v>1.35</v>
      </c>
      <c r="P4479" s="117" t="n"/>
      <c r="R4479" s="117" t="n"/>
      <c r="T4479" s="117" t="n"/>
    </row>
    <row r="4480">
      <c r="A4480" s="134" t="inlineStr">
        <is>
          <t>04771XXX</t>
        </is>
      </c>
      <c r="B4480" s="246" t="inlineStr">
        <is>
          <t>TAVERNITI</t>
        </is>
      </c>
      <c r="C4480" s="88" t="n">
        <v>45500</v>
      </c>
      <c r="D4480" s="219" t="n"/>
      <c r="E4480" s="219" t="n"/>
      <c r="F4480" s="219" t="n"/>
      <c r="G4480" s="219" t="n"/>
      <c r="H4480" s="219" t="n"/>
      <c r="I4480" s="153" t="n"/>
      <c r="J4480" s="153" t="n"/>
      <c r="K4480" s="219">
        <f>ROUND((N4480*C4480)/100,0)*100</f>
        <v/>
      </c>
      <c r="L4480" s="219" t="n"/>
      <c r="M4480" s="219" t="n"/>
      <c r="N4480" s="118" t="n">
        <v>1.35</v>
      </c>
      <c r="P4480" s="117" t="n"/>
      <c r="R4480" s="117" t="n"/>
      <c r="T4480" s="117" t="n"/>
    </row>
    <row r="4481">
      <c r="A4481" s="134" t="inlineStr">
        <is>
          <t>04773XXX</t>
        </is>
      </c>
      <c r="B4481" s="246" t="inlineStr">
        <is>
          <t>TAVERNITI</t>
        </is>
      </c>
      <c r="C4481" s="88" t="n">
        <v>41500</v>
      </c>
      <c r="D4481" s="219" t="n"/>
      <c r="E4481" s="219" t="n"/>
      <c r="F4481" s="219" t="n"/>
      <c r="G4481" s="219" t="n"/>
      <c r="H4481" s="219" t="n"/>
      <c r="I4481" s="153" t="n"/>
      <c r="J4481" s="153" t="n"/>
      <c r="K4481" s="219">
        <f>ROUND((N4481*C4481)/100,0)*100</f>
        <v/>
      </c>
      <c r="L4481" s="219" t="n"/>
      <c r="M4481" s="219" t="n"/>
      <c r="N4481" s="118" t="n">
        <v>1.35</v>
      </c>
      <c r="P4481" s="117" t="n"/>
      <c r="R4481" s="117" t="n"/>
      <c r="T4481" s="117" t="n"/>
    </row>
    <row r="4482">
      <c r="A4482" s="134" t="inlineStr">
        <is>
          <t>04777XXX</t>
        </is>
      </c>
      <c r="B4482" s="246" t="inlineStr">
        <is>
          <t>TAVERNITI</t>
        </is>
      </c>
      <c r="C4482" s="88" t="n">
        <v>41500</v>
      </c>
      <c r="D4482" s="219" t="n"/>
      <c r="E4482" s="219" t="n"/>
      <c r="F4482" s="219" t="n"/>
      <c r="G4482" s="219" t="n"/>
      <c r="H4482" s="219" t="n"/>
      <c r="I4482" s="153" t="n"/>
      <c r="J4482" s="153" t="n"/>
      <c r="K4482" s="219">
        <f>ROUND((N4482*C4482)/100,0)*100</f>
        <v/>
      </c>
      <c r="L4482" s="219" t="n"/>
      <c r="M4482" s="219" t="n"/>
      <c r="N4482" s="118" t="n">
        <v>1.35</v>
      </c>
      <c r="P4482" s="117" t="n"/>
      <c r="R4482" s="117" t="n"/>
      <c r="T4482" s="117" t="n"/>
    </row>
    <row r="4483">
      <c r="A4483" s="89" t="inlineStr">
        <is>
          <t>04783XXX</t>
        </is>
      </c>
      <c r="B4483" s="135" t="inlineStr">
        <is>
          <t>TAVERNITI</t>
        </is>
      </c>
      <c r="C4483" s="88" t="n">
        <v>45500</v>
      </c>
      <c r="D4483" s="88" t="n"/>
      <c r="E4483" s="88" t="n"/>
      <c r="F4483" s="88" t="n"/>
      <c r="G4483" s="88" t="n"/>
      <c r="H4483" s="170" t="n"/>
      <c r="I4483" s="111" t="n"/>
      <c r="J4483" s="111" t="n"/>
      <c r="K4483" s="88">
        <f>ROUND((N4483*C4483)/100,0)*100</f>
        <v/>
      </c>
      <c r="L4483" s="88" t="n"/>
      <c r="M4483" s="88" t="n"/>
      <c r="N4483" s="118" t="n">
        <v>1.35</v>
      </c>
      <c r="P4483" s="117" t="n"/>
      <c r="Q4483" s="30" t="n"/>
      <c r="R4483" s="170" t="n"/>
      <c r="S4483" s="30" t="n"/>
      <c r="T4483" s="170" t="n"/>
      <c r="U4483" s="30" t="n"/>
      <c r="V4483" s="30" t="n"/>
      <c r="W4483" s="30" t="n"/>
      <c r="X4483" s="30" t="n"/>
      <c r="Y4483" s="30" t="n"/>
      <c r="Z4483" s="30" t="n"/>
      <c r="AA4483" s="30" t="n"/>
      <c r="AB4483" s="30" t="n"/>
      <c r="AC4483" s="30" t="n"/>
      <c r="AD4483" s="30" t="n"/>
      <c r="AE4483" s="30" t="n"/>
      <c r="AF4483" s="30" t="n"/>
      <c r="AG4483" s="30" t="n"/>
      <c r="AH4483" s="30" t="n"/>
      <c r="AI4483" s="30" t="n"/>
      <c r="AJ4483" s="30" t="n"/>
      <c r="AK4483" s="30" t="n"/>
      <c r="AL4483" s="30" t="n"/>
      <c r="AM4483" s="30" t="n"/>
      <c r="AN4483" s="30" t="n"/>
    </row>
    <row r="4484">
      <c r="A4484" s="89" t="inlineStr">
        <is>
          <t>04787XXX</t>
        </is>
      </c>
      <c r="B4484" s="135" t="inlineStr">
        <is>
          <t>TAVERNITI</t>
        </is>
      </c>
      <c r="C4484" s="150" t="n">
        <v>43400</v>
      </c>
      <c r="D4484" s="88" t="n"/>
      <c r="E4484" s="88" t="n"/>
      <c r="F4484" s="88" t="n"/>
      <c r="G4484" s="88" t="n"/>
      <c r="H4484" s="170" t="n"/>
      <c r="I4484" s="111" t="n"/>
      <c r="J4484" s="111" t="n"/>
      <c r="K4484" s="88">
        <f>ROUND((N4484*C4484)/100,0)*100</f>
        <v/>
      </c>
      <c r="L4484" s="88" t="n"/>
      <c r="M4484" s="88" t="n"/>
      <c r="N4484" s="118" t="n">
        <v>1.35</v>
      </c>
      <c r="P4484" s="117" t="n"/>
      <c r="Q4484" s="30" t="n"/>
      <c r="R4484" s="170" t="n"/>
      <c r="S4484" s="30" t="n"/>
      <c r="T4484" s="170" t="n"/>
      <c r="U4484" s="30" t="n"/>
      <c r="V4484" s="30" t="n"/>
      <c r="W4484" s="30" t="n"/>
      <c r="X4484" s="30" t="n"/>
      <c r="Y4484" s="30" t="n"/>
      <c r="Z4484" s="30" t="n"/>
      <c r="AA4484" s="30" t="n"/>
      <c r="AB4484" s="30" t="n"/>
      <c r="AC4484" s="30" t="n"/>
      <c r="AD4484" s="30" t="n"/>
      <c r="AE4484" s="30" t="n"/>
      <c r="AF4484" s="30" t="n"/>
      <c r="AG4484" s="30" t="n"/>
      <c r="AH4484" s="30" t="n"/>
      <c r="AI4484" s="30" t="n"/>
      <c r="AJ4484" s="30" t="n"/>
      <c r="AK4484" s="30" t="n"/>
      <c r="AL4484" s="30" t="n"/>
      <c r="AM4484" s="30" t="n"/>
      <c r="AN4484" s="30" t="n"/>
    </row>
    <row r="4485">
      <c r="A4485" s="134" t="inlineStr">
        <is>
          <t>04795XXX</t>
        </is>
      </c>
      <c r="B4485" s="246" t="inlineStr">
        <is>
          <t>TAVERNITI</t>
        </is>
      </c>
      <c r="C4485" s="88" t="n">
        <v>36400</v>
      </c>
      <c r="D4485" s="219" t="n"/>
      <c r="E4485" s="219" t="n"/>
      <c r="F4485" s="219" t="n"/>
      <c r="G4485" s="219" t="n"/>
      <c r="H4485" s="219" t="n"/>
      <c r="I4485" s="153" t="n"/>
      <c r="J4485" s="153" t="n"/>
      <c r="K4485" s="219">
        <f>ROUND((N4485*C4485)/100,0)*100</f>
        <v/>
      </c>
      <c r="L4485" s="219" t="n"/>
      <c r="M4485" s="219" t="n"/>
      <c r="N4485" s="118" t="n">
        <v>1.35</v>
      </c>
      <c r="P4485" s="117" t="n"/>
      <c r="R4485" s="117" t="n"/>
      <c r="T4485" s="117" t="n"/>
    </row>
    <row r="4486">
      <c r="A4486" s="134" t="inlineStr">
        <is>
          <t>04807XXX</t>
        </is>
      </c>
      <c r="B4486" s="246" t="inlineStr">
        <is>
          <t>TAVERNITI</t>
        </is>
      </c>
      <c r="C4486" s="88" t="n">
        <v>43400</v>
      </c>
      <c r="D4486" s="219" t="n"/>
      <c r="E4486" s="219" t="n"/>
      <c r="F4486" s="219" t="n"/>
      <c r="G4486" s="219" t="n"/>
      <c r="H4486" s="219" t="n"/>
      <c r="I4486" s="153" t="n"/>
      <c r="J4486" s="153" t="n"/>
      <c r="K4486" s="219">
        <f>ROUND((N4486*C4486)/100,0)*100</f>
        <v/>
      </c>
      <c r="L4486" s="219" t="n"/>
      <c r="M4486" s="219" t="n"/>
      <c r="N4486" s="118" t="n">
        <v>1.35</v>
      </c>
      <c r="P4486" s="117" t="n"/>
      <c r="R4486" s="117" t="n"/>
      <c r="T4486" s="117" t="n"/>
    </row>
    <row r="4487">
      <c r="A4487" s="134" t="inlineStr">
        <is>
          <t>04821XXX</t>
        </is>
      </c>
      <c r="B4487" s="246" t="inlineStr">
        <is>
          <t>TAVERNITI</t>
        </is>
      </c>
      <c r="C4487" s="88" t="n">
        <v>43400</v>
      </c>
      <c r="D4487" s="219" t="n"/>
      <c r="E4487" s="219" t="n"/>
      <c r="F4487" s="219" t="n"/>
      <c r="G4487" s="219" t="n"/>
      <c r="H4487" s="219" t="n"/>
      <c r="I4487" s="153" t="n"/>
      <c r="J4487" s="153" t="n"/>
      <c r="K4487" s="219">
        <f>ROUND((N4487*C4487)/100,0)*100</f>
        <v/>
      </c>
      <c r="L4487" s="219" t="n"/>
      <c r="M4487" s="219" t="n"/>
      <c r="N4487" s="118" t="n">
        <v>1.35</v>
      </c>
      <c r="P4487" s="117" t="n"/>
      <c r="R4487" s="117" t="n"/>
      <c r="T4487" s="117" t="n"/>
    </row>
    <row r="4488">
      <c r="A4488" s="89" t="inlineStr">
        <is>
          <t>05705XXX</t>
        </is>
      </c>
      <c r="B4488" s="135" t="inlineStr">
        <is>
          <t>TAVERNITI</t>
        </is>
      </c>
      <c r="C4488" s="88" t="n">
        <v>43400</v>
      </c>
      <c r="D4488" s="170" t="n"/>
      <c r="E4488" s="170" t="n"/>
      <c r="F4488" s="170" t="n"/>
      <c r="G4488" s="170" t="n"/>
      <c r="H4488" s="170" t="n"/>
      <c r="I4488" s="111" t="n"/>
      <c r="J4488" s="111" t="n"/>
      <c r="K4488" s="88">
        <f>ROUND((N4488*C4488)/100,0)*100</f>
        <v/>
      </c>
      <c r="L4488" s="170" t="n"/>
      <c r="M4488" s="170" t="n"/>
      <c r="N4488" s="118" t="n">
        <v>1.35</v>
      </c>
      <c r="O4488" s="30" t="n"/>
      <c r="P4488" s="170" t="n"/>
      <c r="Q4488" s="30" t="n"/>
      <c r="R4488" s="170" t="n"/>
      <c r="S4488" s="30" t="n"/>
      <c r="T4488" s="170" t="n"/>
      <c r="U4488" s="30" t="n"/>
      <c r="V4488" s="30" t="n"/>
      <c r="W4488" s="30" t="n"/>
      <c r="X4488" s="30" t="n"/>
      <c r="Y4488" s="30" t="n"/>
      <c r="Z4488" s="30" t="n"/>
      <c r="AA4488" s="30" t="n"/>
      <c r="AB4488" s="30" t="n"/>
      <c r="AC4488" s="30" t="n"/>
      <c r="AD4488" s="30" t="n"/>
      <c r="AE4488" s="30" t="n"/>
      <c r="AF4488" s="30" t="n"/>
      <c r="AG4488" s="30" t="n"/>
      <c r="AH4488" s="30" t="n"/>
      <c r="AI4488" s="30" t="n"/>
      <c r="AJ4488" s="30" t="n"/>
      <c r="AK4488" s="30" t="n"/>
      <c r="AL4488" s="30" t="n"/>
      <c r="AM4488" s="30" t="n"/>
      <c r="AN4488" s="30" t="n"/>
      <c r="AO4488" s="30" t="n"/>
    </row>
    <row r="4489">
      <c r="A4489" s="89" t="inlineStr">
        <is>
          <t>05707XXX</t>
        </is>
      </c>
      <c r="B4489" s="135" t="inlineStr">
        <is>
          <t>TAVERNITI</t>
        </is>
      </c>
      <c r="C4489" s="88" t="n">
        <v>43400</v>
      </c>
      <c r="D4489" s="170" t="n"/>
      <c r="E4489" s="170" t="n"/>
      <c r="F4489" s="170" t="n"/>
      <c r="G4489" s="170" t="n"/>
      <c r="H4489" s="170" t="n"/>
      <c r="I4489" s="111" t="n"/>
      <c r="J4489" s="111" t="n"/>
      <c r="K4489" s="88">
        <f>ROUND((N4489*C4489)/100,0)*100</f>
        <v/>
      </c>
      <c r="L4489" s="170" t="n"/>
      <c r="M4489" s="170" t="n"/>
      <c r="N4489" s="118" t="n">
        <v>1.35</v>
      </c>
      <c r="O4489" s="30" t="n"/>
      <c r="P4489" s="170" t="n"/>
      <c r="Q4489" s="30" t="n"/>
      <c r="R4489" s="170" t="n"/>
      <c r="S4489" s="30" t="n"/>
      <c r="T4489" s="170" t="n"/>
      <c r="U4489" s="30" t="n"/>
      <c r="V4489" s="30" t="n"/>
      <c r="W4489" s="30" t="n"/>
      <c r="X4489" s="30" t="n"/>
      <c r="Y4489" s="30" t="n"/>
      <c r="Z4489" s="30" t="n"/>
      <c r="AA4489" s="30" t="n"/>
      <c r="AB4489" s="30" t="n"/>
      <c r="AC4489" s="30" t="n"/>
      <c r="AD4489" s="30" t="n"/>
      <c r="AE4489" s="30" t="n"/>
      <c r="AF4489" s="30" t="n"/>
      <c r="AG4489" s="30" t="n"/>
      <c r="AH4489" s="30" t="n"/>
      <c r="AI4489" s="30" t="n"/>
      <c r="AJ4489" s="30" t="n"/>
      <c r="AK4489" s="30" t="n"/>
      <c r="AL4489" s="30" t="n"/>
      <c r="AM4489" s="30" t="n"/>
      <c r="AN4489" s="30" t="n"/>
      <c r="AO4489" s="30" t="n"/>
    </row>
    <row r="4490">
      <c r="A4490" s="89" t="inlineStr">
        <is>
          <t>05709XXX</t>
        </is>
      </c>
      <c r="B4490" s="135" t="inlineStr">
        <is>
          <t>TAVERNITI</t>
        </is>
      </c>
      <c r="C4490" s="88" t="n">
        <v>43400</v>
      </c>
      <c r="D4490" s="170" t="n"/>
      <c r="E4490" s="170" t="n"/>
      <c r="F4490" s="170" t="n"/>
      <c r="G4490" s="170" t="n"/>
      <c r="H4490" s="170" t="n"/>
      <c r="I4490" s="111" t="n"/>
      <c r="J4490" s="111" t="n"/>
      <c r="K4490" s="88">
        <f>ROUND((N4490*C4490)/100,0)*100</f>
        <v/>
      </c>
      <c r="L4490" s="170" t="n"/>
      <c r="M4490" s="170" t="n"/>
      <c r="N4490" s="118" t="n">
        <v>1.35</v>
      </c>
      <c r="O4490" s="30" t="n"/>
      <c r="P4490" s="170" t="n"/>
      <c r="Q4490" s="30" t="n"/>
      <c r="R4490" s="170" t="n"/>
      <c r="S4490" s="30" t="n"/>
      <c r="T4490" s="170" t="n"/>
      <c r="U4490" s="30" t="n"/>
      <c r="V4490" s="30" t="n"/>
      <c r="W4490" s="30" t="n"/>
      <c r="X4490" s="30" t="n"/>
      <c r="Y4490" s="30" t="n"/>
      <c r="Z4490" s="30" t="n"/>
      <c r="AA4490" s="30" t="n"/>
      <c r="AB4490" s="30" t="n"/>
      <c r="AC4490" s="30" t="n"/>
      <c r="AD4490" s="30" t="n"/>
      <c r="AE4490" s="30" t="n"/>
      <c r="AF4490" s="30" t="n"/>
      <c r="AG4490" s="30" t="n"/>
      <c r="AH4490" s="30" t="n"/>
      <c r="AI4490" s="30" t="n"/>
      <c r="AJ4490" s="30" t="n"/>
      <c r="AK4490" s="30" t="n"/>
      <c r="AL4490" s="30" t="n"/>
      <c r="AM4490" s="30" t="n"/>
      <c r="AN4490" s="30" t="n"/>
      <c r="AO4490" s="30" t="n"/>
    </row>
    <row r="4491">
      <c r="A4491" s="89" t="inlineStr">
        <is>
          <t>05775XXX</t>
        </is>
      </c>
      <c r="B4491" s="135" t="inlineStr">
        <is>
          <t>TAVERNITI</t>
        </is>
      </c>
      <c r="C4491" s="88" t="n">
        <v>40400</v>
      </c>
      <c r="D4491" s="170" t="n"/>
      <c r="E4491" s="170" t="n"/>
      <c r="F4491" s="170" t="n"/>
      <c r="G4491" s="170" t="n"/>
      <c r="H4491" s="170" t="n"/>
      <c r="I4491" s="170" t="n"/>
      <c r="J4491" s="170" t="n"/>
      <c r="K4491" s="88">
        <f>ROUND((N4491*C4491)/100,0)*100</f>
        <v/>
      </c>
      <c r="L4491" s="170" t="n"/>
      <c r="M4491" s="170" t="n"/>
      <c r="N4491" s="118" t="n">
        <v>1.35</v>
      </c>
      <c r="O4491" s="30" t="n"/>
      <c r="P4491" s="170" t="n"/>
      <c r="Q4491" s="30" t="n"/>
      <c r="R4491" s="170" t="n"/>
      <c r="S4491" s="30" t="n"/>
      <c r="T4491" s="170" t="n"/>
      <c r="U4491" s="30" t="n"/>
      <c r="V4491" s="30" t="n"/>
      <c r="W4491" s="30" t="n"/>
      <c r="X4491" s="30" t="n"/>
      <c r="Y4491" s="30" t="n"/>
      <c r="Z4491" s="30" t="n"/>
      <c r="AA4491" s="30" t="n"/>
      <c r="AB4491" s="30" t="n"/>
      <c r="AC4491" s="30" t="n"/>
      <c r="AD4491" s="30" t="n"/>
      <c r="AE4491" s="30" t="n"/>
      <c r="AF4491" s="30" t="n"/>
      <c r="AG4491" s="30" t="n"/>
      <c r="AH4491" s="30" t="n"/>
      <c r="AI4491" s="30" t="n"/>
      <c r="AJ4491" s="30" t="n"/>
      <c r="AK4491" s="30" t="n"/>
      <c r="AL4491" s="30" t="n"/>
      <c r="AM4491" s="30" t="n"/>
      <c r="AN4491" s="30" t="n"/>
      <c r="AO4491" s="30" t="n"/>
    </row>
    <row r="4492">
      <c r="A4492" s="89" t="inlineStr">
        <is>
          <t>05777XXX</t>
        </is>
      </c>
      <c r="B4492" s="135" t="inlineStr">
        <is>
          <t>TAVERNITI</t>
        </is>
      </c>
      <c r="C4492" s="88" t="n">
        <v>40400</v>
      </c>
      <c r="D4492" s="170" t="n"/>
      <c r="E4492" s="170" t="n"/>
      <c r="F4492" s="170" t="n"/>
      <c r="G4492" s="170" t="n"/>
      <c r="H4492" s="170" t="n"/>
      <c r="I4492" s="170" t="n"/>
      <c r="J4492" s="170" t="n"/>
      <c r="K4492" s="88">
        <f>ROUND((N4492*C4492)/100,0)*100</f>
        <v/>
      </c>
      <c r="L4492" s="170" t="n"/>
      <c r="M4492" s="170" t="n"/>
      <c r="N4492" s="118" t="n">
        <v>1.35</v>
      </c>
      <c r="O4492" s="30" t="n"/>
      <c r="P4492" s="170" t="n"/>
      <c r="Q4492" s="30" t="n"/>
      <c r="R4492" s="170" t="n"/>
      <c r="S4492" s="30" t="n"/>
      <c r="T4492" s="170" t="n"/>
      <c r="U4492" s="30" t="n"/>
      <c r="V4492" s="30" t="n"/>
      <c r="W4492" s="30" t="n"/>
      <c r="X4492" s="30" t="n"/>
      <c r="Y4492" s="30" t="n"/>
      <c r="Z4492" s="30" t="n"/>
      <c r="AA4492" s="30" t="n"/>
      <c r="AB4492" s="30" t="n"/>
      <c r="AC4492" s="30" t="n"/>
      <c r="AD4492" s="30" t="n"/>
      <c r="AE4492" s="30" t="n"/>
      <c r="AF4492" s="30" t="n"/>
      <c r="AG4492" s="30" t="n"/>
      <c r="AH4492" s="30" t="n"/>
      <c r="AI4492" s="30" t="n"/>
      <c r="AJ4492" s="30" t="n"/>
      <c r="AK4492" s="30" t="n"/>
      <c r="AL4492" s="30" t="n"/>
      <c r="AM4492" s="30" t="n"/>
      <c r="AN4492" s="30" t="n"/>
      <c r="AO4492" s="30" t="n"/>
    </row>
    <row r="4493">
      <c r="A4493" s="89" t="inlineStr">
        <is>
          <t>05779XXX</t>
        </is>
      </c>
      <c r="B4493" s="135" t="inlineStr">
        <is>
          <t>TAVERNITI</t>
        </is>
      </c>
      <c r="C4493" s="88" t="n">
        <v>40400</v>
      </c>
      <c r="D4493" s="170" t="n"/>
      <c r="E4493" s="170" t="n"/>
      <c r="F4493" s="170" t="n"/>
      <c r="G4493" s="170" t="n"/>
      <c r="H4493" s="170" t="n"/>
      <c r="I4493" s="111" t="n"/>
      <c r="J4493" s="111" t="n"/>
      <c r="K4493" s="88">
        <f>ROUND((N4493*C4493)/100,0)*100</f>
        <v/>
      </c>
      <c r="L4493" s="170" t="n"/>
      <c r="M4493" s="170" t="n"/>
      <c r="N4493" s="118" t="n">
        <v>1.35</v>
      </c>
      <c r="O4493" s="30" t="n"/>
      <c r="P4493" s="170" t="n"/>
      <c r="Q4493" s="30" t="n"/>
      <c r="R4493" s="170" t="n"/>
      <c r="S4493" s="30" t="n"/>
      <c r="T4493" s="170" t="n"/>
      <c r="U4493" s="30" t="n"/>
      <c r="V4493" s="30" t="n"/>
      <c r="W4493" s="30" t="n"/>
      <c r="X4493" s="30" t="n"/>
      <c r="Y4493" s="30" t="n"/>
      <c r="Z4493" s="30" t="n"/>
      <c r="AA4493" s="30" t="n"/>
      <c r="AB4493" s="30" t="n"/>
      <c r="AC4493" s="30" t="n"/>
      <c r="AD4493" s="30" t="n"/>
      <c r="AE4493" s="30" t="n"/>
      <c r="AF4493" s="30" t="n"/>
      <c r="AG4493" s="30" t="n"/>
      <c r="AH4493" s="30" t="n"/>
      <c r="AI4493" s="30" t="n"/>
      <c r="AJ4493" s="30" t="n"/>
      <c r="AK4493" s="30" t="n"/>
      <c r="AL4493" s="30" t="n"/>
      <c r="AM4493" s="30" t="n"/>
      <c r="AN4493" s="30" t="n"/>
      <c r="AO4493" s="30" t="n"/>
    </row>
    <row r="4494">
      <c r="A4494" s="134" t="inlineStr">
        <is>
          <t>05781XXX</t>
        </is>
      </c>
      <c r="B4494" s="246" t="inlineStr">
        <is>
          <t>TAVERNITI</t>
        </is>
      </c>
      <c r="C4494" s="88" t="n">
        <v>39800</v>
      </c>
      <c r="D4494" s="219" t="n"/>
      <c r="E4494" s="219" t="n"/>
      <c r="F4494" s="219" t="n"/>
      <c r="G4494" s="219" t="n"/>
      <c r="H4494" s="219" t="n"/>
      <c r="I4494" s="153" t="n"/>
      <c r="J4494" s="153" t="n"/>
      <c r="K4494" s="219">
        <f>ROUND((N4494*C4494)/100,0)*100</f>
        <v/>
      </c>
      <c r="L4494" s="219" t="n"/>
      <c r="M4494" s="219" t="n"/>
      <c r="N4494" s="118" t="n">
        <v>1.35</v>
      </c>
      <c r="P4494" s="117" t="n"/>
      <c r="R4494" s="117" t="n"/>
      <c r="T4494" s="117" t="n"/>
    </row>
    <row r="4495">
      <c r="A4495" s="134" t="inlineStr">
        <is>
          <t>05789XXX</t>
        </is>
      </c>
      <c r="B4495" s="246" t="inlineStr">
        <is>
          <t>TAVERNITI</t>
        </is>
      </c>
      <c r="C4495" s="88" t="n">
        <v>42500</v>
      </c>
      <c r="D4495" s="219" t="n"/>
      <c r="E4495" s="219" t="n"/>
      <c r="F4495" s="219" t="n"/>
      <c r="G4495" s="219" t="n"/>
      <c r="H4495" s="219" t="n"/>
      <c r="I4495" s="153" t="n"/>
      <c r="J4495" s="153" t="n"/>
      <c r="K4495" s="219">
        <f>ROUND((N4495*C4495)/100,0)*100</f>
        <v/>
      </c>
      <c r="L4495" s="219" t="n"/>
      <c r="M4495" s="219" t="n"/>
      <c r="N4495" s="118" t="n">
        <v>1.35</v>
      </c>
      <c r="P4495" s="117" t="n"/>
      <c r="R4495" s="117" t="n"/>
      <c r="T4495" s="117" t="n"/>
    </row>
    <row r="4496">
      <c r="A4496" s="134" t="inlineStr">
        <is>
          <t>05793XXX</t>
        </is>
      </c>
      <c r="B4496" s="246" t="inlineStr">
        <is>
          <t>TAVERNITI</t>
        </is>
      </c>
      <c r="C4496" s="88" t="n">
        <v>43400</v>
      </c>
      <c r="D4496" s="219" t="n"/>
      <c r="E4496" s="219" t="n"/>
      <c r="F4496" s="219" t="n"/>
      <c r="G4496" s="219" t="n"/>
      <c r="H4496" s="219" t="n"/>
      <c r="I4496" s="153" t="n"/>
      <c r="J4496" s="153" t="n"/>
      <c r="K4496" s="219">
        <f>ROUND((N4496*C4496)/100,0)*100</f>
        <v/>
      </c>
      <c r="L4496" s="219" t="n"/>
      <c r="M4496" s="219" t="n"/>
      <c r="N4496" s="118" t="n">
        <v>1.35</v>
      </c>
      <c r="P4496" s="117" t="n"/>
      <c r="R4496" s="117" t="n"/>
      <c r="T4496" s="117" t="n"/>
    </row>
    <row r="4497">
      <c r="A4497" s="134" t="inlineStr">
        <is>
          <t>05803XXX</t>
        </is>
      </c>
      <c r="B4497" s="246" t="inlineStr">
        <is>
          <t>TAVERNITI</t>
        </is>
      </c>
      <c r="C4497" s="88" t="n">
        <v>40400</v>
      </c>
      <c r="D4497" s="219" t="n"/>
      <c r="E4497" s="219" t="n"/>
      <c r="F4497" s="219" t="n"/>
      <c r="G4497" s="219" t="n"/>
      <c r="H4497" s="219" t="n"/>
      <c r="I4497" s="153" t="n"/>
      <c r="J4497" s="153" t="n"/>
      <c r="K4497" s="219">
        <f>ROUND((N4497*C4497)/100,0)*100</f>
        <v/>
      </c>
      <c r="L4497" s="219" t="n"/>
      <c r="M4497" s="219" t="n"/>
      <c r="N4497" s="118" t="n">
        <v>1.35</v>
      </c>
      <c r="P4497" s="117" t="n"/>
      <c r="R4497" s="117" t="n"/>
      <c r="T4497" s="117" t="n"/>
    </row>
    <row r="4498">
      <c r="A4498" s="89" t="inlineStr">
        <is>
          <t>06123XXX</t>
        </is>
      </c>
      <c r="B4498" s="135" t="inlineStr">
        <is>
          <t>TAVERNITI</t>
        </is>
      </c>
      <c r="C4498" s="88" t="n">
        <v>38600</v>
      </c>
      <c r="D4498" s="170" t="n"/>
      <c r="E4498" s="170" t="n"/>
      <c r="F4498" s="170" t="n"/>
      <c r="G4498" s="170" t="n"/>
      <c r="H4498" s="170" t="n"/>
      <c r="I4498" s="170" t="n"/>
      <c r="J4498" s="170" t="n"/>
      <c r="K4498" s="88">
        <f>ROUND((N4498*C4498)/100,0)*100</f>
        <v/>
      </c>
      <c r="L4498" s="170" t="n"/>
      <c r="M4498" s="170" t="n"/>
      <c r="N4498" s="118" t="n">
        <v>1.35</v>
      </c>
      <c r="O4498" s="30" t="n"/>
      <c r="P4498" s="170" t="n"/>
      <c r="Q4498" s="30" t="n"/>
      <c r="R4498" s="170" t="n"/>
      <c r="S4498" s="30" t="n"/>
      <c r="T4498" s="170" t="n"/>
      <c r="U4498" s="30" t="n"/>
      <c r="V4498" s="30" t="n"/>
      <c r="W4498" s="30" t="n"/>
      <c r="X4498" s="30" t="n"/>
      <c r="Y4498" s="30" t="n"/>
      <c r="Z4498" s="30" t="n"/>
      <c r="AA4498" s="30" t="n"/>
      <c r="AB4498" s="30" t="n"/>
      <c r="AC4498" s="30" t="n"/>
      <c r="AD4498" s="30" t="n"/>
      <c r="AE4498" s="30" t="n"/>
      <c r="AF4498" s="30" t="n"/>
      <c r="AG4498" s="30" t="n"/>
      <c r="AH4498" s="30" t="n"/>
      <c r="AI4498" s="30" t="n"/>
      <c r="AJ4498" s="30" t="n"/>
      <c r="AK4498" s="30" t="n"/>
      <c r="AL4498" s="30" t="n"/>
      <c r="AM4498" s="30" t="n"/>
      <c r="AN4498" s="30" t="n"/>
      <c r="AO4498" s="30" t="n"/>
    </row>
    <row r="4499">
      <c r="A4499" s="89" t="inlineStr">
        <is>
          <t>06139XXX</t>
        </is>
      </c>
      <c r="B4499" s="135" t="inlineStr">
        <is>
          <t>TAVERNITI</t>
        </is>
      </c>
      <c r="C4499" s="88" t="n">
        <v>39800</v>
      </c>
      <c r="D4499" s="170" t="n"/>
      <c r="E4499" s="170" t="n"/>
      <c r="F4499" s="170" t="n"/>
      <c r="G4499" s="170" t="n"/>
      <c r="H4499" s="170" t="n"/>
      <c r="I4499" s="111" t="n"/>
      <c r="J4499" s="111" t="n"/>
      <c r="K4499" s="88">
        <f>ROUND((N4499*C4499)/100,0)*100</f>
        <v/>
      </c>
      <c r="L4499" s="170" t="n"/>
      <c r="M4499" s="170" t="n"/>
      <c r="N4499" s="118" t="n">
        <v>1.35</v>
      </c>
      <c r="O4499" s="30" t="n"/>
      <c r="P4499" s="170" t="n"/>
      <c r="Q4499" s="30" t="n"/>
      <c r="R4499" s="170" t="n"/>
      <c r="S4499" s="30" t="n"/>
      <c r="T4499" s="170" t="n"/>
      <c r="U4499" s="30" t="n"/>
      <c r="V4499" s="30" t="n"/>
      <c r="W4499" s="30" t="n"/>
      <c r="X4499" s="30" t="n"/>
      <c r="Y4499" s="30" t="n"/>
      <c r="Z4499" s="30" t="n"/>
      <c r="AA4499" s="30" t="n"/>
      <c r="AB4499" s="30" t="n"/>
      <c r="AC4499" s="30" t="n"/>
      <c r="AD4499" s="30" t="n"/>
      <c r="AE4499" s="30" t="n"/>
      <c r="AF4499" s="30" t="n"/>
      <c r="AG4499" s="30" t="n"/>
      <c r="AH4499" s="30" t="n"/>
      <c r="AI4499" s="30" t="n"/>
      <c r="AJ4499" s="30" t="n"/>
      <c r="AK4499" s="30" t="n"/>
      <c r="AL4499" s="30" t="n"/>
      <c r="AM4499" s="30" t="n"/>
      <c r="AN4499" s="30" t="n"/>
      <c r="AO4499" s="30" t="n"/>
    </row>
    <row r="4500">
      <c r="A4500" s="89" t="inlineStr">
        <is>
          <t>06159XXX</t>
        </is>
      </c>
      <c r="B4500" s="135" t="inlineStr">
        <is>
          <t>TAVERNITI</t>
        </is>
      </c>
      <c r="C4500" s="88" t="n">
        <v>35900</v>
      </c>
      <c r="D4500" s="170" t="n"/>
      <c r="E4500" s="170" t="n"/>
      <c r="F4500" s="170" t="n"/>
      <c r="G4500" s="170" t="n"/>
      <c r="H4500" s="170" t="n"/>
      <c r="I4500" s="111" t="n"/>
      <c r="J4500" s="111" t="n"/>
      <c r="K4500" s="88">
        <f>ROUND((N4500*C4500)/100,0)*100</f>
        <v/>
      </c>
      <c r="L4500" s="170" t="n"/>
      <c r="M4500" s="170" t="n"/>
      <c r="N4500" s="118" t="n">
        <v>1.35</v>
      </c>
      <c r="O4500" s="30" t="n"/>
      <c r="P4500" s="170" t="n"/>
      <c r="Q4500" s="30" t="n"/>
      <c r="R4500" s="170" t="n"/>
      <c r="S4500" s="30" t="n"/>
      <c r="T4500" s="170" t="n"/>
      <c r="U4500" s="30" t="n"/>
      <c r="V4500" s="30" t="n"/>
      <c r="W4500" s="30" t="n"/>
      <c r="X4500" s="30" t="n"/>
      <c r="Y4500" s="30" t="n"/>
      <c r="Z4500" s="30" t="n"/>
      <c r="AA4500" s="30" t="n"/>
      <c r="AB4500" s="30" t="n"/>
      <c r="AC4500" s="30" t="n"/>
      <c r="AD4500" s="30" t="n"/>
      <c r="AE4500" s="30" t="n"/>
      <c r="AF4500" s="30" t="n"/>
      <c r="AG4500" s="30" t="n"/>
      <c r="AH4500" s="30" t="n"/>
      <c r="AI4500" s="30" t="n"/>
      <c r="AJ4500" s="30" t="n"/>
      <c r="AK4500" s="30" t="n"/>
      <c r="AL4500" s="30" t="n"/>
      <c r="AM4500" s="30" t="n"/>
      <c r="AN4500" s="30" t="n"/>
      <c r="AO4500" s="30" t="n"/>
    </row>
    <row r="4501">
      <c r="A4501" s="89" t="inlineStr">
        <is>
          <t>06167XXX</t>
        </is>
      </c>
      <c r="B4501" s="135" t="inlineStr">
        <is>
          <t>TAVERNITI</t>
        </is>
      </c>
      <c r="C4501" s="88" t="n">
        <v>36500</v>
      </c>
      <c r="D4501" s="170" t="n"/>
      <c r="E4501" s="170" t="n"/>
      <c r="F4501" s="170" t="n"/>
      <c r="G4501" s="170" t="n"/>
      <c r="H4501" s="170" t="n"/>
      <c r="I4501" s="111" t="n"/>
      <c r="J4501" s="111" t="n"/>
      <c r="K4501" s="88">
        <f>ROUND((N4501*C4501)/100,0)*100</f>
        <v/>
      </c>
      <c r="L4501" s="170" t="n"/>
      <c r="M4501" s="170" t="n"/>
      <c r="N4501" s="118" t="n">
        <v>1.35</v>
      </c>
      <c r="O4501" s="30" t="n"/>
      <c r="P4501" s="170" t="n"/>
      <c r="Q4501" s="30" t="n"/>
      <c r="R4501" s="170" t="n"/>
      <c r="S4501" s="30" t="n"/>
      <c r="T4501" s="170" t="n"/>
      <c r="U4501" s="30" t="n"/>
      <c r="V4501" s="30" t="n"/>
      <c r="W4501" s="30" t="n"/>
      <c r="X4501" s="30" t="n"/>
      <c r="Y4501" s="30" t="n"/>
      <c r="Z4501" s="30" t="n"/>
      <c r="AA4501" s="30" t="n"/>
      <c r="AB4501" s="30" t="n"/>
      <c r="AC4501" s="30" t="n"/>
      <c r="AD4501" s="30" t="n"/>
      <c r="AE4501" s="30" t="n"/>
      <c r="AF4501" s="30" t="n"/>
      <c r="AG4501" s="30" t="n"/>
      <c r="AH4501" s="30" t="n"/>
      <c r="AI4501" s="30" t="n"/>
      <c r="AJ4501" s="30" t="n"/>
      <c r="AK4501" s="30" t="n"/>
      <c r="AL4501" s="30" t="n"/>
      <c r="AM4501" s="30" t="n"/>
      <c r="AN4501" s="30" t="n"/>
      <c r="AO4501" s="30" t="n"/>
    </row>
    <row r="4502">
      <c r="A4502" s="89" t="inlineStr">
        <is>
          <t>06373XXX</t>
        </is>
      </c>
      <c r="B4502" s="135" t="inlineStr">
        <is>
          <t>TAVERNITI</t>
        </is>
      </c>
      <c r="C4502" s="88" t="n">
        <v>35900</v>
      </c>
      <c r="D4502" s="170" t="n"/>
      <c r="E4502" s="170" t="n"/>
      <c r="F4502" s="170" t="n"/>
      <c r="G4502" s="170" t="n"/>
      <c r="H4502" s="170" t="n"/>
      <c r="I4502" s="111" t="n"/>
      <c r="J4502" s="111" t="n"/>
      <c r="K4502" s="88">
        <f>ROUND((N4502*C4502)/100,0)*100</f>
        <v/>
      </c>
      <c r="L4502" s="170" t="n"/>
      <c r="M4502" s="170" t="n"/>
      <c r="N4502" s="118" t="n">
        <v>1.35</v>
      </c>
      <c r="O4502" s="30" t="n"/>
      <c r="P4502" s="170" t="n"/>
      <c r="Q4502" s="30" t="n"/>
      <c r="R4502" s="170" t="n"/>
      <c r="S4502" s="30" t="n"/>
      <c r="T4502" s="170" t="n"/>
      <c r="U4502" s="30" t="n"/>
      <c r="V4502" s="30" t="n"/>
      <c r="W4502" s="30" t="n"/>
      <c r="X4502" s="30" t="n"/>
      <c r="Y4502" s="30" t="n"/>
      <c r="Z4502" s="30" t="n"/>
      <c r="AA4502" s="30" t="n"/>
      <c r="AB4502" s="30" t="n"/>
      <c r="AC4502" s="30" t="n"/>
      <c r="AD4502" s="30" t="n"/>
      <c r="AE4502" s="30" t="n"/>
      <c r="AF4502" s="30" t="n"/>
      <c r="AG4502" s="30" t="n"/>
      <c r="AH4502" s="30" t="n"/>
      <c r="AI4502" s="30" t="n"/>
      <c r="AJ4502" s="30" t="n"/>
      <c r="AK4502" s="30" t="n"/>
      <c r="AL4502" s="30" t="n"/>
      <c r="AM4502" s="30" t="n"/>
      <c r="AN4502" s="30" t="n"/>
      <c r="AO4502" s="30" t="n"/>
    </row>
    <row r="4503">
      <c r="A4503" s="89" t="inlineStr">
        <is>
          <t>06377XXX</t>
        </is>
      </c>
      <c r="B4503" s="135" t="inlineStr">
        <is>
          <t>TAVERNITI</t>
        </is>
      </c>
      <c r="C4503" s="88" t="n">
        <v>39800</v>
      </c>
      <c r="D4503" s="170" t="n"/>
      <c r="E4503" s="170" t="n"/>
      <c r="F4503" s="170" t="n"/>
      <c r="G4503" s="170" t="n"/>
      <c r="H4503" s="170" t="n"/>
      <c r="I4503" s="111" t="n"/>
      <c r="J4503" s="111" t="n"/>
      <c r="K4503" s="88">
        <f>ROUND((N4503*C4503)/100,0)*100</f>
        <v/>
      </c>
      <c r="L4503" s="170" t="n"/>
      <c r="M4503" s="170" t="n"/>
      <c r="N4503" s="118" t="n">
        <v>1.35</v>
      </c>
      <c r="O4503" s="30" t="n"/>
      <c r="P4503" s="170" t="n"/>
      <c r="Q4503" s="30" t="n"/>
      <c r="R4503" s="170" t="n"/>
      <c r="S4503" s="30" t="n"/>
      <c r="T4503" s="170" t="n"/>
      <c r="U4503" s="30" t="n"/>
      <c r="V4503" s="30" t="n"/>
      <c r="W4503" s="30" t="n"/>
      <c r="X4503" s="30" t="n"/>
      <c r="Y4503" s="30" t="n"/>
      <c r="Z4503" s="30" t="n"/>
      <c r="AA4503" s="30" t="n"/>
      <c r="AB4503" s="30" t="n"/>
      <c r="AC4503" s="30" t="n"/>
      <c r="AD4503" s="30" t="n"/>
      <c r="AE4503" s="30" t="n"/>
      <c r="AF4503" s="30" t="n"/>
      <c r="AG4503" s="30" t="n"/>
      <c r="AH4503" s="30" t="n"/>
      <c r="AI4503" s="30" t="n"/>
      <c r="AJ4503" s="30" t="n"/>
      <c r="AK4503" s="30" t="n"/>
      <c r="AL4503" s="30" t="n"/>
      <c r="AM4503" s="30" t="n"/>
      <c r="AN4503" s="30" t="n"/>
      <c r="AO4503" s="30" t="n"/>
    </row>
    <row r="4504">
      <c r="A4504" s="89" t="inlineStr">
        <is>
          <t>08167XXX</t>
        </is>
      </c>
      <c r="B4504" s="135" t="inlineStr">
        <is>
          <t>TAVERNITI</t>
        </is>
      </c>
      <c r="C4504" s="88" t="n">
        <v>31700</v>
      </c>
      <c r="D4504" s="170" t="n"/>
      <c r="E4504" s="170" t="n"/>
      <c r="F4504" s="170" t="n"/>
      <c r="G4504" s="170" t="n"/>
      <c r="H4504" s="170" t="n"/>
      <c r="I4504" s="111" t="n"/>
      <c r="J4504" s="111" t="n"/>
      <c r="K4504" s="88">
        <f>ROUND((N4504*C4504)/100,0)*100</f>
        <v/>
      </c>
      <c r="L4504" s="170" t="n"/>
      <c r="M4504" s="170" t="n"/>
      <c r="N4504" s="118" t="n">
        <v>1.35</v>
      </c>
      <c r="O4504" s="30" t="n"/>
      <c r="P4504" s="170" t="n"/>
      <c r="Q4504" s="30" t="n"/>
      <c r="R4504" s="170" t="n"/>
      <c r="S4504" s="30" t="n"/>
      <c r="T4504" s="170" t="n"/>
      <c r="U4504" s="30" t="n"/>
      <c r="V4504" s="30" t="n"/>
      <c r="W4504" s="30" t="n"/>
      <c r="X4504" s="30" t="n"/>
      <c r="Y4504" s="30" t="n"/>
      <c r="Z4504" s="30" t="n"/>
      <c r="AA4504" s="30" t="n"/>
      <c r="AB4504" s="30" t="n"/>
      <c r="AC4504" s="30" t="n"/>
      <c r="AD4504" s="30" t="n"/>
      <c r="AE4504" s="30" t="n"/>
      <c r="AF4504" s="30" t="n"/>
      <c r="AG4504" s="30" t="n"/>
      <c r="AH4504" s="30" t="n"/>
      <c r="AI4504" s="30" t="n"/>
      <c r="AJ4504" s="30" t="n"/>
      <c r="AK4504" s="30" t="n"/>
      <c r="AL4504" s="30" t="n"/>
      <c r="AM4504" s="30" t="n"/>
      <c r="AN4504" s="30" t="n"/>
      <c r="AO4504" s="30" t="n"/>
    </row>
    <row r="4505">
      <c r="A4505" s="89" t="inlineStr">
        <is>
          <t>08627XXX</t>
        </is>
      </c>
      <c r="B4505" s="135" t="inlineStr">
        <is>
          <t>TAVERNITI</t>
        </is>
      </c>
      <c r="C4505" s="88" t="n">
        <v>38900</v>
      </c>
      <c r="D4505" s="170" t="n"/>
      <c r="E4505" s="170" t="n"/>
      <c r="F4505" s="170" t="n"/>
      <c r="G4505" s="170" t="n"/>
      <c r="H4505" s="170" t="n"/>
      <c r="I4505" s="111" t="n"/>
      <c r="J4505" s="111" t="n"/>
      <c r="K4505" s="88">
        <f>ROUND((N4505*C4505)/100,0)*100</f>
        <v/>
      </c>
      <c r="L4505" s="170" t="n"/>
      <c r="M4505" s="170" t="n"/>
      <c r="N4505" s="118" t="n">
        <v>1.35</v>
      </c>
      <c r="O4505" s="30" t="n"/>
      <c r="P4505" s="170" t="n"/>
      <c r="Q4505" s="30" t="n"/>
      <c r="R4505" s="170" t="n"/>
      <c r="S4505" s="30" t="n"/>
      <c r="T4505" s="170" t="n"/>
      <c r="U4505" s="30" t="n"/>
      <c r="V4505" s="30" t="n"/>
      <c r="W4505" s="30" t="n"/>
      <c r="X4505" s="30" t="n"/>
      <c r="Y4505" s="30" t="n"/>
      <c r="Z4505" s="30" t="n"/>
      <c r="AA4505" s="30" t="n"/>
      <c r="AB4505" s="30" t="n"/>
      <c r="AC4505" s="30" t="n"/>
      <c r="AD4505" s="30" t="n"/>
      <c r="AE4505" s="30" t="n"/>
      <c r="AF4505" s="30" t="n"/>
      <c r="AG4505" s="30" t="n"/>
      <c r="AH4505" s="30" t="n"/>
      <c r="AI4505" s="30" t="n"/>
      <c r="AJ4505" s="30" t="n"/>
      <c r="AK4505" s="30" t="n"/>
      <c r="AL4505" s="30" t="n"/>
      <c r="AM4505" s="30" t="n"/>
      <c r="AN4505" s="30" t="n"/>
      <c r="AO4505" s="30" t="n"/>
    </row>
    <row r="4506">
      <c r="A4506" s="89" t="inlineStr">
        <is>
          <t>08631XXX</t>
        </is>
      </c>
      <c r="B4506" s="135" t="inlineStr">
        <is>
          <t>TAVERNITI POLERA</t>
        </is>
      </c>
      <c r="C4506" s="88" t="n">
        <v>37500</v>
      </c>
      <c r="D4506" s="170" t="n"/>
      <c r="E4506" s="170" t="n"/>
      <c r="F4506" s="170" t="n"/>
      <c r="G4506" s="170" t="n"/>
      <c r="H4506" s="170" t="n"/>
      <c r="I4506" s="170" t="n"/>
      <c r="J4506" s="170" t="n"/>
      <c r="K4506" s="88">
        <f>ROUND((N4506*C4506)/100,0)*100</f>
        <v/>
      </c>
      <c r="L4506" s="170" t="n"/>
      <c r="M4506" s="170" t="n"/>
      <c r="N4506" s="96" t="n">
        <v>1.35</v>
      </c>
      <c r="O4506" s="30" t="n"/>
      <c r="P4506" s="170" t="n"/>
      <c r="Q4506" s="30" t="n"/>
      <c r="R4506" s="170" t="n"/>
      <c r="S4506" s="30" t="n"/>
      <c r="T4506" s="170" t="n"/>
      <c r="U4506" s="30" t="n"/>
      <c r="V4506" s="30" t="n"/>
      <c r="W4506" s="30" t="n"/>
      <c r="X4506" s="30" t="n"/>
      <c r="Y4506" s="30" t="n"/>
      <c r="Z4506" s="30" t="n"/>
      <c r="AA4506" s="30" t="n"/>
      <c r="AB4506" s="30" t="n"/>
      <c r="AC4506" s="30" t="n"/>
      <c r="AD4506" s="30" t="n"/>
      <c r="AE4506" s="30" t="n"/>
      <c r="AF4506" s="30" t="n"/>
      <c r="AG4506" s="30" t="n"/>
      <c r="AH4506" s="30" t="n"/>
      <c r="AI4506" s="30" t="n"/>
      <c r="AJ4506" s="30" t="n"/>
      <c r="AK4506" s="30" t="n"/>
      <c r="AL4506" s="30" t="n"/>
      <c r="AM4506" s="30" t="n"/>
      <c r="AN4506" s="30" t="n"/>
      <c r="AO4506" s="30" t="n"/>
    </row>
    <row r="4507">
      <c r="A4507" s="89" t="inlineStr">
        <is>
          <t>08635XXX</t>
        </is>
      </c>
      <c r="B4507" s="135" t="inlineStr">
        <is>
          <t>TAVERNITI</t>
        </is>
      </c>
      <c r="C4507" s="88" t="n">
        <v>37500</v>
      </c>
      <c r="D4507" s="170" t="n"/>
      <c r="E4507" s="170" t="n"/>
      <c r="F4507" s="170" t="n"/>
      <c r="G4507" s="170" t="n"/>
      <c r="H4507" s="170" t="n"/>
      <c r="I4507" s="111" t="n"/>
      <c r="J4507" s="111" t="n"/>
      <c r="K4507" s="88">
        <f>ROUND((N4507*C4507)/100,0)*100</f>
        <v/>
      </c>
      <c r="L4507" s="170" t="n"/>
      <c r="M4507" s="170" t="n"/>
      <c r="N4507" s="118" t="n">
        <v>1.35</v>
      </c>
      <c r="O4507" s="30" t="n"/>
      <c r="P4507" s="170" t="n"/>
      <c r="Q4507" s="30" t="n"/>
      <c r="R4507" s="170" t="n"/>
      <c r="S4507" s="30" t="n"/>
      <c r="T4507" s="170" t="n"/>
      <c r="U4507" s="30" t="n"/>
      <c r="V4507" s="30" t="n"/>
      <c r="W4507" s="30" t="n"/>
      <c r="X4507" s="30" t="n"/>
      <c r="Y4507" s="30" t="n"/>
      <c r="Z4507" s="30" t="n"/>
      <c r="AA4507" s="30" t="n"/>
      <c r="AB4507" s="30" t="n"/>
      <c r="AC4507" s="30" t="n"/>
      <c r="AD4507" s="30" t="n"/>
      <c r="AE4507" s="30" t="n"/>
      <c r="AF4507" s="30" t="n"/>
      <c r="AG4507" s="30" t="n"/>
      <c r="AH4507" s="30" t="n"/>
      <c r="AI4507" s="30" t="n"/>
      <c r="AJ4507" s="30" t="n"/>
      <c r="AK4507" s="30" t="n"/>
      <c r="AL4507" s="30" t="n"/>
      <c r="AM4507" s="30" t="n"/>
      <c r="AN4507" s="30" t="n"/>
      <c r="AO4507" s="30" t="n"/>
    </row>
    <row r="4508">
      <c r="A4508" s="89" t="inlineStr">
        <is>
          <t>19183XXX</t>
        </is>
      </c>
      <c r="B4508" s="135" t="inlineStr">
        <is>
          <t>TAVERNITI</t>
        </is>
      </c>
      <c r="C4508" s="88" t="n">
        <v>25500</v>
      </c>
      <c r="D4508" s="170" t="n"/>
      <c r="E4508" s="170" t="n"/>
      <c r="F4508" s="170" t="n"/>
      <c r="G4508" s="170" t="n"/>
      <c r="H4508" s="170" t="n"/>
      <c r="I4508" s="111" t="n"/>
      <c r="J4508" s="111" t="n"/>
      <c r="K4508" s="88">
        <f>ROUND((N4508*C4508)/100,0)*100</f>
        <v/>
      </c>
      <c r="L4508" s="170" t="n"/>
      <c r="M4508" s="170" t="n"/>
      <c r="N4508" s="96" t="n">
        <v>1.35</v>
      </c>
      <c r="O4508" s="30" t="n"/>
      <c r="P4508" s="170" t="n"/>
      <c r="Q4508" s="30" t="n"/>
      <c r="R4508" s="170" t="n"/>
      <c r="S4508" s="30" t="n"/>
      <c r="T4508" s="170" t="n"/>
      <c r="U4508" s="30" t="n"/>
      <c r="V4508" s="30" t="n"/>
      <c r="W4508" s="30" t="n"/>
      <c r="X4508" s="30" t="n"/>
      <c r="Y4508" s="30" t="n"/>
      <c r="Z4508" s="30" t="n"/>
      <c r="AA4508" s="30" t="n"/>
      <c r="AB4508" s="30" t="n"/>
      <c r="AC4508" s="30" t="n"/>
      <c r="AD4508" s="30" t="n"/>
      <c r="AE4508" s="30" t="n"/>
      <c r="AF4508" s="30" t="n"/>
      <c r="AG4508" s="30" t="n"/>
      <c r="AH4508" s="30" t="n"/>
      <c r="AI4508" s="30" t="n"/>
      <c r="AJ4508" s="30" t="n"/>
      <c r="AK4508" s="30" t="n"/>
      <c r="AL4508" s="30" t="n"/>
      <c r="AM4508" s="30" t="n"/>
      <c r="AN4508" s="30" t="n"/>
      <c r="AO4508" s="30" t="n"/>
    </row>
    <row r="4509">
      <c r="A4509" s="134" t="inlineStr">
        <is>
          <t>19318XXX</t>
        </is>
      </c>
      <c r="B4509" s="246" t="inlineStr">
        <is>
          <t>TAVERNITI</t>
        </is>
      </c>
      <c r="C4509" s="88" t="n">
        <v>30400</v>
      </c>
      <c r="D4509" s="219" t="n"/>
      <c r="E4509" s="219" t="n"/>
      <c r="F4509" s="219" t="n"/>
      <c r="G4509" s="219" t="n"/>
      <c r="H4509" s="219" t="n"/>
      <c r="I4509" s="153" t="n"/>
      <c r="J4509" s="153" t="n"/>
      <c r="K4509" s="219">
        <f>ROUND((N4509*C4509)/100,0)*100</f>
        <v/>
      </c>
      <c r="L4509" s="219" t="n"/>
      <c r="M4509" s="219" t="n"/>
      <c r="N4509" s="118" t="n">
        <v>1.35</v>
      </c>
      <c r="P4509" s="117" t="n"/>
      <c r="R4509" s="117" t="n"/>
      <c r="T4509" s="117" t="n"/>
    </row>
    <row r="4510">
      <c r="A4510" s="134" t="inlineStr">
        <is>
          <t>19518XXX</t>
        </is>
      </c>
      <c r="B4510" s="246" t="inlineStr">
        <is>
          <t>TAVERNITI</t>
        </is>
      </c>
      <c r="C4510" s="88" t="n">
        <v>30400</v>
      </c>
      <c r="D4510" s="219" t="n"/>
      <c r="E4510" s="219" t="n"/>
      <c r="F4510" s="219" t="n"/>
      <c r="G4510" s="219" t="n"/>
      <c r="H4510" s="219" t="n"/>
      <c r="I4510" s="153" t="n"/>
      <c r="J4510" s="153" t="n"/>
      <c r="K4510" s="219">
        <f>ROUND((N4510*C4510)/100,0)*100</f>
        <v/>
      </c>
      <c r="L4510" s="219" t="n"/>
      <c r="M4510" s="219" t="n"/>
      <c r="N4510" s="118" t="n">
        <v>1.35</v>
      </c>
      <c r="P4510" s="117" t="n"/>
      <c r="R4510" s="117" t="n"/>
      <c r="T4510" s="117" t="n"/>
    </row>
    <row r="4511">
      <c r="A4511" s="89" t="inlineStr">
        <is>
          <t>19657XXX</t>
        </is>
      </c>
      <c r="B4511" s="135" t="inlineStr">
        <is>
          <t>TAVERNITI</t>
        </is>
      </c>
      <c r="C4511" s="88" t="n">
        <v>27000</v>
      </c>
      <c r="D4511" s="88" t="n"/>
      <c r="E4511" s="88" t="n"/>
      <c r="F4511" s="88" t="n"/>
      <c r="G4511" s="88" t="n"/>
      <c r="H4511" s="170" t="n"/>
      <c r="I4511" s="111" t="n"/>
      <c r="J4511" s="111" t="n"/>
      <c r="K4511" s="219">
        <f>ROUND((N4511*C4511)/100,0)*100</f>
        <v/>
      </c>
      <c r="L4511" s="88" t="n"/>
      <c r="M4511" s="88" t="n"/>
      <c r="N4511" s="118" t="n">
        <v>1.35</v>
      </c>
      <c r="P4511" s="117" t="n"/>
      <c r="Q4511" s="30" t="n"/>
      <c r="R4511" s="170" t="n"/>
      <c r="S4511" s="30" t="n"/>
      <c r="T4511" s="170" t="n"/>
      <c r="U4511" s="30" t="n"/>
      <c r="V4511" s="30" t="n"/>
      <c r="W4511" s="30" t="n"/>
      <c r="X4511" s="30" t="n"/>
      <c r="Y4511" s="30" t="n"/>
      <c r="Z4511" s="30" t="n"/>
      <c r="AA4511" s="30" t="n"/>
      <c r="AB4511" s="30" t="n"/>
      <c r="AC4511" s="30" t="n"/>
      <c r="AD4511" s="30" t="n"/>
      <c r="AE4511" s="30" t="n"/>
      <c r="AF4511" s="30" t="n"/>
      <c r="AG4511" s="30" t="n"/>
      <c r="AH4511" s="30" t="n"/>
      <c r="AI4511" s="30" t="n"/>
      <c r="AJ4511" s="30" t="n"/>
      <c r="AK4511" s="30" t="n"/>
      <c r="AL4511" s="30" t="n"/>
      <c r="AM4511" s="30" t="n"/>
      <c r="AN4511" s="30" t="n"/>
    </row>
    <row r="4512">
      <c r="A4512" s="134" t="inlineStr">
        <is>
          <t>19955XXX</t>
        </is>
      </c>
      <c r="B4512" s="246" t="inlineStr">
        <is>
          <t>TAVERNITI</t>
        </is>
      </c>
      <c r="C4512" s="88" t="n">
        <v>27000</v>
      </c>
      <c r="D4512" s="219" t="n"/>
      <c r="E4512" s="219" t="n"/>
      <c r="F4512" s="219" t="n"/>
      <c r="G4512" s="219" t="n"/>
      <c r="H4512" s="219" t="n"/>
      <c r="I4512" s="153" t="n"/>
      <c r="J4512" s="153" t="n"/>
      <c r="K4512" s="219">
        <f>ROUND((N4512*C4512)/100,0)*100</f>
        <v/>
      </c>
      <c r="L4512" s="219" t="n"/>
      <c r="M4512" s="219" t="n"/>
      <c r="N4512" s="118" t="n">
        <v>1.35</v>
      </c>
      <c r="P4512" s="117" t="n"/>
      <c r="R4512" s="117" t="n"/>
      <c r="T4512" s="117" t="n"/>
    </row>
    <row r="4513">
      <c r="A4513" s="134" t="inlineStr">
        <is>
          <t>14221XXX</t>
        </is>
      </c>
      <c r="B4513" s="246" t="inlineStr">
        <is>
          <t>TAVERNITI</t>
        </is>
      </c>
      <c r="C4513" s="88" t="n">
        <v>52500</v>
      </c>
      <c r="D4513" s="219" t="n"/>
      <c r="E4513" s="219" t="n"/>
      <c r="F4513" s="219" t="n"/>
      <c r="G4513" s="219" t="n"/>
      <c r="H4513" s="219" t="n"/>
      <c r="I4513" s="153" t="n"/>
      <c r="J4513" s="153" t="n"/>
      <c r="K4513" s="219">
        <f>ROUND((N4513*C4513)/100,0)*100</f>
        <v/>
      </c>
      <c r="L4513" s="219" t="n"/>
      <c r="M4513" s="219" t="n"/>
      <c r="N4513" s="118" t="n">
        <v>1.35</v>
      </c>
      <c r="P4513" s="117" t="n"/>
      <c r="R4513" s="117" t="n"/>
      <c r="T4513" s="117" t="n"/>
    </row>
    <row r="4514">
      <c r="A4514" s="134" t="n"/>
      <c r="B4514" s="246" t="n"/>
      <c r="C4514" s="219" t="n"/>
      <c r="D4514" s="219" t="n"/>
      <c r="E4514" s="219" t="n"/>
      <c r="F4514" s="219" t="n"/>
      <c r="G4514" s="219" t="n"/>
      <c r="H4514" s="219" t="n"/>
      <c r="I4514" s="153" t="n"/>
      <c r="J4514" s="153" t="n"/>
      <c r="K4514" s="219" t="n"/>
      <c r="L4514" s="219" t="n"/>
      <c r="M4514" s="219" t="n"/>
      <c r="P4514" s="117" t="n"/>
      <c r="R4514" s="117" t="n"/>
      <c r="T4514" s="117" t="n"/>
    </row>
    <row r="4515">
      <c r="A4515" s="134" t="n"/>
      <c r="B4515" s="246" t="n"/>
      <c r="C4515" s="219" t="n"/>
      <c r="D4515" s="219" t="n"/>
      <c r="E4515" s="219" t="n"/>
      <c r="F4515" s="219" t="n"/>
      <c r="G4515" s="219" t="n"/>
      <c r="H4515" s="219" t="n"/>
      <c r="I4515" s="153" t="n"/>
      <c r="J4515" s="153" t="n"/>
      <c r="K4515" s="219" t="n"/>
      <c r="L4515" s="219" t="n"/>
      <c r="M4515" s="219" t="n"/>
      <c r="P4515" s="117" t="n"/>
      <c r="R4515" s="117" t="n"/>
      <c r="T4515" s="117" t="n"/>
    </row>
    <row r="4516">
      <c r="A4516" s="134" t="n"/>
      <c r="B4516" s="200" t="inlineStr">
        <is>
          <t>REMERAS DAMA</t>
        </is>
      </c>
      <c r="C4516" s="219" t="inlineStr">
        <is>
          <t>1 AL 4</t>
        </is>
      </c>
      <c r="D4516" s="219" t="n">
        <v>5</v>
      </c>
      <c r="E4516" s="219" t="n">
        <v>6</v>
      </c>
      <c r="F4516" s="219" t="n">
        <v>7</v>
      </c>
      <c r="G4516" s="219" t="n">
        <v>8</v>
      </c>
      <c r="H4516" s="219" t="n"/>
      <c r="I4516" s="134" t="inlineStr">
        <is>
          <t>10/24</t>
        </is>
      </c>
      <c r="J4516" s="153" t="n"/>
      <c r="K4516" s="219" t="n"/>
      <c r="L4516" s="219" t="n"/>
      <c r="M4516" s="219" t="n"/>
      <c r="P4516" s="117" t="n"/>
      <c r="R4516" s="117" t="n"/>
      <c r="T4516" s="117" t="n"/>
    </row>
    <row r="4517">
      <c r="A4517" s="134" t="n"/>
      <c r="B4517" s="246" t="n"/>
      <c r="C4517" s="219" t="n"/>
      <c r="D4517" s="219" t="n"/>
      <c r="E4517" s="219" t="n"/>
      <c r="F4517" s="219" t="n"/>
      <c r="G4517" s="219" t="n"/>
      <c r="H4517" s="219" t="n"/>
      <c r="I4517" s="153" t="n"/>
      <c r="J4517" s="153" t="n"/>
      <c r="K4517" s="219" t="n"/>
      <c r="L4517" s="219" t="n"/>
      <c r="M4517" s="219" t="n"/>
      <c r="P4517" s="117" t="n"/>
      <c r="R4517" s="239" t="n"/>
      <c r="T4517" s="117" t="n"/>
    </row>
    <row r="4518">
      <c r="A4518" s="134" t="n"/>
      <c r="B4518" s="246" t="n"/>
      <c r="C4518" s="219" t="n"/>
      <c r="D4518" s="219" t="n"/>
      <c r="E4518" s="219" t="n"/>
      <c r="F4518" s="219" t="n"/>
      <c r="G4518" s="219" t="n"/>
      <c r="H4518" s="219" t="n"/>
      <c r="I4518" s="153" t="n"/>
      <c r="J4518" s="153" t="n"/>
      <c r="K4518" s="219" t="n"/>
      <c r="L4518" s="219" t="n"/>
      <c r="M4518" s="219" t="n"/>
      <c r="P4518" s="117" t="n"/>
      <c r="R4518" s="239" t="n"/>
      <c r="T4518" s="117" t="n"/>
    </row>
    <row r="4519">
      <c r="A4519" s="134" t="n"/>
      <c r="B4519" s="246" t="n"/>
      <c r="C4519" s="219" t="n"/>
      <c r="D4519" s="219" t="n"/>
      <c r="E4519" s="219" t="n"/>
      <c r="F4519" s="219" t="n"/>
      <c r="G4519" s="219" t="n"/>
      <c r="H4519" s="219" t="n"/>
      <c r="I4519" s="153" t="n"/>
      <c r="J4519" s="153" t="n"/>
      <c r="K4519" s="219" t="n"/>
      <c r="L4519" s="219" t="n"/>
      <c r="M4519" s="219" t="n"/>
      <c r="P4519" s="117" t="n"/>
      <c r="R4519" s="239" t="n"/>
      <c r="T4519" s="117" t="n"/>
    </row>
    <row r="4520">
      <c r="A4520" s="134" t="inlineStr">
        <is>
          <t>38641</t>
        </is>
      </c>
      <c r="B4520" s="246" t="inlineStr">
        <is>
          <t xml:space="preserve"> DAMA</t>
        </is>
      </c>
      <c r="C4520" s="219" t="n">
        <v>39000</v>
      </c>
      <c r="D4520" s="219" t="n"/>
      <c r="E4520" s="219" t="n"/>
      <c r="F4520" s="219" t="n"/>
      <c r="G4520" s="219" t="n"/>
      <c r="H4520" s="219" t="n"/>
      <c r="I4520" s="153" t="n"/>
      <c r="J4520" s="153" t="n"/>
      <c r="K4520" s="219" t="n"/>
      <c r="L4520" s="219" t="n"/>
      <c r="M4520" s="219">
        <f>N4520*C4520</f>
        <v/>
      </c>
      <c r="N4520" s="118" t="n">
        <v>1.22</v>
      </c>
      <c r="P4520" s="117" t="n"/>
      <c r="R4520" s="239" t="n"/>
      <c r="T4520" s="117" t="n"/>
    </row>
    <row r="4521">
      <c r="A4521" s="134" t="inlineStr">
        <is>
          <t>38642</t>
        </is>
      </c>
      <c r="B4521" s="246" t="inlineStr">
        <is>
          <t xml:space="preserve"> DAMA</t>
        </is>
      </c>
      <c r="C4521" s="219" t="n">
        <v>34600</v>
      </c>
      <c r="D4521" s="219" t="n"/>
      <c r="E4521" s="219" t="n"/>
      <c r="F4521" s="219" t="n"/>
      <c r="G4521" s="219" t="n"/>
      <c r="H4521" s="219" t="n"/>
      <c r="I4521" s="153" t="n"/>
      <c r="J4521" s="153" t="n"/>
      <c r="K4521" s="219" t="n"/>
      <c r="L4521" s="219" t="n"/>
      <c r="M4521" s="219">
        <f>N4521*C4521</f>
        <v/>
      </c>
      <c r="N4521" s="118" t="n">
        <v>1.22</v>
      </c>
      <c r="P4521" s="117" t="n"/>
      <c r="R4521" s="239" t="n"/>
      <c r="T4521" s="117" t="n"/>
    </row>
    <row r="4522">
      <c r="A4522" s="134" t="inlineStr">
        <is>
          <t>38643</t>
        </is>
      </c>
      <c r="B4522" s="246" t="inlineStr">
        <is>
          <t xml:space="preserve"> DAMA</t>
        </is>
      </c>
      <c r="C4522" s="219" t="n">
        <v>37600</v>
      </c>
      <c r="D4522" s="219" t="n"/>
      <c r="E4522" s="219" t="n"/>
      <c r="F4522" s="219" t="n"/>
      <c r="G4522" s="219" t="n"/>
      <c r="H4522" s="219" t="n"/>
      <c r="I4522" s="153" t="n"/>
      <c r="J4522" s="153" t="n"/>
      <c r="K4522" s="219" t="n"/>
      <c r="L4522" s="219" t="n"/>
      <c r="M4522" s="219">
        <f>N4522*C4522</f>
        <v/>
      </c>
      <c r="N4522" s="118" t="n">
        <v>1.22</v>
      </c>
      <c r="P4522" s="117" t="n"/>
      <c r="R4522" s="239" t="n"/>
      <c r="T4522" s="117" t="n"/>
    </row>
    <row r="4523">
      <c r="A4523" s="134" t="inlineStr">
        <is>
          <t>38644</t>
        </is>
      </c>
      <c r="B4523" s="246" t="inlineStr">
        <is>
          <t xml:space="preserve"> DAMA</t>
        </is>
      </c>
      <c r="C4523" s="219" t="n">
        <v>39200</v>
      </c>
      <c r="D4523" s="219" t="n"/>
      <c r="E4523" s="219" t="n"/>
      <c r="F4523" s="219" t="n"/>
      <c r="G4523" s="219" t="n"/>
      <c r="H4523" s="219" t="n"/>
      <c r="I4523" s="153" t="n"/>
      <c r="J4523" s="153" t="n"/>
      <c r="K4523" s="219" t="n"/>
      <c r="L4523" s="219" t="n"/>
      <c r="M4523" s="219">
        <f>N4523*C4523</f>
        <v/>
      </c>
      <c r="N4523" s="118" t="n">
        <v>1.22</v>
      </c>
      <c r="P4523" s="117" t="n"/>
      <c r="R4523" s="239" t="n"/>
      <c r="T4523" s="117" t="n"/>
    </row>
    <row r="4524">
      <c r="A4524" s="134" t="inlineStr">
        <is>
          <t>38645</t>
        </is>
      </c>
      <c r="B4524" s="246" t="inlineStr">
        <is>
          <t xml:space="preserve"> DAMA</t>
        </is>
      </c>
      <c r="C4524" s="219" t="n">
        <v>40400</v>
      </c>
      <c r="D4524" s="219" t="n"/>
      <c r="E4524" s="219" t="n"/>
      <c r="F4524" s="219" t="n"/>
      <c r="G4524" s="219" t="n"/>
      <c r="H4524" s="219" t="n"/>
      <c r="I4524" s="153" t="n"/>
      <c r="J4524" s="153" t="n"/>
      <c r="K4524" s="219" t="n"/>
      <c r="L4524" s="219" t="n"/>
      <c r="M4524" s="219">
        <f>N4524*C4524</f>
        <v/>
      </c>
      <c r="N4524" s="118" t="n">
        <v>1.22</v>
      </c>
      <c r="P4524" s="117" t="n"/>
      <c r="R4524" s="239" t="n"/>
      <c r="T4524" s="117" t="n"/>
    </row>
    <row r="4525">
      <c r="A4525" s="134" t="inlineStr">
        <is>
          <t>38646</t>
        </is>
      </c>
      <c r="B4525" s="246" t="inlineStr">
        <is>
          <t xml:space="preserve"> DAMA</t>
        </is>
      </c>
      <c r="C4525" s="219" t="n">
        <v>42500</v>
      </c>
      <c r="D4525" s="219" t="n"/>
      <c r="E4525" s="219" t="n"/>
      <c r="F4525" s="219" t="n"/>
      <c r="G4525" s="219" t="n"/>
      <c r="H4525" s="219" t="n"/>
      <c r="I4525" s="153" t="n"/>
      <c r="J4525" s="153" t="n"/>
      <c r="K4525" s="219" t="n"/>
      <c r="L4525" s="219" t="n"/>
      <c r="M4525" s="219">
        <f>N4525*C4525</f>
        <v/>
      </c>
      <c r="N4525" s="118" t="n">
        <v>1.22</v>
      </c>
      <c r="P4525" s="117" t="n"/>
      <c r="R4525" s="239" t="n"/>
      <c r="T4525" s="117" t="n"/>
    </row>
    <row r="4526">
      <c r="A4526" s="134" t="inlineStr">
        <is>
          <t>38647</t>
        </is>
      </c>
      <c r="B4526" s="246" t="inlineStr">
        <is>
          <t xml:space="preserve"> DAMA</t>
        </is>
      </c>
      <c r="C4526" s="219" t="n">
        <v>46100</v>
      </c>
      <c r="D4526" s="219" t="n"/>
      <c r="E4526" s="219" t="n"/>
      <c r="F4526" s="219" t="n"/>
      <c r="G4526" s="219" t="n"/>
      <c r="H4526" s="219" t="n"/>
      <c r="I4526" s="153" t="n"/>
      <c r="J4526" s="153" t="n"/>
      <c r="K4526" s="219" t="n"/>
      <c r="L4526" s="219" t="n"/>
      <c r="M4526" s="219">
        <f>N4526*C4526</f>
        <v/>
      </c>
      <c r="N4526" s="118" t="n">
        <v>1.22</v>
      </c>
      <c r="P4526" s="117" t="n"/>
      <c r="R4526" s="239" t="n"/>
      <c r="T4526" s="117" t="n"/>
    </row>
    <row r="4527">
      <c r="A4527" s="134" t="inlineStr">
        <is>
          <t>38648</t>
        </is>
      </c>
      <c r="B4527" s="246" t="inlineStr">
        <is>
          <t xml:space="preserve"> DAMA</t>
        </is>
      </c>
      <c r="C4527" s="219" t="n">
        <v>55400</v>
      </c>
      <c r="D4527" s="219" t="n"/>
      <c r="E4527" s="219" t="n"/>
      <c r="F4527" s="219" t="n"/>
      <c r="G4527" s="219" t="n"/>
      <c r="H4527" s="219" t="n"/>
      <c r="I4527" s="153" t="n"/>
      <c r="J4527" s="153" t="n"/>
      <c r="K4527" s="219" t="n"/>
      <c r="L4527" s="219" t="n"/>
      <c r="M4527" s="219">
        <f>N4527*C4527</f>
        <v/>
      </c>
      <c r="N4527" s="118" t="n">
        <v>1.22</v>
      </c>
      <c r="P4527" s="117" t="n"/>
      <c r="R4527" s="239" t="n"/>
      <c r="T4527" s="117" t="n"/>
    </row>
    <row r="4528">
      <c r="A4528" s="134" t="inlineStr">
        <is>
          <t>38649</t>
        </is>
      </c>
      <c r="B4528" s="246" t="inlineStr">
        <is>
          <t xml:space="preserve"> DAMA</t>
        </is>
      </c>
      <c r="C4528" s="219" t="n">
        <v>57700</v>
      </c>
      <c r="D4528" s="219" t="n"/>
      <c r="E4528" s="219" t="n"/>
      <c r="F4528" s="219" t="n"/>
      <c r="G4528" s="219" t="n"/>
      <c r="H4528" s="219" t="n"/>
      <c r="I4528" s="153" t="n"/>
      <c r="J4528" s="153" t="n"/>
      <c r="K4528" s="219" t="n"/>
      <c r="L4528" s="219" t="n"/>
      <c r="M4528" s="219">
        <f>N4528*C4528</f>
        <v/>
      </c>
      <c r="N4528" s="118" t="n">
        <v>1.22</v>
      </c>
      <c r="P4528" s="117" t="n"/>
      <c r="R4528" s="239" t="n"/>
      <c r="T4528" s="117" t="n"/>
    </row>
    <row r="4529">
      <c r="A4529" s="134" t="inlineStr">
        <is>
          <t>38650</t>
        </is>
      </c>
      <c r="B4529" s="246" t="inlineStr">
        <is>
          <t xml:space="preserve"> DAMA</t>
        </is>
      </c>
      <c r="C4529" s="219" t="n">
        <v>23000</v>
      </c>
      <c r="D4529" s="219" t="n"/>
      <c r="E4529" s="219" t="n"/>
      <c r="F4529" s="219" t="n"/>
      <c r="G4529" s="219" t="n"/>
      <c r="H4529" s="219" t="n"/>
      <c r="I4529" s="153" t="n"/>
      <c r="J4529" s="153" t="n"/>
      <c r="K4529" s="219" t="n"/>
      <c r="L4529" s="219" t="n"/>
      <c r="M4529" s="219">
        <f>N4529*C4529</f>
        <v/>
      </c>
      <c r="N4529" s="118" t="n">
        <v>1.22</v>
      </c>
      <c r="P4529" s="117" t="n"/>
      <c r="R4529" s="239" t="n"/>
      <c r="T4529" s="117" t="n"/>
    </row>
    <row r="4530">
      <c r="A4530" s="134" t="inlineStr">
        <is>
          <t>38651</t>
        </is>
      </c>
      <c r="B4530" s="246" t="inlineStr">
        <is>
          <t xml:space="preserve"> DAMA</t>
        </is>
      </c>
      <c r="C4530" s="219" t="n">
        <v>20100</v>
      </c>
      <c r="D4530" s="219" t="n"/>
      <c r="E4530" s="219" t="n"/>
      <c r="F4530" s="219" t="n"/>
      <c r="G4530" s="219" t="n"/>
      <c r="H4530" s="219" t="n"/>
      <c r="I4530" s="153" t="n"/>
      <c r="J4530" s="153" t="n"/>
      <c r="K4530" s="219" t="n"/>
      <c r="L4530" s="219" t="n"/>
      <c r="M4530" s="219">
        <f>N4530*C4530</f>
        <v/>
      </c>
      <c r="N4530" s="118" t="n">
        <v>1.22</v>
      </c>
      <c r="P4530" s="117" t="n"/>
      <c r="R4530" s="239" t="n"/>
      <c r="T4530" s="117" t="n"/>
    </row>
    <row r="4531">
      <c r="A4531" s="134" t="inlineStr">
        <is>
          <t>38652</t>
        </is>
      </c>
      <c r="B4531" s="246" t="inlineStr">
        <is>
          <t xml:space="preserve"> DAMA</t>
        </is>
      </c>
      <c r="C4531" s="219" t="n">
        <v>42800</v>
      </c>
      <c r="D4531" s="219" t="n"/>
      <c r="E4531" s="219" t="n"/>
      <c r="F4531" s="219" t="n"/>
      <c r="G4531" s="219" t="n"/>
      <c r="H4531" s="219" t="n"/>
      <c r="I4531" s="153" t="n"/>
      <c r="J4531" s="153" t="n"/>
      <c r="K4531" s="219" t="n"/>
      <c r="L4531" s="219" t="n"/>
      <c r="M4531" s="219">
        <f>N4531*C4531</f>
        <v/>
      </c>
      <c r="N4531" s="118" t="n">
        <v>1.22</v>
      </c>
      <c r="P4531" s="117" t="n"/>
      <c r="R4531" s="117" t="n"/>
      <c r="T4531" s="117" t="n"/>
    </row>
    <row r="4532">
      <c r="A4532" s="134" t="inlineStr">
        <is>
          <t>38653</t>
        </is>
      </c>
      <c r="B4532" s="246" t="inlineStr">
        <is>
          <t xml:space="preserve"> DAMA</t>
        </is>
      </c>
      <c r="C4532" s="219" t="n">
        <v>44500</v>
      </c>
      <c r="D4532" s="219" t="n"/>
      <c r="E4532" s="219" t="n"/>
      <c r="F4532" s="219" t="n"/>
      <c r="G4532" s="219" t="n"/>
      <c r="H4532" s="219" t="n"/>
      <c r="I4532" s="153" t="n"/>
      <c r="J4532" s="153" t="n"/>
      <c r="K4532" s="219" t="n"/>
      <c r="L4532" s="219" t="n"/>
      <c r="M4532" s="219">
        <f>N4532*C4532</f>
        <v/>
      </c>
      <c r="N4532" s="118" t="n">
        <v>1.22</v>
      </c>
      <c r="P4532" s="117" t="n"/>
      <c r="R4532" s="117" t="n"/>
      <c r="T4532" s="117" t="n"/>
    </row>
    <row r="4533">
      <c r="A4533" s="134" t="inlineStr">
        <is>
          <t>38654</t>
        </is>
      </c>
      <c r="B4533" s="246" t="inlineStr">
        <is>
          <t xml:space="preserve"> DAMA</t>
        </is>
      </c>
      <c r="C4533" s="219" t="n">
        <v>46200</v>
      </c>
      <c r="D4533" s="219" t="n"/>
      <c r="E4533" s="219" t="n"/>
      <c r="F4533" s="219" t="n"/>
      <c r="G4533" s="219" t="n"/>
      <c r="H4533" s="219" t="n"/>
      <c r="I4533" s="153" t="n"/>
      <c r="J4533" s="153" t="n"/>
      <c r="K4533" s="219" t="n"/>
      <c r="L4533" s="219" t="n"/>
      <c r="M4533" s="219">
        <f>N4533*C4533</f>
        <v/>
      </c>
      <c r="N4533" s="118" t="n">
        <v>1.22</v>
      </c>
      <c r="P4533" s="117" t="n"/>
      <c r="R4533" s="117" t="n"/>
      <c r="T4533" s="117" t="n"/>
    </row>
    <row r="4534">
      <c r="A4534" s="134" t="inlineStr">
        <is>
          <t>38655</t>
        </is>
      </c>
      <c r="B4534" s="246" t="inlineStr">
        <is>
          <t xml:space="preserve"> DAMA</t>
        </is>
      </c>
      <c r="C4534" s="219" t="n">
        <v>44500</v>
      </c>
      <c r="D4534" s="219" t="n"/>
      <c r="E4534" s="219" t="n"/>
      <c r="F4534" s="219" t="n"/>
      <c r="G4534" s="219" t="n"/>
      <c r="H4534" s="219" t="n"/>
      <c r="I4534" s="153" t="n"/>
      <c r="J4534" s="153" t="n"/>
      <c r="K4534" s="219" t="n"/>
      <c r="L4534" s="219" t="n"/>
      <c r="M4534" s="219">
        <f>N4534*C4534</f>
        <v/>
      </c>
      <c r="N4534" s="118" t="n">
        <v>1.22</v>
      </c>
      <c r="P4534" s="117" t="n"/>
      <c r="R4534" s="117" t="n"/>
      <c r="T4534" s="117" t="n"/>
    </row>
    <row r="4535">
      <c r="A4535" s="134" t="inlineStr">
        <is>
          <t>38655</t>
        </is>
      </c>
      <c r="B4535" s="246" t="inlineStr">
        <is>
          <t xml:space="preserve"> DAMA</t>
        </is>
      </c>
      <c r="C4535" s="219" t="n">
        <v>28300</v>
      </c>
      <c r="D4535" s="219" t="n"/>
      <c r="E4535" s="219" t="n"/>
      <c r="F4535" s="219" t="n"/>
      <c r="G4535" s="219" t="n"/>
      <c r="H4535" s="219" t="n"/>
      <c r="I4535" s="153" t="n"/>
      <c r="J4535" s="153" t="n"/>
      <c r="K4535" s="219" t="n"/>
      <c r="L4535" s="219" t="n"/>
      <c r="M4535" s="219">
        <f>N4535*C4535</f>
        <v/>
      </c>
      <c r="N4535" s="118" t="n">
        <v>1.22</v>
      </c>
      <c r="P4535" s="117" t="n"/>
      <c r="R4535" s="117" t="n"/>
      <c r="T4535" s="117" t="n"/>
    </row>
    <row r="4536">
      <c r="A4536" s="134" t="inlineStr">
        <is>
          <t>38656</t>
        </is>
      </c>
      <c r="B4536" s="246" t="inlineStr">
        <is>
          <t xml:space="preserve"> DAMA</t>
        </is>
      </c>
      <c r="C4536" s="219" t="n">
        <v>40000</v>
      </c>
      <c r="D4536" s="219" t="n"/>
      <c r="E4536" s="219" t="n"/>
      <c r="F4536" s="219" t="n"/>
      <c r="G4536" s="219" t="n"/>
      <c r="H4536" s="219" t="n"/>
      <c r="I4536" s="153" t="n"/>
      <c r="J4536" s="153" t="n"/>
      <c r="K4536" s="219" t="n"/>
      <c r="L4536" s="219" t="n"/>
      <c r="M4536" s="219">
        <f>N4536*C4536</f>
        <v/>
      </c>
      <c r="N4536" s="118" t="n">
        <v>1.22</v>
      </c>
      <c r="P4536" s="117" t="n"/>
      <c r="R4536" s="117" t="n"/>
      <c r="T4536" s="117" t="n"/>
    </row>
    <row r="4537">
      <c r="A4537" s="134" t="inlineStr">
        <is>
          <t>38657</t>
        </is>
      </c>
      <c r="B4537" s="246" t="inlineStr">
        <is>
          <t xml:space="preserve"> DAMA</t>
        </is>
      </c>
      <c r="C4537" s="219" t="n">
        <v>29200</v>
      </c>
      <c r="D4537" s="219" t="n"/>
      <c r="E4537" s="219" t="n"/>
      <c r="F4537" s="219" t="n"/>
      <c r="G4537" s="219" t="n"/>
      <c r="H4537" s="219" t="n"/>
      <c r="I4537" s="153" t="n"/>
      <c r="J4537" s="153" t="n"/>
      <c r="K4537" s="219" t="n"/>
      <c r="L4537" s="219" t="n"/>
      <c r="M4537" s="219">
        <f>N4537*C4537</f>
        <v/>
      </c>
      <c r="N4537" s="118" t="n">
        <v>1.22</v>
      </c>
      <c r="P4537" s="117" t="n"/>
      <c r="R4537" s="117" t="n"/>
      <c r="T4537" s="117" t="n"/>
    </row>
    <row r="4538">
      <c r="A4538" s="134" t="inlineStr">
        <is>
          <t>38658</t>
        </is>
      </c>
      <c r="B4538" s="246" t="inlineStr">
        <is>
          <t xml:space="preserve"> DAMA</t>
        </is>
      </c>
      <c r="C4538" s="219" t="n">
        <v>42800</v>
      </c>
      <c r="D4538" s="219" t="n"/>
      <c r="E4538" s="219" t="n"/>
      <c r="F4538" s="219" t="n"/>
      <c r="G4538" s="219" t="n"/>
      <c r="H4538" s="219" t="n"/>
      <c r="I4538" s="153" t="n"/>
      <c r="J4538" s="153" t="n"/>
      <c r="K4538" s="219" t="n"/>
      <c r="L4538" s="219" t="n"/>
      <c r="M4538" s="219">
        <f>N4538*C4538</f>
        <v/>
      </c>
      <c r="N4538" s="118" t="n">
        <v>1.22</v>
      </c>
      <c r="P4538" s="117" t="n"/>
      <c r="R4538" s="117" t="n"/>
      <c r="T4538" s="117" t="n"/>
    </row>
    <row r="4539">
      <c r="A4539" s="134" t="inlineStr">
        <is>
          <t>38659</t>
        </is>
      </c>
      <c r="B4539" s="246" t="inlineStr">
        <is>
          <t xml:space="preserve"> DAMA</t>
        </is>
      </c>
      <c r="C4539" s="219" t="n">
        <v>49600</v>
      </c>
      <c r="D4539" s="219" t="n"/>
      <c r="E4539" s="219" t="n"/>
      <c r="F4539" s="219" t="n"/>
      <c r="G4539" s="219" t="n"/>
      <c r="H4539" s="219" t="n"/>
      <c r="I4539" s="153" t="n"/>
      <c r="J4539" s="153" t="n"/>
      <c r="K4539" s="219" t="n"/>
      <c r="L4539" s="219" t="n"/>
      <c r="M4539" s="219">
        <f>N4539*C4539</f>
        <v/>
      </c>
      <c r="N4539" s="118" t="n">
        <v>1.22</v>
      </c>
      <c r="P4539" s="117" t="n"/>
      <c r="R4539" s="117" t="n"/>
      <c r="T4539" s="117" t="n"/>
    </row>
    <row r="4540">
      <c r="A4540" s="134" t="inlineStr">
        <is>
          <t>38660</t>
        </is>
      </c>
      <c r="B4540" s="246" t="inlineStr">
        <is>
          <t xml:space="preserve"> DAMA</t>
        </is>
      </c>
      <c r="C4540" s="219" t="n">
        <v>40500</v>
      </c>
      <c r="D4540" s="219" t="n"/>
      <c r="E4540" s="219" t="n"/>
      <c r="F4540" s="219" t="n"/>
      <c r="G4540" s="219" t="n"/>
      <c r="H4540" s="219" t="n"/>
      <c r="I4540" s="153" t="n"/>
      <c r="J4540" s="153" t="n"/>
      <c r="K4540" s="219" t="n"/>
      <c r="L4540" s="219" t="n"/>
      <c r="M4540" s="219">
        <f>N4540*C4540</f>
        <v/>
      </c>
      <c r="N4540" s="118" t="n">
        <v>1.22</v>
      </c>
      <c r="P4540" s="117" t="n"/>
      <c r="R4540" s="117" t="n"/>
      <c r="T4540" s="117" t="n"/>
    </row>
    <row r="4541">
      <c r="A4541" s="134" t="inlineStr">
        <is>
          <t>38660</t>
        </is>
      </c>
      <c r="B4541" s="246" t="inlineStr">
        <is>
          <t xml:space="preserve"> DAMA</t>
        </is>
      </c>
      <c r="C4541" s="219" t="n">
        <v>68200</v>
      </c>
      <c r="D4541" s="219" t="n"/>
      <c r="E4541" s="219" t="n"/>
      <c r="F4541" s="219" t="n"/>
      <c r="G4541" s="219" t="n"/>
      <c r="H4541" s="219" t="n"/>
      <c r="I4541" s="153" t="n"/>
      <c r="J4541" s="153" t="n"/>
      <c r="K4541" s="219" t="n"/>
      <c r="L4541" s="219" t="n"/>
      <c r="M4541" s="219">
        <f>N4541*C4541</f>
        <v/>
      </c>
      <c r="N4541" s="118" t="n">
        <v>1.22</v>
      </c>
      <c r="P4541" s="117" t="n"/>
      <c r="R4541" s="117" t="n"/>
      <c r="T4541" s="117" t="n"/>
    </row>
    <row r="4542">
      <c r="A4542" s="134" t="inlineStr">
        <is>
          <t>38661</t>
        </is>
      </c>
      <c r="B4542" s="246" t="inlineStr">
        <is>
          <t xml:space="preserve"> DAMA</t>
        </is>
      </c>
      <c r="C4542" s="219" t="n">
        <v>49600</v>
      </c>
      <c r="D4542" s="219" t="n"/>
      <c r="E4542" s="219" t="n"/>
      <c r="F4542" s="219" t="n"/>
      <c r="G4542" s="219" t="n"/>
      <c r="H4542" s="219" t="n"/>
      <c r="I4542" s="153" t="n"/>
      <c r="J4542" s="153" t="n"/>
      <c r="K4542" s="219" t="n"/>
      <c r="L4542" s="219" t="n"/>
      <c r="M4542" s="219">
        <f>N4542*C4542</f>
        <v/>
      </c>
      <c r="N4542" s="118" t="n">
        <v>1.22</v>
      </c>
      <c r="P4542" s="117" t="n"/>
      <c r="R4542" s="117" t="n"/>
      <c r="T4542" s="117" t="n"/>
    </row>
    <row r="4543">
      <c r="A4543" s="134" t="inlineStr">
        <is>
          <t>38662</t>
        </is>
      </c>
      <c r="B4543" s="246" t="inlineStr">
        <is>
          <t xml:space="preserve"> DAMA</t>
        </is>
      </c>
      <c r="C4543" s="219" t="n">
        <v>49600</v>
      </c>
      <c r="D4543" s="219" t="n"/>
      <c r="E4543" s="219" t="n"/>
      <c r="F4543" s="219" t="n"/>
      <c r="G4543" s="219" t="n"/>
      <c r="H4543" s="219" t="n"/>
      <c r="I4543" s="153" t="n"/>
      <c r="J4543" s="153" t="n"/>
      <c r="K4543" s="219" t="n"/>
      <c r="L4543" s="219" t="n"/>
      <c r="M4543" s="219">
        <f>N4543*C4543</f>
        <v/>
      </c>
      <c r="N4543" s="118" t="n">
        <v>1.22</v>
      </c>
      <c r="P4543" s="117" t="n"/>
      <c r="R4543" s="117" t="n"/>
      <c r="T4543" s="117" t="n"/>
    </row>
    <row r="4544">
      <c r="A4544" s="134" t="inlineStr">
        <is>
          <t>38663</t>
        </is>
      </c>
      <c r="B4544" s="246" t="inlineStr">
        <is>
          <t xml:space="preserve"> DAMA</t>
        </is>
      </c>
      <c r="C4544" s="219" t="n">
        <v>49600</v>
      </c>
      <c r="D4544" s="219" t="n"/>
      <c r="E4544" s="219" t="n"/>
      <c r="F4544" s="219" t="n"/>
      <c r="G4544" s="219" t="n"/>
      <c r="H4544" s="219" t="n"/>
      <c r="I4544" s="153" t="n"/>
      <c r="J4544" s="153" t="n"/>
      <c r="K4544" s="219" t="n"/>
      <c r="L4544" s="219" t="n"/>
      <c r="M4544" s="219">
        <f>N4544*C4544</f>
        <v/>
      </c>
      <c r="N4544" s="118" t="n">
        <v>1.22</v>
      </c>
      <c r="P4544" s="117" t="n"/>
      <c r="R4544" s="117" t="n"/>
      <c r="T4544" s="117" t="n"/>
    </row>
    <row r="4545">
      <c r="A4545" s="134" t="inlineStr">
        <is>
          <t>39870</t>
        </is>
      </c>
      <c r="B4545" s="246" t="inlineStr">
        <is>
          <t>DI MADANI</t>
        </is>
      </c>
      <c r="C4545" s="219" t="n">
        <v>50700</v>
      </c>
      <c r="D4545" s="219" t="n"/>
      <c r="E4545" s="219" t="n"/>
      <c r="F4545" s="219" t="n"/>
      <c r="G4545" s="219" t="n"/>
      <c r="H4545" s="219" t="n"/>
      <c r="I4545" s="153" t="n"/>
      <c r="J4545" s="153" t="n"/>
      <c r="K4545" s="219" t="n"/>
      <c r="L4545" s="219" t="n"/>
      <c r="M4545" s="219">
        <f>N4545*C4545</f>
        <v/>
      </c>
      <c r="N4545" s="118" t="n">
        <v>1.22</v>
      </c>
      <c r="P4545" s="117" t="n"/>
      <c r="R4545" s="117" t="n"/>
      <c r="T4545" s="117" t="n"/>
    </row>
    <row r="4546">
      <c r="A4546" s="134" t="inlineStr">
        <is>
          <t>39871</t>
        </is>
      </c>
      <c r="B4546" s="246" t="inlineStr">
        <is>
          <t>DI MADANI</t>
        </is>
      </c>
      <c r="C4546" s="219" t="n">
        <v>53100</v>
      </c>
      <c r="D4546" s="219" t="n"/>
      <c r="E4546" s="219" t="n"/>
      <c r="F4546" s="219" t="n"/>
      <c r="G4546" s="219" t="n"/>
      <c r="H4546" s="219" t="n"/>
      <c r="I4546" s="153" t="n"/>
      <c r="J4546" s="153" t="n"/>
      <c r="K4546" s="219" t="n"/>
      <c r="L4546" s="219" t="n"/>
      <c r="M4546" s="219">
        <f>N4546*C4546</f>
        <v/>
      </c>
      <c r="N4546" s="118" t="n">
        <v>1.22</v>
      </c>
      <c r="P4546" s="117" t="n"/>
      <c r="R4546" s="117" t="n"/>
      <c r="T4546" s="117" t="n"/>
    </row>
    <row r="4547">
      <c r="A4547" s="134" t="inlineStr">
        <is>
          <t>39872</t>
        </is>
      </c>
      <c r="B4547" s="246" t="inlineStr">
        <is>
          <t>DI MADANI</t>
        </is>
      </c>
      <c r="C4547" s="219" t="n">
        <v>55400</v>
      </c>
      <c r="D4547" s="219" t="n"/>
      <c r="E4547" s="219" t="n"/>
      <c r="F4547" s="219" t="n"/>
      <c r="G4547" s="219" t="n"/>
      <c r="H4547" s="219" t="n"/>
      <c r="I4547" s="153" t="n"/>
      <c r="J4547" s="153" t="n"/>
      <c r="K4547" s="219" t="n"/>
      <c r="L4547" s="219" t="n"/>
      <c r="M4547" s="219">
        <f>N4547*C4547</f>
        <v/>
      </c>
      <c r="N4547" s="118" t="n">
        <v>1.22</v>
      </c>
      <c r="P4547" s="117" t="n"/>
      <c r="R4547" s="117" t="n"/>
      <c r="T4547" s="117" t="n"/>
    </row>
    <row r="4548">
      <c r="A4548" s="134" t="inlineStr">
        <is>
          <t>39873</t>
        </is>
      </c>
      <c r="B4548" s="246" t="inlineStr">
        <is>
          <t>DI MADANI</t>
        </is>
      </c>
      <c r="C4548" s="219" t="n">
        <v>57700</v>
      </c>
      <c r="D4548" s="219" t="n"/>
      <c r="E4548" s="219" t="n"/>
      <c r="F4548" s="219" t="n"/>
      <c r="G4548" s="219" t="n"/>
      <c r="H4548" s="219" t="n"/>
      <c r="I4548" s="153" t="n"/>
      <c r="J4548" s="153" t="n"/>
      <c r="K4548" s="219" t="n"/>
      <c r="L4548" s="219" t="n"/>
      <c r="M4548" s="219">
        <f>N4548*C4548</f>
        <v/>
      </c>
      <c r="N4548" s="118" t="n">
        <v>1.22</v>
      </c>
      <c r="P4548" s="117" t="n"/>
      <c r="R4548" s="117" t="n"/>
      <c r="T4548" s="117" t="n"/>
    </row>
    <row r="4549">
      <c r="A4549" s="134" t="inlineStr">
        <is>
          <t>39874</t>
        </is>
      </c>
      <c r="B4549" s="246" t="inlineStr">
        <is>
          <t>DI MADANI</t>
        </is>
      </c>
      <c r="C4549" s="219" t="n">
        <v>60000</v>
      </c>
      <c r="D4549" s="219" t="n"/>
      <c r="E4549" s="219" t="n"/>
      <c r="F4549" s="219" t="n"/>
      <c r="G4549" s="219" t="n"/>
      <c r="H4549" s="219" t="n"/>
      <c r="I4549" s="153" t="n"/>
      <c r="J4549" s="153" t="n"/>
      <c r="K4549" s="219" t="n"/>
      <c r="L4549" s="219" t="n"/>
      <c r="M4549" s="219">
        <f>N4549*C4549</f>
        <v/>
      </c>
      <c r="N4549" s="118" t="n">
        <v>1.22</v>
      </c>
      <c r="P4549" s="117" t="n"/>
      <c r="R4549" s="117" t="n"/>
      <c r="T4549" s="117" t="n"/>
    </row>
    <row r="4550">
      <c r="A4550" s="134" t="inlineStr">
        <is>
          <t>39875</t>
        </is>
      </c>
      <c r="B4550" s="246" t="inlineStr">
        <is>
          <t>DI MADANI</t>
        </is>
      </c>
      <c r="C4550" s="219" t="n">
        <v>62300</v>
      </c>
      <c r="D4550" s="219" t="n"/>
      <c r="E4550" s="219" t="n"/>
      <c r="F4550" s="219" t="n"/>
      <c r="G4550" s="219" t="n"/>
      <c r="H4550" s="219" t="n"/>
      <c r="I4550" s="153" t="n"/>
      <c r="J4550" s="153" t="n"/>
      <c r="K4550" s="219" t="n"/>
      <c r="L4550" s="219" t="n"/>
      <c r="M4550" s="219">
        <f>N4550*C4550</f>
        <v/>
      </c>
      <c r="N4550" s="118" t="n">
        <v>1.22</v>
      </c>
      <c r="P4550" s="117" t="n"/>
      <c r="R4550" s="117" t="n"/>
      <c r="T4550" s="117" t="n"/>
    </row>
    <row r="4551">
      <c r="A4551" s="134" t="inlineStr">
        <is>
          <t>39877</t>
        </is>
      </c>
      <c r="B4551" s="246" t="inlineStr">
        <is>
          <t>DI MADANI</t>
        </is>
      </c>
      <c r="C4551" s="219" t="n">
        <v>72400</v>
      </c>
      <c r="D4551" s="219" t="n"/>
      <c r="E4551" s="219" t="n"/>
      <c r="F4551" s="219" t="n"/>
      <c r="G4551" s="219" t="n"/>
      <c r="H4551" s="219" t="n"/>
      <c r="I4551" s="153" t="n"/>
      <c r="J4551" s="153" t="n"/>
      <c r="K4551" s="219" t="n"/>
      <c r="L4551" s="219" t="n"/>
      <c r="M4551" s="219">
        <f>N4551*C4551</f>
        <v/>
      </c>
      <c r="N4551" s="118" t="n">
        <v>1.22</v>
      </c>
      <c r="P4551" s="117" t="n"/>
      <c r="R4551" s="117" t="n"/>
      <c r="T4551" s="117" t="n"/>
    </row>
    <row r="4552">
      <c r="A4552" s="134" t="inlineStr">
        <is>
          <t>39878</t>
        </is>
      </c>
      <c r="B4552" s="246" t="inlineStr">
        <is>
          <t>DI MADANI</t>
        </is>
      </c>
      <c r="C4552" s="219" t="n">
        <v>43600</v>
      </c>
      <c r="D4552" s="219" t="n"/>
      <c r="E4552" s="219" t="n"/>
      <c r="F4552" s="219" t="n"/>
      <c r="G4552" s="219" t="n"/>
      <c r="H4552" s="219" t="n"/>
      <c r="I4552" s="153" t="n"/>
      <c r="J4552" s="153" t="n"/>
      <c r="K4552" s="219" t="n"/>
      <c r="L4552" s="219" t="n"/>
      <c r="M4552" s="219">
        <f>N4552*C4552</f>
        <v/>
      </c>
      <c r="N4552" s="118" t="n">
        <v>1.22</v>
      </c>
      <c r="P4552" s="117" t="n"/>
      <c r="R4552" s="117" t="n"/>
      <c r="T4552" s="117" t="n"/>
    </row>
    <row r="4553">
      <c r="A4553" s="134" t="inlineStr">
        <is>
          <t>39879</t>
        </is>
      </c>
      <c r="B4553" s="246" t="inlineStr">
        <is>
          <t>DI MADANI</t>
        </is>
      </c>
      <c r="C4553" s="219" t="n">
        <v>71100</v>
      </c>
      <c r="D4553" s="219" t="n"/>
      <c r="E4553" s="219" t="n"/>
      <c r="F4553" s="219" t="n"/>
      <c r="G4553" s="219" t="n"/>
      <c r="H4553" s="219" t="n"/>
      <c r="I4553" s="153" t="n"/>
      <c r="J4553" s="153" t="n"/>
      <c r="K4553" s="219" t="n"/>
      <c r="L4553" s="219" t="n"/>
      <c r="M4553" s="219">
        <f>N4553*C4553</f>
        <v/>
      </c>
      <c r="N4553" s="118" t="n">
        <v>1.22</v>
      </c>
      <c r="P4553" s="117" t="n"/>
      <c r="R4553" s="117" t="n"/>
      <c r="T4553" s="117" t="n"/>
    </row>
    <row r="4554">
      <c r="A4554" s="134" t="inlineStr">
        <is>
          <t>39880</t>
        </is>
      </c>
      <c r="B4554" s="246" t="inlineStr">
        <is>
          <t>DI MADANI</t>
        </is>
      </c>
      <c r="C4554" s="219" t="n">
        <v>71100</v>
      </c>
      <c r="D4554" s="219" t="n"/>
      <c r="E4554" s="219" t="n"/>
      <c r="F4554" s="219" t="n"/>
      <c r="G4554" s="219" t="n"/>
      <c r="H4554" s="219" t="n"/>
      <c r="I4554" s="153" t="n"/>
      <c r="J4554" s="153" t="n"/>
      <c r="K4554" s="219" t="n"/>
      <c r="L4554" s="219" t="n"/>
      <c r="M4554" s="219">
        <f>N4554*C4554</f>
        <v/>
      </c>
      <c r="N4554" s="118" t="n">
        <v>1.22</v>
      </c>
      <c r="P4554" s="117" t="n"/>
      <c r="R4554" s="117" t="n"/>
      <c r="T4554" s="117" t="n"/>
    </row>
    <row r="4555">
      <c r="A4555" s="134" t="inlineStr">
        <is>
          <t>39881</t>
        </is>
      </c>
      <c r="B4555" s="246" t="inlineStr">
        <is>
          <t>DI MADANI</t>
        </is>
      </c>
      <c r="C4555" s="219" t="n">
        <v>47900</v>
      </c>
      <c r="D4555" s="219" t="n"/>
      <c r="E4555" s="219" t="n"/>
      <c r="F4555" s="219" t="n"/>
      <c r="G4555" s="219" t="n"/>
      <c r="H4555" s="219" t="n"/>
      <c r="I4555" s="153" t="n"/>
      <c r="J4555" s="153" t="n"/>
      <c r="K4555" s="219" t="n"/>
      <c r="L4555" s="219" t="n"/>
      <c r="M4555" s="219">
        <f>N4555*C4555</f>
        <v/>
      </c>
      <c r="N4555" s="118" t="n">
        <v>1.22</v>
      </c>
      <c r="P4555" s="117" t="n"/>
      <c r="R4555" s="117" t="n"/>
      <c r="T4555" s="117" t="n"/>
    </row>
    <row r="4556">
      <c r="A4556" s="134" t="inlineStr">
        <is>
          <t>39882</t>
        </is>
      </c>
      <c r="B4556" s="246" t="inlineStr">
        <is>
          <t>DI MADANI</t>
        </is>
      </c>
      <c r="C4556" s="219" t="n">
        <v>74700</v>
      </c>
      <c r="D4556" s="219" t="n"/>
      <c r="E4556" s="219" t="n"/>
      <c r="F4556" s="219" t="n"/>
      <c r="G4556" s="219" t="n"/>
      <c r="H4556" s="219" t="n"/>
      <c r="I4556" s="153" t="n"/>
      <c r="J4556" s="153" t="n"/>
      <c r="K4556" s="219" t="n"/>
      <c r="L4556" s="219" t="n"/>
      <c r="M4556" s="219">
        <f>N4556*C4556</f>
        <v/>
      </c>
      <c r="N4556" s="118" t="n">
        <v>1.22</v>
      </c>
      <c r="P4556" s="117" t="n"/>
      <c r="R4556" s="117" t="n"/>
      <c r="T4556" s="117" t="n"/>
    </row>
    <row r="4557">
      <c r="A4557" s="134" t="inlineStr">
        <is>
          <t>39883</t>
        </is>
      </c>
      <c r="B4557" s="246" t="inlineStr">
        <is>
          <t>DI MADANI</t>
        </is>
      </c>
      <c r="C4557" s="219" t="n">
        <v>63900</v>
      </c>
      <c r="D4557" s="219" t="n"/>
      <c r="E4557" s="219" t="n"/>
      <c r="F4557" s="219" t="n"/>
      <c r="G4557" s="219" t="n"/>
      <c r="H4557" s="219" t="n"/>
      <c r="I4557" s="153" t="n"/>
      <c r="J4557" s="153" t="n"/>
      <c r="K4557" s="219" t="n"/>
      <c r="L4557" s="219" t="n"/>
      <c r="M4557" s="219">
        <f>N4557*C4557</f>
        <v/>
      </c>
      <c r="N4557" s="118" t="n">
        <v>1.22</v>
      </c>
      <c r="P4557" s="117" t="n"/>
      <c r="R4557" s="117" t="n"/>
      <c r="T4557" s="117" t="n"/>
    </row>
    <row r="4558">
      <c r="A4558" s="134" t="inlineStr">
        <is>
          <t>39884</t>
        </is>
      </c>
      <c r="B4558" s="246" t="inlineStr">
        <is>
          <t>DI MADANI</t>
        </is>
      </c>
      <c r="C4558" s="219" t="n">
        <v>70800</v>
      </c>
      <c r="D4558" s="219" t="n"/>
      <c r="E4558" s="219" t="n"/>
      <c r="F4558" s="219" t="n"/>
      <c r="G4558" s="219" t="n"/>
      <c r="H4558" s="219" t="n"/>
      <c r="I4558" s="153" t="n"/>
      <c r="J4558" s="153" t="n"/>
      <c r="K4558" s="219" t="n"/>
      <c r="L4558" s="219" t="n"/>
      <c r="M4558" s="219">
        <f>N4558*C4558</f>
        <v/>
      </c>
      <c r="N4558" s="118" t="n">
        <v>1.22</v>
      </c>
      <c r="P4558" s="117" t="n"/>
      <c r="R4558" s="117" t="n"/>
      <c r="T4558" s="117" t="n"/>
    </row>
    <row r="4559">
      <c r="A4559" s="134" t="inlineStr">
        <is>
          <t>39885</t>
        </is>
      </c>
      <c r="B4559" s="246" t="inlineStr">
        <is>
          <t>DI MADANI</t>
        </is>
      </c>
      <c r="C4559" s="219" t="n">
        <v>57700</v>
      </c>
      <c r="D4559" s="219" t="n"/>
      <c r="E4559" s="219" t="n"/>
      <c r="F4559" s="219" t="n"/>
      <c r="G4559" s="219" t="n"/>
      <c r="H4559" s="219" t="n"/>
      <c r="I4559" s="153" t="n"/>
      <c r="J4559" s="153" t="n"/>
      <c r="K4559" s="219" t="n"/>
      <c r="L4559" s="219" t="n"/>
      <c r="M4559" s="219">
        <f>N4559*C4559</f>
        <v/>
      </c>
      <c r="N4559" s="118" t="n">
        <v>1.22</v>
      </c>
      <c r="P4559" s="117" t="n"/>
      <c r="R4559" s="117" t="n"/>
      <c r="T4559" s="117" t="n"/>
    </row>
    <row r="4560">
      <c r="A4560" s="134" t="inlineStr">
        <is>
          <t>39886</t>
        </is>
      </c>
      <c r="B4560" s="246" t="inlineStr">
        <is>
          <t>DI MADANI</t>
        </is>
      </c>
      <c r="C4560" s="219" t="n">
        <v>25300</v>
      </c>
      <c r="D4560" s="219" t="n"/>
      <c r="E4560" s="219" t="n"/>
      <c r="F4560" s="219" t="n"/>
      <c r="G4560" s="219" t="n"/>
      <c r="H4560" s="219" t="n"/>
      <c r="I4560" s="153" t="n"/>
      <c r="J4560" s="153" t="n"/>
      <c r="K4560" s="219" t="n"/>
      <c r="L4560" s="219" t="n"/>
      <c r="M4560" s="219">
        <f>N4560*C4560</f>
        <v/>
      </c>
      <c r="N4560" s="118" t="n">
        <v>1.22</v>
      </c>
      <c r="P4560" s="117" t="n"/>
      <c r="R4560" s="117" t="n"/>
      <c r="T4560" s="117" t="n"/>
    </row>
    <row r="4561">
      <c r="A4561" s="134" t="inlineStr">
        <is>
          <t>39887</t>
        </is>
      </c>
      <c r="B4561" s="246" t="inlineStr">
        <is>
          <t>DI MADANI</t>
        </is>
      </c>
      <c r="C4561" s="219" t="n">
        <v>25300</v>
      </c>
      <c r="D4561" s="219" t="n"/>
      <c r="E4561" s="219" t="n"/>
      <c r="F4561" s="219" t="n"/>
      <c r="G4561" s="219" t="n"/>
      <c r="H4561" s="219" t="n"/>
      <c r="I4561" s="153" t="n"/>
      <c r="J4561" s="153" t="n"/>
      <c r="K4561" s="219" t="n"/>
      <c r="L4561" s="219" t="n"/>
      <c r="M4561" s="219">
        <f>N4561*C4561</f>
        <v/>
      </c>
      <c r="N4561" s="118" t="n">
        <v>1.22</v>
      </c>
      <c r="P4561" s="117" t="n"/>
      <c r="R4561" s="117" t="n"/>
      <c r="T4561" s="117" t="n"/>
    </row>
    <row r="4562">
      <c r="A4562" s="134" t="inlineStr">
        <is>
          <t>39888</t>
        </is>
      </c>
      <c r="B4562" s="246" t="inlineStr">
        <is>
          <t>DI MADANI</t>
        </is>
      </c>
      <c r="C4562" s="219" t="n">
        <v>25300</v>
      </c>
      <c r="D4562" s="219" t="n"/>
      <c r="E4562" s="219" t="n"/>
      <c r="F4562" s="219" t="n"/>
      <c r="G4562" s="219" t="n"/>
      <c r="H4562" s="219" t="n"/>
      <c r="I4562" s="153" t="n"/>
      <c r="J4562" s="153" t="n"/>
      <c r="K4562" s="219" t="n"/>
      <c r="L4562" s="219" t="n"/>
      <c r="M4562" s="219">
        <f>N4562*C4562</f>
        <v/>
      </c>
      <c r="N4562" s="118" t="n">
        <v>1.22</v>
      </c>
      <c r="P4562" s="117" t="n"/>
      <c r="R4562" s="117" t="n"/>
      <c r="T4562" s="117" t="n"/>
    </row>
    <row r="4563">
      <c r="A4563" s="134" t="n"/>
      <c r="B4563" s="246" t="n"/>
      <c r="C4563" s="219" t="n"/>
      <c r="D4563" s="219" t="n"/>
      <c r="E4563" s="219" t="n"/>
      <c r="F4563" s="219" t="n"/>
      <c r="G4563" s="219" t="n"/>
      <c r="H4563" s="219" t="n"/>
      <c r="I4563" s="153" t="n"/>
      <c r="J4563" s="153" t="n"/>
      <c r="K4563" s="219" t="n"/>
      <c r="L4563" s="219" t="n"/>
      <c r="M4563" s="219" t="n"/>
      <c r="N4563" s="118" t="n"/>
      <c r="O4563" s="118" t="n"/>
      <c r="P4563" s="117" t="n"/>
      <c r="R4563" s="117" t="n"/>
      <c r="T4563" s="117" t="n"/>
    </row>
    <row r="4564">
      <c r="A4564" s="134" t="n"/>
      <c r="B4564" s="246" t="n"/>
      <c r="C4564" s="219" t="n"/>
      <c r="D4564" s="219" t="n"/>
      <c r="E4564" s="219" t="n"/>
      <c r="F4564" s="219" t="n"/>
      <c r="G4564" s="219" t="n"/>
      <c r="H4564" s="219" t="n"/>
      <c r="I4564" s="153" t="n"/>
      <c r="J4564" s="153" t="n"/>
      <c r="K4564" s="219" t="n"/>
      <c r="L4564" s="219" t="n"/>
      <c r="M4564" s="219" t="n"/>
      <c r="N4564" s="118" t="n"/>
      <c r="O4564" s="118" t="n"/>
      <c r="P4564" s="117" t="n"/>
      <c r="R4564" s="117" t="n"/>
      <c r="T4564" s="117" t="n"/>
    </row>
    <row r="4565">
      <c r="A4565" s="134" t="n"/>
      <c r="B4565" s="246" t="n"/>
      <c r="C4565" s="219" t="n"/>
      <c r="D4565" s="219" t="n"/>
      <c r="E4565" s="219" t="n"/>
      <c r="F4565" s="219" t="n"/>
      <c r="G4565" s="219" t="n"/>
      <c r="H4565" s="219" t="n"/>
      <c r="I4565" s="153" t="n"/>
      <c r="J4565" s="153" t="n"/>
      <c r="K4565" s="219" t="n"/>
      <c r="L4565" s="219" t="n"/>
      <c r="M4565" s="219" t="n"/>
      <c r="P4565" s="117" t="n"/>
      <c r="R4565" s="117" t="n"/>
      <c r="T4565" s="117" t="n"/>
    </row>
    <row r="4566">
      <c r="A4566" s="134" t="n"/>
      <c r="B4566" s="200" t="inlineStr">
        <is>
          <t>POLERAS Y 1/2 POL. ALGODÓN M LARGA</t>
        </is>
      </c>
      <c r="C4566" s="219" t="inlineStr">
        <is>
          <t>1 AL 4</t>
        </is>
      </c>
      <c r="D4566" s="219" t="n">
        <v>5</v>
      </c>
      <c r="E4566" s="219" t="n">
        <v>6</v>
      </c>
      <c r="F4566" s="219" t="n">
        <v>7</v>
      </c>
      <c r="G4566" s="219" t="n"/>
      <c r="H4566" s="219" t="n"/>
      <c r="I4566" s="134" t="inlineStr">
        <is>
          <t>03/24</t>
        </is>
      </c>
      <c r="J4566" s="153" t="n"/>
      <c r="K4566" s="219" t="n"/>
      <c r="L4566" s="219" t="n"/>
      <c r="M4566" s="219" t="n"/>
      <c r="P4566" s="117" t="n"/>
      <c r="R4566" s="117" t="n"/>
      <c r="T4566" s="117" t="n"/>
    </row>
    <row r="4567">
      <c r="A4567" s="134" t="inlineStr">
        <is>
          <t>2854</t>
        </is>
      </c>
      <c r="B4567" s="240" t="inlineStr">
        <is>
          <t>POLERAS Y 1/2 POL. ALGODÓN M LARGA</t>
        </is>
      </c>
      <c r="C4567" s="88" t="n">
        <v>17300</v>
      </c>
      <c r="D4567" s="220">
        <f>ROUND((C4567*1.06)/100,0)*100</f>
        <v/>
      </c>
      <c r="E4567" s="220">
        <f>ROUND((C4567*1.13)/100,0)*100</f>
        <v/>
      </c>
      <c r="F4567" s="220">
        <f>ROUND((C4567*1.19)/100,0)*100</f>
        <v/>
      </c>
      <c r="G4567" s="22" t="n"/>
      <c r="H4567" s="219" t="n"/>
      <c r="I4567" s="153" t="n"/>
      <c r="J4567" s="153" t="n"/>
      <c r="K4567" s="219" t="n"/>
      <c r="L4567" s="219" t="n"/>
      <c r="M4567" s="219">
        <f>C4567*N4567</f>
        <v/>
      </c>
      <c r="N4567" s="118" t="n">
        <v>3</v>
      </c>
      <c r="O4567" s="219" t="n"/>
      <c r="P4567" s="117" t="n"/>
      <c r="R4567" s="117" t="n"/>
      <c r="T4567" s="117" t="n"/>
    </row>
    <row r="4568">
      <c r="A4568" s="134" t="n"/>
      <c r="B4568" s="246" t="inlineStr">
        <is>
          <t>POLERAS MODAL LISAS</t>
        </is>
      </c>
      <c r="C4568" s="88" t="n">
        <v>17300</v>
      </c>
      <c r="D4568" s="220">
        <f>ROUND((C4568*1.06)/100,0)*100</f>
        <v/>
      </c>
      <c r="E4568" s="220">
        <f>ROUND((C4568*1.13)/100,0)*100</f>
        <v/>
      </c>
      <c r="F4568" s="220">
        <f>ROUND((C4568*1.19)/100,0)*100</f>
        <v/>
      </c>
      <c r="G4568" s="22" t="n"/>
      <c r="H4568" s="219" t="n"/>
      <c r="I4568" s="153" t="n"/>
      <c r="J4568" s="153" t="n"/>
      <c r="K4568" s="219" t="n"/>
      <c r="L4568" s="219" t="n"/>
      <c r="M4568" s="219">
        <f>C4568*N4568</f>
        <v/>
      </c>
      <c r="N4568" s="118" t="n">
        <v>3</v>
      </c>
      <c r="O4568" s="219" t="n"/>
      <c r="P4568" s="117" t="n"/>
      <c r="R4568" s="117" t="n"/>
      <c r="T4568" s="117" t="n"/>
    </row>
    <row r="4569">
      <c r="A4569" s="134" t="inlineStr">
        <is>
          <t>2856</t>
        </is>
      </c>
      <c r="B4569" s="246" t="inlineStr">
        <is>
          <t>1/2 POLERAS MODAL LISAS</t>
        </is>
      </c>
      <c r="C4569" s="88" t="n">
        <v>17300</v>
      </c>
      <c r="D4569" s="220">
        <f>ROUND((C4569*1.06)/100,0)*100</f>
        <v/>
      </c>
      <c r="E4569" s="220">
        <f>ROUND((C4569*1.13)/100,0)*100</f>
        <v/>
      </c>
      <c r="F4569" s="220">
        <f>ROUND((C4569*1.19)/100,0)*100</f>
        <v/>
      </c>
      <c r="G4569" s="22" t="n"/>
      <c r="H4569" s="219" t="n"/>
      <c r="I4569" s="153" t="n"/>
      <c r="J4569" s="153" t="n"/>
      <c r="K4569" s="219" t="n"/>
      <c r="L4569" s="219" t="n"/>
      <c r="M4569" s="219">
        <f>C4569*N4569</f>
        <v/>
      </c>
      <c r="N4569" s="118" t="n">
        <v>3</v>
      </c>
      <c r="O4569" s="219" t="n"/>
      <c r="P4569" s="117" t="n"/>
      <c r="R4569" s="117" t="n"/>
      <c r="T4569" s="117" t="n"/>
    </row>
    <row r="4570">
      <c r="A4570" s="134" t="inlineStr">
        <is>
          <t>2857</t>
        </is>
      </c>
      <c r="B4570" s="246" t="inlineStr">
        <is>
          <t>1/2 POLERA LANILLA ESTAMPADA</t>
        </is>
      </c>
      <c r="C4570" s="88" t="n">
        <v>17300</v>
      </c>
      <c r="D4570" s="220">
        <f>ROUND((C4570*1.06)/100,0)*100</f>
        <v/>
      </c>
      <c r="E4570" s="220">
        <f>ROUND((C4570*1.13)/100,0)*100</f>
        <v/>
      </c>
      <c r="F4570" s="220">
        <f>ROUND((C4570*1.19)/100,0)*100</f>
        <v/>
      </c>
      <c r="G4570" s="88" t="n"/>
      <c r="H4570" s="219" t="n"/>
      <c r="I4570" s="153" t="n"/>
      <c r="J4570" s="153" t="n"/>
      <c r="K4570" s="219" t="n"/>
      <c r="L4570" s="219" t="n"/>
      <c r="M4570" s="219">
        <f>C4570*N4570</f>
        <v/>
      </c>
      <c r="N4570" s="118" t="n">
        <v>3</v>
      </c>
      <c r="O4570" s="219" t="n"/>
      <c r="P4570" s="117" t="n"/>
      <c r="R4570" s="117" t="n"/>
      <c r="T4570" s="117" t="n"/>
    </row>
    <row r="4571">
      <c r="A4571" s="134" t="inlineStr">
        <is>
          <t>2858</t>
        </is>
      </c>
      <c r="B4571" s="246" t="inlineStr">
        <is>
          <t>1/2 POLERAS LANILLA LISAS</t>
        </is>
      </c>
      <c r="C4571" s="88" t="n">
        <v>17300</v>
      </c>
      <c r="D4571" s="220">
        <f>ROUND((C4571*1.06)/100,0)*100</f>
        <v/>
      </c>
      <c r="E4571" s="220">
        <f>ROUND((C4571*1.13)/100,0)*100</f>
        <v/>
      </c>
      <c r="F4571" s="220">
        <f>ROUND((C4571*1.19)/100,0)*100</f>
        <v/>
      </c>
      <c r="G4571" s="88" t="n"/>
      <c r="H4571" s="219" t="n"/>
      <c r="I4571" s="153" t="n"/>
      <c r="J4571" s="153" t="n"/>
      <c r="K4571" s="219" t="n"/>
      <c r="L4571" s="219" t="n"/>
      <c r="M4571" s="219">
        <f>C4571*N4571</f>
        <v/>
      </c>
      <c r="N4571" s="118" t="n">
        <v>3</v>
      </c>
      <c r="O4571" s="219" t="n"/>
      <c r="P4571" s="117" t="n"/>
      <c r="R4571" s="117" t="n"/>
      <c r="T4571" s="117" t="n"/>
    </row>
    <row r="4572">
      <c r="A4572" s="134" t="inlineStr">
        <is>
          <t>2859</t>
        </is>
      </c>
      <c r="B4572" s="246" t="inlineStr">
        <is>
          <t>1/2 POLERAS LANILLA LISAS</t>
        </is>
      </c>
      <c r="C4572" s="88" t="n">
        <v>17300</v>
      </c>
      <c r="D4572" s="220">
        <f>ROUND((C4572*1.06)/100,0)*100</f>
        <v/>
      </c>
      <c r="E4572" s="220">
        <f>ROUND((C4572*1.13)/100,0)*100</f>
        <v/>
      </c>
      <c r="F4572" s="220">
        <f>ROUND((C4572*1.19)/100,0)*100</f>
        <v/>
      </c>
      <c r="G4572" s="22" t="n"/>
      <c r="H4572" s="153" t="n"/>
      <c r="I4572" s="153" t="n"/>
      <c r="J4572" s="153" t="n"/>
      <c r="K4572" s="219" t="n"/>
      <c r="L4572" s="219" t="n"/>
      <c r="M4572" s="219">
        <f>C4572*N4572</f>
        <v/>
      </c>
      <c r="N4572" s="118" t="n">
        <v>3</v>
      </c>
      <c r="O4572" s="219" t="n"/>
      <c r="P4572" s="117" t="n"/>
      <c r="R4572" s="117" t="n"/>
      <c r="T4572" s="117" t="n"/>
    </row>
    <row r="4573">
      <c r="A4573" s="134" t="inlineStr">
        <is>
          <t>28591</t>
        </is>
      </c>
      <c r="B4573" s="246" t="inlineStr">
        <is>
          <t>1/2 POLERAS SEDA FRIA</t>
        </is>
      </c>
      <c r="C4573" s="88" t="n">
        <v>17300</v>
      </c>
      <c r="D4573" s="220">
        <f>ROUND((C4573*1.06)/100,0)*100</f>
        <v/>
      </c>
      <c r="E4573" s="220">
        <f>ROUND((C4573*1.13)/100,0)*100</f>
        <v/>
      </c>
      <c r="F4573" s="220">
        <f>ROUND((C4573*1.19)/100,0)*100</f>
        <v/>
      </c>
      <c r="G4573" s="22" t="n"/>
      <c r="H4573" s="153" t="n"/>
      <c r="I4573" s="153" t="n"/>
      <c r="J4573" s="153" t="n"/>
      <c r="K4573" s="219" t="n"/>
      <c r="L4573" s="219" t="n"/>
      <c r="M4573" s="219">
        <f>C4573*N4573</f>
        <v/>
      </c>
      <c r="N4573" s="118" t="n">
        <v>3</v>
      </c>
      <c r="O4573" s="219" t="n"/>
      <c r="P4573" s="117" t="n"/>
      <c r="R4573" s="117" t="n"/>
      <c r="T4573" s="117" t="n"/>
    </row>
    <row r="4574">
      <c r="A4574" s="134" t="n"/>
      <c r="B4574" s="246" t="n"/>
      <c r="C4574" s="88" t="n"/>
      <c r="D4574" s="88" t="n"/>
      <c r="E4574" s="88" t="n"/>
      <c r="F4574" s="22" t="n"/>
      <c r="G4574" s="22" t="n"/>
      <c r="H4574" s="153" t="n"/>
      <c r="I4574" s="153" t="n"/>
      <c r="J4574" s="153" t="n"/>
      <c r="K4574" s="219" t="n"/>
      <c r="L4574" s="219" t="n"/>
      <c r="M4574" s="219" t="n"/>
      <c r="N4574" s="219" t="n"/>
      <c r="O4574" s="219" t="n"/>
      <c r="P4574" s="117" t="n"/>
      <c r="Q4574" s="118" t="n"/>
      <c r="R4574" s="117" t="n"/>
      <c r="S4574" s="118" t="n"/>
      <c r="T4574" s="117" t="n"/>
    </row>
    <row r="4575">
      <c r="A4575" s="134" t="n"/>
      <c r="B4575" s="246" t="n"/>
      <c r="C4575" s="88" t="n"/>
      <c r="D4575" s="88" t="n"/>
      <c r="E4575" s="88" t="n"/>
      <c r="F4575" s="22" t="n"/>
      <c r="G4575" s="22" t="n"/>
      <c r="H4575" s="153" t="n"/>
      <c r="I4575" s="153" t="n"/>
      <c r="J4575" s="153" t="n"/>
      <c r="K4575" s="219" t="n"/>
      <c r="L4575" s="219" t="n"/>
      <c r="M4575" s="219" t="n"/>
      <c r="N4575" s="219" t="n"/>
      <c r="O4575" s="219" t="n"/>
      <c r="P4575" s="117" t="n"/>
      <c r="Q4575" s="118" t="n"/>
      <c r="R4575" s="117" t="n"/>
      <c r="S4575" s="118" t="n"/>
      <c r="T4575" s="117" t="n"/>
    </row>
    <row r="4576">
      <c r="A4576" s="134" t="n"/>
      <c r="B4576" s="246" t="n"/>
      <c r="C4576" s="88" t="n"/>
      <c r="D4576" s="88" t="n"/>
      <c r="E4576" s="88" t="n"/>
      <c r="F4576" s="22" t="n"/>
      <c r="G4576" s="22" t="n"/>
      <c r="H4576" s="153" t="n"/>
      <c r="I4576" s="153" t="n"/>
      <c r="J4576" s="153" t="n"/>
      <c r="K4576" s="219" t="n"/>
      <c r="L4576" s="219" t="n"/>
      <c r="M4576" s="219" t="n"/>
      <c r="N4576" s="219" t="n"/>
      <c r="O4576" s="219" t="n"/>
      <c r="P4576" s="117" t="n"/>
      <c r="Q4576" s="118" t="n"/>
      <c r="R4576" s="117" t="n"/>
      <c r="S4576" s="118" t="n"/>
      <c r="T4576" s="117" t="n"/>
    </row>
    <row r="4577">
      <c r="A4577" s="134" t="n"/>
      <c r="B4577" s="200" t="inlineStr">
        <is>
          <t>POLERAS Y 1/2 POL. TEJIDAS</t>
        </is>
      </c>
      <c r="C4577" s="219" t="inlineStr">
        <is>
          <t>1 AL 4</t>
        </is>
      </c>
      <c r="D4577" s="219" t="n">
        <v>5</v>
      </c>
      <c r="E4577" s="219" t="n">
        <v>6</v>
      </c>
      <c r="F4577" s="219" t="n">
        <v>7</v>
      </c>
      <c r="G4577" s="219" t="n"/>
      <c r="H4577" s="219" t="n"/>
      <c r="I4577" s="134" t="inlineStr">
        <is>
          <t>03/24</t>
        </is>
      </c>
      <c r="J4577" s="153" t="n"/>
      <c r="K4577" s="219" t="n"/>
      <c r="L4577" s="219" t="n"/>
      <c r="M4577" s="219" t="n"/>
      <c r="P4577" s="117" t="n"/>
      <c r="R4577" s="117" t="n"/>
      <c r="T4577" s="117" t="n"/>
    </row>
    <row r="4578">
      <c r="A4578" s="134" t="inlineStr">
        <is>
          <t>28691</t>
        </is>
      </c>
      <c r="B4578" s="246" t="inlineStr">
        <is>
          <t>POLERAS TEJIDA</t>
        </is>
      </c>
      <c r="C4578" s="88" t="n">
        <v>11500</v>
      </c>
      <c r="D4578" s="220">
        <f>ROUND((C4578*1.06)/100,0)*100</f>
        <v/>
      </c>
      <c r="E4578" s="220">
        <f>ROUND((C4578*1.13)/100,0)*100</f>
        <v/>
      </c>
      <c r="F4578" s="220">
        <f>ROUND((C4578*1.19)/100,0)*100</f>
        <v/>
      </c>
      <c r="G4578" s="22" t="n"/>
      <c r="H4578" s="153" t="n"/>
      <c r="I4578" s="153" t="n"/>
      <c r="J4578" s="153" t="n"/>
      <c r="K4578" s="219" t="n"/>
      <c r="L4578" s="219" t="n"/>
      <c r="M4578" s="219">
        <f>C4578*N4578</f>
        <v/>
      </c>
      <c r="N4578" s="118" t="n">
        <v>2.5</v>
      </c>
      <c r="O4578" s="219" t="n"/>
      <c r="P4578" s="117" t="n"/>
      <c r="R4578" s="117" t="n"/>
      <c r="T4578" s="117" t="n"/>
    </row>
    <row r="4579">
      <c r="A4579" s="134" t="inlineStr">
        <is>
          <t>28692</t>
        </is>
      </c>
      <c r="B4579" s="246" t="inlineStr">
        <is>
          <t>POLERAS TEJIDA</t>
        </is>
      </c>
      <c r="C4579" s="88" t="n">
        <v>20600</v>
      </c>
      <c r="D4579" s="220">
        <f>ROUND((C4579*1.06)/100,0)*100</f>
        <v/>
      </c>
      <c r="E4579" s="220">
        <f>ROUND((C4579*1.13)/100,0)*100</f>
        <v/>
      </c>
      <c r="F4579" s="220">
        <f>ROUND((C4579*1.19)/100,0)*100</f>
        <v/>
      </c>
      <c r="G4579" s="22" t="n"/>
      <c r="H4579" s="153" t="n"/>
      <c r="I4579" s="153" t="n"/>
      <c r="J4579" s="153" t="n"/>
      <c r="K4579" s="219" t="n"/>
      <c r="L4579" s="219" t="n"/>
      <c r="M4579" s="219">
        <f>C4579*N4579</f>
        <v/>
      </c>
      <c r="N4579" s="118" t="n">
        <v>2.5</v>
      </c>
      <c r="O4579" s="219" t="n"/>
      <c r="P4579" s="117" t="n"/>
      <c r="R4579" s="117" t="n"/>
      <c r="T4579" s="117" t="n"/>
    </row>
    <row r="4580">
      <c r="A4580" s="134" t="inlineStr">
        <is>
          <t>28693/28643</t>
        </is>
      </c>
      <c r="B4580" s="246" t="inlineStr">
        <is>
          <t>POLERA BREMMER</t>
        </is>
      </c>
      <c r="C4580" s="153" t="n">
        <v>25600</v>
      </c>
      <c r="D4580" s="220">
        <f>ROUND((C4580*1.06)/100,0)*100</f>
        <v/>
      </c>
      <c r="E4580" s="220">
        <f>ROUND((C4580*1.13)/100,0)*100</f>
        <v/>
      </c>
      <c r="F4580" s="220">
        <f>ROUND((C4580*1.19)/100,0)*100</f>
        <v/>
      </c>
      <c r="G4580" s="153" t="n"/>
      <c r="H4580" s="153" t="n"/>
      <c r="I4580" s="153" t="n"/>
      <c r="J4580" s="153" t="n"/>
      <c r="K4580" s="219" t="n"/>
      <c r="L4580" s="219" t="n"/>
      <c r="M4580" s="219">
        <f>C4580*N4580</f>
        <v/>
      </c>
      <c r="N4580" s="118" t="n">
        <v>2.5</v>
      </c>
      <c r="O4580" s="219" t="n"/>
      <c r="P4580" s="117" t="n"/>
      <c r="R4580" s="117" t="n"/>
      <c r="T4580" s="117" t="n"/>
    </row>
    <row r="4581">
      <c r="A4581" s="134" t="n"/>
      <c r="B4581" s="246" t="n"/>
      <c r="C4581" s="153" t="n"/>
      <c r="D4581" s="153" t="n"/>
      <c r="E4581" s="153" t="n"/>
      <c r="F4581" s="153" t="n"/>
      <c r="G4581" s="153" t="n"/>
      <c r="H4581" s="153" t="n"/>
      <c r="I4581" s="153" t="n"/>
      <c r="J4581" s="153" t="n"/>
      <c r="K4581" s="219" t="n"/>
      <c r="L4581" s="219" t="n"/>
      <c r="M4581" s="219" t="n"/>
      <c r="P4581" s="117" t="n"/>
      <c r="R4581" s="117" t="n"/>
      <c r="T4581" s="117" t="n"/>
    </row>
    <row r="4582">
      <c r="A4582" s="134" t="n"/>
      <c r="B4582" s="200" t="inlineStr">
        <is>
          <t>CONJUNTOS CAMPERA-</t>
        </is>
      </c>
      <c r="C4582" s="202" t="n">
        <v>2</v>
      </c>
      <c r="D4582" s="241" t="n">
        <v>3</v>
      </c>
      <c r="E4582" s="202" t="n">
        <v>4</v>
      </c>
      <c r="F4582" s="202" t="n">
        <v>5</v>
      </c>
      <c r="G4582" s="202" t="n">
        <v>6</v>
      </c>
      <c r="H4582" s="153" t="n"/>
      <c r="I4582" s="134" t="inlineStr">
        <is>
          <t>03/24</t>
        </is>
      </c>
      <c r="J4582" s="153" t="n"/>
      <c r="K4582" s="219" t="n"/>
      <c r="L4582" s="219" t="n"/>
      <c r="M4582" s="219" t="n"/>
      <c r="P4582" s="117" t="n"/>
      <c r="R4582" s="117" t="n"/>
      <c r="T4582" s="117" t="n"/>
    </row>
    <row r="4583">
      <c r="A4583" s="134" t="inlineStr">
        <is>
          <t>2881</t>
        </is>
      </c>
      <c r="B4583" s="246" t="inlineStr">
        <is>
          <t>AROMA CONJ TOWELL</t>
        </is>
      </c>
      <c r="C4583" s="88" t="n">
        <v>89000</v>
      </c>
      <c r="D4583" s="220">
        <f>ROUND((C4583*1.06)/100,0)*100</f>
        <v/>
      </c>
      <c r="E4583" s="220">
        <f>ROUND((C4583*1.13)/100,0)*100</f>
        <v/>
      </c>
      <c r="F4583" s="220">
        <f>ROUND((C4583*1.19)/100,0)*100</f>
        <v/>
      </c>
      <c r="G4583" s="22">
        <f>ROUND((C4583*1.25)/100,0)*100</f>
        <v/>
      </c>
      <c r="H4583" s="153" t="n"/>
      <c r="I4583" s="221" t="n"/>
      <c r="J4583" s="153" t="n"/>
      <c r="K4583" s="219" t="n"/>
      <c r="L4583" s="219" t="n"/>
      <c r="M4583" s="219">
        <f>C4583*N4583</f>
        <v/>
      </c>
      <c r="N4583" s="118" t="n">
        <v>1.1</v>
      </c>
      <c r="P4583" s="117" t="n"/>
      <c r="R4583" s="117" t="n"/>
      <c r="T4583" s="117" t="n"/>
    </row>
    <row r="4584">
      <c r="A4584" s="134" t="inlineStr">
        <is>
          <t>2882</t>
        </is>
      </c>
      <c r="B4584" s="246" t="inlineStr">
        <is>
          <t>IDEM 2881</t>
        </is>
      </c>
      <c r="C4584" s="88" t="n">
        <v>89000</v>
      </c>
      <c r="D4584" s="220">
        <f>ROUND((C4584*1.06)/100,0)*100</f>
        <v/>
      </c>
      <c r="E4584" s="220">
        <f>ROUND((C4584*1.13)/100,0)*100</f>
        <v/>
      </c>
      <c r="F4584" s="220">
        <f>ROUND((C4584*1.19)/100,0)*100</f>
        <v/>
      </c>
      <c r="G4584" s="22">
        <f>ROUND((C4584*1.25)/100,0)*100</f>
        <v/>
      </c>
      <c r="H4584" s="153" t="n"/>
      <c r="I4584" s="221" t="n"/>
      <c r="J4584" s="153" t="n"/>
      <c r="K4584" s="219" t="n"/>
      <c r="L4584" s="219" t="n"/>
      <c r="M4584" s="219">
        <f>C4584*N4584</f>
        <v/>
      </c>
      <c r="N4584" s="118" t="n">
        <v>1.1</v>
      </c>
      <c r="P4584" s="117" t="n"/>
      <c r="R4584" s="117" t="n"/>
      <c r="T4584" s="117" t="n"/>
    </row>
    <row r="4585">
      <c r="A4585" s="134" t="inlineStr">
        <is>
          <t>2883</t>
        </is>
      </c>
      <c r="B4585" s="246" t="inlineStr">
        <is>
          <t>AROMA PLUSH</t>
        </is>
      </c>
      <c r="C4585" s="88" t="n">
        <v>85000</v>
      </c>
      <c r="D4585" s="220">
        <f>ROUND((C4585*1.06)/100,0)*100</f>
        <v/>
      </c>
      <c r="E4585" s="220">
        <f>ROUND((C4585*1.13)/100,0)*100</f>
        <v/>
      </c>
      <c r="F4585" s="220">
        <f>ROUND((C4585*1.19)/100,0)*100</f>
        <v/>
      </c>
      <c r="G4585" s="22">
        <f>ROUND((C4585*1.25)/100,0)*100</f>
        <v/>
      </c>
      <c r="H4585" s="153" t="n"/>
      <c r="I4585" s="221" t="n"/>
      <c r="J4585" s="153" t="n"/>
      <c r="K4585" s="219" t="n"/>
      <c r="L4585" s="219" t="n"/>
      <c r="M4585" s="219">
        <f>C4585*N4585</f>
        <v/>
      </c>
      <c r="N4585" s="118" t="n">
        <v>1.1</v>
      </c>
      <c r="P4585" s="117" t="n"/>
      <c r="R4585" s="117" t="n"/>
      <c r="T4585" s="117" t="n"/>
    </row>
    <row r="4586">
      <c r="A4586" s="134" t="inlineStr">
        <is>
          <t>2884</t>
        </is>
      </c>
      <c r="B4586" s="246" t="inlineStr">
        <is>
          <t>EMMANUEL PLUSH</t>
        </is>
      </c>
      <c r="C4586" s="88" t="n">
        <v>79000</v>
      </c>
      <c r="D4586" s="220">
        <f>ROUND((C4586*1.06)/100,0)*100</f>
        <v/>
      </c>
      <c r="E4586" s="220">
        <f>ROUND((C4586*1.13)/100,0)*100</f>
        <v/>
      </c>
      <c r="F4586" s="220">
        <f>ROUND((C4586*1.19)/100,0)*100</f>
        <v/>
      </c>
      <c r="G4586" s="22">
        <f>ROUND((C4586*1.25)/100,0)*100</f>
        <v/>
      </c>
      <c r="H4586" s="153" t="n"/>
      <c r="I4586" s="221" t="n"/>
      <c r="J4586" s="153" t="n"/>
      <c r="K4586" s="219" t="n"/>
      <c r="L4586" s="219" t="n"/>
      <c r="M4586" s="219">
        <f>C4586*N4586</f>
        <v/>
      </c>
      <c r="N4586" s="118" t="n">
        <v>1.1</v>
      </c>
      <c r="P4586" s="117" t="n"/>
      <c r="R4586" s="117" t="n"/>
      <c r="T4586" s="117" t="n"/>
    </row>
    <row r="4587">
      <c r="A4587" s="134" t="inlineStr">
        <is>
          <t>2885</t>
        </is>
      </c>
      <c r="B4587" s="246" t="inlineStr">
        <is>
          <t>KA-ESE ACETATO</t>
        </is>
      </c>
      <c r="C4587" s="88" t="n">
        <v>79000</v>
      </c>
      <c r="D4587" s="220">
        <f>ROUND((C4587*1.06)/100,0)*100</f>
        <v/>
      </c>
      <c r="E4587" s="220">
        <f>ROUND((C4587*1.13)/100,0)*100</f>
        <v/>
      </c>
      <c r="F4587" s="220">
        <f>ROUND((C4587*1.19)/100,0)*100</f>
        <v/>
      </c>
      <c r="G4587" s="22">
        <f>ROUND((C4587*1.25)/100,0)*100</f>
        <v/>
      </c>
      <c r="H4587" s="153" t="n"/>
      <c r="I4587" s="221" t="n"/>
      <c r="J4587" s="153" t="n"/>
      <c r="K4587" s="219" t="n"/>
      <c r="L4587" s="219" t="n"/>
      <c r="M4587" s="219">
        <f>C4587*N4587</f>
        <v/>
      </c>
      <c r="N4587" s="118" t="n">
        <v>1.1</v>
      </c>
      <c r="P4587" s="117" t="n"/>
      <c r="R4587" s="117" t="n"/>
      <c r="T4587" s="117" t="n"/>
    </row>
    <row r="4588">
      <c r="A4588" s="134" t="inlineStr">
        <is>
          <t>2886</t>
        </is>
      </c>
      <c r="B4588" s="246" t="inlineStr">
        <is>
          <t>AROMA ACETATO C/F</t>
        </is>
      </c>
      <c r="C4588" s="88" t="n">
        <v>85000</v>
      </c>
      <c r="D4588" s="220">
        <f>ROUND((C4588*1.06)/100,0)*100</f>
        <v/>
      </c>
      <c r="E4588" s="220">
        <f>ROUND((C4588*1.13)/100,0)*100</f>
        <v/>
      </c>
      <c r="F4588" s="220">
        <f>ROUND((C4588*1.19)/100,0)*100</f>
        <v/>
      </c>
      <c r="G4588" s="22">
        <f>ROUND((C4588*1.25)/100,0)*100</f>
        <v/>
      </c>
      <c r="H4588" s="153" t="n"/>
      <c r="I4588" s="221" t="n"/>
      <c r="J4588" s="153" t="n"/>
      <c r="K4588" s="219" t="n"/>
      <c r="L4588" s="219" t="n"/>
      <c r="M4588" s="219">
        <f>C4588*N4588</f>
        <v/>
      </c>
      <c r="N4588" s="118" t="n">
        <v>1.1</v>
      </c>
      <c r="P4588" s="117" t="n"/>
      <c r="R4588" s="117" t="n"/>
      <c r="T4588" s="117" t="n"/>
    </row>
    <row r="4589">
      <c r="A4589" s="134" t="inlineStr">
        <is>
          <t>28861</t>
        </is>
      </c>
      <c r="B4589" s="246" t="inlineStr">
        <is>
          <t>AROMA ACETATO S/F</t>
        </is>
      </c>
      <c r="C4589" s="88" t="n">
        <v>85000</v>
      </c>
      <c r="D4589" s="220">
        <f>ROUND((C4589*1.06)/100,0)*100</f>
        <v/>
      </c>
      <c r="E4589" s="220">
        <f>ROUND((C4589*1.13)/100,0)*100</f>
        <v/>
      </c>
      <c r="F4589" s="220">
        <f>ROUND((C4589*1.19)/100,0)*100</f>
        <v/>
      </c>
      <c r="G4589" s="22">
        <f>ROUND((C4589*1.25)/100,0)*100</f>
        <v/>
      </c>
      <c r="H4589" s="153" t="n"/>
      <c r="I4589" s="221" t="n"/>
      <c r="J4589" s="153" t="n"/>
      <c r="K4589" s="219" t="n"/>
      <c r="L4589" s="219" t="n"/>
      <c r="M4589" s="219">
        <f>C4589*N4589</f>
        <v/>
      </c>
      <c r="N4589" s="118" t="n">
        <v>1.1</v>
      </c>
      <c r="P4589" s="117" t="n"/>
      <c r="R4589" s="117" t="n"/>
      <c r="T4589" s="117" t="n"/>
    </row>
    <row r="4590">
      <c r="A4590" s="134" t="inlineStr">
        <is>
          <t>2887</t>
        </is>
      </c>
      <c r="B4590" s="246" t="inlineStr">
        <is>
          <t>AROMA ALGODÓN S/FRIZA</t>
        </is>
      </c>
      <c r="C4590" s="88" t="n">
        <v>85000</v>
      </c>
      <c r="D4590" s="220">
        <f>ROUND((C4590*1.06)/100,0)*100</f>
        <v/>
      </c>
      <c r="E4590" s="220">
        <f>ROUND((C4590*1.13)/100,0)*100</f>
        <v/>
      </c>
      <c r="F4590" s="220">
        <f>ROUND((C4590*1.19)/100,0)*100</f>
        <v/>
      </c>
      <c r="G4590" s="22">
        <f>ROUND((C4590*1.25)/100,0)*100</f>
        <v/>
      </c>
      <c r="H4590" s="153" t="n"/>
      <c r="I4590" s="221" t="n"/>
      <c r="J4590" s="153" t="n"/>
      <c r="K4590" s="219" t="n"/>
      <c r="L4590" s="219" t="n"/>
      <c r="M4590" s="219">
        <f>C4590*N4590</f>
        <v/>
      </c>
      <c r="N4590" s="118" t="n">
        <v>1.1</v>
      </c>
      <c r="P4590" s="117" t="n"/>
      <c r="R4590" s="117" t="n"/>
      <c r="T4590" s="117" t="n"/>
    </row>
    <row r="4591">
      <c r="A4591" s="134" t="inlineStr">
        <is>
          <t>2889</t>
        </is>
      </c>
      <c r="B4591" s="246" t="inlineStr">
        <is>
          <t>AROMA ALGODÓN C/FRIZA</t>
        </is>
      </c>
      <c r="C4591" s="88" t="n">
        <v>85000</v>
      </c>
      <c r="D4591" s="220">
        <f>ROUND((C4591*1.06)/100,0)*100</f>
        <v/>
      </c>
      <c r="E4591" s="220">
        <f>ROUND((C4591*1.13)/100,0)*100</f>
        <v/>
      </c>
      <c r="F4591" s="220">
        <f>ROUND((C4591*1.19)/100,0)*100</f>
        <v/>
      </c>
      <c r="G4591" s="22">
        <f>ROUND((C4591*1.25)/100,0)*100</f>
        <v/>
      </c>
      <c r="H4591" s="153" t="n"/>
      <c r="I4591" s="221" t="n"/>
      <c r="J4591" s="153" t="n"/>
      <c r="K4591" s="219" t="n"/>
      <c r="L4591" s="219" t="n"/>
      <c r="M4591" s="219">
        <f>C4591*N4591</f>
        <v/>
      </c>
      <c r="N4591" s="118" t="n">
        <v>1.1</v>
      </c>
      <c r="P4591" s="117" t="n"/>
      <c r="R4591" s="117" t="n"/>
      <c r="T4591" s="117" t="n"/>
    </row>
    <row r="4592">
      <c r="A4592" s="134" t="inlineStr">
        <is>
          <t>2890</t>
        </is>
      </c>
      <c r="B4592" s="246" t="inlineStr">
        <is>
          <t>AROMA ALGODÓN C/FRIZA JAKAR CORD</t>
        </is>
      </c>
      <c r="C4592" s="88" t="n">
        <v>89000</v>
      </c>
      <c r="D4592" s="220">
        <f>ROUND((C4592*1.06)/100,0)*100</f>
        <v/>
      </c>
      <c r="E4592" s="220">
        <f>ROUND((C4592*1.13)/100,0)*100</f>
        <v/>
      </c>
      <c r="F4592" s="220">
        <f>ROUND((C4592*1.19)/100,0)*100</f>
        <v/>
      </c>
      <c r="G4592" s="22">
        <f>ROUND((C4592*1.25)/100,0)*100</f>
        <v/>
      </c>
      <c r="H4592" s="153" t="n"/>
      <c r="I4592" s="221" t="n"/>
      <c r="J4592" s="153" t="n"/>
      <c r="K4592" s="219" t="n"/>
      <c r="L4592" s="219" t="n"/>
      <c r="M4592" s="219">
        <f>C4592*N4592</f>
        <v/>
      </c>
      <c r="N4592" s="118" t="n">
        <v>1.1</v>
      </c>
      <c r="P4592" s="117" t="n"/>
      <c r="R4592" s="117" t="n"/>
      <c r="T4592" s="117" t="n"/>
    </row>
    <row r="4593">
      <c r="A4593" s="134" t="inlineStr">
        <is>
          <t>2891</t>
        </is>
      </c>
      <c r="B4593" s="246" t="inlineStr">
        <is>
          <t>CONJ ALG VISCOSA</t>
        </is>
      </c>
      <c r="C4593" s="88" t="n">
        <v>55200</v>
      </c>
      <c r="D4593" s="220">
        <f>ROUND((C4593*1.06)/100,0)*100</f>
        <v/>
      </c>
      <c r="E4593" s="220">
        <f>ROUND((C4593*1.13)/100,0)*100</f>
        <v/>
      </c>
      <c r="F4593" s="220">
        <f>ROUND((C4593*1.19)/100,0)*100</f>
        <v/>
      </c>
      <c r="G4593" s="22">
        <f>ROUND((C4593*1.25)/100,0)*100</f>
        <v/>
      </c>
      <c r="H4593" s="153" t="n"/>
      <c r="I4593" s="221" t="n"/>
      <c r="J4593" s="153" t="n"/>
      <c r="K4593" s="219" t="n"/>
      <c r="L4593" s="219" t="n"/>
      <c r="M4593" s="219">
        <f>C4593*N4593</f>
        <v/>
      </c>
      <c r="N4593" s="118" t="n">
        <v>1.1</v>
      </c>
      <c r="P4593" s="117" t="n"/>
      <c r="R4593" s="117" t="n"/>
      <c r="T4593" s="117" t="n"/>
    </row>
    <row r="4594">
      <c r="A4594" s="134" t="inlineStr">
        <is>
          <t>2892</t>
        </is>
      </c>
      <c r="B4594" s="246" t="inlineStr">
        <is>
          <t>UNIKA CONJ PIQUE</t>
        </is>
      </c>
      <c r="C4594" s="88" t="n">
        <v>55200</v>
      </c>
      <c r="D4594" s="220">
        <f>ROUND((C4594*1.06)/100,0)*100</f>
        <v/>
      </c>
      <c r="E4594" s="220">
        <f>ROUND((C4594*1.13)/100,0)*100</f>
        <v/>
      </c>
      <c r="F4594" s="220">
        <f>ROUND((C4594*1.19)/100,0)*100</f>
        <v/>
      </c>
      <c r="G4594" s="22">
        <f>ROUND((C4594*1.25)/100,0)*100</f>
        <v/>
      </c>
      <c r="H4594" s="153" t="n"/>
      <c r="I4594" s="221" t="n"/>
      <c r="J4594" s="153" t="n"/>
      <c r="K4594" s="219" t="n"/>
      <c r="L4594" s="219" t="n"/>
      <c r="M4594" s="219">
        <f>C4594*N4594</f>
        <v/>
      </c>
      <c r="N4594" s="118" t="n">
        <v>1.1</v>
      </c>
      <c r="P4594" s="117" t="n"/>
      <c r="R4594" s="117" t="n"/>
      <c r="T4594" s="117" t="n"/>
    </row>
    <row r="4595">
      <c r="A4595" s="134" t="inlineStr">
        <is>
          <t>2893</t>
        </is>
      </c>
      <c r="B4595" s="246" t="inlineStr">
        <is>
          <t>CONJ TOWELL</t>
        </is>
      </c>
      <c r="C4595" s="88" t="n">
        <v>58200</v>
      </c>
      <c r="D4595" s="220">
        <f>ROUND((C4595*1.06)/100,0)*100</f>
        <v/>
      </c>
      <c r="E4595" s="220">
        <f>ROUND((C4595*1.13)/100,0)*100</f>
        <v/>
      </c>
      <c r="F4595" s="220">
        <f>ROUND((C4595*1.19)/100,0)*100</f>
        <v/>
      </c>
      <c r="G4595" s="22">
        <f>ROUND((C4595*1.25)/100,0)*100</f>
        <v/>
      </c>
      <c r="H4595" s="153" t="n"/>
      <c r="I4595" s="221" t="n"/>
      <c r="J4595" s="153" t="n"/>
      <c r="K4595" s="219" t="n"/>
      <c r="L4595" s="219" t="n"/>
      <c r="M4595" s="219">
        <f>C4595*N4595</f>
        <v/>
      </c>
      <c r="N4595" s="118" t="n">
        <v>1.1</v>
      </c>
      <c r="P4595" s="117" t="n"/>
      <c r="R4595" s="117" t="n"/>
      <c r="T4595" s="117" t="n"/>
    </row>
    <row r="4596">
      <c r="A4596" s="134" t="inlineStr">
        <is>
          <t>2894</t>
        </is>
      </c>
      <c r="B4596" s="246" t="inlineStr">
        <is>
          <t>ARILU ALGODÓN S/FRIZA</t>
        </is>
      </c>
      <c r="C4596" s="88" t="n">
        <v>58200</v>
      </c>
      <c r="D4596" s="220">
        <f>ROUND((C4596*1.06)/100,0)*100</f>
        <v/>
      </c>
      <c r="E4596" s="220">
        <f>ROUND((C4596*1.13)/100,0)*100</f>
        <v/>
      </c>
      <c r="F4596" s="220">
        <f>ROUND((C4596*1.19)/100,0)*100</f>
        <v/>
      </c>
      <c r="G4596" s="22">
        <f>ROUND((C4596*1.25)/100,0)*100</f>
        <v/>
      </c>
      <c r="H4596" s="153" t="n"/>
      <c r="I4596" s="221" t="n"/>
      <c r="J4596" s="153" t="n"/>
      <c r="K4596" s="219" t="n"/>
      <c r="L4596" s="219" t="n"/>
      <c r="M4596" s="219">
        <f>C4596*N4596</f>
        <v/>
      </c>
      <c r="N4596" s="118" t="n">
        <v>1.1</v>
      </c>
      <c r="P4596" s="117" t="n"/>
      <c r="R4596" s="117" t="n"/>
      <c r="T4596" s="117" t="n"/>
    </row>
    <row r="4597">
      <c r="A4597" s="134" t="inlineStr">
        <is>
          <t>2895</t>
        </is>
      </c>
      <c r="B4597" s="246" t="inlineStr">
        <is>
          <t>M JALEM ACETATO S/FRIZA</t>
        </is>
      </c>
      <c r="C4597" s="88" t="n">
        <v>54200</v>
      </c>
      <c r="D4597" s="220">
        <f>ROUND((C4597*1.06)/100,0)*100</f>
        <v/>
      </c>
      <c r="E4597" s="220">
        <f>ROUND((C4597*1.13)/100,0)*100</f>
        <v/>
      </c>
      <c r="F4597" s="220">
        <f>ROUND((C4597*1.19)/100,0)*100</f>
        <v/>
      </c>
      <c r="G4597" s="22">
        <f>ROUND((C4597*1.25)/100,0)*100</f>
        <v/>
      </c>
      <c r="H4597" s="153" t="n"/>
      <c r="I4597" s="221" t="n"/>
      <c r="J4597" s="153" t="n"/>
      <c r="K4597" s="219" t="n"/>
      <c r="L4597" s="219" t="n"/>
      <c r="M4597" s="219">
        <f>C4597*N4597</f>
        <v/>
      </c>
      <c r="N4597" s="118" t="n">
        <v>1.1</v>
      </c>
      <c r="P4597" s="117" t="n"/>
      <c r="R4597" s="117" t="n"/>
      <c r="T4597" s="117" t="n"/>
    </row>
    <row r="4598">
      <c r="A4598" s="134" t="inlineStr">
        <is>
          <t>2896</t>
        </is>
      </c>
      <c r="B4598" s="246" t="inlineStr">
        <is>
          <t>EMMANUEL PLUSH S/FRIZA</t>
        </is>
      </c>
      <c r="C4598" s="88" t="n">
        <v>54200</v>
      </c>
      <c r="D4598" s="220">
        <f>ROUND((C4598*1.06)/100,0)*100</f>
        <v/>
      </c>
      <c r="E4598" s="220">
        <f>ROUND((C4598*1.13)/100,0)*100</f>
        <v/>
      </c>
      <c r="F4598" s="220">
        <f>ROUND((C4598*1.19)/100,0)*100</f>
        <v/>
      </c>
      <c r="G4598" s="22">
        <f>ROUND((C4598*1.25)/100,0)*100</f>
        <v/>
      </c>
      <c r="H4598" s="153" t="n"/>
      <c r="I4598" s="221" t="n"/>
      <c r="J4598" s="153" t="n"/>
      <c r="K4598" s="219" t="n"/>
      <c r="L4598" s="219" t="n"/>
      <c r="M4598" s="219">
        <f>C4598*N4598</f>
        <v/>
      </c>
      <c r="N4598" s="118" t="n">
        <v>1.1</v>
      </c>
      <c r="P4598" s="117" t="n"/>
      <c r="R4598" s="117" t="n"/>
      <c r="T4598" s="117" t="n"/>
    </row>
    <row r="4599">
      <c r="A4599" s="134" t="inlineStr">
        <is>
          <t>2897</t>
        </is>
      </c>
      <c r="B4599" s="246" t="inlineStr">
        <is>
          <t>CONJUNTO REMERA C/FRIZA</t>
        </is>
      </c>
      <c r="C4599" s="22" t="n">
        <v>66000</v>
      </c>
      <c r="D4599" s="220">
        <f>ROUND((C4599*1.06)/100,0)*100</f>
        <v/>
      </c>
      <c r="E4599" s="220">
        <f>ROUND((C4599*1.13)/100,0)*100</f>
        <v/>
      </c>
      <c r="F4599" s="220">
        <f>ROUND((C4599*1.19)/100,0)*100</f>
        <v/>
      </c>
      <c r="G4599" s="22">
        <f>ROUND((C4599*1.25)/100,0)*100</f>
        <v/>
      </c>
      <c r="H4599" s="153" t="n"/>
      <c r="I4599" s="221" t="n"/>
      <c r="J4599" s="153" t="n"/>
      <c r="K4599" s="219" t="n"/>
      <c r="L4599" s="219" t="n"/>
      <c r="M4599" s="219">
        <f>C4599*N4599</f>
        <v/>
      </c>
      <c r="N4599" s="118" t="n">
        <v>1.1</v>
      </c>
      <c r="P4599" s="117" t="n"/>
      <c r="R4599" s="117" t="n"/>
      <c r="T4599" s="117" t="n"/>
    </row>
    <row r="4600">
      <c r="A4600" s="134" t="inlineStr">
        <is>
          <t>2900</t>
        </is>
      </c>
      <c r="B4600" s="246" t="inlineStr">
        <is>
          <t>UNIKA ALGODÓN VISCOSA</t>
        </is>
      </c>
      <c r="C4600" s="88" t="n">
        <v>54200</v>
      </c>
      <c r="D4600" s="220">
        <f>ROUND((C4600*1.06)/100,0)*100</f>
        <v/>
      </c>
      <c r="E4600" s="220">
        <f>ROUND((C4600*1.13)/100,0)*100</f>
        <v/>
      </c>
      <c r="F4600" s="220">
        <f>ROUND((C4600*1.19)/100,0)*100</f>
        <v/>
      </c>
      <c r="G4600" s="22">
        <f>ROUND((C4600*1.25)/100,0)*100</f>
        <v/>
      </c>
      <c r="H4600" s="153" t="n"/>
      <c r="I4600" s="221" t="n"/>
      <c r="J4600" s="153" t="n"/>
      <c r="K4600" s="219" t="n"/>
      <c r="L4600" s="219" t="n"/>
      <c r="M4600" s="219">
        <f>C4600*N4600</f>
        <v/>
      </c>
      <c r="N4600" s="118" t="n">
        <v>1.1</v>
      </c>
      <c r="P4600" s="117" t="n"/>
      <c r="R4600" s="117" t="n"/>
      <c r="T4600" s="117" t="n"/>
    </row>
    <row r="4601">
      <c r="A4601" s="134" t="inlineStr">
        <is>
          <t>2901</t>
        </is>
      </c>
      <c r="B4601" s="246" t="inlineStr">
        <is>
          <t>UNIKA PIQUE CON CHALECO</t>
        </is>
      </c>
      <c r="C4601" s="88" t="n">
        <v>54200</v>
      </c>
      <c r="D4601" s="220">
        <f>ROUND((C4601*1.06)/100,0)*100</f>
        <v/>
      </c>
      <c r="E4601" s="220">
        <f>ROUND((C4601*1.13)/100,0)*100</f>
        <v/>
      </c>
      <c r="F4601" s="220">
        <f>ROUND((C4601*1.19)/100,0)*100</f>
        <v/>
      </c>
      <c r="G4601" s="22">
        <f>ROUND((C4601*1.25)/100,0)*100</f>
        <v/>
      </c>
      <c r="H4601" s="153" t="n"/>
      <c r="I4601" s="221" t="n"/>
      <c r="J4601" s="153" t="n"/>
      <c r="K4601" s="219" t="n"/>
      <c r="L4601" s="219" t="n"/>
      <c r="M4601" s="219">
        <f>C4601*N4601</f>
        <v/>
      </c>
      <c r="N4601" s="118" t="n">
        <v>1.1</v>
      </c>
      <c r="P4601" s="117" t="n"/>
      <c r="R4601" s="117" t="n"/>
      <c r="T4601" s="117" t="n"/>
    </row>
    <row r="4602">
      <c r="A4602" s="134" t="inlineStr">
        <is>
          <t>2902</t>
        </is>
      </c>
      <c r="B4602" s="246" t="inlineStr">
        <is>
          <t>CHALECO Y PANT VISCOSA</t>
        </is>
      </c>
      <c r="C4602" s="88" t="n">
        <v>54200</v>
      </c>
      <c r="D4602" s="220">
        <f>ROUND((C4602*1.06)/100,0)*100</f>
        <v/>
      </c>
      <c r="E4602" s="220">
        <f>ROUND((C4602*1.13)/100,0)*100</f>
        <v/>
      </c>
      <c r="F4602" s="220">
        <f>ROUND((C4602*1.19)/100,0)*100</f>
        <v/>
      </c>
      <c r="G4602" s="22">
        <f>ROUND((C4602*1.25)/100,0)*100</f>
        <v/>
      </c>
      <c r="H4602" s="153" t="n"/>
      <c r="I4602" s="221" t="n"/>
      <c r="J4602" s="153" t="n"/>
      <c r="K4602" s="219" t="n"/>
      <c r="L4602" s="219" t="n"/>
      <c r="M4602" s="219">
        <f>C4602*N4602</f>
        <v/>
      </c>
      <c r="N4602" s="118" t="n">
        <v>1.1</v>
      </c>
      <c r="P4602" s="117" t="n"/>
      <c r="R4602" s="117" t="n"/>
      <c r="T4602" s="117" t="n"/>
    </row>
    <row r="4603">
      <c r="A4603" s="134" t="inlineStr">
        <is>
          <t>29030</t>
        </is>
      </c>
      <c r="B4603" s="246" t="inlineStr">
        <is>
          <t>CONJUNTO I-RUN</t>
        </is>
      </c>
      <c r="C4603" s="153" t="n">
        <v>109000</v>
      </c>
      <c r="D4603" s="220">
        <f>ROUND((C4603)/100,0)*100</f>
        <v/>
      </c>
      <c r="E4603" s="220">
        <f>ROUND((C4603)/100,0)*100</f>
        <v/>
      </c>
      <c r="F4603" s="220">
        <f>ROUND((C4603*1.15)/100,0)*100</f>
        <v/>
      </c>
      <c r="G4603" s="22">
        <f>ROUND((C4603*1.15)/100,0)*100</f>
        <v/>
      </c>
      <c r="H4603" s="153" t="n"/>
      <c r="I4603" s="221" t="n"/>
      <c r="J4603" s="153" t="n"/>
      <c r="K4603" s="219" t="n"/>
      <c r="L4603" s="219" t="n"/>
      <c r="M4603" s="219">
        <f>C4603*N4603</f>
        <v/>
      </c>
      <c r="N4603" s="118" t="n">
        <v>1.1</v>
      </c>
      <c r="P4603" s="117" t="n"/>
      <c r="R4603" s="117" t="n"/>
      <c r="T4603" s="117" t="n"/>
    </row>
    <row r="4604">
      <c r="A4604" s="134" t="inlineStr">
        <is>
          <t>29031</t>
        </is>
      </c>
      <c r="B4604" s="246" t="inlineStr">
        <is>
          <t>CONJ I-RUN TESP 3XL-6XL</t>
        </is>
      </c>
      <c r="C4604" s="153" t="n">
        <v>119000</v>
      </c>
      <c r="D4604" s="153" t="n">
        <v>119000</v>
      </c>
      <c r="E4604" s="153" t="n"/>
      <c r="F4604" s="153" t="n"/>
      <c r="G4604" s="153" t="n"/>
      <c r="H4604" s="153" t="n"/>
      <c r="I4604" s="221" t="n"/>
      <c r="J4604" s="153" t="n"/>
      <c r="K4604" s="219" t="n"/>
      <c r="L4604" s="219" t="n"/>
      <c r="M4604" s="219" t="n"/>
      <c r="P4604" s="117" t="n"/>
      <c r="R4604" s="117" t="n"/>
      <c r="T4604" s="117" t="n"/>
    </row>
    <row r="4605">
      <c r="A4605" s="134" t="n"/>
      <c r="B4605" s="246" t="n"/>
      <c r="C4605" s="153" t="n"/>
      <c r="D4605" s="153" t="n"/>
      <c r="E4605" s="153" t="n"/>
      <c r="F4605" s="153" t="n"/>
      <c r="G4605" s="153" t="n"/>
      <c r="H4605" s="153" t="n"/>
      <c r="I4605" s="221" t="n"/>
      <c r="J4605" s="153" t="n"/>
      <c r="K4605" s="219" t="n"/>
      <c r="L4605" s="219" t="n"/>
      <c r="M4605" s="219" t="n"/>
      <c r="P4605" s="117" t="n"/>
      <c r="R4605" s="117" t="n"/>
      <c r="T4605" s="117" t="n"/>
    </row>
    <row r="4606">
      <c r="A4606" s="128" t="n"/>
      <c r="B4606" s="247" t="inlineStr">
        <is>
          <t>CAPRIS</t>
        </is>
      </c>
      <c r="C4606" s="202" t="inlineStr">
        <is>
          <t>3 Y 4</t>
        </is>
      </c>
      <c r="D4606" s="202" t="n">
        <v>5</v>
      </c>
      <c r="E4606" s="202" t="inlineStr">
        <is>
          <t>6 Y 7</t>
        </is>
      </c>
      <c r="F4606" s="202" t="inlineStr">
        <is>
          <t>8 Y 9</t>
        </is>
      </c>
      <c r="G4606" s="153" t="n"/>
      <c r="H4606" s="153" t="n"/>
      <c r="I4606" s="128" t="inlineStr">
        <is>
          <t>03/24</t>
        </is>
      </c>
      <c r="J4606" s="153" t="n"/>
      <c r="K4606" s="219" t="n"/>
      <c r="L4606" s="219" t="n"/>
      <c r="M4606" s="219" t="n"/>
      <c r="P4606" s="117" t="n"/>
      <c r="R4606" s="117" t="n"/>
      <c r="T4606" s="117" t="n"/>
    </row>
    <row r="4607">
      <c r="A4607" s="128" t="n"/>
      <c r="B4607" s="247" t="n"/>
      <c r="C4607" s="202" t="inlineStr">
        <is>
          <t>38-44</t>
        </is>
      </c>
      <c r="D4607" s="202" t="inlineStr">
        <is>
          <t>46-50</t>
        </is>
      </c>
      <c r="E4607" s="202" t="inlineStr">
        <is>
          <t>52-54</t>
        </is>
      </c>
      <c r="F4607" s="202" t="inlineStr">
        <is>
          <t>56-60</t>
        </is>
      </c>
      <c r="G4607" s="153" t="n"/>
      <c r="H4607" s="153" t="n"/>
      <c r="I4607" s="153" t="n"/>
      <c r="J4607" s="153" t="n"/>
      <c r="K4607" s="219" t="n"/>
      <c r="L4607" s="219" t="n"/>
      <c r="M4607" s="219" t="n"/>
      <c r="P4607" s="117" t="n"/>
      <c r="R4607" s="117" t="n"/>
      <c r="T4607" s="117" t="n"/>
    </row>
    <row r="4608">
      <c r="A4608" s="128" t="inlineStr">
        <is>
          <t>210</t>
        </is>
      </c>
      <c r="B4608" s="188" t="inlineStr">
        <is>
          <t>SEMI JEANS AZUL/CELESTE CON ELASTICO</t>
        </is>
      </c>
      <c r="C4608" s="153" t="n">
        <v>18300</v>
      </c>
      <c r="D4608" s="220">
        <f>ROUND((C4608*1.06)/100,0)*100</f>
        <v/>
      </c>
      <c r="E4608" s="220">
        <f>ROUND((C4608*1.13)/100,0)*100</f>
        <v/>
      </c>
      <c r="F4608" s="220">
        <f>ROUND((C4608*1.19)/100,0)*100</f>
        <v/>
      </c>
      <c r="G4608" s="153" t="n"/>
      <c r="H4608" s="153" t="n"/>
      <c r="I4608" s="153" t="n"/>
      <c r="J4608" s="153" t="n"/>
      <c r="K4608" s="219" t="n"/>
      <c r="L4608" s="219" t="n"/>
      <c r="M4608" s="219">
        <f>C4608*N4608</f>
        <v/>
      </c>
      <c r="N4608" s="118" t="n">
        <v>2</v>
      </c>
      <c r="O4608" s="219" t="n"/>
      <c r="P4608" s="219" t="n"/>
      <c r="R4608" s="117" t="n"/>
      <c r="S4608" s="243" t="n"/>
      <c r="T4608" s="117" t="n"/>
    </row>
    <row r="4609">
      <c r="A4609" s="128" t="inlineStr">
        <is>
          <t>220</t>
        </is>
      </c>
      <c r="B4609" s="188" t="inlineStr">
        <is>
          <t xml:space="preserve"> BEIGE</t>
        </is>
      </c>
      <c r="C4609" s="153" t="n">
        <v>19100</v>
      </c>
      <c r="D4609" s="220">
        <f>ROUND((C4609*1.06)/100,0)*100</f>
        <v/>
      </c>
      <c r="E4609" s="220">
        <f>ROUND((C4609*1.13)/100,0)*100</f>
        <v/>
      </c>
      <c r="F4609" s="220">
        <f>ROUND((C4609*1.19)/100,0)*100</f>
        <v/>
      </c>
      <c r="G4609" s="153" t="n"/>
      <c r="H4609" s="153" t="n"/>
      <c r="I4609" s="153" t="n"/>
      <c r="J4609" s="153" t="n"/>
      <c r="K4609" s="219" t="n"/>
      <c r="L4609" s="219" t="n"/>
      <c r="M4609" s="219">
        <f>C4609*N4609</f>
        <v/>
      </c>
      <c r="N4609" s="118" t="n">
        <v>2</v>
      </c>
      <c r="O4609" s="219" t="n"/>
      <c r="P4609" s="219" t="n"/>
      <c r="R4609" s="117" t="n"/>
      <c r="T4609" s="117" t="n"/>
    </row>
    <row r="4610">
      <c r="A4610" s="128" t="inlineStr">
        <is>
          <t>8635</t>
        </is>
      </c>
      <c r="B4610" s="188" t="inlineStr">
        <is>
          <t>LIENZO</t>
        </is>
      </c>
      <c r="C4610" s="153" t="n">
        <v>18300</v>
      </c>
      <c r="D4610" s="220">
        <f>ROUND((C4610*1.06)/100,0)*100</f>
        <v/>
      </c>
      <c r="E4610" s="220">
        <f>ROUND((C4610*1.13)/100,0)*100</f>
        <v/>
      </c>
      <c r="F4610" s="220">
        <f>ROUND((C4610*1.19)/100,0)*100</f>
        <v/>
      </c>
      <c r="G4610" s="153" t="n"/>
      <c r="H4610" s="153" t="n"/>
      <c r="I4610" s="153" t="n"/>
      <c r="J4610" s="153" t="n"/>
      <c r="K4610" s="219" t="n"/>
      <c r="L4610" s="219" t="n"/>
      <c r="M4610" s="219">
        <f>C4610*N4610</f>
        <v/>
      </c>
      <c r="N4610" s="118" t="n">
        <v>2</v>
      </c>
      <c r="O4610" s="219" t="n"/>
      <c r="P4610" s="219" t="n"/>
      <c r="R4610" s="117" t="n"/>
      <c r="T4610" s="117" t="n"/>
    </row>
    <row r="4611">
      <c r="A4611" s="128" t="inlineStr">
        <is>
          <t>8637</t>
        </is>
      </c>
      <c r="B4611" s="188" t="inlineStr">
        <is>
          <t>VISCOSA</t>
        </is>
      </c>
      <c r="C4611" s="153" t="n">
        <v>16600</v>
      </c>
      <c r="D4611" s="220">
        <f>ROUND((C4611*1.06)/100,0)*100</f>
        <v/>
      </c>
      <c r="E4611" s="220">
        <f>ROUND((C4611*1.13)/100,0)*100</f>
        <v/>
      </c>
      <c r="F4611" s="220">
        <f>ROUND((C4611*1.19)/100,0)*100</f>
        <v/>
      </c>
      <c r="G4611" s="153" t="n"/>
      <c r="H4611" s="153" t="n"/>
      <c r="I4611" s="153" t="n"/>
      <c r="J4611" s="153" t="n"/>
      <c r="K4611" s="219" t="n"/>
      <c r="L4611" s="219" t="n"/>
      <c r="M4611" s="219">
        <f>C4611*N4611</f>
        <v/>
      </c>
      <c r="N4611" s="118" t="n">
        <v>2</v>
      </c>
      <c r="O4611" s="219" t="n"/>
      <c r="P4611" s="219" t="n"/>
      <c r="R4611" s="117" t="n"/>
      <c r="T4611" s="117" t="n"/>
    </row>
    <row r="4612">
      <c r="A4612" s="128" t="inlineStr">
        <is>
          <t>86371</t>
        </is>
      </c>
      <c r="B4612" s="188" t="inlineStr">
        <is>
          <t>PIQUET</t>
        </is>
      </c>
      <c r="C4612" s="153" t="n">
        <v>16600</v>
      </c>
      <c r="D4612" s="220">
        <f>ROUND((C4612*1.06)/100,0)*100</f>
        <v/>
      </c>
      <c r="E4612" s="220">
        <f>ROUND((C4612*1.13)/100,0)*100</f>
        <v/>
      </c>
      <c r="F4612" s="220">
        <f>ROUND((C4612*1.19)/100,0)*100</f>
        <v/>
      </c>
      <c r="G4612" s="153" t="n"/>
      <c r="H4612" s="153" t="n"/>
      <c r="I4612" s="153" t="n"/>
      <c r="J4612" s="153" t="n"/>
      <c r="K4612" s="219" t="n"/>
      <c r="L4612" s="219" t="n"/>
      <c r="M4612" s="219">
        <f>C4612*N4612</f>
        <v/>
      </c>
      <c r="N4612" s="118" t="n">
        <v>2</v>
      </c>
      <c r="O4612" s="219" t="n"/>
      <c r="P4612" s="219" t="n"/>
      <c r="R4612" s="117" t="n"/>
      <c r="T4612" s="117" t="n"/>
    </row>
    <row r="4613">
      <c r="A4613" s="128" t="inlineStr">
        <is>
          <t>8639</t>
        </is>
      </c>
      <c r="B4613" s="188" t="inlineStr">
        <is>
          <t>JEAN CHETA/GENERICO</t>
        </is>
      </c>
      <c r="C4613" s="153" t="n">
        <v>26800</v>
      </c>
      <c r="D4613" s="220">
        <f>ROUND((C4613*1.06)/100,0)*100</f>
        <v/>
      </c>
      <c r="E4613" s="220">
        <f>ROUND((C4613*1.13)/100,0)*100</f>
        <v/>
      </c>
      <c r="F4613" s="220">
        <f>ROUND((C4613*1.19)/100,0)*100</f>
        <v/>
      </c>
      <c r="G4613" s="153" t="n"/>
      <c r="H4613" s="153" t="n"/>
      <c r="I4613" s="153" t="n"/>
      <c r="J4613" s="153" t="n"/>
      <c r="K4613" s="219" t="n"/>
      <c r="L4613" s="219" t="n"/>
      <c r="M4613" s="219">
        <f>C4613*N4613</f>
        <v/>
      </c>
      <c r="N4613" s="118" t="n">
        <v>2</v>
      </c>
      <c r="O4613" s="219" t="n"/>
      <c r="P4613" s="219" t="n"/>
      <c r="R4613" s="117" t="n"/>
      <c r="T4613" s="117" t="n"/>
    </row>
    <row r="4614">
      <c r="A4614" s="128" t="inlineStr">
        <is>
          <t>86391</t>
        </is>
      </c>
      <c r="B4614" s="188" t="inlineStr">
        <is>
          <t>LAST POINT</t>
        </is>
      </c>
      <c r="C4614" s="153" t="n">
        <v>28600</v>
      </c>
      <c r="D4614" s="220">
        <f>ROUND((C4614*1.06)/100,0)*100</f>
        <v/>
      </c>
      <c r="E4614" s="220">
        <f>ROUND((C4614*1.13)/100,0)*100</f>
        <v/>
      </c>
      <c r="F4614" s="220">
        <f>ROUND((C4614*1.19)/100,0)*100</f>
        <v/>
      </c>
      <c r="G4614" s="153" t="n"/>
      <c r="H4614" s="153" t="n"/>
      <c r="I4614" s="153" t="n"/>
      <c r="J4614" s="153" t="n"/>
      <c r="K4614" s="219" t="n"/>
      <c r="L4614" s="219" t="n"/>
      <c r="M4614" s="219">
        <f>C4614*N4614</f>
        <v/>
      </c>
      <c r="N4614" s="118" t="n">
        <v>2</v>
      </c>
      <c r="O4614" s="219" t="n"/>
      <c r="P4614" s="219" t="n"/>
      <c r="R4614" s="117" t="n"/>
      <c r="T4614" s="117" t="n"/>
    </row>
    <row r="4615">
      <c r="A4615" s="128" t="inlineStr">
        <is>
          <t>86395</t>
        </is>
      </c>
      <c r="B4615" s="188" t="inlineStr">
        <is>
          <t>CAPRI</t>
        </is>
      </c>
      <c r="C4615" s="153" t="n">
        <v>17800</v>
      </c>
      <c r="D4615" s="220">
        <f>ROUND((C4615*1.06)/100,0)*100</f>
        <v/>
      </c>
      <c r="E4615" s="220">
        <f>ROUND((C4615*1.13)/100,0)*100</f>
        <v/>
      </c>
      <c r="F4615" s="220">
        <f>ROUND((C4615*1.19)/100,0)*100</f>
        <v/>
      </c>
      <c r="G4615" s="153" t="n"/>
      <c r="H4615" s="153" t="n"/>
      <c r="I4615" s="153" t="n"/>
      <c r="J4615" s="153" t="n"/>
      <c r="K4615" s="219" t="n"/>
      <c r="L4615" s="219" t="n"/>
      <c r="M4615" s="219">
        <f>C4615*N4615</f>
        <v/>
      </c>
      <c r="N4615" s="118" t="n">
        <v>2</v>
      </c>
      <c r="O4615" s="219" t="n"/>
      <c r="P4615" s="219" t="n"/>
      <c r="R4615" s="117" t="n"/>
      <c r="T4615" s="117" t="n"/>
    </row>
    <row r="4616">
      <c r="A4616" s="128" t="n"/>
      <c r="B4616" s="188" t="n"/>
      <c r="C4616" s="153" t="n"/>
      <c r="D4616" s="153" t="n"/>
      <c r="E4616" s="153" t="n"/>
      <c r="F4616" s="153" t="n"/>
      <c r="G4616" s="153" t="n"/>
      <c r="H4616" s="153" t="n"/>
      <c r="I4616" s="153" t="n"/>
      <c r="J4616" s="153" t="n"/>
      <c r="K4616" s="219" t="n"/>
      <c r="L4616" s="219" t="n"/>
      <c r="M4616" s="219" t="n"/>
      <c r="P4616" s="117" t="n"/>
      <c r="R4616" s="117" t="n"/>
      <c r="T4616" s="117" t="n"/>
    </row>
    <row r="4617">
      <c r="A4617" s="134" t="n"/>
      <c r="B4617" s="200" t="inlineStr">
        <is>
          <t>PANTALONES DAMA</t>
        </is>
      </c>
      <c r="C4617" s="244" t="n">
        <v>46113</v>
      </c>
      <c r="D4617" s="202" t="n">
        <v>5</v>
      </c>
      <c r="E4617" s="202" t="n">
        <v>6</v>
      </c>
      <c r="F4617" s="202" t="n">
        <v>7</v>
      </c>
      <c r="G4617" s="202" t="n">
        <v>8</v>
      </c>
      <c r="H4617" s="202" t="n">
        <v>9</v>
      </c>
      <c r="I4617" s="202" t="n">
        <v>10</v>
      </c>
      <c r="J4617" s="215" t="inlineStr">
        <is>
          <t>60-70</t>
        </is>
      </c>
      <c r="K4617" s="219" t="n"/>
      <c r="L4617" s="134" t="inlineStr">
        <is>
          <t>04/25</t>
        </is>
      </c>
      <c r="M4617" s="219" t="n"/>
      <c r="P4617" s="117" t="n"/>
      <c r="R4617" s="117" t="n"/>
      <c r="T4617" s="117" t="n"/>
    </row>
    <row r="4618">
      <c r="A4618" s="134" t="n"/>
      <c r="B4618" s="246" t="inlineStr">
        <is>
          <t>PANTALONES AROMA</t>
        </is>
      </c>
      <c r="C4618" s="153" t="n">
        <v>43900</v>
      </c>
      <c r="D4618" s="88">
        <f>ROUND((C4618*1.06)/100,0)*100</f>
        <v/>
      </c>
      <c r="E4618" s="88">
        <f>ROUND((C4618*1.12)/100,0)*100</f>
        <v/>
      </c>
      <c r="F4618" s="22">
        <f>ROUND((C4618*1.18)/100,0)*100</f>
        <v/>
      </c>
      <c r="G4618" s="22">
        <f>ROUND((C4618*1.24)/100,0)*100</f>
        <v/>
      </c>
      <c r="H4618" s="153" t="n"/>
      <c r="I4618" s="153" t="n"/>
      <c r="J4618" s="153" t="n"/>
      <c r="K4618" s="219" t="n"/>
      <c r="L4618" s="219" t="n"/>
      <c r="M4618" s="219" t="n"/>
      <c r="P4618" s="117" t="n"/>
      <c r="R4618" s="117" t="n"/>
      <c r="T4618" s="117" t="n"/>
    </row>
    <row r="4619">
      <c r="A4619" s="134" t="inlineStr">
        <is>
          <t>2950/29501</t>
        </is>
      </c>
      <c r="B4619" s="246" t="inlineStr">
        <is>
          <t>AROMA TOWELL C/FRIZA</t>
        </is>
      </c>
      <c r="C4619" s="88" t="n">
        <v>46200</v>
      </c>
      <c r="D4619" s="88">
        <f>ROUND((C4619*1.06)/100,0)*100</f>
        <v/>
      </c>
      <c r="E4619" s="88">
        <f>ROUND((C4619*1.12)/100,0)*100</f>
        <v/>
      </c>
      <c r="F4619" s="22">
        <f>ROUND((C4619*1.18)/100,0)*100</f>
        <v/>
      </c>
      <c r="G4619" s="22">
        <f>ROUND((C4619*1.24)/100,0)*100</f>
        <v/>
      </c>
      <c r="H4619" s="219" t="n"/>
      <c r="I4619" s="219" t="n"/>
      <c r="J4619" s="153" t="n">
        <v>1.1</v>
      </c>
      <c r="K4619" s="219" t="n"/>
      <c r="L4619" s="219" t="n"/>
      <c r="M4619" s="219" t="n"/>
      <c r="P4619" s="117">
        <f>U4619*C4619</f>
        <v/>
      </c>
      <c r="R4619" s="117" t="n"/>
      <c r="T4619" s="117" t="n"/>
      <c r="U4619" s="96" t="n">
        <v>1.2</v>
      </c>
      <c r="AA4619" s="243" t="n"/>
    </row>
    <row r="4620">
      <c r="A4620" s="134" t="inlineStr">
        <is>
          <t>2951</t>
        </is>
      </c>
      <c r="B4620" s="246" t="inlineStr">
        <is>
          <t>AROMA ALG C/FRIZA</t>
        </is>
      </c>
      <c r="C4620" s="88" t="n">
        <v>46200</v>
      </c>
      <c r="D4620" s="88">
        <f>ROUND((C4620*1.06)/100,0)*100</f>
        <v/>
      </c>
      <c r="E4620" s="88">
        <f>ROUND((C4620*1.12)/100,0)*100</f>
        <v/>
      </c>
      <c r="F4620" s="22">
        <f>ROUND((C4620*1.18)/100,0)*100</f>
        <v/>
      </c>
      <c r="G4620" s="22">
        <f>ROUND((C4620*1.24)/100,0)*100</f>
        <v/>
      </c>
      <c r="H4620" s="219" t="n"/>
      <c r="I4620" s="219" t="n"/>
      <c r="J4620" s="153" t="n"/>
      <c r="K4620" s="219" t="n"/>
      <c r="L4620" s="219" t="n"/>
      <c r="M4620" s="219" t="n"/>
      <c r="P4620" s="117">
        <f>U4620*C4620</f>
        <v/>
      </c>
      <c r="R4620" s="117" t="n"/>
      <c r="T4620" s="117" t="n"/>
      <c r="U4620" s="96" t="n">
        <v>1.2</v>
      </c>
    </row>
    <row r="4621">
      <c r="A4621" s="134" t="inlineStr">
        <is>
          <t>29511</t>
        </is>
      </c>
      <c r="B4621" s="246" t="inlineStr">
        <is>
          <t>AROMA ALG S/FRIZA</t>
        </is>
      </c>
      <c r="C4621" s="88" t="n">
        <v>46200</v>
      </c>
      <c r="D4621" s="88">
        <f>ROUND((C4621*1.06)/100,0)*100</f>
        <v/>
      </c>
      <c r="E4621" s="88">
        <f>ROUND((C4621*1.12)/100,0)*100</f>
        <v/>
      </c>
      <c r="F4621" s="22">
        <f>ROUND((C4621*1.18)/100,0)*100</f>
        <v/>
      </c>
      <c r="G4621" s="22">
        <f>ROUND((C4621*1.24)/100,0)*100</f>
        <v/>
      </c>
      <c r="H4621" s="219" t="n"/>
      <c r="I4621" s="219" t="n"/>
      <c r="J4621" s="153" t="n"/>
      <c r="K4621" s="219" t="n"/>
      <c r="L4621" s="219" t="n"/>
      <c r="M4621" s="219" t="n"/>
      <c r="P4621" s="117">
        <f>U4621*C4621</f>
        <v/>
      </c>
      <c r="R4621" s="117" t="n"/>
      <c r="T4621" s="117" t="n"/>
      <c r="U4621" s="96" t="n">
        <v>1.2</v>
      </c>
    </row>
    <row r="4622">
      <c r="A4622" s="134" t="inlineStr">
        <is>
          <t>2952</t>
        </is>
      </c>
      <c r="B4622" s="246" t="inlineStr">
        <is>
          <t>VHB ALG C/FRIZA</t>
        </is>
      </c>
      <c r="C4622" s="88" t="n">
        <v>46200</v>
      </c>
      <c r="D4622" s="88">
        <f>ROUND((C4622*1.06)/100,0)*100</f>
        <v/>
      </c>
      <c r="E4622" s="88">
        <f>ROUND((C4622*1.12)/100,0)*100</f>
        <v/>
      </c>
      <c r="F4622" s="22">
        <f>ROUND((C4622*1.18)/100,0)*100</f>
        <v/>
      </c>
      <c r="G4622" s="22">
        <f>ROUND((C4622*1.24)/100,0)*100</f>
        <v/>
      </c>
      <c r="H4622" s="219" t="n"/>
      <c r="I4622" s="219" t="n"/>
      <c r="J4622" s="153" t="n"/>
      <c r="K4622" s="219" t="n"/>
      <c r="L4622" s="219" t="n"/>
      <c r="M4622" s="219" t="n"/>
      <c r="P4622" s="117">
        <f>U4622*C4622</f>
        <v/>
      </c>
      <c r="R4622" s="117" t="n"/>
      <c r="T4622" s="117" t="n"/>
      <c r="U4622" s="96" t="n">
        <v>1.2</v>
      </c>
    </row>
    <row r="4623">
      <c r="A4623" s="134" t="inlineStr">
        <is>
          <t>29530</t>
        </is>
      </c>
      <c r="B4623" s="246" t="inlineStr">
        <is>
          <t>AROMA ACETATO C/FRIZA</t>
        </is>
      </c>
      <c r="C4623" s="88" t="n">
        <v>46200</v>
      </c>
      <c r="D4623" s="88">
        <f>ROUND((C4623*1.06)/100,0)*100</f>
        <v/>
      </c>
      <c r="E4623" s="88">
        <f>ROUND((C4623*1.12)/100,0)*100</f>
        <v/>
      </c>
      <c r="F4623" s="22">
        <f>ROUND((C4623*1.18)/100,0)*100</f>
        <v/>
      </c>
      <c r="G4623" s="22">
        <f>ROUND((C4623*1.24)/100,0)*100</f>
        <v/>
      </c>
      <c r="H4623" s="219" t="n"/>
      <c r="I4623" s="219" t="n"/>
      <c r="J4623" s="153" t="n"/>
      <c r="K4623" s="219" t="n"/>
      <c r="L4623" s="219" t="n"/>
      <c r="M4623" s="219" t="n"/>
      <c r="P4623" s="117">
        <f>U4623*C4623</f>
        <v/>
      </c>
      <c r="R4623" s="117" t="n"/>
      <c r="T4623" s="117" t="n"/>
      <c r="U4623" s="96" t="n">
        <v>1.2</v>
      </c>
    </row>
    <row r="4624">
      <c r="A4624" s="134" t="inlineStr">
        <is>
          <t>29531</t>
        </is>
      </c>
      <c r="B4624" s="246" t="inlineStr">
        <is>
          <t>AROMA ACETATO SIN FRIZA</t>
        </is>
      </c>
      <c r="C4624" s="88" t="n">
        <v>46200</v>
      </c>
      <c r="D4624" s="88">
        <f>ROUND((C4624*1.06)/100,0)*100</f>
        <v/>
      </c>
      <c r="E4624" s="88">
        <f>ROUND((C4624*1.12)/100,0)*100</f>
        <v/>
      </c>
      <c r="F4624" s="22">
        <f>ROUND((C4624*1.18)/100,0)*100</f>
        <v/>
      </c>
      <c r="G4624" s="22">
        <f>ROUND((C4624*1.24)/100,0)*100</f>
        <v/>
      </c>
      <c r="H4624" s="219" t="n"/>
      <c r="I4624" s="219" t="n"/>
      <c r="J4624" s="153" t="n"/>
      <c r="K4624" s="219" t="n"/>
      <c r="L4624" s="219" t="n"/>
      <c r="M4624" s="219" t="n"/>
      <c r="P4624" s="117">
        <f>U4624*C4624</f>
        <v/>
      </c>
      <c r="R4624" s="117" t="n"/>
      <c r="T4624" s="117" t="n"/>
      <c r="U4624" s="96" t="n">
        <v>1.2</v>
      </c>
    </row>
    <row r="4625">
      <c r="A4625" s="134" t="inlineStr">
        <is>
          <t>2954</t>
        </is>
      </c>
      <c r="B4625" s="246" t="inlineStr">
        <is>
          <t>ARILU ALGODÓN C/FRIZA</t>
        </is>
      </c>
      <c r="C4625" s="88" t="n">
        <v>46200</v>
      </c>
      <c r="D4625" s="88">
        <f>ROUND((C4625*1.06)/100,0)*100</f>
        <v/>
      </c>
      <c r="E4625" s="88">
        <f>ROUND((C4625*1.12)/100,0)*100</f>
        <v/>
      </c>
      <c r="F4625" s="22">
        <f>ROUND((C4625*1.18)/100,0)*100</f>
        <v/>
      </c>
      <c r="G4625" s="22">
        <f>ROUND((C4625*1.24)/100,0)*100</f>
        <v/>
      </c>
      <c r="H4625" s="219" t="n"/>
      <c r="I4625" s="219" t="n"/>
      <c r="J4625" s="153" t="n"/>
      <c r="K4625" s="219" t="n"/>
      <c r="L4625" s="219" t="n"/>
      <c r="M4625" s="219" t="n"/>
      <c r="P4625" s="117">
        <f>U4625*C4625</f>
        <v/>
      </c>
      <c r="R4625" s="117" t="n"/>
      <c r="T4625" s="117" t="n"/>
      <c r="U4625" s="96" t="n">
        <v>1.2</v>
      </c>
    </row>
    <row r="4626">
      <c r="A4626" s="134" t="inlineStr">
        <is>
          <t>2955</t>
        </is>
      </c>
      <c r="B4626" s="246" t="inlineStr">
        <is>
          <t>POLAR</t>
        </is>
      </c>
      <c r="C4626" s="88" t="n">
        <v>20500</v>
      </c>
      <c r="D4626" s="88">
        <f>ROUND((C4626*1.06)/100,0)*100</f>
        <v/>
      </c>
      <c r="E4626" s="88">
        <f>ROUND((C4626*1.12)/100,0)*100</f>
        <v/>
      </c>
      <c r="F4626" s="22">
        <f>ROUND((C4626*1.18)/100,0)*100</f>
        <v/>
      </c>
      <c r="G4626" s="22">
        <f>ROUND((C4626*1.24)/100,0)*100</f>
        <v/>
      </c>
      <c r="H4626" s="219" t="n"/>
      <c r="I4626" s="219" t="n"/>
      <c r="J4626" s="153" t="n"/>
      <c r="K4626" s="219" t="n"/>
      <c r="L4626" s="219" t="n"/>
      <c r="M4626" s="219" t="n"/>
      <c r="P4626" s="117">
        <f>U4626*C4626</f>
        <v/>
      </c>
      <c r="R4626" s="117" t="n"/>
      <c r="T4626" s="117" t="n"/>
      <c r="U4626" s="96" t="n">
        <v>1.2</v>
      </c>
    </row>
    <row r="4627">
      <c r="A4627" s="134" t="inlineStr">
        <is>
          <t>29551</t>
        </is>
      </c>
      <c r="B4627" s="246" t="inlineStr">
        <is>
          <t>PELUCHE</t>
        </is>
      </c>
      <c r="C4627" s="88" t="n">
        <v>31600</v>
      </c>
      <c r="D4627" s="88">
        <f>ROUND((C4627*1.06)/100,0)*100</f>
        <v/>
      </c>
      <c r="E4627" s="88">
        <f>ROUND((C4627*1.12)/100,0)*100</f>
        <v/>
      </c>
      <c r="F4627" s="22">
        <f>ROUND((C4627*1.18)/100,0)*100</f>
        <v/>
      </c>
      <c r="G4627" s="22">
        <f>ROUND((C4627*1.24)/100,0)*100</f>
        <v/>
      </c>
      <c r="H4627" s="219" t="n"/>
      <c r="I4627" s="219" t="n"/>
      <c r="J4627" s="153" t="n"/>
      <c r="K4627" s="219" t="n"/>
      <c r="L4627" s="219" t="n"/>
      <c r="M4627" s="219" t="n"/>
      <c r="P4627" s="117">
        <f>U4627*C4627</f>
        <v/>
      </c>
      <c r="R4627" s="117" t="n"/>
      <c r="T4627" s="117" t="n"/>
      <c r="U4627" s="96" t="n">
        <v>1.2</v>
      </c>
    </row>
    <row r="4628">
      <c r="A4628" s="134" t="inlineStr">
        <is>
          <t>2956</t>
        </is>
      </c>
      <c r="B4628" s="246" t="inlineStr">
        <is>
          <t>NORTH STAR ALGODÓN C/FRIZA</t>
        </is>
      </c>
      <c r="C4628" s="88" t="n">
        <v>36700</v>
      </c>
      <c r="D4628" s="88">
        <f>ROUND((C4628*1.06)/100,0)*100</f>
        <v/>
      </c>
      <c r="E4628" s="88">
        <f>ROUND((C4628*1.12)/100,0)*100</f>
        <v/>
      </c>
      <c r="F4628" s="22">
        <f>ROUND((C4628*1.18)/100,0)*100</f>
        <v/>
      </c>
      <c r="G4628" s="22">
        <f>ROUND((C4628*1.24)/100,0)*100</f>
        <v/>
      </c>
      <c r="H4628" s="219" t="n"/>
      <c r="I4628" s="219" t="n"/>
      <c r="J4628" s="153" t="n"/>
      <c r="K4628" s="219" t="n"/>
      <c r="L4628" s="219" t="n"/>
      <c r="M4628" s="219" t="n"/>
      <c r="P4628" s="117">
        <f>U4628*C4628</f>
        <v/>
      </c>
      <c r="R4628" s="117" t="n"/>
      <c r="T4628" s="117" t="n"/>
      <c r="U4628" s="96" t="n">
        <v>1.2</v>
      </c>
    </row>
    <row r="4629">
      <c r="A4629" s="134" t="inlineStr">
        <is>
          <t>29561</t>
        </is>
      </c>
      <c r="B4629" s="246" t="inlineStr">
        <is>
          <t>NORTH STAR ALGODÓN S/FRIZA</t>
        </is>
      </c>
      <c r="C4629" s="88" t="n">
        <v>36700</v>
      </c>
      <c r="D4629" s="88">
        <f>ROUND((C4629*1.06)/100,0)*100</f>
        <v/>
      </c>
      <c r="E4629" s="88">
        <f>ROUND((C4629*1.12)/100,0)*100</f>
        <v/>
      </c>
      <c r="F4629" s="22">
        <f>ROUND((C4629*1.18)/100,0)*100</f>
        <v/>
      </c>
      <c r="G4629" s="22">
        <f>ROUND((C4629*1.24)/100,0)*100</f>
        <v/>
      </c>
      <c r="H4629" s="219" t="n"/>
      <c r="I4629" s="219" t="n"/>
      <c r="J4629" s="153" t="n"/>
      <c r="K4629" s="219" t="n"/>
      <c r="L4629" s="219" t="n"/>
      <c r="M4629" s="219" t="n"/>
      <c r="P4629" s="117">
        <f>U4629*C4629</f>
        <v/>
      </c>
      <c r="R4629" s="117" t="n"/>
      <c r="T4629" s="117" t="n"/>
      <c r="U4629" s="96" t="n">
        <v>1.2</v>
      </c>
    </row>
    <row r="4630">
      <c r="A4630" s="128" t="inlineStr">
        <is>
          <t>29562</t>
        </is>
      </c>
      <c r="B4630" s="188" t="inlineStr">
        <is>
          <t>LIENZO</t>
        </is>
      </c>
      <c r="C4630" s="88" t="n">
        <v>38100</v>
      </c>
      <c r="D4630" s="88">
        <f>ROUND((C4630*1.06)/100,0)*100</f>
        <v/>
      </c>
      <c r="E4630" s="88">
        <f>ROUND((C4630*1.12)/100,0)*100</f>
        <v/>
      </c>
      <c r="F4630" s="22">
        <f>ROUND((C4630*1.18)/100,0)*100</f>
        <v/>
      </c>
      <c r="G4630" s="22">
        <f>ROUND((C4630*1.24)/100,0)*100</f>
        <v/>
      </c>
      <c r="H4630" s="219" t="n"/>
      <c r="I4630" s="219" t="n"/>
      <c r="J4630" s="153" t="n"/>
      <c r="K4630" s="219" t="n"/>
      <c r="L4630" s="219" t="n"/>
      <c r="M4630" s="219" t="n"/>
      <c r="P4630" s="117">
        <f>U4630*C4630</f>
        <v/>
      </c>
      <c r="R4630" s="117" t="n"/>
      <c r="T4630" s="117" t="n"/>
      <c r="U4630" s="96" t="n">
        <v>1.2</v>
      </c>
    </row>
    <row r="4631">
      <c r="A4631" s="128" t="inlineStr">
        <is>
          <t>29563</t>
        </is>
      </c>
      <c r="B4631" s="188" t="inlineStr">
        <is>
          <t>ALGODON DESAGUJADO</t>
        </is>
      </c>
      <c r="C4631" s="88" t="n">
        <v>31200</v>
      </c>
      <c r="D4631" s="88">
        <f>ROUND((C4631*1.06)/100,0)*100</f>
        <v/>
      </c>
      <c r="E4631" s="88">
        <f>ROUND((C4631*1.12)/100,0)*100</f>
        <v/>
      </c>
      <c r="F4631" s="22">
        <f>ROUND((C4631*1.18)/100,0)*100</f>
        <v/>
      </c>
      <c r="G4631" s="22">
        <f>ROUND((C4631*1.24)/100,0)*100</f>
        <v/>
      </c>
      <c r="H4631" s="219" t="n"/>
      <c r="I4631" s="219" t="n"/>
      <c r="J4631" s="153" t="n"/>
      <c r="K4631" s="219" t="n"/>
      <c r="L4631" s="219" t="n"/>
      <c r="M4631" s="219" t="n"/>
      <c r="P4631" s="117">
        <f>U4631*C4631</f>
        <v/>
      </c>
      <c r="R4631" s="117" t="n"/>
      <c r="T4631" s="117" t="n"/>
      <c r="U4631" s="96" t="n">
        <v>1.2</v>
      </c>
    </row>
    <row r="4632">
      <c r="A4632" s="134" t="inlineStr">
        <is>
          <t>2957</t>
        </is>
      </c>
      <c r="B4632" s="246" t="inlineStr">
        <is>
          <t xml:space="preserve"> VISCOSA</t>
        </is>
      </c>
      <c r="C4632" s="88" t="n">
        <v>38100</v>
      </c>
      <c r="D4632" s="88">
        <f>ROUND((C4632*1.06)/100,0)*100</f>
        <v/>
      </c>
      <c r="E4632" s="88">
        <f>ROUND((C4632*1.12)/100,0)*100</f>
        <v/>
      </c>
      <c r="F4632" s="22">
        <f>ROUND((C4632*1.18)/100,0)*100</f>
        <v/>
      </c>
      <c r="G4632" s="22">
        <f>ROUND((C4632*1.24)/100,0)*100</f>
        <v/>
      </c>
      <c r="H4632" s="219" t="n"/>
      <c r="I4632" s="219" t="n"/>
      <c r="J4632" s="153" t="n">
        <v>1.2</v>
      </c>
      <c r="K4632" s="219" t="n"/>
      <c r="L4632" s="219" t="n"/>
      <c r="M4632" s="219" t="n"/>
      <c r="P4632" s="117">
        <f>U4632*C4632</f>
        <v/>
      </c>
      <c r="R4632" s="117" t="n"/>
      <c r="T4632" s="117" t="n"/>
      <c r="U4632" s="96" t="n">
        <v>1.2</v>
      </c>
    </row>
    <row r="4633">
      <c r="A4633" s="128" t="inlineStr">
        <is>
          <t>2958</t>
        </is>
      </c>
      <c r="B4633" s="188" t="inlineStr">
        <is>
          <t xml:space="preserve"> PIQUE</t>
        </is>
      </c>
      <c r="C4633" s="88" t="n">
        <v>38100</v>
      </c>
      <c r="D4633" s="88">
        <f>ROUND((C4633*1.06)/100,0)*100</f>
        <v/>
      </c>
      <c r="E4633" s="88">
        <f>ROUND((C4633*1.12)/100,0)*100</f>
        <v/>
      </c>
      <c r="F4633" s="22">
        <f>ROUND((C4633*1.18)/100,0)*100</f>
        <v/>
      </c>
      <c r="G4633" s="22">
        <f>ROUND((C4633*1.24)/100,0)*100</f>
        <v/>
      </c>
      <c r="H4633" s="219" t="n"/>
      <c r="I4633" s="219" t="n"/>
      <c r="J4633" s="153" t="n">
        <v>1.2</v>
      </c>
      <c r="K4633" s="219" t="n"/>
      <c r="L4633" s="219" t="n"/>
      <c r="M4633" s="219" t="n"/>
      <c r="P4633" s="117">
        <f>U4633*C4633</f>
        <v/>
      </c>
      <c r="R4633" s="117" t="n"/>
      <c r="T4633" s="117" t="n"/>
      <c r="U4633" s="96" t="n">
        <v>1.2</v>
      </c>
    </row>
    <row r="4634">
      <c r="A4634" s="128" t="inlineStr">
        <is>
          <t>12959</t>
        </is>
      </c>
      <c r="B4634" s="188" t="inlineStr">
        <is>
          <t>SEDA FRIA</t>
        </is>
      </c>
      <c r="C4634" s="88" t="n">
        <v>38100</v>
      </c>
      <c r="D4634" s="88">
        <f>ROUND((C4634*1.06)/100,0)*100</f>
        <v/>
      </c>
      <c r="E4634" s="88">
        <f>ROUND((C4634*1.12)/100,0)*100</f>
        <v/>
      </c>
      <c r="F4634" s="22">
        <f>ROUND((C4634*1.18)/100,0)*100</f>
        <v/>
      </c>
      <c r="G4634" s="22">
        <f>ROUND((C4634*1.24)/100,0)*100</f>
        <v/>
      </c>
      <c r="H4634" s="219" t="n"/>
      <c r="I4634" s="219" t="n"/>
      <c r="J4634" s="153" t="n"/>
      <c r="K4634" s="219" t="n"/>
      <c r="L4634" s="219" t="n"/>
      <c r="M4634" s="219" t="n"/>
      <c r="P4634" s="117">
        <f>U4634*C4634</f>
        <v/>
      </c>
      <c r="R4634" s="117" t="n"/>
      <c r="T4634" s="117" t="n"/>
      <c r="U4634" s="96" t="n">
        <v>1.2</v>
      </c>
    </row>
    <row r="4635">
      <c r="A4635" s="128" t="inlineStr">
        <is>
          <t>29601</t>
        </is>
      </c>
      <c r="B4635" s="188" t="inlineStr">
        <is>
          <t>FIBRANA</t>
        </is>
      </c>
      <c r="C4635" s="88" t="n">
        <v>36300</v>
      </c>
      <c r="D4635" s="88">
        <f>ROUND((C4635*1.06)/100,0)*100</f>
        <v/>
      </c>
      <c r="E4635" s="88">
        <f>ROUND((C4635*1.12)/100,0)*100</f>
        <v/>
      </c>
      <c r="F4635" s="22">
        <f>ROUND((C4635*1.18)/100,0)*100</f>
        <v/>
      </c>
      <c r="G4635" s="22">
        <f>ROUND((C4635*1.24)/100,0)*100</f>
        <v/>
      </c>
      <c r="H4635" s="153" t="n"/>
      <c r="I4635" s="153" t="n"/>
      <c r="J4635" s="153" t="n"/>
      <c r="K4635" s="219" t="n"/>
      <c r="L4635" s="219" t="n"/>
      <c r="M4635" s="219" t="n"/>
      <c r="P4635" s="117">
        <f>U4635*C4635</f>
        <v/>
      </c>
      <c r="R4635" s="117" t="n"/>
      <c r="T4635" s="117" t="n"/>
      <c r="U4635" s="96" t="n">
        <v>1.2</v>
      </c>
    </row>
    <row r="4636">
      <c r="A4636" s="128" t="inlineStr">
        <is>
          <t>29602</t>
        </is>
      </c>
      <c r="B4636" s="188" t="inlineStr">
        <is>
          <t>FIBRANA</t>
        </is>
      </c>
      <c r="C4636" s="88" t="n">
        <v>38500</v>
      </c>
      <c r="D4636" s="88">
        <f>ROUND((C4636*1.06)/100,0)*100</f>
        <v/>
      </c>
      <c r="E4636" s="88">
        <f>ROUND((C4636*1.12)/100,0)*100</f>
        <v/>
      </c>
      <c r="F4636" s="22">
        <f>ROUND((C4636*1.18)/100,0)*100</f>
        <v/>
      </c>
      <c r="G4636" s="22">
        <f>ROUND((C4636*1.24)/100,0)*100</f>
        <v/>
      </c>
      <c r="H4636" s="153" t="n"/>
      <c r="I4636" s="153" t="n"/>
      <c r="J4636" s="153" t="n"/>
      <c r="K4636" s="219" t="n"/>
      <c r="L4636" s="219" t="n"/>
      <c r="M4636" s="219" t="n"/>
      <c r="P4636" s="117">
        <f>U4636*C4636</f>
        <v/>
      </c>
      <c r="R4636" s="117" t="n"/>
      <c r="T4636" s="117" t="n"/>
      <c r="U4636" s="96" t="n">
        <v>1.2</v>
      </c>
    </row>
    <row r="4637">
      <c r="A4637" s="128" t="inlineStr">
        <is>
          <t>29603</t>
        </is>
      </c>
      <c r="B4637" s="188" t="inlineStr">
        <is>
          <t>PANT FIBR OXFORD</t>
        </is>
      </c>
      <c r="C4637" s="88" t="n">
        <v>38500</v>
      </c>
      <c r="D4637" s="88">
        <f>ROUND((C4637*1.06)/100,0)*100</f>
        <v/>
      </c>
      <c r="E4637" s="88">
        <f>ROUND((C4637*1.12)/100,0)*100</f>
        <v/>
      </c>
      <c r="F4637" s="22">
        <f>ROUND((C4637*1.18)/100,0)*100</f>
        <v/>
      </c>
      <c r="G4637" s="22">
        <f>ROUND((C4637*1.24)/100,0)*100</f>
        <v/>
      </c>
      <c r="H4637" s="153" t="n"/>
      <c r="I4637" s="153" t="n"/>
      <c r="J4637" s="153" t="n"/>
      <c r="K4637" s="219" t="n"/>
      <c r="L4637" s="219" t="n"/>
      <c r="M4637" s="219" t="n"/>
      <c r="P4637" s="117">
        <f>U4637*C4637</f>
        <v/>
      </c>
      <c r="R4637" s="117" t="n"/>
      <c r="T4637" s="117" t="n"/>
      <c r="U4637" s="96" t="n">
        <v>1.2</v>
      </c>
    </row>
    <row r="4638">
      <c r="A4638" s="128" t="inlineStr">
        <is>
          <t>29604</t>
        </is>
      </c>
      <c r="B4638" s="188" t="inlineStr">
        <is>
          <t>PALAZO CINTO FIBRANA</t>
        </is>
      </c>
      <c r="C4638" s="88" t="n">
        <v>38100</v>
      </c>
      <c r="D4638" s="88">
        <f>ROUND((C4638*1.06)/100,0)*100</f>
        <v/>
      </c>
      <c r="E4638" s="88">
        <f>ROUND((C4638*1.12)/100,0)*100</f>
        <v/>
      </c>
      <c r="F4638" s="22">
        <f>ROUND((C4638*1.18)/100,0)*100</f>
        <v/>
      </c>
      <c r="G4638" s="22">
        <f>ROUND((C4638*1.24)/100,0)*100</f>
        <v/>
      </c>
      <c r="H4638" s="153" t="n"/>
      <c r="I4638" s="153" t="n"/>
      <c r="J4638" s="153" t="n"/>
      <c r="K4638" s="219" t="n"/>
      <c r="L4638" s="219" t="n"/>
      <c r="M4638" s="219" t="n"/>
      <c r="P4638" s="117">
        <f>U4638*C4638</f>
        <v/>
      </c>
      <c r="R4638" s="117" t="n"/>
      <c r="T4638" s="117" t="n"/>
      <c r="U4638" s="96" t="n">
        <v>1.2</v>
      </c>
    </row>
    <row r="4639">
      <c r="A4639" s="128" t="inlineStr">
        <is>
          <t>29605</t>
        </is>
      </c>
      <c r="B4639" s="188" t="inlineStr">
        <is>
          <t>PALAZO LINO</t>
        </is>
      </c>
      <c r="C4639" s="88" t="n">
        <v>48500</v>
      </c>
      <c r="D4639" s="88">
        <f>ROUND((C4639*1.06)/100,0)*100</f>
        <v/>
      </c>
      <c r="E4639" s="88">
        <f>ROUND((C4639*1.12)/100,0)*100</f>
        <v/>
      </c>
      <c r="F4639" s="22">
        <f>ROUND((C4639*1.18)/100,0)*100</f>
        <v/>
      </c>
      <c r="G4639" s="22">
        <f>ROUND((C4639*1.24)/100,0)*100</f>
        <v/>
      </c>
      <c r="H4639" s="153" t="n"/>
      <c r="I4639" s="153" t="n"/>
      <c r="J4639" s="153" t="n"/>
      <c r="K4639" s="219" t="n"/>
      <c r="L4639" s="219" t="n"/>
      <c r="M4639" s="219" t="n"/>
      <c r="P4639" s="117">
        <f>U4639*C4639</f>
        <v/>
      </c>
      <c r="R4639" s="117" t="n"/>
      <c r="T4639" s="117" t="n"/>
      <c r="U4639" s="96" t="n">
        <v>1.2</v>
      </c>
    </row>
    <row r="4640">
      <c r="A4640" s="128" t="inlineStr">
        <is>
          <t>2970</t>
        </is>
      </c>
      <c r="B4640" s="188" t="inlineStr">
        <is>
          <t>NARA GABARDINA ELAST</t>
        </is>
      </c>
      <c r="C4640" s="88" t="n">
        <v>48500</v>
      </c>
      <c r="D4640" s="88">
        <f>ROUND((C4640*1.06)/100,0)*100</f>
        <v/>
      </c>
      <c r="E4640" s="88">
        <f>ROUND((C4640*1.12)/100,0)*100</f>
        <v/>
      </c>
      <c r="F4640" s="22">
        <f>ROUND((C4640*1.18)/100,0)*100</f>
        <v/>
      </c>
      <c r="G4640" s="22">
        <f>ROUND((C4640*1.24)/100,0)*100</f>
        <v/>
      </c>
      <c r="H4640" s="153" t="n"/>
      <c r="I4640" s="153" t="n"/>
      <c r="J4640" s="153" t="n">
        <v>1.2</v>
      </c>
      <c r="K4640" s="219" t="n"/>
      <c r="L4640" s="219" t="n"/>
      <c r="M4640" s="219" t="n"/>
      <c r="P4640" s="117">
        <f>U4640*C4640</f>
        <v/>
      </c>
      <c r="R4640" s="117" t="n"/>
      <c r="T4640" s="117" t="n"/>
      <c r="U4640" s="96" t="n">
        <v>1.2</v>
      </c>
    </row>
    <row r="4641">
      <c r="A4641" s="128" t="inlineStr">
        <is>
          <t>29701</t>
        </is>
      </c>
      <c r="B4641" s="188" t="inlineStr">
        <is>
          <t>NARA PANT SATEN</t>
        </is>
      </c>
      <c r="C4641" s="88" t="n">
        <v>41700</v>
      </c>
      <c r="D4641" s="88">
        <f>ROUND((C4641*1.06)/100,0)*100</f>
        <v/>
      </c>
      <c r="E4641" s="88">
        <f>ROUND((C4641*1.12)/100,0)*100</f>
        <v/>
      </c>
      <c r="F4641" s="22">
        <f>ROUND((C4641*1.18)/100,0)*100</f>
        <v/>
      </c>
      <c r="G4641" s="22">
        <f>ROUND((C4641*1.24)/100,0)*100</f>
        <v/>
      </c>
      <c r="H4641" s="153" t="n"/>
      <c r="I4641" s="153" t="n"/>
      <c r="J4641" s="153" t="n"/>
      <c r="K4641" s="219" t="n"/>
      <c r="L4641" s="219" t="n"/>
      <c r="M4641" s="219" t="n"/>
      <c r="P4641" s="117">
        <f>U4641*C4641</f>
        <v/>
      </c>
      <c r="R4641" s="117" t="n"/>
      <c r="T4641" s="117" t="n"/>
      <c r="U4641" s="96" t="n">
        <v>1.2</v>
      </c>
    </row>
    <row r="4642">
      <c r="A4642" s="128" t="inlineStr">
        <is>
          <t>29702</t>
        </is>
      </c>
      <c r="B4642" s="188" t="inlineStr">
        <is>
          <t>NARA CHUPIN GABARDINA</t>
        </is>
      </c>
      <c r="C4642" s="88" t="n">
        <v>48300</v>
      </c>
      <c r="D4642" s="88">
        <f>ROUND((C4642*1.06)/100,0)*100</f>
        <v/>
      </c>
      <c r="E4642" s="88">
        <f>ROUND((C4642*1.12)/100,0)*100</f>
        <v/>
      </c>
      <c r="F4642" s="22">
        <f>ROUND((C4642*1.18)/100,0)*100</f>
        <v/>
      </c>
      <c r="G4642" s="22">
        <f>ROUND((C4642*1.24)/100,0)*100</f>
        <v/>
      </c>
      <c r="H4642" s="153" t="n"/>
      <c r="I4642" s="153" t="n"/>
      <c r="J4642" s="153" t="n"/>
      <c r="K4642" s="219" t="n"/>
      <c r="L4642" s="219" t="n"/>
      <c r="M4642" s="219" t="n"/>
      <c r="P4642" s="117">
        <f>U4642*C4642</f>
        <v/>
      </c>
      <c r="R4642" s="117" t="n"/>
      <c r="T4642" s="117" t="n"/>
      <c r="U4642" s="96" t="n">
        <v>1.2</v>
      </c>
    </row>
    <row r="4643">
      <c r="A4643" s="128" t="inlineStr">
        <is>
          <t>29703</t>
        </is>
      </c>
      <c r="B4643" s="188" t="inlineStr">
        <is>
          <t>NARA ALCALINO</t>
        </is>
      </c>
      <c r="C4643" s="88" t="n">
        <v>54000</v>
      </c>
      <c r="D4643" s="88">
        <f>ROUND((C4643*1.06)/100,0)*100</f>
        <v/>
      </c>
      <c r="E4643" s="88">
        <f>ROUND((C4643*1.12)/100,0)*100</f>
        <v/>
      </c>
      <c r="F4643" s="22">
        <f>ROUND((C4643*1.18)/100,0)*100</f>
        <v/>
      </c>
      <c r="G4643" s="22">
        <f>ROUND((C4643*1.24)/100,0)*100</f>
        <v/>
      </c>
      <c r="H4643" s="153" t="n"/>
      <c r="I4643" s="153" t="n"/>
      <c r="J4643" s="153" t="n"/>
      <c r="K4643" s="219" t="n"/>
      <c r="L4643" s="219" t="n"/>
      <c r="M4643" s="219" t="n"/>
      <c r="P4643" s="117">
        <f>U4643*C4643</f>
        <v/>
      </c>
      <c r="R4643" s="117" t="n"/>
      <c r="T4643" s="117" t="n"/>
      <c r="U4643" s="96" t="n">
        <v>1.2</v>
      </c>
    </row>
    <row r="4644">
      <c r="A4644" s="128" t="inlineStr">
        <is>
          <t>29710</t>
        </is>
      </c>
      <c r="B4644" s="188" t="inlineStr">
        <is>
          <t>PANTALON GABARDINA</t>
        </is>
      </c>
      <c r="C4644" s="153" t="n">
        <v>41900</v>
      </c>
      <c r="D4644" s="88">
        <f>ROUND((C4644*1.06)/100,0)*100</f>
        <v/>
      </c>
      <c r="E4644" s="88">
        <f>ROUND((C4644*1.12)/100,0)*100</f>
        <v/>
      </c>
      <c r="F4644" s="22">
        <f>ROUND((C4644*1.18)/100,0)*100</f>
        <v/>
      </c>
      <c r="G4644" s="22">
        <f>ROUND((C4644*1.24)/100,0)*100</f>
        <v/>
      </c>
      <c r="H4644" s="153" t="n"/>
      <c r="I4644" s="153" t="n"/>
      <c r="J4644" s="153" t="n"/>
      <c r="K4644" s="219" t="n"/>
      <c r="L4644" s="219" t="n"/>
      <c r="M4644" s="219" t="n"/>
      <c r="P4644" s="117">
        <f>U4644*C4644</f>
        <v/>
      </c>
      <c r="R4644" s="117" t="n"/>
      <c r="T4644" s="117" t="n"/>
      <c r="U4644" s="96" t="n">
        <v>1.2</v>
      </c>
    </row>
    <row r="4645">
      <c r="A4645" s="128" t="inlineStr">
        <is>
          <t>29720</t>
        </is>
      </c>
      <c r="B4645" s="188" t="inlineStr">
        <is>
          <t xml:space="preserve"> PALAZO IMPORTADO</t>
        </is>
      </c>
      <c r="C4645" s="153" t="n">
        <v>47900</v>
      </c>
      <c r="D4645" s="88">
        <f>ROUND((C4645*1.06)/100,0)*100</f>
        <v/>
      </c>
      <c r="E4645" s="88">
        <f>ROUND((C4645*1.12)/100,0)*100</f>
        <v/>
      </c>
      <c r="F4645" s="22">
        <f>ROUND((C4645*1.18)/100,0)*100</f>
        <v/>
      </c>
      <c r="G4645" s="22">
        <f>ROUND((C4645*1.24)/100,0)*100</f>
        <v/>
      </c>
      <c r="H4645" s="153" t="n"/>
      <c r="I4645" s="153" t="n"/>
      <c r="J4645" s="153" t="n"/>
      <c r="K4645" s="219" t="n"/>
      <c r="L4645" s="219" t="n"/>
      <c r="M4645" s="219" t="n"/>
      <c r="P4645" s="117">
        <f>U4645*C4645</f>
        <v/>
      </c>
      <c r="R4645" s="117" t="n"/>
      <c r="T4645" s="117" t="n"/>
      <c r="U4645" s="96" t="n">
        <v>1.2</v>
      </c>
    </row>
    <row r="4646">
      <c r="A4646" s="128" t="inlineStr">
        <is>
          <t>29721</t>
        </is>
      </c>
      <c r="B4646" s="188" t="inlineStr">
        <is>
          <t xml:space="preserve"> PALAZO IMPORTADO</t>
        </is>
      </c>
      <c r="C4646" s="153" t="n">
        <v>39900</v>
      </c>
      <c r="D4646" s="88">
        <f>ROUND((C4646*1.06)/100,0)*100</f>
        <v/>
      </c>
      <c r="E4646" s="88">
        <f>ROUND((C4646*1.12)/100,0)*100</f>
        <v/>
      </c>
      <c r="F4646" s="22">
        <f>ROUND((C4646*1.18)/100,0)*100</f>
        <v/>
      </c>
      <c r="G4646" s="22">
        <f>ROUND((C4646*1.24)/100,0)*100</f>
        <v/>
      </c>
      <c r="H4646" s="153" t="n"/>
      <c r="I4646" s="153" t="n"/>
      <c r="J4646" s="153" t="n"/>
      <c r="K4646" s="219" t="n"/>
      <c r="L4646" s="219" t="n"/>
      <c r="M4646" s="219" t="n"/>
      <c r="P4646" s="117">
        <f>U4646*C4646</f>
        <v/>
      </c>
      <c r="R4646" s="117" t="n"/>
      <c r="T4646" s="117" t="n"/>
      <c r="U4646" s="96" t="n">
        <v>1.2</v>
      </c>
    </row>
    <row r="4647">
      <c r="A4647" s="128" t="inlineStr">
        <is>
          <t>29722</t>
        </is>
      </c>
      <c r="B4647" s="188" t="inlineStr">
        <is>
          <t>PANT BENGALINA ONDA</t>
        </is>
      </c>
      <c r="C4647" s="153" t="n">
        <v>32700</v>
      </c>
      <c r="D4647" s="88">
        <f>ROUND((C4647*1.06)/100,0)*100</f>
        <v/>
      </c>
      <c r="E4647" s="88">
        <f>ROUND((C4647*1.12)/100,0)*100</f>
        <v/>
      </c>
      <c r="F4647" s="22">
        <f>ROUND((C4647*1.18)/100,0)*100</f>
        <v/>
      </c>
      <c r="G4647" s="22">
        <f>ROUND((C4647*1.24)/100,0)*100</f>
        <v/>
      </c>
      <c r="H4647" s="153" t="n"/>
      <c r="I4647" s="153" t="n"/>
      <c r="J4647" s="153" t="n"/>
      <c r="K4647" s="219" t="n"/>
      <c r="L4647" s="219" t="n"/>
      <c r="M4647" s="219" t="n"/>
      <c r="P4647" s="117">
        <f>U4647*C4647</f>
        <v/>
      </c>
      <c r="R4647" s="117" t="n"/>
      <c r="T4647" s="117" t="n"/>
      <c r="U4647" s="96" t="n">
        <v>1.2</v>
      </c>
    </row>
    <row r="4648">
      <c r="A4648" s="128" t="inlineStr">
        <is>
          <t>29726</t>
        </is>
      </c>
      <c r="B4648" s="188" t="inlineStr">
        <is>
          <t>MAR Y MAR PALAZO MICROFIBRA (051)</t>
        </is>
      </c>
      <c r="C4648" s="153" t="n">
        <v>46100</v>
      </c>
      <c r="D4648" s="88">
        <f>ROUND((C4648*1.06)/100,0)*100</f>
        <v/>
      </c>
      <c r="E4648" s="88">
        <f>ROUND((C4648*1.12)/100,0)*100</f>
        <v/>
      </c>
      <c r="F4648" s="22">
        <f>ROUND((C4648*1.18)/100,0)*100</f>
        <v/>
      </c>
      <c r="G4648" s="22">
        <f>ROUND((C4648*1.24)/100,0)*100</f>
        <v/>
      </c>
      <c r="H4648" s="153" t="n"/>
      <c r="I4648" s="153" t="n"/>
      <c r="J4648" s="153" t="n"/>
      <c r="K4648" s="180" t="n"/>
      <c r="L4648" s="219" t="n"/>
      <c r="M4648" s="219" t="n"/>
      <c r="P4648" s="117">
        <f>U4648*C4648</f>
        <v/>
      </c>
      <c r="R4648" s="117" t="n"/>
      <c r="T4648" s="117" t="n"/>
      <c r="U4648" s="96" t="n">
        <v>1.2</v>
      </c>
    </row>
    <row r="4649">
      <c r="A4649" s="128" t="inlineStr">
        <is>
          <t>29727</t>
        </is>
      </c>
      <c r="B4649" s="188" t="inlineStr">
        <is>
          <t>PANTALON DAMA</t>
        </is>
      </c>
      <c r="C4649" s="153" t="n">
        <v>41100</v>
      </c>
      <c r="D4649" s="88">
        <f>ROUND((C4649*1.06)/100,0)*100</f>
        <v/>
      </c>
      <c r="E4649" s="88">
        <f>ROUND((C4649*1.12)/100,0)*100</f>
        <v/>
      </c>
      <c r="F4649" s="22">
        <f>ROUND((C4649*1.18)/100,0)*100</f>
        <v/>
      </c>
      <c r="G4649" s="22">
        <f>ROUND((C4649*1.24)/100,0)*100</f>
        <v/>
      </c>
      <c r="H4649" s="153" t="n"/>
      <c r="I4649" s="153" t="n"/>
      <c r="J4649" s="153" t="n"/>
      <c r="K4649" s="180" t="n"/>
      <c r="L4649" s="219" t="n"/>
      <c r="M4649" s="219" t="n"/>
      <c r="P4649" s="117">
        <f>U4649*C4649</f>
        <v/>
      </c>
      <c r="R4649" s="117" t="n"/>
      <c r="T4649" s="117" t="n"/>
      <c r="U4649" s="96" t="n">
        <v>1.2</v>
      </c>
    </row>
    <row r="4650">
      <c r="A4650" s="128" t="inlineStr">
        <is>
          <t>29728</t>
        </is>
      </c>
      <c r="B4650" s="188" t="inlineStr">
        <is>
          <t>PANTALON DAMA</t>
        </is>
      </c>
      <c r="C4650" s="153" t="n">
        <v>43000</v>
      </c>
      <c r="D4650" s="88">
        <f>ROUND((C4650*1.06)/100,0)*100</f>
        <v/>
      </c>
      <c r="E4650" s="88">
        <f>ROUND((C4650*1.12)/100,0)*100</f>
        <v/>
      </c>
      <c r="F4650" s="22">
        <f>ROUND((C4650*1.18)/100,0)*100</f>
        <v/>
      </c>
      <c r="G4650" s="22">
        <f>ROUND((C4650*1.24)/100,0)*100</f>
        <v/>
      </c>
      <c r="H4650" s="153" t="n"/>
      <c r="I4650" s="153" t="n"/>
      <c r="J4650" s="153" t="n"/>
      <c r="K4650" s="180" t="n"/>
      <c r="L4650" s="219" t="n"/>
      <c r="M4650" s="219" t="n"/>
      <c r="P4650" s="117">
        <f>U4650*C4650</f>
        <v/>
      </c>
      <c r="R4650" s="117" t="n"/>
      <c r="T4650" s="117" t="n"/>
      <c r="U4650" s="96" t="n">
        <v>1.2</v>
      </c>
    </row>
    <row r="4651">
      <c r="A4651" s="128" t="inlineStr">
        <is>
          <t>29729</t>
        </is>
      </c>
      <c r="B4651" s="188" t="inlineStr">
        <is>
          <t>PANTALON DAMA</t>
        </is>
      </c>
      <c r="C4651" s="153" t="n">
        <v>47000</v>
      </c>
      <c r="D4651" s="88">
        <f>ROUND((C4651*1.06)/100,0)*100</f>
        <v/>
      </c>
      <c r="E4651" s="88">
        <f>ROUND((C4651*1.12)/100,0)*100</f>
        <v/>
      </c>
      <c r="F4651" s="22">
        <f>ROUND((C4651*1.18)/100,0)*100</f>
        <v/>
      </c>
      <c r="G4651" s="22">
        <f>ROUND((C4651*1.24)/100,0)*100</f>
        <v/>
      </c>
      <c r="H4651" s="153" t="n"/>
      <c r="I4651" s="153" t="n"/>
      <c r="J4651" s="153" t="n"/>
      <c r="K4651" s="180" t="n"/>
      <c r="L4651" s="245" t="n"/>
      <c r="M4651" s="219" t="n"/>
      <c r="P4651" s="117">
        <f>U4651*C4651</f>
        <v/>
      </c>
      <c r="R4651" s="117" t="n"/>
      <c r="T4651" s="117" t="n"/>
      <c r="U4651" s="96" t="n">
        <v>1.2</v>
      </c>
    </row>
    <row r="4652">
      <c r="A4652" s="128" t="inlineStr">
        <is>
          <t>29730</t>
        </is>
      </c>
      <c r="B4652" s="188" t="inlineStr">
        <is>
          <t>PANTALON DAMA</t>
        </is>
      </c>
      <c r="C4652" s="153" t="n">
        <v>47000</v>
      </c>
      <c r="D4652" s="88">
        <f>ROUND((C4652*1.06)/100,0)*100</f>
        <v/>
      </c>
      <c r="E4652" s="88">
        <f>ROUND((C4652*1.12)/100,0)*100</f>
        <v/>
      </c>
      <c r="F4652" s="22">
        <f>ROUND((C4652*1.18)/100,0)*100</f>
        <v/>
      </c>
      <c r="G4652" s="22">
        <f>ROUND((C4652*1.24)/100,0)*100</f>
        <v/>
      </c>
      <c r="H4652" s="153" t="n"/>
      <c r="I4652" s="153" t="n"/>
      <c r="J4652" s="153" t="n"/>
      <c r="K4652" s="180" t="n"/>
      <c r="L4652" s="219" t="n"/>
      <c r="M4652" s="219" t="n"/>
      <c r="P4652" s="117">
        <f>U4652*C4652</f>
        <v/>
      </c>
      <c r="R4652" s="117" t="n"/>
      <c r="T4652" s="117" t="n"/>
      <c r="U4652" s="96" t="n">
        <v>1.2</v>
      </c>
    </row>
    <row r="4653">
      <c r="A4653" s="128" t="inlineStr">
        <is>
          <t>29731</t>
        </is>
      </c>
      <c r="B4653" s="188" t="inlineStr">
        <is>
          <t>PANTALON DAMA</t>
        </is>
      </c>
      <c r="C4653" s="153" t="n">
        <v>41800</v>
      </c>
      <c r="D4653" s="88">
        <f>ROUND((C4653*1.06)/100,0)*100</f>
        <v/>
      </c>
      <c r="E4653" s="88">
        <f>ROUND((C4653*1.12)/100,0)*100</f>
        <v/>
      </c>
      <c r="F4653" s="22">
        <f>ROUND((C4653*1.18)/100,0)*100</f>
        <v/>
      </c>
      <c r="G4653" s="22">
        <f>ROUND((C4653*1.24)/100,0)*100</f>
        <v/>
      </c>
      <c r="H4653" s="153" t="n"/>
      <c r="I4653" s="153" t="n"/>
      <c r="J4653" s="153" t="n"/>
      <c r="K4653" s="180" t="n"/>
      <c r="L4653" s="219" t="n"/>
      <c r="M4653" s="219" t="n"/>
      <c r="P4653" s="117">
        <f>U4653*C4653</f>
        <v/>
      </c>
      <c r="R4653" s="117" t="n"/>
      <c r="T4653" s="117" t="n"/>
      <c r="U4653" s="96" t="n">
        <v>1.2</v>
      </c>
    </row>
    <row r="4654">
      <c r="A4654" s="128" t="inlineStr">
        <is>
          <t>29732</t>
        </is>
      </c>
      <c r="B4654" s="188" t="inlineStr">
        <is>
          <t>PANTALON DAMA</t>
        </is>
      </c>
      <c r="C4654" s="153" t="n">
        <v>50900</v>
      </c>
      <c r="D4654" s="88">
        <f>ROUND((C4654*1.06)/100,0)*100</f>
        <v/>
      </c>
      <c r="E4654" s="88">
        <f>ROUND((C4654*1.12)/100,0)*100</f>
        <v/>
      </c>
      <c r="F4654" s="22">
        <f>ROUND((C4654*1.18)/100,0)*100</f>
        <v/>
      </c>
      <c r="G4654" s="22">
        <f>ROUND((C4654*1.24)/100,0)*100</f>
        <v/>
      </c>
      <c r="H4654" s="153" t="n"/>
      <c r="I4654" s="153" t="n"/>
      <c r="J4654" s="153" t="n"/>
      <c r="K4654" s="180" t="n"/>
      <c r="L4654" s="219" t="n"/>
      <c r="M4654" s="219" t="n"/>
      <c r="P4654" s="117">
        <f>U4654*C4654</f>
        <v/>
      </c>
      <c r="R4654" s="117" t="n"/>
      <c r="T4654" s="117" t="n"/>
      <c r="U4654" s="96" t="n">
        <v>1.2</v>
      </c>
    </row>
    <row r="4655">
      <c r="A4655" s="128" t="inlineStr">
        <is>
          <t>29733</t>
        </is>
      </c>
      <c r="B4655" s="188" t="inlineStr">
        <is>
          <t>PANTALON DAMA LANILLA</t>
        </is>
      </c>
      <c r="C4655" s="153" t="n">
        <v>27600</v>
      </c>
      <c r="D4655" s="88">
        <f>ROUND((C4655*1.06)/100,0)*100</f>
        <v/>
      </c>
      <c r="E4655" s="88">
        <f>ROUND((C4655*1.12)/100,0)*100</f>
        <v/>
      </c>
      <c r="F4655" s="22">
        <f>ROUND((C4655*1.18)/100,0)*100</f>
        <v/>
      </c>
      <c r="G4655" s="22">
        <f>ROUND((C4655*1.24)/100,0)*100</f>
        <v/>
      </c>
      <c r="H4655" s="153" t="n"/>
      <c r="I4655" s="153" t="n"/>
      <c r="J4655" s="153" t="n"/>
      <c r="K4655" s="180" t="n"/>
      <c r="L4655" s="219" t="n"/>
      <c r="M4655" s="219" t="n"/>
      <c r="P4655" s="117">
        <f>U4655*C4655</f>
        <v/>
      </c>
      <c r="R4655" s="117" t="n"/>
      <c r="T4655" s="117" t="n"/>
      <c r="U4655" s="96" t="n">
        <v>1.2</v>
      </c>
    </row>
    <row r="4656">
      <c r="A4656" s="128" t="inlineStr">
        <is>
          <t>29770</t>
        </is>
      </c>
      <c r="B4656" s="188" t="inlineStr">
        <is>
          <t>MONO</t>
        </is>
      </c>
      <c r="C4656" s="153" t="n">
        <v>39200</v>
      </c>
      <c r="D4656" s="88">
        <f>ROUND((C4656*1.06)/100,0)*100</f>
        <v/>
      </c>
      <c r="E4656" s="88">
        <f>ROUND((C4656*1.12)/100,0)*100</f>
        <v/>
      </c>
      <c r="F4656" s="22">
        <f>ROUND((C4656*1.18)/100,0)*100</f>
        <v/>
      </c>
      <c r="G4656" s="22">
        <f>ROUND((C4656*1.24)/100,0)*100</f>
        <v/>
      </c>
      <c r="H4656" s="153" t="n"/>
      <c r="I4656" s="153" t="n"/>
      <c r="J4656" s="153" t="n"/>
      <c r="K4656" s="180" t="n"/>
      <c r="L4656" s="219" t="n"/>
      <c r="M4656" s="219" t="n"/>
      <c r="P4656" s="117">
        <f>U4656*C4656</f>
        <v/>
      </c>
      <c r="R4656" s="117" t="n"/>
      <c r="T4656" s="117" t="n"/>
      <c r="U4656" s="96" t="n">
        <v>1.2</v>
      </c>
    </row>
    <row r="4657">
      <c r="A4657" s="128" t="inlineStr">
        <is>
          <t>29771</t>
        </is>
      </c>
      <c r="B4657" s="188" t="inlineStr">
        <is>
          <t>MONO</t>
        </is>
      </c>
      <c r="C4657" s="153" t="n">
        <v>53300</v>
      </c>
      <c r="D4657" s="88">
        <f>ROUND((C4657*1.06)/100,0)*100</f>
        <v/>
      </c>
      <c r="E4657" s="88">
        <f>ROUND((C4657*1.12)/100,0)*100</f>
        <v/>
      </c>
      <c r="F4657" s="22">
        <f>ROUND((C4657*1.18)/100,0)*100</f>
        <v/>
      </c>
      <c r="G4657" s="22">
        <f>ROUND((C4657*1.24)/100,0)*100</f>
        <v/>
      </c>
      <c r="H4657" s="153" t="n"/>
      <c r="I4657" s="153" t="n"/>
      <c r="J4657" s="153" t="n"/>
      <c r="K4657" s="180" t="n"/>
      <c r="L4657" s="219" t="n"/>
      <c r="M4657" s="219" t="n"/>
      <c r="P4657" s="117">
        <f>U4657*C4657</f>
        <v/>
      </c>
      <c r="R4657" s="117" t="n"/>
      <c r="T4657" s="117" t="n"/>
      <c r="U4657" s="96" t="n">
        <v>1.2</v>
      </c>
    </row>
    <row r="4658">
      <c r="A4658" s="128" t="inlineStr">
        <is>
          <t>29772</t>
        </is>
      </c>
      <c r="B4658" s="188" t="inlineStr">
        <is>
          <t>MAR Y MAR GABARDINA</t>
        </is>
      </c>
      <c r="C4658" s="153" t="n">
        <v>61300</v>
      </c>
      <c r="D4658" s="88">
        <f>ROUND((C4658*1.06)/100,0)*100</f>
        <v/>
      </c>
      <c r="E4658" s="88">
        <f>ROUND((C4658*1.12)/100,0)*100</f>
        <v/>
      </c>
      <c r="F4658" s="22">
        <f>ROUND((C4658*1.18)/100,0)*100</f>
        <v/>
      </c>
      <c r="G4658" s="22">
        <f>ROUND((C4658*1.24)/100,0)*100</f>
        <v/>
      </c>
      <c r="H4658" s="153" t="n"/>
      <c r="I4658" s="153" t="n"/>
      <c r="J4658" s="153" t="n"/>
      <c r="K4658" s="180" t="n"/>
      <c r="L4658" s="219" t="n"/>
      <c r="M4658" s="219" t="n"/>
      <c r="P4658" s="117">
        <f>U4658*C4658</f>
        <v/>
      </c>
      <c r="R4658" s="117" t="n"/>
      <c r="T4658" s="117" t="n"/>
      <c r="U4658" s="96" t="n">
        <v>1.2</v>
      </c>
    </row>
    <row r="4659">
      <c r="A4659" s="128" t="inlineStr">
        <is>
          <t>00268</t>
        </is>
      </c>
      <c r="B4659" s="188" t="inlineStr">
        <is>
          <t>MAR Y MAR PALAZO CREP</t>
        </is>
      </c>
      <c r="C4659" s="153" t="n">
        <v>41900</v>
      </c>
      <c r="D4659" s="88">
        <f>ROUND((C4659*1.06)/100,0)*100</f>
        <v/>
      </c>
      <c r="E4659" s="88">
        <f>ROUND((C4659*1.12)/100,0)*100</f>
        <v/>
      </c>
      <c r="F4659" s="22">
        <f>ROUND((C4659*1.18)/100,0)*100</f>
        <v/>
      </c>
      <c r="G4659" s="22">
        <f>ROUND((C4659*1.24)/100,0)*100</f>
        <v/>
      </c>
      <c r="H4659" s="153" t="n"/>
      <c r="I4659" s="153" t="n"/>
      <c r="J4659" s="153" t="n"/>
      <c r="K4659" s="180" t="n"/>
      <c r="L4659" s="219" t="n"/>
      <c r="M4659" s="219" t="n"/>
      <c r="P4659" s="117">
        <f>U4659*C4659</f>
        <v/>
      </c>
      <c r="R4659" s="117" t="n"/>
      <c r="T4659" s="117" t="n"/>
      <c r="U4659" s="96" t="n">
        <v>1.2</v>
      </c>
    </row>
    <row r="4660">
      <c r="A4660" s="89" t="inlineStr">
        <is>
          <t>2837XXX</t>
        </is>
      </c>
      <c r="B4660" s="135" t="inlineStr">
        <is>
          <t xml:space="preserve"> TAVERNITI PANTALÓN DAMA</t>
        </is>
      </c>
      <c r="C4660" s="88" t="n">
        <v>75000</v>
      </c>
      <c r="D4660" s="170" t="n"/>
      <c r="E4660" s="170" t="n"/>
      <c r="F4660" s="170" t="n"/>
      <c r="G4660" s="170" t="n"/>
      <c r="H4660" s="170" t="n"/>
      <c r="I4660" s="170" t="n"/>
      <c r="J4660" s="170" t="n"/>
      <c r="K4660" s="170" t="n"/>
      <c r="L4660" s="170" t="n"/>
      <c r="M4660" s="170" t="n"/>
      <c r="N4660" s="30" t="n"/>
      <c r="O4660" s="30" t="n"/>
      <c r="P4660" s="150">
        <f>U4660*C4660</f>
        <v/>
      </c>
      <c r="Q4660" s="30" t="n"/>
      <c r="R4660" s="170" t="n"/>
      <c r="S4660" s="30" t="n"/>
      <c r="T4660" s="170" t="n"/>
      <c r="U4660" s="96" t="n">
        <v>1.2</v>
      </c>
      <c r="V4660" s="30" t="n"/>
      <c r="W4660" s="30" t="n"/>
      <c r="X4660" s="30" t="n"/>
      <c r="Y4660" s="30" t="n"/>
      <c r="Z4660" s="30" t="n"/>
      <c r="AA4660" s="30" t="n"/>
      <c r="AB4660" s="30" t="n"/>
      <c r="AC4660" s="30" t="n"/>
      <c r="AD4660" s="30" t="n"/>
      <c r="AE4660" s="30" t="n"/>
      <c r="AF4660" s="30" t="n"/>
      <c r="AG4660" s="30" t="n"/>
      <c r="AH4660" s="30" t="n"/>
      <c r="AI4660" s="30" t="n"/>
      <c r="AJ4660" s="30" t="n"/>
      <c r="AK4660" s="30" t="n"/>
      <c r="AL4660" s="30" t="n"/>
      <c r="AM4660" s="30" t="n"/>
      <c r="AN4660" s="30" t="n"/>
      <c r="AO4660" s="30" t="n"/>
    </row>
    <row r="4661">
      <c r="A4661" s="89" t="inlineStr">
        <is>
          <t>3781XXX</t>
        </is>
      </c>
      <c r="B4661" s="135" t="inlineStr">
        <is>
          <t xml:space="preserve"> TAVERNITI PANTALÓN DAMA</t>
        </is>
      </c>
      <c r="C4661" s="88" t="n">
        <v>85000</v>
      </c>
      <c r="D4661" s="170" t="n"/>
      <c r="E4661" s="170" t="n"/>
      <c r="F4661" s="170" t="n"/>
      <c r="G4661" s="170" t="n"/>
      <c r="H4661" s="170" t="n"/>
      <c r="I4661" s="170" t="n"/>
      <c r="J4661" s="170" t="n"/>
      <c r="K4661" s="170" t="n"/>
      <c r="L4661" s="170" t="n"/>
      <c r="M4661" s="170" t="n"/>
      <c r="N4661" s="30" t="n"/>
      <c r="O4661" s="30" t="n"/>
      <c r="P4661" s="150">
        <f>U4661*C4661</f>
        <v/>
      </c>
      <c r="Q4661" s="30" t="n"/>
      <c r="R4661" s="170" t="n"/>
      <c r="S4661" s="30" t="n"/>
      <c r="T4661" s="170" t="n"/>
      <c r="U4661" s="96" t="n">
        <v>1.2</v>
      </c>
      <c r="V4661" s="30" t="n"/>
      <c r="W4661" s="30" t="n"/>
      <c r="X4661" s="30" t="n"/>
      <c r="Y4661" s="30" t="n"/>
      <c r="Z4661" s="30" t="n"/>
      <c r="AA4661" s="30" t="n"/>
      <c r="AB4661" s="30" t="n"/>
      <c r="AC4661" s="30" t="n"/>
      <c r="AD4661" s="30" t="n"/>
      <c r="AE4661" s="30" t="n"/>
      <c r="AF4661" s="30" t="n"/>
      <c r="AG4661" s="30" t="n"/>
      <c r="AH4661" s="30" t="n"/>
      <c r="AI4661" s="30" t="n"/>
      <c r="AJ4661" s="30" t="n"/>
      <c r="AK4661" s="30" t="n"/>
      <c r="AL4661" s="30" t="n"/>
      <c r="AM4661" s="30" t="n"/>
      <c r="AN4661" s="30" t="n"/>
      <c r="AO4661" s="30" t="n"/>
    </row>
    <row r="4662">
      <c r="A4662" s="134" t="inlineStr">
        <is>
          <t>4153XXX</t>
        </is>
      </c>
      <c r="B4662" s="246" t="inlineStr">
        <is>
          <t xml:space="preserve"> TAVERNITI PANTALÓN DAMA</t>
        </is>
      </c>
      <c r="C4662" s="219" t="n">
        <v>55800</v>
      </c>
      <c r="D4662" s="219" t="n"/>
      <c r="E4662" s="219" t="n"/>
      <c r="F4662" s="219" t="n"/>
      <c r="G4662" s="219" t="n"/>
      <c r="H4662" s="219" t="n"/>
      <c r="I4662" s="219" t="n"/>
      <c r="J4662" s="219" t="n"/>
      <c r="K4662" s="170" t="n"/>
      <c r="L4662" s="170" t="n"/>
      <c r="M4662" s="170" t="n"/>
      <c r="N4662" s="30" t="n"/>
      <c r="O4662" s="30" t="n"/>
      <c r="P4662" s="150">
        <f>U4662*C4662</f>
        <v/>
      </c>
      <c r="Q4662" s="96" t="n"/>
      <c r="R4662" s="150" t="n"/>
      <c r="S4662" s="96" t="n"/>
      <c r="T4662" s="150" t="n"/>
      <c r="U4662" s="96" t="n">
        <v>1.2</v>
      </c>
      <c r="Z4662" s="30" t="n"/>
      <c r="AA4662" s="30" t="n"/>
      <c r="AB4662" s="30" t="n"/>
      <c r="AC4662" s="30" t="n"/>
      <c r="AD4662" s="30" t="n"/>
      <c r="AE4662" s="30" t="n"/>
      <c r="AF4662" s="30" t="n"/>
      <c r="AG4662" s="30" t="n"/>
      <c r="AH4662" s="30" t="n"/>
      <c r="AI4662" s="30" t="n"/>
      <c r="AJ4662" s="30" t="n"/>
      <c r="AK4662" s="30" t="n"/>
      <c r="AL4662" s="30" t="n"/>
      <c r="AM4662" s="30" t="n"/>
      <c r="AN4662" s="30" t="n"/>
    </row>
    <row r="4663">
      <c r="A4663" s="128" t="inlineStr">
        <is>
          <t>4595XXX</t>
        </is>
      </c>
      <c r="B4663" s="188" t="inlineStr">
        <is>
          <t xml:space="preserve"> TAVERNITI JOGGING DAMA</t>
        </is>
      </c>
      <c r="C4663" s="153" t="n">
        <v>55500</v>
      </c>
      <c r="D4663" s="153" t="n"/>
      <c r="E4663" s="153" t="n"/>
      <c r="F4663" s="153" t="n"/>
      <c r="G4663" s="153" t="n"/>
      <c r="H4663" s="153" t="n"/>
      <c r="I4663" s="153" t="n"/>
      <c r="J4663" s="153" t="n"/>
      <c r="K4663" s="219" t="n"/>
      <c r="L4663" s="219" t="n"/>
      <c r="M4663" s="219" t="n"/>
      <c r="P4663" s="117">
        <f>U4663*C4663</f>
        <v/>
      </c>
      <c r="R4663" s="117" t="n"/>
      <c r="T4663" s="117" t="n"/>
      <c r="U4663" s="96" t="n">
        <v>1.2</v>
      </c>
    </row>
    <row r="4664">
      <c r="A4664" s="128" t="inlineStr">
        <is>
          <t>04687XXX</t>
        </is>
      </c>
      <c r="B4664" s="188" t="inlineStr">
        <is>
          <t xml:space="preserve"> TAVERNITI JOGGING DAMA</t>
        </is>
      </c>
      <c r="C4664" s="153" t="n">
        <v>55200</v>
      </c>
      <c r="D4664" s="153" t="n"/>
      <c r="E4664" s="153" t="n"/>
      <c r="F4664" s="153" t="n"/>
      <c r="G4664" s="153" t="n"/>
      <c r="H4664" s="153" t="n"/>
      <c r="I4664" s="153" t="n"/>
      <c r="J4664" s="153" t="n"/>
      <c r="K4664" s="219" t="n"/>
      <c r="L4664" s="219" t="n"/>
      <c r="M4664" s="219" t="n"/>
      <c r="P4664" s="117">
        <f>U4664*C4664</f>
        <v/>
      </c>
      <c r="R4664" s="117" t="n"/>
      <c r="T4664" s="117" t="n"/>
      <c r="U4664" s="96" t="n">
        <v>1.2</v>
      </c>
    </row>
    <row r="4665">
      <c r="A4665" s="128" t="inlineStr">
        <is>
          <t>04699XXX</t>
        </is>
      </c>
      <c r="B4665" s="188" t="inlineStr">
        <is>
          <t xml:space="preserve"> TAVERNITI JOGGING DAMA</t>
        </is>
      </c>
      <c r="C4665" s="153" t="n">
        <v>48200</v>
      </c>
      <c r="D4665" s="153" t="n"/>
      <c r="E4665" s="153" t="n"/>
      <c r="F4665" s="153" t="n"/>
      <c r="G4665" s="153" t="n"/>
      <c r="H4665" s="153" t="n"/>
      <c r="I4665" s="153" t="n"/>
      <c r="J4665" s="153" t="n"/>
      <c r="K4665" s="219" t="n"/>
      <c r="L4665" s="219" t="n"/>
      <c r="M4665" s="219" t="n"/>
      <c r="P4665" s="117">
        <f>U4665*C4665</f>
        <v/>
      </c>
      <c r="R4665" s="117" t="n"/>
      <c r="T4665" s="117" t="n"/>
      <c r="U4665" s="96" t="n">
        <v>1.2</v>
      </c>
    </row>
    <row r="4666">
      <c r="A4666" s="134" t="inlineStr">
        <is>
          <t>4715XXX</t>
        </is>
      </c>
      <c r="B4666" s="246" t="inlineStr">
        <is>
          <t xml:space="preserve"> TAVERNITI JOGGING DAMA</t>
        </is>
      </c>
      <c r="C4666" s="219" t="n">
        <v>65600</v>
      </c>
      <c r="D4666" s="219" t="n"/>
      <c r="E4666" s="219" t="n"/>
      <c r="F4666" s="219" t="n"/>
      <c r="G4666" s="219" t="n"/>
      <c r="H4666" s="219" t="n"/>
      <c r="I4666" s="219" t="n"/>
      <c r="J4666" s="219" t="n"/>
      <c r="K4666" s="170" t="n"/>
      <c r="L4666" s="170" t="n"/>
      <c r="M4666" s="170" t="n"/>
      <c r="N4666" s="30" t="n"/>
      <c r="O4666" s="30" t="n"/>
      <c r="P4666" s="150">
        <f>U4666*C4666</f>
        <v/>
      </c>
      <c r="Q4666" s="96" t="n"/>
      <c r="R4666" s="150" t="n"/>
      <c r="S4666" s="96" t="n"/>
      <c r="T4666" s="150" t="n"/>
      <c r="U4666" s="96" t="n">
        <v>1.2</v>
      </c>
      <c r="Z4666" s="30" t="n"/>
      <c r="AA4666" s="30" t="n"/>
      <c r="AB4666" s="30" t="n"/>
      <c r="AC4666" s="30" t="n"/>
      <c r="AD4666" s="30" t="n"/>
      <c r="AE4666" s="30" t="n"/>
      <c r="AF4666" s="30" t="n"/>
      <c r="AG4666" s="30" t="n"/>
      <c r="AH4666" s="30" t="n"/>
      <c r="AI4666" s="30" t="n"/>
      <c r="AJ4666" s="30" t="n"/>
      <c r="AK4666" s="30" t="n"/>
      <c r="AL4666" s="30" t="n"/>
      <c r="AM4666" s="30" t="n"/>
      <c r="AN4666" s="30" t="n"/>
    </row>
    <row r="4667">
      <c r="A4667" s="134" t="inlineStr">
        <is>
          <t>4719XXX</t>
        </is>
      </c>
      <c r="B4667" s="246" t="inlineStr">
        <is>
          <t xml:space="preserve"> TAVERNITI JOGGING DAMA</t>
        </is>
      </c>
      <c r="C4667" s="219" t="n">
        <v>55500</v>
      </c>
      <c r="D4667" s="219" t="n"/>
      <c r="E4667" s="219" t="n"/>
      <c r="F4667" s="219" t="n"/>
      <c r="G4667" s="219" t="n"/>
      <c r="H4667" s="219" t="n"/>
      <c r="I4667" s="219" t="n"/>
      <c r="J4667" s="219" t="n"/>
      <c r="K4667" s="170" t="n"/>
      <c r="L4667" s="170" t="n"/>
      <c r="M4667" s="170" t="n"/>
      <c r="N4667" s="30" t="n"/>
      <c r="O4667" s="30" t="n"/>
      <c r="P4667" s="150">
        <f>U4667*C4667</f>
        <v/>
      </c>
      <c r="Q4667" s="96" t="n"/>
      <c r="R4667" s="150" t="n"/>
      <c r="S4667" s="96" t="n"/>
      <c r="T4667" s="150" t="n"/>
      <c r="U4667" s="96" t="n">
        <v>1.2</v>
      </c>
      <c r="V4667" s="96" t="n"/>
      <c r="W4667" s="96" t="n"/>
      <c r="X4667" s="96" t="n"/>
      <c r="Y4667" s="96" t="n"/>
      <c r="Z4667" s="30" t="n"/>
      <c r="AA4667" s="30" t="n"/>
      <c r="AB4667" s="30" t="n"/>
      <c r="AC4667" s="30" t="n"/>
      <c r="AD4667" s="30" t="n"/>
      <c r="AE4667" s="30" t="n"/>
      <c r="AF4667" s="30" t="n"/>
      <c r="AG4667" s="30" t="n"/>
      <c r="AH4667" s="30" t="n"/>
      <c r="AI4667" s="30" t="n"/>
      <c r="AJ4667" s="30" t="n"/>
      <c r="AK4667" s="30" t="n"/>
      <c r="AL4667" s="30" t="n"/>
      <c r="AM4667" s="30" t="n"/>
      <c r="AN4667" s="30" t="n"/>
    </row>
    <row r="4668">
      <c r="A4668" s="134" t="inlineStr">
        <is>
          <t>4721XXX</t>
        </is>
      </c>
      <c r="B4668" s="246" t="inlineStr">
        <is>
          <t xml:space="preserve"> TAVERNITI JOGGING DAMA</t>
        </is>
      </c>
      <c r="C4668" s="219" t="n">
        <v>51600</v>
      </c>
      <c r="D4668" s="219" t="n"/>
      <c r="E4668" s="219" t="n"/>
      <c r="F4668" s="219" t="n"/>
      <c r="G4668" s="219" t="n"/>
      <c r="H4668" s="219" t="n"/>
      <c r="I4668" s="219" t="n"/>
      <c r="J4668" s="219" t="n"/>
      <c r="K4668" s="170" t="n"/>
      <c r="L4668" s="170" t="n"/>
      <c r="M4668" s="170" t="n"/>
      <c r="N4668" s="30" t="n"/>
      <c r="O4668" s="30" t="n"/>
      <c r="P4668" s="150">
        <f>U4668*C4668</f>
        <v/>
      </c>
      <c r="Q4668" s="96" t="n"/>
      <c r="R4668" s="150" t="n"/>
      <c r="S4668" s="96" t="n"/>
      <c r="T4668" s="150" t="n"/>
      <c r="U4668" s="96" t="n">
        <v>1.2</v>
      </c>
      <c r="V4668" s="96" t="n"/>
      <c r="W4668" s="96" t="n"/>
      <c r="X4668" s="96" t="n"/>
      <c r="Y4668" s="96" t="n"/>
      <c r="Z4668" s="30" t="n"/>
      <c r="AA4668" s="30" t="n"/>
      <c r="AB4668" s="30" t="n"/>
      <c r="AC4668" s="30" t="n"/>
      <c r="AD4668" s="30" t="n"/>
      <c r="AE4668" s="30" t="n"/>
      <c r="AF4668" s="30" t="n"/>
      <c r="AG4668" s="30" t="n"/>
      <c r="AH4668" s="30" t="n"/>
      <c r="AI4668" s="30" t="n"/>
      <c r="AJ4668" s="30" t="n"/>
      <c r="AK4668" s="30" t="n"/>
      <c r="AL4668" s="30" t="n"/>
      <c r="AM4668" s="30" t="n"/>
      <c r="AN4668" s="30" t="n"/>
    </row>
    <row r="4669">
      <c r="A4669" s="134" t="inlineStr">
        <is>
          <t>4727XXX</t>
        </is>
      </c>
      <c r="B4669" s="246" t="inlineStr">
        <is>
          <t xml:space="preserve"> TAVERNITI JOGGING DAMA</t>
        </is>
      </c>
      <c r="C4669" s="219" t="n">
        <v>54900</v>
      </c>
      <c r="D4669" s="219" t="n"/>
      <c r="E4669" s="219" t="n"/>
      <c r="F4669" s="219" t="n"/>
      <c r="G4669" s="219" t="n"/>
      <c r="H4669" s="219" t="n"/>
      <c r="I4669" s="219" t="n"/>
      <c r="J4669" s="219" t="n"/>
      <c r="K4669" s="170" t="n"/>
      <c r="L4669" s="170" t="n"/>
      <c r="M4669" s="170" t="n"/>
      <c r="N4669" s="30" t="n"/>
      <c r="O4669" s="30" t="n"/>
      <c r="P4669" s="150">
        <f>U4669*C4669</f>
        <v/>
      </c>
      <c r="Q4669" s="96" t="n"/>
      <c r="R4669" s="150" t="n"/>
      <c r="S4669" s="96" t="n"/>
      <c r="T4669" s="150" t="n"/>
      <c r="U4669" s="96" t="n">
        <v>1.2</v>
      </c>
      <c r="V4669" s="96" t="n"/>
      <c r="W4669" s="96" t="n"/>
      <c r="X4669" s="96" t="n"/>
      <c r="Y4669" s="96" t="n"/>
      <c r="Z4669" s="30" t="n"/>
      <c r="AA4669" s="30" t="n"/>
      <c r="AB4669" s="30" t="n"/>
      <c r="AC4669" s="30" t="n"/>
      <c r="AD4669" s="30" t="n"/>
      <c r="AE4669" s="30" t="n"/>
      <c r="AF4669" s="30" t="n"/>
      <c r="AG4669" s="30" t="n"/>
      <c r="AH4669" s="30" t="n"/>
      <c r="AI4669" s="30" t="n"/>
      <c r="AJ4669" s="30" t="n"/>
      <c r="AK4669" s="30" t="n"/>
      <c r="AL4669" s="30" t="n"/>
      <c r="AM4669" s="30" t="n"/>
      <c r="AN4669" s="30" t="n"/>
    </row>
    <row r="4670">
      <c r="A4670" s="128" t="inlineStr">
        <is>
          <t>4731XXX</t>
        </is>
      </c>
      <c r="B4670" s="188" t="inlineStr">
        <is>
          <t xml:space="preserve"> TAVERNITI JOGGING DAMA</t>
        </is>
      </c>
      <c r="C4670" s="153" t="n">
        <v>55500</v>
      </c>
      <c r="D4670" s="153" t="n"/>
      <c r="E4670" s="153" t="n"/>
      <c r="F4670" s="153" t="n"/>
      <c r="G4670" s="153" t="n"/>
      <c r="H4670" s="153" t="n"/>
      <c r="I4670" s="153" t="n"/>
      <c r="J4670" s="153" t="n"/>
      <c r="K4670" s="219" t="n"/>
      <c r="L4670" s="219" t="n"/>
      <c r="M4670" s="219" t="n"/>
      <c r="P4670" s="117">
        <f>U4670*C4670</f>
        <v/>
      </c>
      <c r="R4670" s="117" t="n"/>
      <c r="T4670" s="117" t="n"/>
      <c r="U4670" s="96" t="n">
        <v>1.2</v>
      </c>
    </row>
    <row r="4671">
      <c r="A4671" s="128" t="inlineStr">
        <is>
          <t>4769XXX</t>
        </is>
      </c>
      <c r="B4671" s="188" t="inlineStr">
        <is>
          <t xml:space="preserve"> TAVERNITI JOGGING DAMA</t>
        </is>
      </c>
      <c r="C4671" s="153" t="n">
        <v>62300</v>
      </c>
      <c r="D4671" s="153" t="n"/>
      <c r="E4671" s="153" t="n"/>
      <c r="F4671" s="153" t="n"/>
      <c r="G4671" s="153" t="n"/>
      <c r="H4671" s="153" t="n"/>
      <c r="I4671" s="153" t="n"/>
      <c r="J4671" s="153" t="n"/>
      <c r="K4671" s="219" t="n"/>
      <c r="L4671" s="219" t="n"/>
      <c r="M4671" s="219" t="n"/>
      <c r="P4671" s="117">
        <f>U4671*C4671</f>
        <v/>
      </c>
      <c r="R4671" s="117" t="n"/>
      <c r="T4671" s="117" t="n"/>
      <c r="U4671" s="96" t="n">
        <v>1.2</v>
      </c>
    </row>
    <row r="4672">
      <c r="A4672" s="134" t="inlineStr">
        <is>
          <t>5221XXX</t>
        </is>
      </c>
      <c r="B4672" s="246" t="inlineStr">
        <is>
          <t xml:space="preserve"> TAVERNITI PANTALÓN DAMA</t>
        </is>
      </c>
      <c r="C4672" s="219" t="n">
        <v>60600</v>
      </c>
      <c r="D4672" s="219" t="n"/>
      <c r="E4672" s="219" t="n"/>
      <c r="F4672" s="219" t="n"/>
      <c r="G4672" s="219" t="n"/>
      <c r="H4672" s="219" t="n"/>
      <c r="I4672" s="219" t="n"/>
      <c r="J4672" s="219" t="n"/>
      <c r="K4672" s="170" t="n"/>
      <c r="L4672" s="170" t="n"/>
      <c r="M4672" s="170" t="n"/>
      <c r="N4672" s="30" t="n"/>
      <c r="O4672" s="30" t="n"/>
      <c r="P4672" s="150">
        <f>U4672*C4672</f>
        <v/>
      </c>
      <c r="Q4672" s="96" t="n"/>
      <c r="R4672" s="150" t="n"/>
      <c r="S4672" s="96" t="n"/>
      <c r="T4672" s="150" t="n"/>
      <c r="U4672" s="96" t="n">
        <v>1.2</v>
      </c>
      <c r="Z4672" s="30" t="n"/>
      <c r="AA4672" s="30" t="n"/>
      <c r="AB4672" s="30" t="n"/>
      <c r="AC4672" s="30" t="n"/>
      <c r="AD4672" s="30" t="n"/>
      <c r="AE4672" s="30" t="n"/>
      <c r="AF4672" s="30" t="n"/>
      <c r="AG4672" s="30" t="n"/>
      <c r="AH4672" s="30" t="n"/>
      <c r="AI4672" s="30" t="n"/>
      <c r="AJ4672" s="30" t="n"/>
      <c r="AK4672" s="30" t="n"/>
      <c r="AL4672" s="30" t="n"/>
      <c r="AM4672" s="30" t="n"/>
      <c r="AN4672" s="30" t="n"/>
    </row>
    <row r="4673">
      <c r="A4673" s="134" t="inlineStr">
        <is>
          <t>5223XXX</t>
        </is>
      </c>
      <c r="B4673" s="246" t="inlineStr">
        <is>
          <t xml:space="preserve"> TAVERNITI PANTALÓN DAMA</t>
        </is>
      </c>
      <c r="C4673" s="219" t="n">
        <v>56800</v>
      </c>
      <c r="D4673" s="219" t="n"/>
      <c r="E4673" s="219" t="n"/>
      <c r="F4673" s="219" t="n"/>
      <c r="G4673" s="219" t="n"/>
      <c r="H4673" s="219" t="n"/>
      <c r="I4673" s="219" t="n"/>
      <c r="J4673" s="219" t="n"/>
      <c r="K4673" s="170" t="n"/>
      <c r="L4673" s="170" t="n"/>
      <c r="M4673" s="170" t="n"/>
      <c r="N4673" s="30" t="n"/>
      <c r="O4673" s="30" t="n"/>
      <c r="P4673" s="150">
        <f>U4673*C4673</f>
        <v/>
      </c>
      <c r="Q4673" s="96" t="n"/>
      <c r="R4673" s="150" t="n"/>
      <c r="S4673" s="96" t="n"/>
      <c r="T4673" s="150" t="n"/>
      <c r="U4673" s="96" t="n">
        <v>1.2</v>
      </c>
      <c r="Z4673" s="30" t="n"/>
      <c r="AA4673" s="30" t="n"/>
      <c r="AB4673" s="30" t="n"/>
      <c r="AC4673" s="30" t="n"/>
      <c r="AD4673" s="30" t="n"/>
      <c r="AE4673" s="30" t="n"/>
      <c r="AF4673" s="30" t="n"/>
      <c r="AG4673" s="30" t="n"/>
      <c r="AH4673" s="30" t="n"/>
      <c r="AI4673" s="30" t="n"/>
      <c r="AJ4673" s="30" t="n"/>
      <c r="AK4673" s="30" t="n"/>
      <c r="AL4673" s="30" t="n"/>
      <c r="AM4673" s="30" t="n"/>
      <c r="AN4673" s="30" t="n"/>
    </row>
    <row r="4674">
      <c r="A4674" s="134" t="inlineStr">
        <is>
          <t>5225XXX</t>
        </is>
      </c>
      <c r="B4674" s="246" t="inlineStr">
        <is>
          <t xml:space="preserve"> TAVERNITI PANTALÓN DAMA</t>
        </is>
      </c>
      <c r="C4674" s="219" t="n">
        <v>73600</v>
      </c>
      <c r="D4674" s="219" t="n"/>
      <c r="E4674" s="219" t="n"/>
      <c r="F4674" s="219" t="n"/>
      <c r="G4674" s="219" t="n"/>
      <c r="H4674" s="219" t="n"/>
      <c r="I4674" s="219" t="n"/>
      <c r="J4674" s="219" t="n"/>
      <c r="K4674" s="170" t="n"/>
      <c r="L4674" s="170" t="n"/>
      <c r="M4674" s="170" t="n"/>
      <c r="N4674" s="30" t="n"/>
      <c r="O4674" s="30" t="n"/>
      <c r="P4674" s="150">
        <f>U4674*C4674</f>
        <v/>
      </c>
      <c r="Q4674" s="96" t="n"/>
      <c r="R4674" s="150" t="n"/>
      <c r="S4674" s="96" t="n"/>
      <c r="T4674" s="150" t="n"/>
      <c r="U4674" s="96" t="n">
        <v>1.2</v>
      </c>
      <c r="Z4674" s="30" t="n"/>
      <c r="AA4674" s="30" t="n"/>
      <c r="AB4674" s="30" t="n"/>
      <c r="AC4674" s="30" t="n"/>
      <c r="AD4674" s="30" t="n"/>
      <c r="AE4674" s="30" t="n"/>
      <c r="AF4674" s="30" t="n"/>
      <c r="AG4674" s="30" t="n"/>
      <c r="AH4674" s="30" t="n"/>
      <c r="AI4674" s="30" t="n"/>
      <c r="AJ4674" s="30" t="n"/>
      <c r="AK4674" s="30" t="n"/>
      <c r="AL4674" s="30" t="n"/>
      <c r="AM4674" s="30" t="n"/>
      <c r="AN4674" s="30" t="n"/>
    </row>
    <row r="4675">
      <c r="A4675" s="89" t="inlineStr">
        <is>
          <t>5265XXX</t>
        </is>
      </c>
      <c r="B4675" s="135" t="inlineStr">
        <is>
          <t xml:space="preserve"> TAVERNITI PANTALÓN DAMA</t>
        </is>
      </c>
      <c r="C4675" s="88" t="n">
        <v>60500</v>
      </c>
      <c r="D4675" s="88" t="n"/>
      <c r="E4675" s="88" t="n"/>
      <c r="F4675" s="88" t="n"/>
      <c r="G4675" s="88" t="n"/>
      <c r="H4675" s="88" t="n"/>
      <c r="I4675" s="88" t="n"/>
      <c r="J4675" s="88" t="n"/>
      <c r="K4675" s="170" t="n"/>
      <c r="L4675" s="170" t="n"/>
      <c r="M4675" s="170" t="n"/>
      <c r="N4675" s="30" t="n"/>
      <c r="O4675" s="30" t="n"/>
      <c r="P4675" s="150">
        <f>U4675*C4675</f>
        <v/>
      </c>
      <c r="Q4675" s="96" t="n"/>
      <c r="R4675" s="150" t="n"/>
      <c r="S4675" s="96" t="n"/>
      <c r="T4675" s="150" t="n"/>
      <c r="U4675" s="96" t="n">
        <v>1.2</v>
      </c>
      <c r="V4675" s="30" t="n"/>
      <c r="W4675" s="30" t="n"/>
      <c r="X4675" s="30" t="n"/>
      <c r="Y4675" s="30" t="n"/>
      <c r="Z4675" s="30" t="n"/>
      <c r="AA4675" s="30" t="n"/>
      <c r="AB4675" s="30" t="n"/>
      <c r="AC4675" s="30" t="n"/>
      <c r="AD4675" s="30" t="n"/>
      <c r="AE4675" s="30" t="n"/>
      <c r="AF4675" s="30" t="n"/>
      <c r="AG4675" s="30" t="n"/>
      <c r="AH4675" s="30" t="n"/>
      <c r="AI4675" s="30" t="n"/>
      <c r="AJ4675" s="30" t="n"/>
      <c r="AK4675" s="30" t="n"/>
      <c r="AL4675" s="30" t="n"/>
      <c r="AM4675" s="30" t="n"/>
      <c r="AN4675" s="30" t="n"/>
      <c r="AO4675" s="30" t="n"/>
    </row>
    <row r="4676">
      <c r="A4676" s="89" t="inlineStr">
        <is>
          <t>5269XXX</t>
        </is>
      </c>
      <c r="B4676" s="135" t="inlineStr">
        <is>
          <t xml:space="preserve"> TAVERNITI PANTALÓN DAMA</t>
        </is>
      </c>
      <c r="C4676" s="88" t="n">
        <v>57200</v>
      </c>
      <c r="D4676" s="88" t="n"/>
      <c r="E4676" s="88" t="n"/>
      <c r="F4676" s="88" t="n"/>
      <c r="G4676" s="88" t="n"/>
      <c r="H4676" s="88" t="n"/>
      <c r="I4676" s="88" t="n"/>
      <c r="J4676" s="88" t="n"/>
      <c r="K4676" s="170" t="n"/>
      <c r="L4676" s="170" t="n"/>
      <c r="M4676" s="170" t="n"/>
      <c r="N4676" s="30" t="n"/>
      <c r="O4676" s="30" t="n"/>
      <c r="P4676" s="150">
        <f>U4676*C4676</f>
        <v/>
      </c>
      <c r="Q4676" s="96" t="n"/>
      <c r="R4676" s="150" t="n"/>
      <c r="S4676" s="96" t="n"/>
      <c r="T4676" s="150" t="n"/>
      <c r="U4676" s="96" t="n">
        <v>1.2</v>
      </c>
      <c r="V4676" s="30" t="n"/>
      <c r="W4676" s="30" t="n"/>
      <c r="X4676" s="30" t="n"/>
      <c r="Y4676" s="30" t="n"/>
      <c r="Z4676" s="30" t="n"/>
      <c r="AA4676" s="30" t="n"/>
      <c r="AB4676" s="30" t="n"/>
      <c r="AC4676" s="30" t="n"/>
      <c r="AD4676" s="30" t="n"/>
      <c r="AE4676" s="30" t="n"/>
      <c r="AF4676" s="30" t="n"/>
      <c r="AG4676" s="30" t="n"/>
      <c r="AH4676" s="30" t="n"/>
      <c r="AI4676" s="30" t="n"/>
      <c r="AJ4676" s="30" t="n"/>
      <c r="AK4676" s="30" t="n"/>
      <c r="AL4676" s="30" t="n"/>
      <c r="AM4676" s="30" t="n"/>
      <c r="AN4676" s="30" t="n"/>
      <c r="AO4676" s="30" t="n"/>
    </row>
    <row r="4677">
      <c r="A4677" s="134" t="inlineStr">
        <is>
          <t>5269XXX</t>
        </is>
      </c>
      <c r="B4677" s="246" t="inlineStr">
        <is>
          <t xml:space="preserve"> TAVERNITI PANTALÓN DAMA</t>
        </is>
      </c>
      <c r="C4677" s="219" t="n">
        <v>57200</v>
      </c>
      <c r="D4677" s="219" t="n"/>
      <c r="E4677" s="219" t="n"/>
      <c r="F4677" s="219" t="n"/>
      <c r="G4677" s="219" t="n"/>
      <c r="H4677" s="219" t="n"/>
      <c r="I4677" s="219" t="n"/>
      <c r="J4677" s="219" t="n"/>
      <c r="K4677" s="170" t="n"/>
      <c r="L4677" s="170" t="n"/>
      <c r="M4677" s="170" t="n"/>
      <c r="N4677" s="30" t="n"/>
      <c r="O4677" s="30" t="n"/>
      <c r="P4677" s="150">
        <f>U4677*C4677</f>
        <v/>
      </c>
      <c r="Q4677" s="96" t="n"/>
      <c r="R4677" s="150" t="n"/>
      <c r="S4677" s="96" t="n"/>
      <c r="T4677" s="150" t="n"/>
      <c r="U4677" s="96" t="n">
        <v>1.2</v>
      </c>
      <c r="Z4677" s="30" t="n"/>
      <c r="AA4677" s="30" t="n"/>
      <c r="AB4677" s="30" t="n"/>
      <c r="AC4677" s="30" t="n"/>
      <c r="AD4677" s="30" t="n"/>
      <c r="AE4677" s="30" t="n"/>
      <c r="AF4677" s="30" t="n"/>
      <c r="AG4677" s="30" t="n"/>
      <c r="AH4677" s="30" t="n"/>
      <c r="AI4677" s="30" t="n"/>
      <c r="AJ4677" s="30" t="n"/>
      <c r="AK4677" s="30" t="n"/>
      <c r="AL4677" s="30" t="n"/>
      <c r="AM4677" s="30" t="n"/>
      <c r="AN4677" s="30" t="n"/>
    </row>
    <row r="4678">
      <c r="A4678" s="89" t="inlineStr">
        <is>
          <t>5739XXX</t>
        </is>
      </c>
      <c r="B4678" s="135" t="inlineStr">
        <is>
          <t xml:space="preserve"> TAVERNITI PANTALÓN DAMA</t>
        </is>
      </c>
      <c r="C4678" s="88" t="n">
        <v>57200</v>
      </c>
      <c r="D4678" s="170" t="n"/>
      <c r="E4678" s="170" t="n"/>
      <c r="F4678" s="170" t="n"/>
      <c r="G4678" s="170" t="n"/>
      <c r="H4678" s="170" t="n"/>
      <c r="I4678" s="170" t="n"/>
      <c r="J4678" s="170" t="n"/>
      <c r="K4678" s="170" t="n"/>
      <c r="L4678" s="170" t="n"/>
      <c r="M4678" s="170" t="n"/>
      <c r="N4678" s="30" t="n"/>
      <c r="O4678" s="30" t="n"/>
      <c r="P4678" s="150">
        <f>U4678*C4678</f>
        <v/>
      </c>
      <c r="Q4678" s="96" t="n"/>
      <c r="R4678" s="150" t="n"/>
      <c r="S4678" s="96" t="n"/>
      <c r="T4678" s="150" t="n"/>
      <c r="U4678" s="96" t="n">
        <v>1.2</v>
      </c>
      <c r="V4678" s="30" t="n"/>
      <c r="W4678" s="30" t="n"/>
      <c r="X4678" s="30" t="n"/>
      <c r="Y4678" s="30" t="n"/>
      <c r="Z4678" s="30" t="n"/>
      <c r="AA4678" s="30" t="n"/>
      <c r="AB4678" s="30" t="n"/>
      <c r="AC4678" s="30" t="n"/>
      <c r="AD4678" s="30" t="n"/>
      <c r="AE4678" s="30" t="n"/>
      <c r="AF4678" s="30" t="n"/>
      <c r="AG4678" s="30" t="n"/>
      <c r="AH4678" s="30" t="n"/>
      <c r="AI4678" s="30" t="n"/>
      <c r="AJ4678" s="30" t="n"/>
      <c r="AK4678" s="30" t="n"/>
      <c r="AL4678" s="30" t="n"/>
      <c r="AM4678" s="30" t="n"/>
      <c r="AN4678" s="30" t="n"/>
      <c r="AO4678" s="30" t="n"/>
    </row>
    <row r="4679">
      <c r="A4679" s="89" t="inlineStr">
        <is>
          <t>5747XXX</t>
        </is>
      </c>
      <c r="B4679" s="135" t="inlineStr">
        <is>
          <t xml:space="preserve"> TAVERNITI PANTALÓN DAMA</t>
        </is>
      </c>
      <c r="C4679" s="88" t="n">
        <v>54800</v>
      </c>
      <c r="D4679" s="170" t="n"/>
      <c r="E4679" s="170" t="n"/>
      <c r="F4679" s="170" t="n"/>
      <c r="G4679" s="170" t="n"/>
      <c r="H4679" s="170" t="n"/>
      <c r="I4679" s="170" t="n"/>
      <c r="J4679" s="170" t="n"/>
      <c r="K4679" s="170" t="n"/>
      <c r="L4679" s="170" t="n"/>
      <c r="M4679" s="170" t="n"/>
      <c r="N4679" s="30" t="n"/>
      <c r="O4679" s="30" t="n"/>
      <c r="P4679" s="150">
        <f>U4679*C4679</f>
        <v/>
      </c>
      <c r="Q4679" s="30" t="n"/>
      <c r="R4679" s="170" t="n"/>
      <c r="S4679" s="30" t="n"/>
      <c r="T4679" s="170" t="n"/>
      <c r="U4679" s="96" t="n">
        <v>1.2</v>
      </c>
      <c r="V4679" s="30" t="n"/>
      <c r="W4679" s="30" t="n"/>
      <c r="X4679" s="30" t="n"/>
      <c r="Y4679" s="30" t="n"/>
      <c r="Z4679" s="30" t="n"/>
      <c r="AA4679" s="30" t="n"/>
      <c r="AB4679" s="30" t="n"/>
      <c r="AC4679" s="30" t="n"/>
      <c r="AD4679" s="30" t="n"/>
      <c r="AE4679" s="30" t="n"/>
      <c r="AF4679" s="30" t="n"/>
      <c r="AG4679" s="30" t="n"/>
      <c r="AH4679" s="30" t="n"/>
      <c r="AI4679" s="30" t="n"/>
      <c r="AJ4679" s="30" t="n"/>
      <c r="AK4679" s="30" t="n"/>
      <c r="AL4679" s="30" t="n"/>
      <c r="AM4679" s="30" t="n"/>
      <c r="AN4679" s="30" t="n"/>
      <c r="AO4679" s="30" t="n"/>
    </row>
    <row r="4680">
      <c r="A4680" s="134" t="inlineStr">
        <is>
          <t>5751XXX</t>
        </is>
      </c>
      <c r="B4680" s="246" t="inlineStr">
        <is>
          <t xml:space="preserve"> TAVERNITI PANTALÓN DAMA</t>
        </is>
      </c>
      <c r="C4680" s="219" t="n">
        <v>51600</v>
      </c>
      <c r="D4680" s="219" t="n"/>
      <c r="E4680" s="219" t="n"/>
      <c r="F4680" s="219" t="n"/>
      <c r="G4680" s="219" t="n"/>
      <c r="H4680" s="219" t="n"/>
      <c r="I4680" s="219" t="n"/>
      <c r="J4680" s="219" t="n"/>
      <c r="K4680" s="170" t="n"/>
      <c r="L4680" s="170" t="n"/>
      <c r="M4680" s="170" t="n"/>
      <c r="N4680" s="30" t="n"/>
      <c r="O4680" s="30" t="n"/>
      <c r="P4680" s="150">
        <f>U4680*C4680</f>
        <v/>
      </c>
      <c r="Q4680" s="96" t="n"/>
      <c r="R4680" s="150" t="n"/>
      <c r="S4680" s="96" t="n"/>
      <c r="T4680" s="150" t="n"/>
      <c r="U4680" s="96" t="n">
        <v>1.2</v>
      </c>
      <c r="Z4680" s="30" t="n"/>
      <c r="AA4680" s="30" t="n"/>
      <c r="AB4680" s="30" t="n"/>
      <c r="AC4680" s="30" t="n"/>
      <c r="AD4680" s="30" t="n"/>
      <c r="AE4680" s="30" t="n"/>
      <c r="AF4680" s="30" t="n"/>
      <c r="AG4680" s="30" t="n"/>
      <c r="AH4680" s="30" t="n"/>
      <c r="AI4680" s="30" t="n"/>
      <c r="AJ4680" s="30" t="n"/>
      <c r="AK4680" s="30" t="n"/>
      <c r="AL4680" s="30" t="n"/>
      <c r="AM4680" s="30" t="n"/>
      <c r="AN4680" s="30" t="n"/>
    </row>
    <row r="4681">
      <c r="A4681" s="134" t="inlineStr">
        <is>
          <t>5753XXX</t>
        </is>
      </c>
      <c r="B4681" s="246" t="inlineStr">
        <is>
          <t xml:space="preserve"> TAVERNITI PANTALÓN DAMA</t>
        </is>
      </c>
      <c r="C4681" s="219" t="n">
        <v>51600</v>
      </c>
      <c r="D4681" s="219" t="n"/>
      <c r="E4681" s="219" t="n"/>
      <c r="F4681" s="219" t="n"/>
      <c r="G4681" s="219" t="n"/>
      <c r="H4681" s="219" t="n"/>
      <c r="I4681" s="219" t="n"/>
      <c r="J4681" s="219" t="n"/>
      <c r="K4681" s="170" t="n"/>
      <c r="L4681" s="170" t="n"/>
      <c r="M4681" s="170" t="n"/>
      <c r="N4681" s="30" t="n"/>
      <c r="O4681" s="30" t="n"/>
      <c r="P4681" s="150">
        <f>U4681*C4681</f>
        <v/>
      </c>
      <c r="Q4681" s="96" t="n"/>
      <c r="R4681" s="150" t="n"/>
      <c r="S4681" s="96" t="n"/>
      <c r="T4681" s="150" t="n"/>
      <c r="U4681" s="96" t="n">
        <v>1.2</v>
      </c>
      <c r="Z4681" s="30" t="n"/>
      <c r="AA4681" s="30" t="n"/>
      <c r="AB4681" s="30" t="n"/>
      <c r="AC4681" s="30" t="n"/>
      <c r="AD4681" s="30" t="n"/>
      <c r="AE4681" s="30" t="n"/>
      <c r="AF4681" s="30" t="n"/>
      <c r="AG4681" s="30" t="n"/>
      <c r="AH4681" s="30" t="n"/>
      <c r="AI4681" s="30" t="n"/>
      <c r="AJ4681" s="30" t="n"/>
      <c r="AK4681" s="30" t="n"/>
      <c r="AL4681" s="30" t="n"/>
      <c r="AM4681" s="30" t="n"/>
      <c r="AN4681" s="30" t="n"/>
    </row>
    <row r="4682">
      <c r="A4682" s="134" t="inlineStr">
        <is>
          <t>6023XXX</t>
        </is>
      </c>
      <c r="B4682" s="246" t="inlineStr">
        <is>
          <t xml:space="preserve"> TAVERNITI JOGGING DAMA</t>
        </is>
      </c>
      <c r="C4682" s="219" t="n">
        <v>57800</v>
      </c>
      <c r="D4682" s="219" t="n"/>
      <c r="E4682" s="219" t="n"/>
      <c r="F4682" s="219" t="n"/>
      <c r="G4682" s="219" t="n"/>
      <c r="H4682" s="219" t="n"/>
      <c r="I4682" s="219" t="n"/>
      <c r="J4682" s="219" t="n"/>
      <c r="K4682" s="170" t="n"/>
      <c r="L4682" s="170" t="n"/>
      <c r="M4682" s="170" t="n"/>
      <c r="N4682" s="30" t="n"/>
      <c r="O4682" s="30" t="n"/>
      <c r="P4682" s="150">
        <f>U4682*C4682</f>
        <v/>
      </c>
      <c r="Q4682" s="30" t="n"/>
      <c r="R4682" s="170" t="n"/>
      <c r="S4682" s="30" t="n"/>
      <c r="T4682" s="170" t="n"/>
      <c r="U4682" s="96" t="n">
        <v>1.2</v>
      </c>
      <c r="V4682" s="30" t="n"/>
      <c r="W4682" s="30" t="n"/>
      <c r="X4682" s="30" t="n"/>
      <c r="Y4682" s="30" t="n"/>
      <c r="Z4682" s="30" t="n"/>
      <c r="AA4682" s="30" t="n"/>
      <c r="AB4682" s="30" t="n"/>
      <c r="AC4682" s="30" t="n"/>
      <c r="AD4682" s="30" t="n"/>
      <c r="AE4682" s="30" t="n"/>
      <c r="AF4682" s="30" t="n"/>
      <c r="AG4682" s="30" t="n"/>
      <c r="AH4682" s="30" t="n"/>
      <c r="AI4682" s="30" t="n"/>
      <c r="AJ4682" s="30" t="n"/>
      <c r="AK4682" s="30" t="n"/>
      <c r="AL4682" s="30" t="n"/>
      <c r="AM4682" s="30" t="n"/>
      <c r="AN4682" s="30" t="n"/>
      <c r="AO4682" s="30" t="n"/>
    </row>
    <row r="4683">
      <c r="A4683" s="89" t="inlineStr">
        <is>
          <t>6035XXX</t>
        </is>
      </c>
      <c r="B4683" s="135" t="inlineStr">
        <is>
          <t xml:space="preserve"> TAVERNITI JOGGING DAMA</t>
        </is>
      </c>
      <c r="C4683" s="88" t="n">
        <v>54800</v>
      </c>
      <c r="D4683" s="170" t="n"/>
      <c r="E4683" s="170" t="n"/>
      <c r="F4683" s="170" t="n"/>
      <c r="G4683" s="170" t="n"/>
      <c r="H4683" s="170" t="n"/>
      <c r="I4683" s="170" t="n"/>
      <c r="J4683" s="170" t="n"/>
      <c r="K4683" s="170" t="n"/>
      <c r="L4683" s="170" t="n"/>
      <c r="M4683" s="170" t="n"/>
      <c r="N4683" s="30" t="n"/>
      <c r="O4683" s="30" t="n"/>
      <c r="P4683" s="150">
        <f>U4683*C4683</f>
        <v/>
      </c>
      <c r="Q4683" s="30" t="n"/>
      <c r="R4683" s="170" t="n"/>
      <c r="S4683" s="30" t="n"/>
      <c r="T4683" s="170" t="n"/>
      <c r="U4683" s="96" t="n">
        <v>1.2</v>
      </c>
      <c r="V4683" s="30" t="n"/>
      <c r="W4683" s="30" t="n"/>
      <c r="X4683" s="30" t="n"/>
      <c r="Y4683" s="30" t="n"/>
      <c r="Z4683" s="30" t="n"/>
      <c r="AA4683" s="30" t="n"/>
      <c r="AB4683" s="30" t="n"/>
      <c r="AC4683" s="30" t="n"/>
      <c r="AD4683" s="30" t="n"/>
      <c r="AE4683" s="30" t="n"/>
      <c r="AF4683" s="30" t="n"/>
      <c r="AG4683" s="30" t="n"/>
      <c r="AH4683" s="30" t="n"/>
      <c r="AI4683" s="30" t="n"/>
      <c r="AJ4683" s="30" t="n"/>
      <c r="AK4683" s="30" t="n"/>
      <c r="AL4683" s="30" t="n"/>
      <c r="AM4683" s="30" t="n"/>
      <c r="AN4683" s="30" t="n"/>
      <c r="AO4683" s="30" t="n"/>
    </row>
    <row r="4684">
      <c r="A4684" s="134" t="inlineStr">
        <is>
          <t>6037XXX</t>
        </is>
      </c>
      <c r="B4684" s="246" t="inlineStr">
        <is>
          <t xml:space="preserve"> TAVERNITI JOGGING DAMA</t>
        </is>
      </c>
      <c r="C4684" s="219" t="n">
        <v>52000</v>
      </c>
      <c r="D4684" s="219" t="n"/>
      <c r="E4684" s="219" t="n"/>
      <c r="F4684" s="219" t="n"/>
      <c r="G4684" s="219" t="n"/>
      <c r="H4684" s="219" t="n"/>
      <c r="I4684" s="219" t="n"/>
      <c r="J4684" s="219" t="n"/>
      <c r="K4684" s="170" t="n"/>
      <c r="L4684" s="170" t="n"/>
      <c r="M4684" s="170" t="n"/>
      <c r="N4684" s="30" t="n"/>
      <c r="O4684" s="30" t="n"/>
      <c r="P4684" s="150">
        <f>U4684*C4684</f>
        <v/>
      </c>
      <c r="Q4684" s="30" t="n"/>
      <c r="R4684" s="170" t="n"/>
      <c r="S4684" s="30" t="n"/>
      <c r="T4684" s="170" t="n"/>
      <c r="U4684" s="96" t="n">
        <v>1.2</v>
      </c>
      <c r="V4684" s="30" t="n"/>
      <c r="W4684" s="30" t="n"/>
      <c r="X4684" s="30" t="n"/>
      <c r="Y4684" s="30" t="n"/>
      <c r="Z4684" s="30" t="n"/>
      <c r="AA4684" s="30" t="n"/>
      <c r="AB4684" s="30" t="n"/>
      <c r="AC4684" s="30" t="n"/>
      <c r="AD4684" s="30" t="n"/>
      <c r="AE4684" s="30" t="n"/>
      <c r="AF4684" s="30" t="n"/>
      <c r="AG4684" s="30" t="n"/>
      <c r="AH4684" s="30" t="n"/>
      <c r="AI4684" s="30" t="n"/>
      <c r="AJ4684" s="30" t="n"/>
      <c r="AK4684" s="30" t="n"/>
      <c r="AL4684" s="30" t="n"/>
      <c r="AM4684" s="30" t="n"/>
      <c r="AN4684" s="30" t="n"/>
      <c r="AO4684" s="30" t="n"/>
    </row>
    <row r="4685">
      <c r="A4685" s="89" t="inlineStr">
        <is>
          <t>6041XXX</t>
        </is>
      </c>
      <c r="B4685" s="135" t="inlineStr">
        <is>
          <t xml:space="preserve"> TAVERNITI JOGGING DAMA</t>
        </is>
      </c>
      <c r="C4685" s="88" t="n">
        <v>57000</v>
      </c>
      <c r="D4685" s="170" t="n"/>
      <c r="E4685" s="170" t="n"/>
      <c r="F4685" s="170" t="n"/>
      <c r="G4685" s="170" t="n"/>
      <c r="H4685" s="170" t="n"/>
      <c r="I4685" s="170" t="n"/>
      <c r="J4685" s="170" t="n"/>
      <c r="K4685" s="170" t="n"/>
      <c r="L4685" s="170" t="n"/>
      <c r="M4685" s="170" t="n"/>
      <c r="N4685" s="30" t="n"/>
      <c r="O4685" s="30" t="n"/>
      <c r="P4685" s="150">
        <f>U4685*C4685</f>
        <v/>
      </c>
      <c r="Q4685" s="30" t="n"/>
      <c r="R4685" s="170" t="n"/>
      <c r="S4685" s="30" t="n"/>
      <c r="T4685" s="170" t="n"/>
      <c r="U4685" s="96" t="n">
        <v>1.2</v>
      </c>
      <c r="V4685" s="30" t="n"/>
      <c r="W4685" s="30" t="n"/>
      <c r="X4685" s="30" t="n"/>
      <c r="Y4685" s="30" t="n"/>
      <c r="Z4685" s="30" t="n"/>
      <c r="AA4685" s="30" t="n"/>
      <c r="AB4685" s="30" t="n"/>
      <c r="AC4685" s="30" t="n"/>
      <c r="AD4685" s="30" t="n"/>
      <c r="AE4685" s="30" t="n"/>
      <c r="AF4685" s="30" t="n"/>
      <c r="AG4685" s="30" t="n"/>
      <c r="AH4685" s="30" t="n"/>
      <c r="AI4685" s="30" t="n"/>
      <c r="AJ4685" s="30" t="n"/>
      <c r="AK4685" s="30" t="n"/>
      <c r="AL4685" s="30" t="n"/>
      <c r="AM4685" s="30" t="n"/>
      <c r="AN4685" s="30" t="n"/>
      <c r="AO4685" s="30" t="n"/>
    </row>
    <row r="4686">
      <c r="A4686" s="134" t="inlineStr">
        <is>
          <t>6045XXX</t>
        </is>
      </c>
      <c r="B4686" s="246" t="inlineStr">
        <is>
          <t xml:space="preserve"> TAVERNITI JOGGING DAMA</t>
        </is>
      </c>
      <c r="C4686" s="219" t="n">
        <v>63000</v>
      </c>
      <c r="D4686" s="219" t="n"/>
      <c r="E4686" s="219" t="n"/>
      <c r="F4686" s="219" t="n"/>
      <c r="G4686" s="219" t="n"/>
      <c r="H4686" s="219" t="n"/>
      <c r="I4686" s="219" t="n"/>
      <c r="J4686" s="219" t="n"/>
      <c r="K4686" s="170" t="n"/>
      <c r="L4686" s="170" t="n"/>
      <c r="M4686" s="170" t="n"/>
      <c r="N4686" s="30" t="n"/>
      <c r="O4686" s="30" t="n"/>
      <c r="P4686" s="150">
        <f>U4686*C4686</f>
        <v/>
      </c>
      <c r="Q4686" s="30" t="n"/>
      <c r="R4686" s="170" t="n"/>
      <c r="S4686" s="30" t="n"/>
      <c r="T4686" s="170" t="n"/>
      <c r="U4686" s="96" t="n">
        <v>1.2</v>
      </c>
      <c r="V4686" s="30" t="n"/>
      <c r="W4686" s="30" t="n"/>
      <c r="X4686" s="30" t="n"/>
      <c r="Y4686" s="30" t="n"/>
      <c r="Z4686" s="30" t="n"/>
      <c r="AA4686" s="30" t="n"/>
      <c r="AB4686" s="30" t="n"/>
      <c r="AC4686" s="30" t="n"/>
      <c r="AD4686" s="30" t="n"/>
      <c r="AE4686" s="30" t="n"/>
      <c r="AF4686" s="30" t="n"/>
      <c r="AG4686" s="30" t="n"/>
      <c r="AH4686" s="30" t="n"/>
      <c r="AI4686" s="30" t="n"/>
      <c r="AJ4686" s="30" t="n"/>
      <c r="AK4686" s="30" t="n"/>
      <c r="AL4686" s="30" t="n"/>
      <c r="AM4686" s="30" t="n"/>
      <c r="AN4686" s="30" t="n"/>
      <c r="AO4686" s="30" t="n"/>
    </row>
    <row r="4687">
      <c r="A4687" s="134" t="inlineStr">
        <is>
          <t>06153XXX</t>
        </is>
      </c>
      <c r="B4687" s="246" t="inlineStr">
        <is>
          <t xml:space="preserve"> TAVERNITI JOGGING DAMA</t>
        </is>
      </c>
      <c r="C4687" s="219" t="n">
        <v>64000</v>
      </c>
      <c r="D4687" s="219" t="n"/>
      <c r="E4687" s="219" t="n"/>
      <c r="F4687" s="219" t="n"/>
      <c r="G4687" s="219" t="n"/>
      <c r="H4687" s="219" t="n"/>
      <c r="I4687" s="219" t="n"/>
      <c r="J4687" s="219" t="n"/>
      <c r="K4687" s="170" t="n"/>
      <c r="L4687" s="170" t="n"/>
      <c r="M4687" s="170" t="n"/>
      <c r="N4687" s="30" t="n"/>
      <c r="O4687" s="30" t="n"/>
      <c r="P4687" s="150">
        <f>U4687*C4687</f>
        <v/>
      </c>
      <c r="Q4687" s="30" t="n"/>
      <c r="R4687" s="170" t="n"/>
      <c r="S4687" s="30" t="n"/>
      <c r="T4687" s="170" t="n"/>
      <c r="U4687" s="96" t="n">
        <v>1.2</v>
      </c>
      <c r="V4687" s="30" t="n"/>
      <c r="W4687" s="30" t="n"/>
      <c r="X4687" s="30" t="n"/>
      <c r="Y4687" s="30" t="n"/>
      <c r="Z4687" s="30" t="n"/>
      <c r="AA4687" s="30" t="n"/>
      <c r="AB4687" s="30" t="n"/>
      <c r="AC4687" s="30" t="n"/>
      <c r="AD4687" s="30" t="n"/>
      <c r="AE4687" s="30" t="n"/>
      <c r="AF4687" s="30" t="n"/>
      <c r="AG4687" s="30" t="n"/>
      <c r="AH4687" s="30" t="n"/>
      <c r="AI4687" s="30" t="n"/>
      <c r="AJ4687" s="30" t="n"/>
      <c r="AK4687" s="30" t="n"/>
      <c r="AL4687" s="30" t="n"/>
      <c r="AM4687" s="30" t="n"/>
      <c r="AN4687" s="30" t="n"/>
      <c r="AO4687" s="30" t="n"/>
    </row>
    <row r="4688">
      <c r="A4688" s="128" t="inlineStr">
        <is>
          <t>8479XXX</t>
        </is>
      </c>
      <c r="B4688" s="188" t="inlineStr">
        <is>
          <t xml:space="preserve"> TAVERNITI PANTALÓN DAMA</t>
        </is>
      </c>
      <c r="C4688" s="153" t="n">
        <v>69100</v>
      </c>
      <c r="D4688" s="153" t="n"/>
      <c r="E4688" s="153" t="n"/>
      <c r="F4688" s="153" t="n"/>
      <c r="G4688" s="153" t="n"/>
      <c r="H4688" s="153" t="n"/>
      <c r="I4688" s="153" t="n"/>
      <c r="J4688" s="153" t="n"/>
      <c r="K4688" s="219" t="n"/>
      <c r="L4688" s="219" t="n"/>
      <c r="M4688" s="219" t="n"/>
      <c r="P4688" s="117">
        <f>U4688*C4688</f>
        <v/>
      </c>
      <c r="R4688" s="117" t="n"/>
      <c r="T4688" s="117" t="n"/>
      <c r="U4688" s="96" t="n">
        <v>1.2</v>
      </c>
    </row>
    <row r="4689">
      <c r="A4689" s="128" t="inlineStr">
        <is>
          <t>8487XXX</t>
        </is>
      </c>
      <c r="B4689" s="188" t="inlineStr">
        <is>
          <t xml:space="preserve"> TAVERNITI PANTALÓN DAMA</t>
        </is>
      </c>
      <c r="C4689" s="153" t="n">
        <v>82300</v>
      </c>
      <c r="D4689" s="153" t="n"/>
      <c r="E4689" s="153" t="n"/>
      <c r="F4689" s="153" t="n"/>
      <c r="G4689" s="153" t="n"/>
      <c r="H4689" s="153" t="n"/>
      <c r="I4689" s="153" t="n"/>
      <c r="J4689" s="153" t="n"/>
      <c r="K4689" s="219" t="n"/>
      <c r="L4689" s="219" t="n"/>
      <c r="M4689" s="219" t="n"/>
      <c r="P4689" s="117">
        <f>U4689*C4689</f>
        <v/>
      </c>
      <c r="R4689" s="117" t="n"/>
      <c r="T4689" s="117" t="n"/>
      <c r="U4689" s="96" t="n">
        <v>1.2</v>
      </c>
    </row>
    <row r="4690">
      <c r="A4690" s="128" t="inlineStr">
        <is>
          <t>8491XXX</t>
        </is>
      </c>
      <c r="B4690" s="188" t="inlineStr">
        <is>
          <t xml:space="preserve"> TAVERNITI JOGGING DAMA</t>
        </is>
      </c>
      <c r="C4690" s="153" t="n">
        <v>60100</v>
      </c>
      <c r="D4690" s="153" t="n"/>
      <c r="E4690" s="153" t="n"/>
      <c r="F4690" s="153" t="n"/>
      <c r="G4690" s="153" t="n"/>
      <c r="H4690" s="153" t="n"/>
      <c r="I4690" s="153" t="n"/>
      <c r="J4690" s="153" t="n"/>
      <c r="K4690" s="219" t="n"/>
      <c r="L4690" s="219" t="n"/>
      <c r="M4690" s="219" t="n"/>
      <c r="P4690" s="117">
        <f>U4690*C4690</f>
        <v/>
      </c>
      <c r="R4690" s="117" t="n"/>
      <c r="T4690" s="117" t="n"/>
      <c r="U4690" s="96" t="n">
        <v>1.2</v>
      </c>
    </row>
    <row r="4691">
      <c r="A4691" s="128" t="inlineStr">
        <is>
          <t>84976XX</t>
        </is>
      </c>
      <c r="B4691" s="188" t="inlineStr">
        <is>
          <t xml:space="preserve"> TAVERNITI JOGGING DAMA</t>
        </is>
      </c>
      <c r="C4691" s="153" t="n">
        <v>56800</v>
      </c>
      <c r="D4691" s="153" t="n"/>
      <c r="E4691" s="153" t="n"/>
      <c r="F4691" s="153" t="n"/>
      <c r="G4691" s="153" t="n"/>
      <c r="H4691" s="153" t="n"/>
      <c r="I4691" s="153" t="n"/>
      <c r="J4691" s="153" t="n"/>
      <c r="K4691" s="219" t="n"/>
      <c r="L4691" s="219" t="n"/>
      <c r="M4691" s="219" t="n"/>
      <c r="P4691" s="117">
        <f>U4691*C4691</f>
        <v/>
      </c>
      <c r="R4691" s="117" t="n"/>
      <c r="T4691" s="117" t="n"/>
      <c r="U4691" s="96" t="n">
        <v>1.2</v>
      </c>
    </row>
    <row r="4692">
      <c r="A4692" s="134" t="inlineStr">
        <is>
          <t>08711XXX</t>
        </is>
      </c>
      <c r="B4692" s="135" t="inlineStr">
        <is>
          <t xml:space="preserve"> TAVERNITI PANTALÓN DAMA</t>
        </is>
      </c>
      <c r="C4692" s="219" t="n">
        <v>54200</v>
      </c>
      <c r="D4692" s="111" t="n"/>
      <c r="E4692" s="111" t="n"/>
      <c r="F4692" s="111" t="n"/>
      <c r="G4692" s="111" t="n"/>
      <c r="H4692" s="111" t="n"/>
      <c r="I4692" s="111" t="n"/>
      <c r="J4692" s="111" t="n"/>
      <c r="K4692" s="170" t="n"/>
      <c r="L4692" s="170" t="n"/>
      <c r="M4692" s="170" t="n"/>
      <c r="N4692" s="30" t="n"/>
      <c r="O4692" s="30" t="n"/>
      <c r="P4692" s="150">
        <f>U4692*C4692</f>
        <v/>
      </c>
      <c r="Q4692" s="30" t="n"/>
      <c r="R4692" s="170" t="n"/>
      <c r="S4692" s="30" t="n"/>
      <c r="T4692" s="170" t="n"/>
      <c r="U4692" s="96" t="n">
        <v>1.2</v>
      </c>
      <c r="V4692" s="30" t="n"/>
      <c r="W4692" s="30" t="n"/>
      <c r="X4692" s="30" t="n"/>
      <c r="Y4692" s="30" t="n"/>
      <c r="Z4692" s="30" t="n"/>
      <c r="AA4692" s="30" t="n"/>
      <c r="AB4692" s="30" t="n"/>
      <c r="AC4692" s="30" t="n"/>
      <c r="AD4692" s="30" t="n"/>
      <c r="AE4692" s="30" t="n"/>
      <c r="AF4692" s="30" t="n"/>
      <c r="AG4692" s="30" t="n"/>
      <c r="AH4692" s="30" t="n"/>
      <c r="AI4692" s="30" t="n"/>
      <c r="AJ4692" s="30" t="n"/>
      <c r="AK4692" s="30" t="n"/>
      <c r="AL4692" s="30" t="n"/>
      <c r="AM4692" s="30" t="n"/>
      <c r="AN4692" s="30" t="n"/>
      <c r="AO4692" s="30" t="n"/>
    </row>
    <row r="4693">
      <c r="A4693" s="89" t="inlineStr">
        <is>
          <t>08821XXX</t>
        </is>
      </c>
      <c r="B4693" s="135" t="inlineStr">
        <is>
          <t xml:space="preserve"> TAVERNITI PANTALÓN DAMA</t>
        </is>
      </c>
      <c r="C4693" s="88" t="n">
        <v>79000</v>
      </c>
      <c r="D4693" s="170" t="n"/>
      <c r="E4693" s="170" t="n"/>
      <c r="F4693" s="170" t="n"/>
      <c r="G4693" s="170" t="n"/>
      <c r="H4693" s="170" t="n"/>
      <c r="I4693" s="170" t="n"/>
      <c r="J4693" s="170" t="n"/>
      <c r="K4693" s="170" t="n"/>
      <c r="L4693" s="170" t="n"/>
      <c r="M4693" s="170" t="n"/>
      <c r="N4693" s="30" t="n"/>
      <c r="O4693" s="30" t="n"/>
      <c r="P4693" s="150">
        <f>U4693*C4693</f>
        <v/>
      </c>
      <c r="Q4693" s="30" t="n"/>
      <c r="R4693" s="170" t="n"/>
      <c r="S4693" s="30" t="n"/>
      <c r="T4693" s="170" t="n"/>
      <c r="U4693" s="96" t="n">
        <v>1</v>
      </c>
      <c r="V4693" s="30" t="n"/>
      <c r="W4693" s="30" t="n"/>
      <c r="X4693" s="30" t="n"/>
      <c r="Y4693" s="30" t="n"/>
      <c r="Z4693" s="30" t="n"/>
      <c r="AA4693" s="30" t="n"/>
      <c r="AB4693" s="30" t="n"/>
      <c r="AC4693" s="30" t="n"/>
      <c r="AD4693" s="30" t="n"/>
      <c r="AE4693" s="30" t="n"/>
      <c r="AF4693" s="30" t="n"/>
      <c r="AG4693" s="30" t="n"/>
      <c r="AH4693" s="30" t="n"/>
      <c r="AI4693" s="30" t="n"/>
      <c r="AJ4693" s="30" t="n"/>
      <c r="AK4693" s="30" t="n"/>
      <c r="AL4693" s="30" t="n"/>
      <c r="AM4693" s="30" t="n"/>
      <c r="AN4693" s="30" t="n"/>
      <c r="AO4693" s="30" t="n"/>
    </row>
    <row r="4694">
      <c r="A4694" s="89" t="inlineStr">
        <is>
          <t>08823XXX</t>
        </is>
      </c>
      <c r="B4694" s="135" t="inlineStr">
        <is>
          <t xml:space="preserve"> TAVERNITI PANTALÓN DAMA</t>
        </is>
      </c>
      <c r="C4694" s="88" t="n">
        <v>75000</v>
      </c>
      <c r="D4694" s="170" t="n"/>
      <c r="E4694" s="170" t="n"/>
      <c r="F4694" s="170" t="n"/>
      <c r="G4694" s="170" t="n"/>
      <c r="H4694" s="170" t="n"/>
      <c r="I4694" s="170" t="n"/>
      <c r="J4694" s="170" t="n"/>
      <c r="K4694" s="170" t="n"/>
      <c r="L4694" s="170" t="n"/>
      <c r="M4694" s="170" t="n"/>
      <c r="N4694" s="30" t="n"/>
      <c r="O4694" s="30" t="n"/>
      <c r="P4694" s="150">
        <f>U4694*C4694</f>
        <v/>
      </c>
      <c r="Q4694" s="30" t="n"/>
      <c r="R4694" s="170" t="n"/>
      <c r="S4694" s="30" t="n"/>
      <c r="T4694" s="170" t="n"/>
      <c r="U4694" s="96" t="n">
        <v>1</v>
      </c>
      <c r="V4694" s="30" t="n"/>
      <c r="W4694" s="30" t="n"/>
      <c r="X4694" s="30" t="n"/>
      <c r="Y4694" s="30" t="n"/>
      <c r="Z4694" s="30" t="n"/>
      <c r="AA4694" s="30" t="n"/>
      <c r="AB4694" s="30" t="n"/>
      <c r="AC4694" s="30" t="n"/>
      <c r="AD4694" s="30" t="n"/>
      <c r="AE4694" s="30" t="n"/>
      <c r="AF4694" s="30" t="n"/>
      <c r="AG4694" s="30" t="n"/>
      <c r="AH4694" s="30" t="n"/>
      <c r="AI4694" s="30" t="n"/>
      <c r="AJ4694" s="30" t="n"/>
      <c r="AK4694" s="30" t="n"/>
      <c r="AL4694" s="30" t="n"/>
      <c r="AM4694" s="30" t="n"/>
      <c r="AN4694" s="30" t="n"/>
      <c r="AO4694" s="30" t="n"/>
    </row>
    <row r="4695">
      <c r="A4695" s="134" t="inlineStr">
        <is>
          <t>08827XXX</t>
        </is>
      </c>
      <c r="B4695" s="135" t="inlineStr">
        <is>
          <t xml:space="preserve"> TAVERNITI PANTALÓN DAMA</t>
        </is>
      </c>
      <c r="C4695" s="219" t="n">
        <v>62500</v>
      </c>
      <c r="D4695" s="111" t="n"/>
      <c r="E4695" s="111" t="n"/>
      <c r="F4695" s="111" t="n"/>
      <c r="G4695" s="111" t="n"/>
      <c r="H4695" s="111" t="n"/>
      <c r="I4695" s="111" t="n"/>
      <c r="J4695" s="111" t="n"/>
      <c r="K4695" s="170" t="n"/>
      <c r="L4695" s="170" t="n"/>
      <c r="M4695" s="170" t="n"/>
      <c r="N4695" s="30" t="n"/>
      <c r="O4695" s="30" t="n"/>
      <c r="P4695" s="150">
        <f>U4695*C4695</f>
        <v/>
      </c>
      <c r="Q4695" s="30" t="n"/>
      <c r="R4695" s="170" t="n"/>
      <c r="S4695" s="30" t="n"/>
      <c r="T4695" s="170" t="n"/>
      <c r="U4695" s="96" t="n">
        <v>1.2</v>
      </c>
      <c r="V4695" s="30" t="n"/>
      <c r="W4695" s="30" t="n"/>
      <c r="X4695" s="30" t="n"/>
      <c r="Y4695" s="30" t="n"/>
      <c r="Z4695" s="30" t="n"/>
      <c r="AA4695" s="30" t="n"/>
      <c r="AB4695" s="30" t="n"/>
      <c r="AC4695" s="30" t="n"/>
      <c r="AD4695" s="30" t="n"/>
      <c r="AE4695" s="30" t="n"/>
      <c r="AF4695" s="30" t="n"/>
      <c r="AG4695" s="30" t="n"/>
      <c r="AH4695" s="30" t="n"/>
      <c r="AI4695" s="30" t="n"/>
      <c r="AJ4695" s="30" t="n"/>
      <c r="AK4695" s="30" t="n"/>
      <c r="AL4695" s="30" t="n"/>
      <c r="AM4695" s="30" t="n"/>
      <c r="AN4695" s="30" t="n"/>
      <c r="AO4695" s="30" t="n"/>
    </row>
    <row r="4696">
      <c r="A4696" s="128" t="inlineStr">
        <is>
          <t>10447XXX</t>
        </is>
      </c>
      <c r="B4696" s="246" t="inlineStr">
        <is>
          <t xml:space="preserve"> TAVERNITI PANTALÓN DAMA</t>
        </is>
      </c>
      <c r="C4696" s="153" t="n">
        <v>93400</v>
      </c>
      <c r="D4696" s="153" t="n"/>
      <c r="E4696" s="153" t="n"/>
      <c r="F4696" s="153" t="n"/>
      <c r="G4696" s="153" t="n"/>
      <c r="H4696" s="153" t="n"/>
      <c r="I4696" s="153" t="n"/>
      <c r="J4696" s="153" t="n"/>
      <c r="K4696" s="219" t="n"/>
      <c r="L4696" s="219" t="n"/>
      <c r="M4696" s="219" t="n"/>
      <c r="P4696" s="117">
        <f>U4696*C4696</f>
        <v/>
      </c>
      <c r="R4696" s="117" t="n"/>
      <c r="T4696" s="117" t="n"/>
      <c r="U4696" s="96" t="n">
        <v>1.2</v>
      </c>
    </row>
    <row r="4697">
      <c r="A4697" s="128" t="inlineStr">
        <is>
          <t>12056/12049</t>
        </is>
      </c>
      <c r="B4697" s="188" t="inlineStr">
        <is>
          <t>CHUPÍN GUNDA</t>
        </is>
      </c>
      <c r="C4697" s="153" t="n">
        <v>48000</v>
      </c>
      <c r="D4697" s="88">
        <f>ROUND((C4697*1.06)/100,0)*100</f>
        <v/>
      </c>
      <c r="E4697" s="88">
        <f>ROUND((C4697*1.12)/100,0)*100</f>
        <v/>
      </c>
      <c r="F4697" s="22">
        <f>ROUND((C4697*1.18)/100,0)*100</f>
        <v/>
      </c>
      <c r="G4697" s="22">
        <f>ROUND((C4697*1.24)/100,0)*100</f>
        <v/>
      </c>
      <c r="H4697" s="153" t="n"/>
      <c r="I4697" s="153" t="n"/>
      <c r="J4697" s="153" t="n"/>
      <c r="K4697" s="219" t="n"/>
      <c r="L4697" s="219" t="n"/>
      <c r="M4697" s="219" t="n"/>
      <c r="P4697" s="117">
        <f>U4697*C4697</f>
        <v/>
      </c>
      <c r="R4697" s="117" t="n"/>
      <c r="T4697" s="117" t="n"/>
      <c r="U4697" s="96" t="n">
        <v>1.2</v>
      </c>
    </row>
    <row r="4698">
      <c r="A4698" s="128" t="inlineStr">
        <is>
          <t>12131/12132</t>
        </is>
      </c>
      <c r="B4698" s="188" t="inlineStr">
        <is>
          <t>CHUPÍN GULL</t>
        </is>
      </c>
      <c r="C4698" s="153" t="n">
        <v>48000</v>
      </c>
      <c r="D4698" s="88">
        <f>ROUND((C4698*1.06)/100,0)*100</f>
        <v/>
      </c>
      <c r="E4698" s="88">
        <f>ROUND((C4698*1.12)/100,0)*100</f>
        <v/>
      </c>
      <c r="F4698" s="22">
        <f>ROUND((C4698*1.18)/100,0)*100</f>
        <v/>
      </c>
      <c r="G4698" s="22">
        <f>ROUND((C4698*1.24)/100,0)*100</f>
        <v/>
      </c>
      <c r="H4698" s="153" t="n"/>
      <c r="I4698" s="153" t="n"/>
      <c r="J4698" s="153" t="n"/>
      <c r="K4698" s="219" t="n"/>
      <c r="L4698" s="219" t="n"/>
      <c r="M4698" s="219" t="n"/>
      <c r="P4698" s="117">
        <f>U4698*C4698</f>
        <v/>
      </c>
      <c r="R4698" s="117" t="n"/>
      <c r="T4698" s="117" t="n"/>
      <c r="U4698" s="96" t="n">
        <v>1.2</v>
      </c>
    </row>
    <row r="4699">
      <c r="A4699" s="128" t="inlineStr">
        <is>
          <t>5301</t>
        </is>
      </c>
      <c r="B4699" s="188" t="inlineStr">
        <is>
          <t>PANTALON CERILLO</t>
        </is>
      </c>
      <c r="C4699" s="153" t="n">
        <v>46400</v>
      </c>
      <c r="D4699" s="88">
        <f>ROUND((C4699*1.06)/100,0)*100</f>
        <v/>
      </c>
      <c r="E4699" s="88">
        <f>ROUND((C4699*1.12)/100,0)*100</f>
        <v/>
      </c>
      <c r="F4699" s="22">
        <f>ROUND((C4699*1.18)/100,0)*100</f>
        <v/>
      </c>
      <c r="G4699" s="22">
        <f>ROUND((C4699*1.24)/100,0)*100</f>
        <v/>
      </c>
      <c r="H4699" s="153" t="n"/>
      <c r="I4699" s="153" t="n"/>
      <c r="J4699" s="153" t="n"/>
      <c r="K4699" s="219" t="n"/>
      <c r="L4699" s="219" t="n"/>
      <c r="M4699" s="219" t="n"/>
      <c r="P4699" s="117">
        <f>C4699*U4699</f>
        <v/>
      </c>
      <c r="R4699" s="117" t="n"/>
      <c r="T4699" s="117" t="n"/>
      <c r="U4699" s="96" t="n">
        <v>1.2</v>
      </c>
    </row>
    <row r="4700">
      <c r="A4700" s="128" t="inlineStr">
        <is>
          <t>6001</t>
        </is>
      </c>
      <c r="B4700" s="188" t="inlineStr">
        <is>
          <t>PANTALON KREMLIN</t>
        </is>
      </c>
      <c r="C4700" s="153" t="n">
        <v>37500</v>
      </c>
      <c r="D4700" s="88">
        <f>ROUND((C4700*1.06)/100,0)*100</f>
        <v/>
      </c>
      <c r="E4700" s="88">
        <f>ROUND((C4700*1.12)/100,0)*100</f>
        <v/>
      </c>
      <c r="F4700" s="22">
        <f>ROUND((C4700*1.18)/100,0)*100</f>
        <v/>
      </c>
      <c r="G4700" s="22">
        <f>ROUND((C4700*1.24)/100,0)*100</f>
        <v/>
      </c>
      <c r="H4700" s="153" t="n"/>
      <c r="I4700" s="153" t="n"/>
      <c r="J4700" s="153" t="n"/>
      <c r="K4700" s="219" t="n"/>
      <c r="L4700" s="219" t="n"/>
      <c r="M4700" s="219" t="n"/>
      <c r="P4700" s="117">
        <f>C4700*U4700</f>
        <v/>
      </c>
      <c r="R4700" s="117" t="n"/>
      <c r="T4700" s="117" t="n"/>
      <c r="U4700" s="96" t="n">
        <v>1.2</v>
      </c>
    </row>
    <row r="4701">
      <c r="A4701" s="128" t="n"/>
      <c r="B4701" s="188" t="n"/>
      <c r="C4701" s="153" t="n"/>
      <c r="D4701" s="153" t="n"/>
      <c r="E4701" s="153" t="n"/>
      <c r="F4701" s="153" t="n"/>
      <c r="G4701" s="153" t="n"/>
      <c r="H4701" s="153" t="n"/>
      <c r="I4701" s="153" t="n"/>
      <c r="J4701" s="153" t="n"/>
      <c r="K4701" s="219" t="n"/>
      <c r="L4701" s="219" t="n"/>
      <c r="M4701" s="219" t="n"/>
      <c r="P4701" s="117" t="n"/>
      <c r="R4701" s="117" t="n"/>
      <c r="T4701" s="117" t="n"/>
      <c r="U4701" s="118" t="n"/>
      <c r="V4701" s="118" t="n"/>
      <c r="W4701" s="118" t="n"/>
      <c r="X4701" s="118" t="n"/>
      <c r="Y4701" s="118" t="n"/>
    </row>
    <row r="4702">
      <c r="A4702" s="128" t="n"/>
      <c r="B4702" s="188" t="n"/>
      <c r="C4702" s="153" t="n"/>
      <c r="D4702" s="153" t="n"/>
      <c r="E4702" s="153" t="n"/>
      <c r="F4702" s="153" t="n"/>
      <c r="G4702" s="153" t="n"/>
      <c r="H4702" s="153" t="n"/>
      <c r="I4702" s="153" t="n"/>
      <c r="J4702" s="153" t="n"/>
      <c r="K4702" s="219" t="n"/>
      <c r="L4702" s="219" t="n"/>
      <c r="M4702" s="219" t="n"/>
      <c r="P4702" s="117" t="n"/>
      <c r="R4702" s="117" t="n"/>
      <c r="T4702" s="117" t="n"/>
      <c r="U4702" s="118" t="n"/>
      <c r="V4702" s="118" t="n"/>
      <c r="W4702" s="118" t="n"/>
      <c r="X4702" s="118" t="n"/>
      <c r="Y4702" s="118" t="n"/>
    </row>
    <row r="4703">
      <c r="A4703" s="128" t="n"/>
      <c r="B4703" s="188" t="n"/>
      <c r="C4703" s="153" t="n"/>
      <c r="D4703" s="153" t="n"/>
      <c r="E4703" s="153" t="n"/>
      <c r="F4703" s="153" t="n"/>
      <c r="G4703" s="153" t="n"/>
      <c r="H4703" s="153" t="n"/>
      <c r="I4703" s="153" t="n"/>
      <c r="J4703" s="153" t="n"/>
      <c r="K4703" s="219" t="n"/>
      <c r="L4703" s="219" t="n"/>
      <c r="M4703" s="219" t="n"/>
      <c r="P4703" s="117" t="n"/>
      <c r="R4703" s="117" t="n"/>
      <c r="T4703" s="117" t="n"/>
      <c r="U4703" s="118" t="n"/>
      <c r="V4703" s="118" t="n"/>
      <c r="W4703" s="118" t="n"/>
      <c r="X4703" s="118" t="n"/>
      <c r="Y4703" s="118" t="n"/>
    </row>
    <row r="4704">
      <c r="A4704" s="128" t="n"/>
      <c r="B4704" s="188" t="n"/>
      <c r="C4704" s="153" t="n"/>
      <c r="D4704" s="153" t="n"/>
      <c r="E4704" s="153" t="n"/>
      <c r="F4704" s="153" t="n"/>
      <c r="G4704" s="153" t="n"/>
      <c r="H4704" s="153" t="n"/>
      <c r="I4704" s="153" t="n"/>
      <c r="J4704" s="153" t="n"/>
      <c r="K4704" s="180" t="n"/>
      <c r="L4704" s="219" t="n"/>
      <c r="M4704" s="219" t="n"/>
      <c r="P4704" s="117" t="n"/>
      <c r="R4704" s="117" t="n"/>
      <c r="T4704" s="117" t="n"/>
    </row>
    <row r="4705">
      <c r="A4705" s="128" t="n"/>
      <c r="B4705" s="247" t="inlineStr">
        <is>
          <t>POLLERAS</t>
        </is>
      </c>
      <c r="C4705" s="202" t="inlineStr">
        <is>
          <t>38-46</t>
        </is>
      </c>
      <c r="D4705" s="202" t="inlineStr">
        <is>
          <t>48-50</t>
        </is>
      </c>
      <c r="E4705" s="202" t="inlineStr">
        <is>
          <t>52-54</t>
        </is>
      </c>
      <c r="F4705" s="202" t="n">
        <v>56</v>
      </c>
      <c r="G4705" s="202" t="n">
        <v>58</v>
      </c>
      <c r="H4705" s="202" t="n">
        <v>60</v>
      </c>
      <c r="I4705" s="202" t="n">
        <v>62</v>
      </c>
      <c r="J4705" s="202" t="n">
        <v>64</v>
      </c>
      <c r="K4705" s="219" t="n"/>
      <c r="L4705" s="128" t="inlineStr">
        <is>
          <t>10/24</t>
        </is>
      </c>
      <c r="M4705" s="219" t="n"/>
      <c r="P4705" s="117" t="n"/>
      <c r="R4705" s="117" t="n"/>
      <c r="T4705" s="117" t="n"/>
    </row>
    <row r="4706">
      <c r="A4706" s="134" t="inlineStr">
        <is>
          <t>30011</t>
        </is>
      </c>
      <c r="B4706" s="246" t="inlineStr">
        <is>
          <t>CHELOY´S PIGMENTADAS COLOR</t>
        </is>
      </c>
      <c r="C4706" s="88" t="n">
        <v>31900</v>
      </c>
      <c r="D4706" s="88">
        <f>ROUND((C4706*1.06)/100,0)*100</f>
        <v/>
      </c>
      <c r="E4706" s="88">
        <f>ROUND((C4706*1.12)/100,0)*100</f>
        <v/>
      </c>
      <c r="F4706" s="22">
        <f>ROUND((C4706*1.18)/100,0)*100</f>
        <v/>
      </c>
      <c r="G4706" s="22">
        <f>ROUND((C4706*1.24)/100,0)*100</f>
        <v/>
      </c>
      <c r="H4706" s="146">
        <f>ROUND((C4706*1.29)/100,0)*100</f>
        <v/>
      </c>
      <c r="I4706" s="146">
        <f>ROUND((C4706*1.34)/100,0)*100</f>
        <v/>
      </c>
      <c r="J4706" s="146">
        <f>ROUND((C4706*1.39)/100,0)*100</f>
        <v/>
      </c>
      <c r="K4706" s="153" t="n"/>
      <c r="L4706" s="153" t="n"/>
      <c r="M4706" s="219" t="n"/>
      <c r="N4706" s="219">
        <f>C4706*O4706</f>
        <v/>
      </c>
      <c r="O4706" s="118" t="n">
        <v>1.26</v>
      </c>
      <c r="P4706" s="117" t="n"/>
      <c r="R4706" s="117" t="n"/>
      <c r="T4706" s="117" t="n"/>
      <c r="AC4706" s="118" t="n"/>
      <c r="AD4706" s="243" t="n"/>
      <c r="AF4706" s="118" t="inlineStr">
        <is>
          <t>03-22</t>
        </is>
      </c>
    </row>
    <row r="4707">
      <c r="A4707" s="134" t="inlineStr">
        <is>
          <t>3002</t>
        </is>
      </c>
      <c r="B4707" s="246" t="inlineStr">
        <is>
          <t>CHELOY´S JEAN</t>
        </is>
      </c>
      <c r="C4707" s="88" t="n">
        <v>34900</v>
      </c>
      <c r="D4707" s="88">
        <f>ROUND((C4707*1.06)/100,0)*100</f>
        <v/>
      </c>
      <c r="E4707" s="88">
        <f>ROUND((C4707*1.12)/100,0)*100</f>
        <v/>
      </c>
      <c r="F4707" s="22">
        <f>ROUND((C4707*1.18)/100,0)*100</f>
        <v/>
      </c>
      <c r="G4707" s="22">
        <f>ROUND((C4707*1.24)/100,0)*100</f>
        <v/>
      </c>
      <c r="H4707" s="146">
        <f>ROUND((C4707*1.29)/100,0)*100</f>
        <v/>
      </c>
      <c r="I4707" s="146">
        <f>ROUND((C4707*1.34)/100,0)*100</f>
        <v/>
      </c>
      <c r="J4707" s="146">
        <f>ROUND((C4707*1.39)/100,0)*100</f>
        <v/>
      </c>
      <c r="K4707" s="219" t="n"/>
      <c r="L4707" s="219" t="n"/>
      <c r="M4707" s="219" t="n"/>
      <c r="N4707" s="219">
        <f>C4707*O4707</f>
        <v/>
      </c>
      <c r="O4707" s="118" t="n">
        <v>1.26</v>
      </c>
      <c r="P4707" s="117" t="n"/>
      <c r="R4707" s="117" t="n"/>
      <c r="T4707" s="117" t="n"/>
      <c r="AC4707" s="118" t="n"/>
    </row>
    <row r="4708">
      <c r="A4708" s="134" t="inlineStr">
        <is>
          <t>30021</t>
        </is>
      </c>
      <c r="B4708" s="246" t="inlineStr">
        <is>
          <t>CHELOY´S JEAN</t>
        </is>
      </c>
      <c r="C4708" s="88" t="n">
        <v>31900</v>
      </c>
      <c r="D4708" s="88">
        <f>ROUND((C4708*1.06)/100,0)*100</f>
        <v/>
      </c>
      <c r="E4708" s="88">
        <f>ROUND((C4708*1.12)/100,0)*100</f>
        <v/>
      </c>
      <c r="F4708" s="22">
        <f>ROUND((C4708*1.18)/100,0)*100</f>
        <v/>
      </c>
      <c r="G4708" s="22">
        <f>ROUND((C4708*1.24)/100,0)*100</f>
        <v/>
      </c>
      <c r="H4708" s="146">
        <f>ROUND((C4708*1.29)/100,0)*100</f>
        <v/>
      </c>
      <c r="I4708" s="146">
        <f>ROUND((C4708*1.34)/100,0)*100</f>
        <v/>
      </c>
      <c r="J4708" s="146">
        <f>ROUND((C4708*1.39)/100,0)*100</f>
        <v/>
      </c>
      <c r="K4708" s="219" t="n"/>
      <c r="L4708" s="219" t="n"/>
      <c r="M4708" s="219" t="n"/>
      <c r="N4708" s="219">
        <f>C4708*O4708</f>
        <v/>
      </c>
      <c r="O4708" s="118" t="n">
        <v>1.26</v>
      </c>
      <c r="P4708" s="117" t="n"/>
      <c r="R4708" s="117" t="n"/>
      <c r="T4708" s="117" t="n"/>
      <c r="AC4708" s="118" t="n"/>
    </row>
    <row r="4709">
      <c r="A4709" s="134" t="inlineStr">
        <is>
          <t>30022</t>
        </is>
      </c>
      <c r="B4709" s="246" t="inlineStr">
        <is>
          <t>POLLERA JEAN CHETA</t>
        </is>
      </c>
      <c r="C4709" s="88" t="n">
        <v>31200</v>
      </c>
      <c r="D4709" s="88">
        <f>ROUND((C4709*1.06)/100,0)*100</f>
        <v/>
      </c>
      <c r="E4709" s="88">
        <f>ROUND((C4709*1.12)/100,0)*100</f>
        <v/>
      </c>
      <c r="F4709" s="22">
        <f>ROUND((C4709*1.18)/100,0)*100</f>
        <v/>
      </c>
      <c r="G4709" s="22">
        <f>ROUND((C4709*1.24)/100,0)*100</f>
        <v/>
      </c>
      <c r="H4709" s="146">
        <f>ROUND((C4709*1.29)/100,0)*100</f>
        <v/>
      </c>
      <c r="I4709" s="146">
        <f>ROUND((C4709*1.34)/100,0)*100</f>
        <v/>
      </c>
      <c r="J4709" s="146">
        <f>ROUND((C4709*1.39)/100,0)*100</f>
        <v/>
      </c>
      <c r="K4709" s="219" t="n"/>
      <c r="L4709" s="219" t="n"/>
      <c r="M4709" s="219" t="n"/>
      <c r="N4709" s="219">
        <f>C4709*O4709</f>
        <v/>
      </c>
      <c r="O4709" s="118" t="n">
        <v>1.26</v>
      </c>
      <c r="P4709" s="117" t="n"/>
      <c r="R4709" s="117" t="n"/>
      <c r="T4709" s="117" t="n"/>
      <c r="AC4709" s="118" t="n"/>
    </row>
    <row r="4710">
      <c r="A4710" s="134" t="inlineStr">
        <is>
          <t>3003</t>
        </is>
      </c>
      <c r="B4710" s="246" t="inlineStr">
        <is>
          <t>CHELOY´S JEAN</t>
        </is>
      </c>
      <c r="C4710" s="88" t="n">
        <v>31900</v>
      </c>
      <c r="D4710" s="88">
        <f>ROUND((C4710*1.06)/100,0)*100</f>
        <v/>
      </c>
      <c r="E4710" s="88">
        <f>ROUND((C4710*1.12)/100,0)*100</f>
        <v/>
      </c>
      <c r="F4710" s="22">
        <f>ROUND((C4710*1.18)/100,0)*100</f>
        <v/>
      </c>
      <c r="G4710" s="22">
        <f>ROUND((C4710*1.24)/100,0)*100</f>
        <v/>
      </c>
      <c r="H4710" s="146">
        <f>ROUND((C4710*1.29)/100,0)*100</f>
        <v/>
      </c>
      <c r="I4710" s="146">
        <f>ROUND((C4710*1.34)/100,0)*100</f>
        <v/>
      </c>
      <c r="J4710" s="146">
        <f>ROUND((C4710*1.39)/100,0)*100</f>
        <v/>
      </c>
      <c r="K4710" s="219" t="n"/>
      <c r="L4710" s="219" t="n"/>
      <c r="M4710" s="219" t="n"/>
      <c r="N4710" s="219">
        <f>C4710*O4710</f>
        <v/>
      </c>
      <c r="O4710" s="118" t="n">
        <v>1.26</v>
      </c>
      <c r="P4710" s="117" t="n"/>
      <c r="R4710" s="117" t="n"/>
      <c r="T4710" s="117" t="n"/>
      <c r="AC4710" s="118" t="n"/>
    </row>
    <row r="4711">
      <c r="A4711" s="134" t="inlineStr">
        <is>
          <t>30050</t>
        </is>
      </c>
      <c r="B4711" s="246" t="inlineStr">
        <is>
          <t>GABARDINA CHETA</t>
        </is>
      </c>
      <c r="C4711" s="88" t="n">
        <v>27100</v>
      </c>
      <c r="D4711" s="88">
        <f>ROUND((C4711*1.06)/100,0)*100</f>
        <v/>
      </c>
      <c r="E4711" s="88">
        <f>ROUND((C4711*1.12)/100,0)*100</f>
        <v/>
      </c>
      <c r="F4711" s="22">
        <f>ROUND((C4711*1.18)/100,0)*100</f>
        <v/>
      </c>
      <c r="G4711" s="22">
        <f>ROUND((C4711*1.24)/100,0)*100</f>
        <v/>
      </c>
      <c r="H4711" s="146">
        <f>ROUND((C4711*1.29)/100,0)*100</f>
        <v/>
      </c>
      <c r="I4711" s="146">
        <f>ROUND((C4711*1.34)/100,0)*100</f>
        <v/>
      </c>
      <c r="J4711" s="146">
        <f>ROUND((C4711*1.39)/100,0)*100</f>
        <v/>
      </c>
      <c r="K4711" s="219" t="n"/>
      <c r="L4711" s="219" t="n"/>
      <c r="M4711" s="219" t="n"/>
      <c r="N4711" s="219">
        <f>C4711*O4711</f>
        <v/>
      </c>
      <c r="O4711" s="118" t="n">
        <v>1.26</v>
      </c>
      <c r="P4711" s="117" t="n"/>
      <c r="R4711" s="117" t="n"/>
      <c r="T4711" s="117" t="n"/>
      <c r="AC4711" s="118" t="n"/>
    </row>
    <row r="4712">
      <c r="A4712" s="134" t="inlineStr">
        <is>
          <t>30051</t>
        </is>
      </c>
      <c r="B4712" s="246" t="inlineStr">
        <is>
          <t>GABARDINA CHELOYS</t>
        </is>
      </c>
      <c r="C4712" s="88" t="n">
        <v>27100</v>
      </c>
      <c r="D4712" s="88">
        <f>ROUND((C4712*1.06)/100,0)*100</f>
        <v/>
      </c>
      <c r="E4712" s="88">
        <f>ROUND((C4712*1.12)/100,0)*100</f>
        <v/>
      </c>
      <c r="F4712" s="22">
        <f>ROUND((C4712*1.18)/100,0)*100</f>
        <v/>
      </c>
      <c r="G4712" s="22">
        <f>ROUND((C4712*1.24)/100,0)*100</f>
        <v/>
      </c>
      <c r="H4712" s="146">
        <f>ROUND((C4712*1.29)/100,0)*100</f>
        <v/>
      </c>
      <c r="I4712" s="146">
        <f>ROUND((C4712*1.34)/100,0)*100</f>
        <v/>
      </c>
      <c r="J4712" s="146">
        <f>ROUND((C4712*1.39)/100,0)*100</f>
        <v/>
      </c>
      <c r="K4712" s="219" t="n"/>
      <c r="L4712" s="219" t="n"/>
      <c r="M4712" s="219" t="n"/>
      <c r="N4712" s="219">
        <f>C4712*O4712</f>
        <v/>
      </c>
      <c r="O4712" s="118" t="n">
        <v>1.26</v>
      </c>
      <c r="P4712" s="117" t="n"/>
      <c r="R4712" s="117" t="n"/>
      <c r="T4712" s="117" t="n"/>
      <c r="AC4712" s="118" t="n"/>
    </row>
    <row r="4713">
      <c r="A4713" s="134" t="inlineStr">
        <is>
          <t>30051</t>
        </is>
      </c>
      <c r="B4713" s="246" t="inlineStr">
        <is>
          <t>BORDADA IMPORTADA</t>
        </is>
      </c>
      <c r="C4713" s="88" t="n">
        <v>31200</v>
      </c>
      <c r="D4713" s="88">
        <f>ROUND((C4713*1.06)/100,0)*100</f>
        <v/>
      </c>
      <c r="E4713" s="88">
        <f>ROUND((C4713*1.12)/100,0)*100</f>
        <v/>
      </c>
      <c r="F4713" s="22">
        <f>ROUND((C4713*1.18)/100,0)*100</f>
        <v/>
      </c>
      <c r="G4713" s="22">
        <f>ROUND((C4713*1.24)/100,0)*100</f>
        <v/>
      </c>
      <c r="H4713" s="146">
        <f>ROUND((C4713*1.29)/100,0)*100</f>
        <v/>
      </c>
      <c r="I4713" s="146">
        <f>ROUND((C4713*1.34)/100,0)*100</f>
        <v/>
      </c>
      <c r="J4713" s="146">
        <f>ROUND((C4713*1.39)/100,0)*100</f>
        <v/>
      </c>
      <c r="K4713" s="219" t="n"/>
      <c r="L4713" s="219" t="n"/>
      <c r="M4713" s="219" t="n"/>
      <c r="N4713" s="219">
        <f>C4713*O4713</f>
        <v/>
      </c>
      <c r="O4713" s="118" t="n">
        <v>1.26</v>
      </c>
      <c r="P4713" s="117" t="n"/>
      <c r="R4713" s="117" t="n"/>
      <c r="T4713" s="117" t="n"/>
      <c r="AC4713" s="118" t="n"/>
    </row>
    <row r="4714">
      <c r="A4714" s="128" t="inlineStr">
        <is>
          <t>3006</t>
        </is>
      </c>
      <c r="B4714" s="246" t="inlineStr">
        <is>
          <t>CORDEROY</t>
        </is>
      </c>
      <c r="C4714" s="88" t="n">
        <v>31200</v>
      </c>
      <c r="D4714" s="88">
        <f>ROUND((C4714*1.06)/100,0)*100</f>
        <v/>
      </c>
      <c r="E4714" s="88">
        <f>ROUND((C4714*1.12)/100,0)*100</f>
        <v/>
      </c>
      <c r="F4714" s="22">
        <f>ROUND((C4714*1.18)/100,0)*100</f>
        <v/>
      </c>
      <c r="G4714" s="22">
        <f>ROUND((C4714*1.24)/100,0)*100</f>
        <v/>
      </c>
      <c r="H4714" s="146">
        <f>ROUND((C4714*1.29)/100,0)*100</f>
        <v/>
      </c>
      <c r="I4714" s="146">
        <f>ROUND((C4714*1.34)/100,0)*100</f>
        <v/>
      </c>
      <c r="J4714" s="146">
        <f>ROUND((C4714*1.39)/100,0)*100</f>
        <v/>
      </c>
      <c r="K4714" s="219" t="n"/>
      <c r="L4714" s="219" t="n"/>
      <c r="M4714" s="219" t="n"/>
      <c r="N4714" s="219">
        <f>C4714*O4714</f>
        <v/>
      </c>
      <c r="O4714" s="118" t="n">
        <v>1.26</v>
      </c>
      <c r="P4714" s="117" t="n"/>
      <c r="R4714" s="117" t="n"/>
      <c r="T4714" s="117" t="n"/>
      <c r="AC4714" s="118" t="n"/>
    </row>
    <row r="4715">
      <c r="A4715" s="128" t="inlineStr">
        <is>
          <t>3010</t>
        </is>
      </c>
      <c r="B4715" s="246" t="inlineStr">
        <is>
          <t>SEMI JEANS</t>
        </is>
      </c>
      <c r="C4715" s="88" t="n">
        <v>31100</v>
      </c>
      <c r="D4715" s="88">
        <f>ROUND((C4715*1.06)/100,0)*100</f>
        <v/>
      </c>
      <c r="E4715" s="88">
        <f>ROUND((C4715*1.12)/100,0)*100</f>
        <v/>
      </c>
      <c r="F4715" s="22">
        <f>ROUND((C4715*1.18)/100,0)*100</f>
        <v/>
      </c>
      <c r="G4715" s="22">
        <f>ROUND((C4715*1.24)/100,0)*100</f>
        <v/>
      </c>
      <c r="H4715" s="146">
        <f>ROUND((C4715*1.29)/100,0)*100</f>
        <v/>
      </c>
      <c r="I4715" s="146">
        <f>ROUND((C4715*1.34)/100,0)*100</f>
        <v/>
      </c>
      <c r="J4715" s="146">
        <f>ROUND((C4715*1.39)/100,0)*100</f>
        <v/>
      </c>
      <c r="K4715" s="219" t="n"/>
      <c r="L4715" s="219" t="n"/>
      <c r="M4715" s="219" t="n"/>
      <c r="N4715" s="219">
        <f>C4715*O4715</f>
        <v/>
      </c>
      <c r="O4715" s="118" t="n">
        <v>1.26</v>
      </c>
      <c r="P4715" s="117" t="n"/>
      <c r="R4715" s="117" t="n"/>
      <c r="T4715" s="117" t="n"/>
      <c r="AC4715" s="118" t="n"/>
    </row>
    <row r="4716">
      <c r="A4716" s="128" t="inlineStr">
        <is>
          <t>30211</t>
        </is>
      </c>
      <c r="B4716" s="246" t="inlineStr">
        <is>
          <t>NARA BENGALINA</t>
        </is>
      </c>
      <c r="C4716" s="88" t="n">
        <v>37300</v>
      </c>
      <c r="D4716" s="88">
        <f>ROUND((C4716*1.06)/100,0)*100</f>
        <v/>
      </c>
      <c r="E4716" s="248" t="n"/>
      <c r="F4716" s="248" t="n"/>
      <c r="G4716" s="248" t="n"/>
      <c r="H4716" s="248" t="n"/>
      <c r="I4716" s="248" t="n"/>
      <c r="J4716" s="248" t="n"/>
      <c r="K4716" s="219" t="n"/>
      <c r="L4716" s="219" t="n"/>
      <c r="M4716" s="219" t="n"/>
      <c r="N4716" s="219">
        <f>C4716*O4716</f>
        <v/>
      </c>
      <c r="O4716" s="118" t="n">
        <v>1.26</v>
      </c>
      <c r="P4716" s="117" t="n"/>
      <c r="R4716" s="117" t="n"/>
      <c r="T4716" s="117" t="n"/>
      <c r="AC4716" s="118" t="n"/>
    </row>
    <row r="4717">
      <c r="A4717" s="128" t="inlineStr">
        <is>
          <t>30212</t>
        </is>
      </c>
      <c r="B4717" s="246" t="inlineStr">
        <is>
          <t>NARA GABARDINA TAJO</t>
        </is>
      </c>
      <c r="C4717" s="88" t="n">
        <v>37300</v>
      </c>
      <c r="D4717" s="88">
        <f>ROUND((C4717*1.06)/100,0)*100</f>
        <v/>
      </c>
      <c r="E4717" s="248" t="n"/>
      <c r="F4717" s="248" t="n"/>
      <c r="G4717" s="248" t="n"/>
      <c r="H4717" s="248" t="n"/>
      <c r="I4717" s="248" t="n"/>
      <c r="J4717" s="248" t="n"/>
      <c r="K4717" s="219" t="n"/>
      <c r="L4717" s="219" t="n"/>
      <c r="M4717" s="219" t="n"/>
      <c r="N4717" s="219">
        <f>C4717*O4717</f>
        <v/>
      </c>
      <c r="O4717" s="118" t="n">
        <v>1.26</v>
      </c>
      <c r="P4717" s="117" t="n"/>
      <c r="R4717" s="117" t="n"/>
      <c r="T4717" s="117" t="n"/>
      <c r="AC4717" s="118" t="n"/>
    </row>
    <row r="4718">
      <c r="A4718" s="128" t="inlineStr">
        <is>
          <t>30213</t>
        </is>
      </c>
      <c r="B4718" s="246" t="inlineStr">
        <is>
          <t>NARA ESTAMPADA</t>
        </is>
      </c>
      <c r="C4718" s="88" t="n">
        <v>37300</v>
      </c>
      <c r="D4718" s="88">
        <f>ROUND((C4718*1.06)/100,0)*100</f>
        <v/>
      </c>
      <c r="E4718" s="248" t="n"/>
      <c r="F4718" s="248" t="n"/>
      <c r="G4718" s="248" t="n"/>
      <c r="H4718" s="248" t="n"/>
      <c r="I4718" s="248" t="n"/>
      <c r="J4718" s="248" t="n"/>
      <c r="K4718" s="219" t="n"/>
      <c r="L4718" s="219" t="n"/>
      <c r="M4718" s="219" t="n"/>
      <c r="N4718" s="219">
        <f>C4718*O4718</f>
        <v/>
      </c>
      <c r="O4718" s="118" t="n">
        <v>1.26</v>
      </c>
      <c r="P4718" s="117" t="n"/>
      <c r="R4718" s="117" t="n"/>
      <c r="T4718" s="117" t="n"/>
      <c r="AC4718" s="118" t="n"/>
    </row>
    <row r="4719">
      <c r="A4719" s="128" t="inlineStr">
        <is>
          <t>1411/30214</t>
        </is>
      </c>
      <c r="B4719" s="246" t="inlineStr">
        <is>
          <t>POLLERA LA FALDA</t>
        </is>
      </c>
      <c r="C4719" s="88" t="n">
        <v>37300</v>
      </c>
      <c r="D4719" s="88">
        <f>ROUND((C4719*1.06)/100,0)*100</f>
        <v/>
      </c>
      <c r="E4719" s="248" t="n"/>
      <c r="F4719" s="248" t="n"/>
      <c r="G4719" s="248" t="n"/>
      <c r="H4719" s="248" t="n"/>
      <c r="I4719" s="248" t="n"/>
      <c r="J4719" s="248" t="n"/>
      <c r="K4719" s="219" t="n"/>
      <c r="L4719" s="219" t="n"/>
      <c r="M4719" s="219" t="n"/>
      <c r="N4719" s="219">
        <f>C4719*O4719</f>
        <v/>
      </c>
      <c r="O4719" s="118" t="n">
        <v>1.26</v>
      </c>
      <c r="P4719" s="117" t="n"/>
      <c r="R4719" s="117" t="n"/>
      <c r="T4719" s="117" t="n"/>
      <c r="AC4719" s="118" t="n"/>
    </row>
    <row r="4720">
      <c r="A4720" s="128" t="inlineStr">
        <is>
          <t>5621/30215</t>
        </is>
      </c>
      <c r="B4720" s="246" t="inlineStr">
        <is>
          <t>POLLERA BORGES</t>
        </is>
      </c>
      <c r="C4720" s="88" t="n">
        <v>26200</v>
      </c>
      <c r="D4720" s="88">
        <f>ROUND((C4720*1.06)/100,0)*100</f>
        <v/>
      </c>
      <c r="E4720" s="248" t="n"/>
      <c r="F4720" s="248" t="n"/>
      <c r="G4720" s="248" t="n"/>
      <c r="H4720" s="248" t="n"/>
      <c r="I4720" s="248" t="n"/>
      <c r="J4720" s="248" t="n"/>
      <c r="K4720" s="219" t="n"/>
      <c r="L4720" s="219" t="n"/>
      <c r="M4720" s="219" t="n"/>
      <c r="N4720" s="219">
        <f>C4720*O4720</f>
        <v/>
      </c>
      <c r="O4720" s="118" t="n">
        <v>1.26</v>
      </c>
      <c r="P4720" s="117" t="n"/>
      <c r="R4720" s="117" t="n"/>
      <c r="T4720" s="117" t="n"/>
      <c r="AC4720" s="118" t="n"/>
    </row>
    <row r="4721">
      <c r="A4721" s="128" t="inlineStr">
        <is>
          <t>5993/30216</t>
        </is>
      </c>
      <c r="B4721" s="246" t="inlineStr">
        <is>
          <t>POLLERA LEVEN</t>
        </is>
      </c>
      <c r="C4721" s="88" t="n">
        <v>26200</v>
      </c>
      <c r="D4721" s="88">
        <f>ROUND((C4721*1.06)/100,0)*100</f>
        <v/>
      </c>
      <c r="E4721" s="248" t="n"/>
      <c r="F4721" s="248" t="n"/>
      <c r="G4721" s="248" t="n"/>
      <c r="H4721" s="248" t="n"/>
      <c r="I4721" s="248" t="n"/>
      <c r="J4721" s="248" t="n"/>
      <c r="K4721" s="219" t="n"/>
      <c r="L4721" s="219" t="n"/>
      <c r="M4721" s="219" t="n"/>
      <c r="N4721" s="219">
        <f>C4721*O4721</f>
        <v/>
      </c>
      <c r="O4721" s="118" t="n">
        <v>1.26</v>
      </c>
      <c r="P4721" s="117" t="n"/>
      <c r="R4721" s="117" t="n"/>
      <c r="T4721" s="117" t="n"/>
      <c r="AC4721" s="118" t="n"/>
    </row>
    <row r="4722">
      <c r="A4722" s="128" t="inlineStr">
        <is>
          <t>13526/13527/13529</t>
        </is>
      </c>
      <c r="B4722" s="246" t="inlineStr">
        <is>
          <t>POLLERA NOSSAN</t>
        </is>
      </c>
      <c r="C4722" s="88" t="n">
        <v>30600</v>
      </c>
      <c r="D4722" s="88">
        <f>ROUND((C4722*1.06)/100,0)*100</f>
        <v/>
      </c>
      <c r="E4722" s="248" t="n"/>
      <c r="F4722" s="248" t="n"/>
      <c r="G4722" s="248" t="n"/>
      <c r="H4722" s="248" t="n"/>
      <c r="I4722" s="248" t="n"/>
      <c r="J4722" s="248" t="n"/>
      <c r="K4722" s="219" t="n"/>
      <c r="L4722" s="219" t="n"/>
      <c r="M4722" s="219" t="n"/>
      <c r="N4722" s="219">
        <f>C4722*O4722</f>
        <v/>
      </c>
      <c r="O4722" s="118" t="n">
        <v>1.26</v>
      </c>
      <c r="P4722" s="117" t="n"/>
      <c r="R4722" s="117" t="n"/>
      <c r="T4722" s="117" t="n"/>
      <c r="AC4722" s="118" t="n"/>
    </row>
    <row r="4723">
      <c r="A4723" s="128" t="inlineStr">
        <is>
          <t>5099</t>
        </is>
      </c>
      <c r="B4723" s="246" t="inlineStr">
        <is>
          <t>POLLERA TORDILLA</t>
        </is>
      </c>
      <c r="C4723" s="88" t="n">
        <v>26200</v>
      </c>
      <c r="D4723" s="88">
        <f>ROUND((C4723*1.06)/100,0)*100</f>
        <v/>
      </c>
      <c r="E4723" s="248" t="n"/>
      <c r="F4723" s="248" t="n"/>
      <c r="G4723" s="248" t="n"/>
      <c r="H4723" s="248" t="n"/>
      <c r="I4723" s="248" t="n"/>
      <c r="J4723" s="248" t="n"/>
      <c r="K4723" s="219" t="n"/>
      <c r="L4723" s="219" t="n"/>
      <c r="M4723" s="219" t="n"/>
      <c r="N4723" s="219">
        <f>C4723*O4723</f>
        <v/>
      </c>
      <c r="O4723" s="118" t="n">
        <v>1.26</v>
      </c>
      <c r="P4723" s="117" t="n"/>
      <c r="R4723" s="117" t="n"/>
      <c r="T4723" s="117" t="n"/>
      <c r="AC4723" s="118" t="n"/>
    </row>
    <row r="4724">
      <c r="A4724" s="128" t="inlineStr">
        <is>
          <t>5686</t>
        </is>
      </c>
      <c r="B4724" s="246" t="inlineStr">
        <is>
          <t>POLLERA ADOLF</t>
        </is>
      </c>
      <c r="C4724" s="88" t="n">
        <v>30600</v>
      </c>
      <c r="D4724" s="88">
        <f>ROUND((C4724*1.06)/100,0)*100</f>
        <v/>
      </c>
      <c r="E4724" s="248" t="n"/>
      <c r="F4724" s="248" t="n"/>
      <c r="G4724" s="248" t="n"/>
      <c r="H4724" s="248" t="n"/>
      <c r="I4724" s="248" t="n"/>
      <c r="J4724" s="248" t="n"/>
      <c r="K4724" s="219" t="n"/>
      <c r="L4724" s="219" t="n"/>
      <c r="M4724" s="219" t="n"/>
      <c r="N4724" s="219">
        <f>C4724*O4724</f>
        <v/>
      </c>
      <c r="O4724" s="118" t="n">
        <v>1.26</v>
      </c>
      <c r="P4724" s="117" t="n"/>
      <c r="R4724" s="117" t="n"/>
      <c r="T4724" s="117" t="n"/>
      <c r="AC4724" s="118" t="n"/>
    </row>
    <row r="4725">
      <c r="A4725" s="128" t="inlineStr">
        <is>
          <t>30231</t>
        </is>
      </c>
      <c r="B4725" s="246" t="inlineStr">
        <is>
          <t>POLLERA LANILLA CORTA</t>
        </is>
      </c>
      <c r="C4725" s="88" t="n">
        <v>23900</v>
      </c>
      <c r="D4725" s="88">
        <f>ROUND((C4725*1.06)/100,0)*100</f>
        <v/>
      </c>
      <c r="E4725" s="248" t="n"/>
      <c r="F4725" s="248" t="n"/>
      <c r="G4725" s="248" t="n"/>
      <c r="H4725" s="248" t="n"/>
      <c r="I4725" s="248" t="n"/>
      <c r="J4725" s="248" t="n"/>
      <c r="K4725" s="219" t="n"/>
      <c r="L4725" s="219" t="n"/>
      <c r="M4725" s="219" t="n"/>
      <c r="N4725" s="219">
        <f>C4725*O4725</f>
        <v/>
      </c>
      <c r="O4725" s="118" t="n">
        <v>1.26</v>
      </c>
      <c r="P4725" s="117" t="n"/>
      <c r="R4725" s="117" t="n"/>
      <c r="T4725" s="117" t="n"/>
      <c r="AC4725" s="118" t="n"/>
    </row>
    <row r="4726">
      <c r="A4726" s="128" t="inlineStr">
        <is>
          <t>30232</t>
        </is>
      </c>
      <c r="B4726" s="246" t="inlineStr">
        <is>
          <t>POLLERA LANILLA LARGA</t>
        </is>
      </c>
      <c r="C4726" s="153" t="n">
        <v>29600</v>
      </c>
      <c r="D4726" s="88">
        <f>ROUND((C4726*1.06)/100,0)*100</f>
        <v/>
      </c>
      <c r="E4726" s="248" t="n"/>
      <c r="F4726" s="248" t="n"/>
      <c r="G4726" s="248" t="n"/>
      <c r="H4726" s="248" t="n"/>
      <c r="I4726" s="248" t="n"/>
      <c r="J4726" s="248" t="n"/>
      <c r="K4726" s="219" t="n"/>
      <c r="L4726" s="219" t="n"/>
      <c r="M4726" s="219" t="n"/>
      <c r="N4726" s="219">
        <f>C4726*O4726</f>
        <v/>
      </c>
      <c r="O4726" s="118" t="n">
        <v>1.26</v>
      </c>
      <c r="P4726" s="117" t="n"/>
      <c r="R4726" s="117" t="n"/>
      <c r="T4726" s="117" t="n"/>
      <c r="AC4726" s="118" t="n"/>
    </row>
    <row r="4727">
      <c r="A4727" s="128" t="inlineStr">
        <is>
          <t>30235</t>
        </is>
      </c>
      <c r="B4727" s="246" t="inlineStr">
        <is>
          <t>POLLERA SUBLIMADA</t>
        </is>
      </c>
      <c r="C4727" s="153" t="n">
        <v>29600</v>
      </c>
      <c r="D4727" s="88">
        <f>ROUND((C4727*1.06)/100,0)*100</f>
        <v/>
      </c>
      <c r="E4727" s="249" t="n"/>
      <c r="F4727" s="249" t="n"/>
      <c r="G4727" s="249" t="n"/>
      <c r="H4727" s="249" t="n"/>
      <c r="I4727" s="249" t="n"/>
      <c r="J4727" s="249" t="n"/>
      <c r="K4727" s="219" t="n"/>
      <c r="L4727" s="219" t="n"/>
      <c r="M4727" s="219" t="n"/>
      <c r="N4727" s="219">
        <f>C4727*O4727</f>
        <v/>
      </c>
      <c r="O4727" s="118" t="n">
        <v>1.26</v>
      </c>
      <c r="P4727" s="117" t="n"/>
      <c r="R4727" s="117" t="n"/>
      <c r="T4727" s="117" t="n"/>
      <c r="AC4727" s="118" t="n"/>
    </row>
    <row r="4728">
      <c r="A4728" s="128" t="inlineStr">
        <is>
          <t>30236</t>
        </is>
      </c>
      <c r="B4728" s="246" t="inlineStr">
        <is>
          <t>POLLERA</t>
        </is>
      </c>
      <c r="C4728" s="153" t="n">
        <v>31600</v>
      </c>
      <c r="D4728" s="88">
        <f>ROUND((C4728*1.06)/100,0)*100</f>
        <v/>
      </c>
      <c r="E4728" s="249" t="n"/>
      <c r="F4728" s="249" t="n"/>
      <c r="G4728" s="249" t="n"/>
      <c r="H4728" s="249" t="n"/>
      <c r="I4728" s="249" t="n"/>
      <c r="J4728" s="249" t="n"/>
      <c r="K4728" s="219" t="n"/>
      <c r="L4728" s="219" t="n"/>
      <c r="M4728" s="219" t="n"/>
      <c r="N4728" s="219">
        <f>C4728*O4728</f>
        <v/>
      </c>
      <c r="O4728" s="118" t="n">
        <v>1.26</v>
      </c>
      <c r="P4728" s="117" t="n"/>
      <c r="R4728" s="117" t="n"/>
      <c r="T4728" s="117" t="n"/>
      <c r="AC4728" s="118" t="n"/>
    </row>
    <row r="4729">
      <c r="A4729" s="128" t="inlineStr">
        <is>
          <t>30237</t>
        </is>
      </c>
      <c r="B4729" s="246" t="inlineStr">
        <is>
          <t xml:space="preserve">POLLERA </t>
        </is>
      </c>
      <c r="C4729" s="153" t="n">
        <v>33800</v>
      </c>
      <c r="D4729" s="88">
        <f>ROUND((C4729*1.06)/100,0)*100</f>
        <v/>
      </c>
      <c r="E4729" s="249" t="n"/>
      <c r="F4729" s="249" t="n"/>
      <c r="G4729" s="249" t="n"/>
      <c r="H4729" s="249" t="n"/>
      <c r="I4729" s="249" t="n"/>
      <c r="J4729" s="249" t="n"/>
      <c r="K4729" s="219" t="n"/>
      <c r="L4729" s="219" t="n"/>
      <c r="M4729" s="219" t="n"/>
      <c r="N4729" s="219">
        <f>C4729*O4729</f>
        <v/>
      </c>
      <c r="O4729" s="118" t="n">
        <v>1.26</v>
      </c>
      <c r="P4729" s="117" t="n"/>
      <c r="R4729" s="117" t="n"/>
      <c r="T4729" s="117" t="n"/>
      <c r="AC4729" s="118" t="n"/>
    </row>
    <row r="4730">
      <c r="A4730" s="128" t="inlineStr">
        <is>
          <t>30238</t>
        </is>
      </c>
      <c r="B4730" s="246" t="inlineStr">
        <is>
          <t>POLLERA SEDA FRIA</t>
        </is>
      </c>
      <c r="C4730" s="153" t="n">
        <v>25500</v>
      </c>
      <c r="D4730" s="88">
        <f>ROUND((C4730*1.06)/100,0)*100</f>
        <v/>
      </c>
      <c r="E4730" s="249" t="n"/>
      <c r="F4730" s="249" t="n"/>
      <c r="G4730" s="249" t="n"/>
      <c r="H4730" s="249" t="n"/>
      <c r="I4730" s="249" t="n"/>
      <c r="J4730" s="249" t="n"/>
      <c r="K4730" s="219" t="n"/>
      <c r="L4730" s="219" t="n"/>
      <c r="M4730" s="219" t="n"/>
      <c r="N4730" s="219">
        <f>C4730*O4730</f>
        <v/>
      </c>
      <c r="O4730" s="118" t="n">
        <v>1.26</v>
      </c>
      <c r="P4730" s="117" t="n"/>
      <c r="R4730" s="117" t="n"/>
      <c r="T4730" s="117" t="n"/>
      <c r="AC4730" s="118" t="n"/>
    </row>
    <row r="4731">
      <c r="A4731" s="128" t="inlineStr">
        <is>
          <t>30239</t>
        </is>
      </c>
      <c r="B4731" s="246" t="inlineStr">
        <is>
          <t>POLLERA MODAL</t>
        </is>
      </c>
      <c r="C4731" s="153" t="n">
        <v>23100</v>
      </c>
      <c r="D4731" s="88">
        <f>ROUND((C4731*1.06)/100,0)*100</f>
        <v/>
      </c>
      <c r="E4731" s="249" t="n"/>
      <c r="F4731" s="249" t="n"/>
      <c r="G4731" s="249" t="n"/>
      <c r="H4731" s="249" t="n"/>
      <c r="I4731" s="249" t="n"/>
      <c r="J4731" s="249" t="n"/>
      <c r="K4731" s="219" t="n"/>
      <c r="L4731" s="219" t="n"/>
      <c r="M4731" s="219" t="n"/>
      <c r="N4731" s="219">
        <f>C4731*O4731</f>
        <v/>
      </c>
      <c r="O4731" s="118" t="n">
        <v>1.26</v>
      </c>
      <c r="P4731" s="117" t="n"/>
      <c r="R4731" s="117" t="n"/>
      <c r="T4731" s="117" t="n"/>
      <c r="AC4731" s="118" t="n"/>
    </row>
    <row r="4732">
      <c r="A4732" s="128" t="inlineStr">
        <is>
          <t>30240</t>
        </is>
      </c>
      <c r="B4732" s="246" t="inlineStr">
        <is>
          <t>POLLERA MODAL LARGA</t>
        </is>
      </c>
      <c r="C4732" s="153" t="n">
        <v>25200</v>
      </c>
      <c r="D4732" s="88">
        <f>ROUND((C4732*1.06)/100,0)*100</f>
        <v/>
      </c>
      <c r="E4732" s="249" t="n"/>
      <c r="F4732" s="249" t="n"/>
      <c r="G4732" s="249" t="n"/>
      <c r="H4732" s="249" t="n"/>
      <c r="I4732" s="249" t="n"/>
      <c r="J4732" s="249" t="n"/>
      <c r="K4732" s="219" t="n"/>
      <c r="L4732" s="219" t="n"/>
      <c r="M4732" s="219" t="n"/>
      <c r="N4732" s="219">
        <f>C4732*O4732</f>
        <v/>
      </c>
      <c r="O4732" s="118" t="n">
        <v>1.26</v>
      </c>
      <c r="P4732" s="117" t="n"/>
      <c r="R4732" s="117" t="n"/>
      <c r="T4732" s="117" t="n"/>
      <c r="AC4732" s="118" t="n"/>
    </row>
    <row r="4733">
      <c r="A4733" s="128" t="inlineStr">
        <is>
          <t>30241</t>
        </is>
      </c>
      <c r="B4733" s="246" t="inlineStr">
        <is>
          <t>POLLERA ALGODÓN DESAGUJADA</t>
        </is>
      </c>
      <c r="C4733" s="153" t="n">
        <v>18200</v>
      </c>
      <c r="D4733" s="88">
        <f>ROUND((C4733*1.06)/100,0)*100</f>
        <v/>
      </c>
      <c r="E4733" s="249" t="n"/>
      <c r="F4733" s="249" t="n"/>
      <c r="G4733" s="249" t="n"/>
      <c r="H4733" s="249" t="n"/>
      <c r="I4733" s="249" t="n"/>
      <c r="J4733" s="249" t="n"/>
      <c r="K4733" s="219" t="n"/>
      <c r="L4733" s="219" t="n"/>
      <c r="M4733" s="219" t="n"/>
      <c r="N4733" s="219">
        <f>C4733*O4733</f>
        <v/>
      </c>
      <c r="O4733" s="118" t="n">
        <v>1.26</v>
      </c>
      <c r="P4733" s="117" t="n"/>
      <c r="R4733" s="117" t="n"/>
      <c r="T4733" s="117" t="n"/>
      <c r="AC4733" s="118" t="n"/>
    </row>
    <row r="4734">
      <c r="A4734" s="128" t="inlineStr">
        <is>
          <t>30242</t>
        </is>
      </c>
      <c r="B4734" s="246" t="inlineStr">
        <is>
          <t>POLLERA ALGODÓN</t>
        </is>
      </c>
      <c r="C4734" s="153" t="n">
        <v>23900</v>
      </c>
      <c r="D4734" s="88">
        <f>ROUND((C4734*1.06)/100,0)*100</f>
        <v/>
      </c>
      <c r="E4734" s="249" t="n"/>
      <c r="F4734" s="249" t="n"/>
      <c r="G4734" s="249" t="n"/>
      <c r="H4734" s="249" t="n"/>
      <c r="I4734" s="249" t="n"/>
      <c r="J4734" s="249" t="n"/>
      <c r="K4734" s="219" t="n"/>
      <c r="L4734" s="219" t="n"/>
      <c r="M4734" s="219" t="n"/>
      <c r="N4734" s="219">
        <f>C4734*O4734</f>
        <v/>
      </c>
      <c r="O4734" s="118" t="n">
        <v>1.26</v>
      </c>
      <c r="P4734" s="117" t="n"/>
      <c r="R4734" s="117" t="n"/>
      <c r="T4734" s="117" t="n"/>
      <c r="AC4734" s="118" t="n"/>
    </row>
    <row r="4735">
      <c r="A4735" s="128" t="inlineStr">
        <is>
          <t>30243</t>
        </is>
      </c>
      <c r="B4735" s="246" t="inlineStr">
        <is>
          <t>POLLERA PAREO</t>
        </is>
      </c>
      <c r="C4735" s="153" t="n">
        <v>23900</v>
      </c>
      <c r="D4735" s="88">
        <f>ROUND((C4735*1.06)/100,0)*100</f>
        <v/>
      </c>
      <c r="E4735" s="249" t="n"/>
      <c r="F4735" s="249" t="n"/>
      <c r="G4735" s="249" t="n"/>
      <c r="H4735" s="249" t="n"/>
      <c r="I4735" s="249" t="n"/>
      <c r="J4735" s="249" t="n"/>
      <c r="K4735" s="219" t="n"/>
      <c r="L4735" s="219" t="n"/>
      <c r="M4735" s="219" t="n"/>
      <c r="N4735" s="219">
        <f>C4735*O4735</f>
        <v/>
      </c>
      <c r="O4735" s="118" t="n">
        <v>1.26</v>
      </c>
      <c r="P4735" s="117" t="n"/>
      <c r="R4735" s="117" t="n"/>
      <c r="T4735" s="117" t="n"/>
      <c r="AC4735" s="118" t="n"/>
    </row>
    <row r="4736">
      <c r="A4736" s="128" t="inlineStr">
        <is>
          <t>01549XXX</t>
        </is>
      </c>
      <c r="B4736" s="246" t="inlineStr">
        <is>
          <t>POLLERA TAVERNITI</t>
        </is>
      </c>
      <c r="C4736" s="153" t="n">
        <v>51300</v>
      </c>
      <c r="D4736" s="153" t="n"/>
      <c r="E4736" s="153" t="n"/>
      <c r="F4736" s="153" t="n"/>
      <c r="G4736" s="153" t="n"/>
      <c r="H4736" s="153" t="n"/>
      <c r="I4736" s="153" t="n"/>
      <c r="J4736" s="153" t="n"/>
      <c r="K4736" s="219" t="n"/>
      <c r="L4736" s="219" t="n"/>
      <c r="M4736" s="219" t="n"/>
      <c r="N4736" s="219">
        <f>C4736*O4736</f>
        <v/>
      </c>
      <c r="O4736" s="118" t="n">
        <v>1.26</v>
      </c>
      <c r="P4736" s="117" t="n"/>
      <c r="R4736" s="117" t="n"/>
      <c r="T4736" s="117" t="n"/>
    </row>
    <row r="4737">
      <c r="A4737" s="128" t="inlineStr">
        <is>
          <t>01985XXX</t>
        </is>
      </c>
      <c r="B4737" s="246" t="inlineStr">
        <is>
          <t>POLLERA TAVERNITI</t>
        </is>
      </c>
      <c r="C4737" s="153" t="n">
        <v>57500</v>
      </c>
      <c r="D4737" s="153" t="n"/>
      <c r="E4737" s="153" t="n"/>
      <c r="F4737" s="153" t="n"/>
      <c r="G4737" s="153" t="n"/>
      <c r="H4737" s="153" t="n"/>
      <c r="I4737" s="153" t="n"/>
      <c r="J4737" s="153" t="n"/>
      <c r="K4737" s="219" t="n"/>
      <c r="L4737" s="219" t="n"/>
      <c r="M4737" s="219" t="n"/>
      <c r="N4737" s="219">
        <f>C4737*O4737</f>
        <v/>
      </c>
      <c r="O4737" s="118" t="n">
        <v>1.26</v>
      </c>
      <c r="P4737" s="117" t="n"/>
      <c r="R4737" s="117" t="n"/>
      <c r="T4737" s="117" t="n"/>
    </row>
    <row r="4738">
      <c r="A4738" s="128" t="inlineStr">
        <is>
          <t>10173XXX</t>
        </is>
      </c>
      <c r="B4738" s="246" t="inlineStr">
        <is>
          <t>POLLERA TAVERNITI</t>
        </is>
      </c>
      <c r="C4738" s="153" t="n">
        <v>55100</v>
      </c>
      <c r="D4738" s="153" t="n"/>
      <c r="E4738" s="153" t="n"/>
      <c r="F4738" s="153" t="n"/>
      <c r="G4738" s="153" t="n"/>
      <c r="H4738" s="153" t="n"/>
      <c r="I4738" s="153" t="n"/>
      <c r="J4738" s="153" t="n"/>
      <c r="K4738" s="219" t="n"/>
      <c r="L4738" s="219" t="n"/>
      <c r="M4738" s="219" t="n"/>
      <c r="N4738" s="219">
        <f>C4738*O4738</f>
        <v/>
      </c>
      <c r="O4738" s="118" t="n">
        <v>1.26</v>
      </c>
      <c r="P4738" s="117" t="n"/>
      <c r="R4738" s="117" t="n"/>
      <c r="T4738" s="117" t="n"/>
    </row>
    <row r="4739">
      <c r="A4739" s="128" t="inlineStr">
        <is>
          <t>10385XXX</t>
        </is>
      </c>
      <c r="B4739" s="246" t="inlineStr">
        <is>
          <t>POLLERA TAVERNITI</t>
        </is>
      </c>
      <c r="C4739" s="153" t="n">
        <v>55200</v>
      </c>
      <c r="D4739" s="153" t="n"/>
      <c r="E4739" s="153" t="n"/>
      <c r="F4739" s="153" t="n"/>
      <c r="G4739" s="153" t="n"/>
      <c r="H4739" s="153" t="n"/>
      <c r="I4739" s="153" t="n"/>
      <c r="J4739" s="153" t="n"/>
      <c r="K4739" s="219" t="n"/>
      <c r="L4739" s="219" t="n"/>
      <c r="M4739" s="219" t="n"/>
      <c r="N4739" s="219">
        <f>C4739*O4739</f>
        <v/>
      </c>
      <c r="O4739" s="118" t="n">
        <v>1.26</v>
      </c>
      <c r="P4739" s="117" t="n"/>
      <c r="R4739" s="117" t="n"/>
      <c r="T4739" s="117" t="n"/>
    </row>
    <row r="4740">
      <c r="A4740" s="128" t="inlineStr">
        <is>
          <t>10545XXX</t>
        </is>
      </c>
      <c r="B4740" s="246" t="inlineStr">
        <is>
          <t>POLLERA TAVERNITI</t>
        </is>
      </c>
      <c r="C4740" s="153" t="n">
        <v>50400</v>
      </c>
      <c r="D4740" s="153" t="n"/>
      <c r="E4740" s="153" t="n"/>
      <c r="F4740" s="153" t="n"/>
      <c r="G4740" s="153" t="n"/>
      <c r="H4740" s="153" t="n"/>
      <c r="I4740" s="153" t="n"/>
      <c r="J4740" s="153" t="n"/>
      <c r="K4740" s="219" t="n"/>
      <c r="L4740" s="219" t="n"/>
      <c r="M4740" s="219" t="n"/>
      <c r="N4740" s="219">
        <f>C4740*O4740</f>
        <v/>
      </c>
      <c r="O4740" s="118" t="n">
        <v>1.26</v>
      </c>
      <c r="P4740" s="117" t="n"/>
      <c r="R4740" s="117" t="n"/>
      <c r="T4740" s="117" t="n"/>
    </row>
    <row r="4741">
      <c r="A4741" s="128" t="inlineStr">
        <is>
          <t>10547XXX</t>
        </is>
      </c>
      <c r="B4741" s="246" t="inlineStr">
        <is>
          <t>POLLERA TAVERNITI</t>
        </is>
      </c>
      <c r="C4741" s="153" t="n">
        <v>50400</v>
      </c>
      <c r="D4741" s="153" t="n"/>
      <c r="E4741" s="153" t="n"/>
      <c r="F4741" s="153" t="n"/>
      <c r="G4741" s="153" t="n"/>
      <c r="H4741" s="153" t="n"/>
      <c r="I4741" s="153" t="n"/>
      <c r="J4741" s="153" t="n"/>
      <c r="K4741" s="219" t="n"/>
      <c r="L4741" s="219" t="n"/>
      <c r="M4741" s="219" t="n"/>
      <c r="N4741" s="219">
        <f>C4741*O4741</f>
        <v/>
      </c>
      <c r="O4741" s="118" t="n">
        <v>1.26</v>
      </c>
      <c r="P4741" s="117" t="n"/>
      <c r="R4741" s="117" t="n"/>
      <c r="T4741" s="117" t="n"/>
    </row>
    <row r="4742">
      <c r="A4742" s="128" t="inlineStr">
        <is>
          <t>11483XXX</t>
        </is>
      </c>
      <c r="B4742" s="246" t="inlineStr">
        <is>
          <t>POLLERA TAVERNITI</t>
        </is>
      </c>
      <c r="C4742" s="153" t="n">
        <v>55900</v>
      </c>
      <c r="D4742" s="153" t="n"/>
      <c r="E4742" s="153" t="n"/>
      <c r="F4742" s="153" t="n"/>
      <c r="G4742" s="153" t="n"/>
      <c r="H4742" s="153" t="n"/>
      <c r="I4742" s="153" t="n"/>
      <c r="J4742" s="153" t="n"/>
      <c r="K4742" s="219" t="n"/>
      <c r="L4742" s="219" t="n"/>
      <c r="M4742" s="219" t="n"/>
      <c r="N4742" s="219">
        <f>C4742*O4742</f>
        <v/>
      </c>
      <c r="O4742" s="118" t="n">
        <v>1.26</v>
      </c>
      <c r="P4742" s="117" t="n"/>
      <c r="R4742" s="117" t="n"/>
      <c r="T4742" s="117" t="n"/>
    </row>
    <row r="4743">
      <c r="A4743" s="128" t="inlineStr">
        <is>
          <t>11659XXX</t>
        </is>
      </c>
      <c r="B4743" s="246" t="inlineStr">
        <is>
          <t>POLLERA TAVERNITI</t>
        </is>
      </c>
      <c r="C4743" s="153" t="n">
        <v>81900</v>
      </c>
      <c r="D4743" s="153" t="n"/>
      <c r="E4743" s="153" t="n"/>
      <c r="F4743" s="153" t="n"/>
      <c r="G4743" s="153" t="n"/>
      <c r="H4743" s="153" t="n"/>
      <c r="I4743" s="153" t="n"/>
      <c r="J4743" s="153" t="n"/>
      <c r="K4743" s="219" t="n"/>
      <c r="L4743" s="219" t="n"/>
      <c r="M4743" s="219" t="n"/>
      <c r="N4743" s="219">
        <f>C4743*O4743</f>
        <v/>
      </c>
      <c r="O4743" s="118" t="n">
        <v>1.26</v>
      </c>
      <c r="P4743" s="117" t="n"/>
      <c r="R4743" s="117" t="n"/>
      <c r="T4743" s="117" t="n"/>
    </row>
    <row r="4744">
      <c r="A4744" s="128" t="n"/>
      <c r="B4744" s="246" t="n"/>
      <c r="C4744" s="153" t="n"/>
      <c r="D4744" s="153" t="n"/>
      <c r="E4744" s="153" t="n"/>
      <c r="F4744" s="153" t="n"/>
      <c r="G4744" s="153" t="n"/>
      <c r="H4744" s="153" t="n"/>
      <c r="I4744" s="153" t="n"/>
      <c r="J4744" s="153" t="n"/>
      <c r="K4744" s="219" t="n"/>
      <c r="L4744" s="219" t="n"/>
      <c r="M4744" s="219" t="n"/>
      <c r="N4744" s="219" t="n"/>
      <c r="P4744" s="117" t="n"/>
      <c r="R4744" s="117" t="n"/>
      <c r="T4744" s="117" t="n"/>
    </row>
    <row r="4745">
      <c r="A4745" s="128" t="n"/>
      <c r="B4745" s="246" t="n"/>
      <c r="C4745" s="153" t="n"/>
      <c r="D4745" s="153" t="n"/>
      <c r="E4745" s="153" t="n"/>
      <c r="F4745" s="153" t="n"/>
      <c r="G4745" s="153" t="n"/>
      <c r="H4745" s="153" t="n"/>
      <c r="I4745" s="153" t="n"/>
      <c r="J4745" s="153" t="n"/>
      <c r="K4745" s="219" t="n"/>
      <c r="L4745" s="219" t="n"/>
      <c r="M4745" s="219" t="n"/>
      <c r="N4745" s="219" t="n"/>
      <c r="P4745" s="117" t="n"/>
      <c r="R4745" s="117" t="n"/>
      <c r="T4745" s="117" t="n"/>
    </row>
    <row r="4746">
      <c r="A4746" s="128" t="n"/>
      <c r="B4746" s="246" t="n"/>
      <c r="C4746" s="153" t="n"/>
      <c r="D4746" s="153" t="n"/>
      <c r="E4746" s="153" t="n"/>
      <c r="F4746" s="153" t="n"/>
      <c r="G4746" s="153" t="n"/>
      <c r="H4746" s="153" t="n"/>
      <c r="I4746" s="153" t="n"/>
      <c r="J4746" s="153" t="n"/>
      <c r="K4746" s="219" t="n"/>
      <c r="L4746" s="219" t="n"/>
      <c r="M4746" s="219" t="n"/>
      <c r="P4746" s="117" t="n"/>
      <c r="R4746" s="117" t="n"/>
      <c r="T4746" s="117" t="n"/>
    </row>
    <row r="4747">
      <c r="A4747" s="128" t="n"/>
      <c r="B4747" s="247" t="inlineStr">
        <is>
          <t>CALZAS DAMA</t>
        </is>
      </c>
      <c r="C4747" s="202" t="inlineStr">
        <is>
          <t>38-48</t>
        </is>
      </c>
      <c r="D4747" s="202" t="inlineStr">
        <is>
          <t>50-54</t>
        </is>
      </c>
      <c r="E4747" s="202" t="inlineStr">
        <is>
          <t>56-60</t>
        </is>
      </c>
      <c r="F4747" s="153" t="n"/>
      <c r="G4747" s="153" t="n"/>
      <c r="H4747" s="153" t="n"/>
      <c r="I4747" s="128" t="inlineStr">
        <is>
          <t>04/26</t>
        </is>
      </c>
      <c r="J4747" s="153" t="n"/>
      <c r="K4747" s="219" t="n"/>
      <c r="L4747" s="219" t="n"/>
      <c r="M4747" s="219" t="n"/>
      <c r="P4747" s="117" t="n"/>
      <c r="R4747" s="117" t="n"/>
      <c r="T4747" s="117" t="n"/>
    </row>
    <row r="4748">
      <c r="A4748" s="128" t="n"/>
      <c r="B4748" s="247" t="n"/>
      <c r="C4748" s="244" t="n">
        <v>46113</v>
      </c>
      <c r="D4748" s="244" t="n">
        <v>43987</v>
      </c>
      <c r="E4748" s="244" t="n">
        <v>44050</v>
      </c>
      <c r="F4748" s="250" t="n">
        <v>44175</v>
      </c>
      <c r="G4748" s="153" t="n"/>
      <c r="H4748" s="153" t="n"/>
      <c r="I4748" s="153" t="n"/>
      <c r="J4748" s="153" t="n"/>
      <c r="K4748" s="219" t="n"/>
      <c r="L4748" s="219" t="n"/>
      <c r="M4748" s="219" t="n"/>
      <c r="P4748" s="117" t="n"/>
      <c r="R4748" s="117" t="n"/>
      <c r="T4748" s="117" t="n"/>
    </row>
    <row r="4749">
      <c r="A4749" s="128" t="inlineStr">
        <is>
          <t>29709</t>
        </is>
      </c>
      <c r="B4749" s="188" t="inlineStr">
        <is>
          <t xml:space="preserve">CALZAS </t>
        </is>
      </c>
      <c r="C4749" s="88" t="n">
        <v>32000</v>
      </c>
      <c r="D4749" s="88">
        <f>ROUND((C4749*1.06)/100,0)*100</f>
        <v/>
      </c>
      <c r="E4749" s="88">
        <f>ROUND((C4749*1.12)/100,0)*100</f>
        <v/>
      </c>
      <c r="F4749" s="22">
        <f>ROUND((C4749*1.18)/100,0)*100</f>
        <v/>
      </c>
      <c r="G4749" s="22" t="n"/>
      <c r="H4749" s="153" t="n"/>
      <c r="I4749" s="153" t="n"/>
      <c r="J4749" s="153" t="n"/>
      <c r="K4749" s="219" t="n"/>
      <c r="L4749" s="219" t="n"/>
      <c r="M4749" s="219" t="n"/>
      <c r="N4749" s="219">
        <f>C4749*O4749</f>
        <v/>
      </c>
      <c r="O4749" s="96" t="n">
        <v>1.1</v>
      </c>
      <c r="P4749" s="117" t="n"/>
      <c r="R4749" s="117" t="n"/>
      <c r="T4749" s="117" t="n"/>
    </row>
    <row r="4750">
      <c r="A4750" s="128" t="inlineStr">
        <is>
          <t>29709</t>
        </is>
      </c>
      <c r="B4750" s="188" t="inlineStr">
        <is>
          <t xml:space="preserve">CALZAS </t>
        </is>
      </c>
      <c r="C4750" s="88" t="n">
        <v>22800</v>
      </c>
      <c r="D4750" s="88">
        <f>ROUND((C4750*1.06)/100,0)*100</f>
        <v/>
      </c>
      <c r="E4750" s="88">
        <f>ROUND((C4750*1.12)/100,0)*100</f>
        <v/>
      </c>
      <c r="F4750" s="22">
        <f>ROUND((C4750*1.18)/100,0)*100</f>
        <v/>
      </c>
      <c r="G4750" s="22" t="n"/>
      <c r="H4750" s="153" t="n"/>
      <c r="I4750" s="153" t="n"/>
      <c r="J4750" s="153" t="n"/>
      <c r="K4750" s="219" t="n"/>
      <c r="L4750" s="219" t="n"/>
      <c r="M4750" s="219" t="n"/>
      <c r="N4750" s="219">
        <f>C4750*O4750</f>
        <v/>
      </c>
      <c r="O4750" s="96" t="n">
        <v>1.1</v>
      </c>
      <c r="P4750" s="117" t="n"/>
      <c r="R4750" s="117" t="n"/>
      <c r="T4750" s="117" t="n"/>
    </row>
    <row r="4751">
      <c r="A4751" s="128" t="inlineStr">
        <is>
          <t>29710</t>
        </is>
      </c>
      <c r="B4751" s="188" t="inlineStr">
        <is>
          <t>NARA CALZA ALGODON</t>
        </is>
      </c>
      <c r="C4751" s="88" t="n">
        <v>39600</v>
      </c>
      <c r="D4751" s="88">
        <f>ROUND((C4751*1.06)/100,0)*100</f>
        <v/>
      </c>
      <c r="E4751" s="88">
        <f>ROUND((C4751*1.12)/100,0)*100</f>
        <v/>
      </c>
      <c r="F4751" s="22">
        <f>ROUND((C4751*1.18)/100,0)*100</f>
        <v/>
      </c>
      <c r="G4751" s="22" t="n"/>
      <c r="H4751" s="153" t="n"/>
      <c r="I4751" s="153" t="n"/>
      <c r="J4751" s="153" t="n"/>
      <c r="K4751" s="219" t="n"/>
      <c r="L4751" s="219" t="n"/>
      <c r="M4751" s="219" t="n"/>
      <c r="N4751" s="219">
        <f>C4751*O4751</f>
        <v/>
      </c>
      <c r="O4751" s="96" t="n">
        <v>1.1</v>
      </c>
      <c r="P4751" s="117" t="n"/>
      <c r="R4751" s="117" t="n"/>
      <c r="T4751" s="117" t="n"/>
    </row>
    <row r="4752">
      <c r="A4752" s="128" t="inlineStr">
        <is>
          <t>29711</t>
        </is>
      </c>
      <c r="B4752" s="188" t="inlineStr">
        <is>
          <t>NARA CALZA SIMIL CUERO</t>
        </is>
      </c>
      <c r="C4752" s="88" t="n">
        <v>47300</v>
      </c>
      <c r="D4752" s="88">
        <f>ROUND((C4752*1.06)/100,0)*100</f>
        <v/>
      </c>
      <c r="E4752" s="88">
        <f>ROUND((C4752*1.12)/100,0)*100</f>
        <v/>
      </c>
      <c r="F4752" s="22">
        <f>ROUND((C4752*1.18)/100,0)*100</f>
        <v/>
      </c>
      <c r="G4752" s="22" t="n"/>
      <c r="H4752" s="153" t="n"/>
      <c r="I4752" s="153" t="n"/>
      <c r="J4752" s="153" t="n"/>
      <c r="K4752" s="219" t="n"/>
      <c r="L4752" s="219" t="n"/>
      <c r="M4752" s="219" t="n"/>
      <c r="N4752" s="219">
        <f>C4752*O4752</f>
        <v/>
      </c>
      <c r="O4752" s="96" t="n">
        <v>1.1</v>
      </c>
      <c r="P4752" s="117" t="n"/>
      <c r="R4752" s="117" t="n"/>
      <c r="T4752" s="117" t="n"/>
    </row>
    <row r="4753">
      <c r="A4753" s="128" t="inlineStr">
        <is>
          <t>29712</t>
        </is>
      </c>
      <c r="B4753" s="188" t="inlineStr">
        <is>
          <t>NARA CALZA SIMIL JEAN</t>
        </is>
      </c>
      <c r="C4753" s="88" t="n">
        <v>47400</v>
      </c>
      <c r="D4753" s="88">
        <f>ROUND((C4753*1.06)/100,0)*100</f>
        <v/>
      </c>
      <c r="E4753" s="88">
        <f>ROUND((C4753*1.12)/100,0)*100</f>
        <v/>
      </c>
      <c r="F4753" s="22">
        <f>ROUND((C4753*1.18)/100,0)*100</f>
        <v/>
      </c>
      <c r="G4753" s="22" t="n"/>
      <c r="H4753" s="153" t="n"/>
      <c r="I4753" s="153" t="n"/>
      <c r="J4753" s="153" t="n"/>
      <c r="K4753" s="219" t="n"/>
      <c r="L4753" s="219" t="n"/>
      <c r="M4753" s="219" t="n"/>
      <c r="N4753" s="219">
        <f>C4753*O4753</f>
        <v/>
      </c>
      <c r="O4753" s="96" t="n">
        <v>1.1</v>
      </c>
      <c r="P4753" s="117" t="n"/>
      <c r="R4753" s="117" t="n"/>
      <c r="T4753" s="117" t="n"/>
    </row>
    <row r="4754">
      <c r="A4754" s="128" t="inlineStr">
        <is>
          <t>29722</t>
        </is>
      </c>
      <c r="B4754" s="188" t="inlineStr">
        <is>
          <t>CALZAS ALGODON</t>
        </is>
      </c>
      <c r="C4754" s="153" t="n">
        <v>36800</v>
      </c>
      <c r="D4754" s="88">
        <f>ROUND((C4754*1.06)/100,0)*100</f>
        <v/>
      </c>
      <c r="E4754" s="88">
        <f>ROUND((C4754*1.12)/100,0)*100</f>
        <v/>
      </c>
      <c r="F4754" s="22">
        <f>ROUND((C4754*1.18)/100,0)*100</f>
        <v/>
      </c>
      <c r="G4754" s="153" t="n"/>
      <c r="H4754" s="153" t="n"/>
      <c r="I4754" s="153" t="n"/>
      <c r="J4754" s="153" t="n"/>
      <c r="K4754" s="219" t="n"/>
      <c r="L4754" s="219" t="n"/>
      <c r="M4754" s="219" t="n"/>
      <c r="N4754" s="219">
        <f>C4754*O4754</f>
        <v/>
      </c>
      <c r="O4754" s="96" t="n">
        <v>1.1</v>
      </c>
      <c r="P4754" s="117" t="n"/>
      <c r="R4754" s="117" t="n"/>
      <c r="T4754" s="117" t="n"/>
    </row>
    <row r="4755">
      <c r="A4755" s="128" t="inlineStr">
        <is>
          <t>29724</t>
        </is>
      </c>
      <c r="B4755" s="188" t="inlineStr">
        <is>
          <t>CALZA TERMICA AROMA</t>
        </is>
      </c>
      <c r="C4755" s="153" t="n">
        <v>34200</v>
      </c>
      <c r="D4755" s="88">
        <f>ROUND((C4755*1.06)/100,0)*100</f>
        <v/>
      </c>
      <c r="E4755" s="88">
        <f>ROUND((C4755*1.12)/100,0)*100</f>
        <v/>
      </c>
      <c r="F4755" s="22">
        <f>ROUND((C4755*1.18)/100,0)*100</f>
        <v/>
      </c>
      <c r="G4755" s="153" t="n"/>
      <c r="H4755" s="153" t="n"/>
      <c r="I4755" s="153" t="n"/>
      <c r="J4755" s="153" t="n"/>
      <c r="K4755" s="219" t="n"/>
      <c r="L4755" s="219" t="n"/>
      <c r="M4755" s="219" t="n"/>
      <c r="N4755" s="219">
        <f>C4755*O4755</f>
        <v/>
      </c>
      <c r="O4755" s="96" t="n">
        <v>1.1</v>
      </c>
      <c r="P4755" s="117" t="n"/>
      <c r="R4755" s="117" t="n"/>
      <c r="T4755" s="117" t="n"/>
    </row>
    <row r="4756">
      <c r="A4756" s="128" t="inlineStr">
        <is>
          <t>29726</t>
        </is>
      </c>
      <c r="B4756" s="188" t="inlineStr">
        <is>
          <t xml:space="preserve">CALZA </t>
        </is>
      </c>
      <c r="C4756" s="153" t="n">
        <v>34200</v>
      </c>
      <c r="D4756" s="88">
        <f>ROUND((C4756*1.06)/100,0)*100</f>
        <v/>
      </c>
      <c r="E4756" s="88">
        <f>ROUND((C4756*1.12)/100,0)*100</f>
        <v/>
      </c>
      <c r="F4756" s="22">
        <f>ROUND((C4756*1.18)/100,0)*100</f>
        <v/>
      </c>
      <c r="G4756" s="153" t="n"/>
      <c r="H4756" s="153" t="n"/>
      <c r="I4756" s="153" t="n"/>
      <c r="J4756" s="153" t="n"/>
      <c r="K4756" s="219" t="n"/>
      <c r="L4756" s="219" t="n"/>
      <c r="M4756" s="219" t="n"/>
      <c r="N4756" s="219">
        <f>C4756*O4756</f>
        <v/>
      </c>
      <c r="O4756" s="96" t="n">
        <v>1.1</v>
      </c>
      <c r="P4756" s="117" t="n"/>
      <c r="R4756" s="117" t="n"/>
      <c r="T4756" s="117" t="n"/>
    </row>
    <row r="4757">
      <c r="A4757" s="128" t="inlineStr">
        <is>
          <t>30411</t>
        </is>
      </c>
      <c r="B4757" s="246" t="inlineStr">
        <is>
          <t>CALZA SIMIL JEAN VVI</t>
        </is>
      </c>
      <c r="C4757" s="153" t="n">
        <v>36800</v>
      </c>
      <c r="D4757" s="88">
        <f>ROUND((C4757*1.06)/100,0)*100</f>
        <v/>
      </c>
      <c r="E4757" s="88">
        <f>ROUND((C4757*1.12)/100,0)*100</f>
        <v/>
      </c>
      <c r="F4757" s="22">
        <f>ROUND((C4757*1.18)/100,0)*100</f>
        <v/>
      </c>
      <c r="G4757" s="153" t="n"/>
      <c r="H4757" s="153" t="n"/>
      <c r="I4757" s="153" t="n"/>
      <c r="J4757" s="153" t="n"/>
      <c r="K4757" s="219" t="n"/>
      <c r="L4757" s="219" t="n"/>
      <c r="M4757" s="219" t="n"/>
      <c r="N4757" s="219">
        <f>C4757*O4757</f>
        <v/>
      </c>
      <c r="O4757" s="96" t="n">
        <v>1.1</v>
      </c>
      <c r="P4757" s="117" t="n"/>
      <c r="R4757" s="117" t="n"/>
      <c r="T4757" s="117" t="n"/>
    </row>
    <row r="4758">
      <c r="A4758" s="89" t="inlineStr">
        <is>
          <t>3285XXX</t>
        </is>
      </c>
      <c r="B4758" s="135" t="inlineStr">
        <is>
          <t>TAVERNITI CALZA</t>
        </is>
      </c>
      <c r="C4758" s="88" t="n">
        <v>79600</v>
      </c>
      <c r="D4758" s="88">
        <f>ROUND((C4758*1.06)/100,0)*100</f>
        <v/>
      </c>
      <c r="E4758" s="88">
        <f>ROUND((C4758*1.12)/100,0)*100</f>
        <v/>
      </c>
      <c r="F4758" s="88">
        <f>ROUND((C4758*1.18)/100,0)*100</f>
        <v/>
      </c>
      <c r="G4758" s="170" t="n"/>
      <c r="H4758" s="170" t="n"/>
      <c r="I4758" s="170" t="n"/>
      <c r="J4758" s="170" t="n"/>
      <c r="K4758" s="105" t="n"/>
      <c r="L4758" s="170" t="n"/>
      <c r="M4758" s="170" t="n"/>
      <c r="N4758" s="88">
        <f>C4758*O4758</f>
        <v/>
      </c>
      <c r="O4758" s="96" t="n">
        <v>1.1</v>
      </c>
      <c r="P4758" s="170" t="n"/>
      <c r="Q4758" s="30" t="n"/>
      <c r="R4758" s="170" t="n"/>
      <c r="S4758" s="30" t="n"/>
      <c r="T4758" s="170" t="n"/>
      <c r="U4758" s="30" t="n"/>
      <c r="V4758" s="30" t="n"/>
      <c r="W4758" s="30" t="n"/>
      <c r="X4758" s="30" t="n"/>
      <c r="Y4758" s="30" t="n"/>
      <c r="Z4758" s="30" t="n"/>
      <c r="AA4758" s="30" t="n"/>
      <c r="AB4758" s="30" t="n"/>
      <c r="AC4758" s="30" t="n"/>
      <c r="AD4758" s="30" t="n"/>
      <c r="AE4758" s="30" t="n"/>
      <c r="AF4758" s="30" t="n"/>
      <c r="AG4758" s="30" t="n"/>
      <c r="AH4758" s="30" t="n"/>
      <c r="AI4758" s="30" t="n"/>
      <c r="AJ4758" s="30" t="n"/>
      <c r="AK4758" s="30" t="n"/>
      <c r="AL4758" s="30" t="n"/>
      <c r="AM4758" s="30" t="n"/>
      <c r="AN4758" s="30" t="n"/>
      <c r="AO4758" s="30" t="n"/>
    </row>
    <row r="4759">
      <c r="A4759" s="89" t="inlineStr">
        <is>
          <t>3389XXX</t>
        </is>
      </c>
      <c r="B4759" s="135" t="inlineStr">
        <is>
          <t>TAVERNITI CALZA</t>
        </is>
      </c>
      <c r="C4759" s="88" t="n">
        <v>68800</v>
      </c>
      <c r="D4759" s="88">
        <f>ROUND((C4759*1.06)/100,0)*100</f>
        <v/>
      </c>
      <c r="E4759" s="88">
        <f>ROUND((C4759*1.12)/100,0)*100</f>
        <v/>
      </c>
      <c r="F4759" s="88">
        <f>ROUND((C4759*1.18)/100,0)*100</f>
        <v/>
      </c>
      <c r="G4759" s="170" t="n"/>
      <c r="H4759" s="170" t="n"/>
      <c r="I4759" s="170" t="n"/>
      <c r="J4759" s="170" t="n"/>
      <c r="K4759" s="105" t="n"/>
      <c r="L4759" s="170" t="n"/>
      <c r="M4759" s="170" t="n"/>
      <c r="N4759" s="88">
        <f>C4759*O4759</f>
        <v/>
      </c>
      <c r="O4759" s="96" t="n">
        <v>1.1</v>
      </c>
      <c r="P4759" s="170" t="n"/>
      <c r="Q4759" s="30" t="n"/>
      <c r="R4759" s="170" t="n"/>
      <c r="S4759" s="30" t="n"/>
      <c r="T4759" s="170" t="n"/>
      <c r="U4759" s="30" t="n"/>
      <c r="V4759" s="30" t="n"/>
      <c r="W4759" s="30" t="n"/>
      <c r="X4759" s="30" t="n"/>
      <c r="Y4759" s="30" t="n"/>
      <c r="Z4759" s="30" t="n"/>
      <c r="AA4759" s="30" t="n"/>
      <c r="AB4759" s="30" t="n"/>
      <c r="AC4759" s="30" t="n"/>
      <c r="AD4759" s="30" t="n"/>
      <c r="AE4759" s="30" t="n"/>
      <c r="AF4759" s="30" t="n"/>
      <c r="AG4759" s="30" t="n"/>
      <c r="AH4759" s="30" t="n"/>
      <c r="AI4759" s="30" t="n"/>
      <c r="AJ4759" s="30" t="n"/>
      <c r="AK4759" s="30" t="n"/>
      <c r="AL4759" s="30" t="n"/>
      <c r="AM4759" s="30" t="n"/>
      <c r="AN4759" s="30" t="n"/>
      <c r="AO4759" s="30" t="n"/>
    </row>
    <row r="4760">
      <c r="A4760" s="89" t="inlineStr">
        <is>
          <t>3547XXX</t>
        </is>
      </c>
      <c r="B4760" s="135" t="inlineStr">
        <is>
          <t>TAVERNITI CALZA</t>
        </is>
      </c>
      <c r="C4760" s="88" t="n">
        <v>71800</v>
      </c>
      <c r="D4760" s="88">
        <f>ROUND((C4760*1.06)/100,0)*100</f>
        <v/>
      </c>
      <c r="E4760" s="88">
        <f>ROUND((C4760*1.12)/100,0)*100</f>
        <v/>
      </c>
      <c r="F4760" s="88">
        <f>ROUND((C4760*1.18)/100,0)*100</f>
        <v/>
      </c>
      <c r="G4760" s="170" t="n"/>
      <c r="H4760" s="170" t="n"/>
      <c r="I4760" s="170" t="n"/>
      <c r="J4760" s="170" t="n"/>
      <c r="K4760" s="105" t="n"/>
      <c r="L4760" s="170" t="n"/>
      <c r="M4760" s="170" t="n"/>
      <c r="N4760" s="88">
        <f>C4760*O4760</f>
        <v/>
      </c>
      <c r="O4760" s="96" t="n">
        <v>1.1</v>
      </c>
      <c r="P4760" s="170" t="n"/>
      <c r="Q4760" s="30" t="n"/>
      <c r="R4760" s="170" t="n"/>
      <c r="S4760" s="30" t="n"/>
      <c r="T4760" s="170" t="n"/>
      <c r="U4760" s="30" t="n"/>
      <c r="V4760" s="30" t="n"/>
      <c r="W4760" s="30" t="n"/>
      <c r="X4760" s="30" t="n"/>
      <c r="Y4760" s="30" t="n"/>
      <c r="Z4760" s="30" t="n"/>
      <c r="AA4760" s="30" t="n"/>
      <c r="AB4760" s="30" t="n"/>
      <c r="AC4760" s="30" t="n"/>
      <c r="AD4760" s="30" t="n"/>
      <c r="AE4760" s="30" t="n"/>
      <c r="AF4760" s="30" t="n"/>
      <c r="AG4760" s="30" t="n"/>
      <c r="AH4760" s="30" t="n"/>
      <c r="AI4760" s="30" t="n"/>
      <c r="AJ4760" s="30" t="n"/>
      <c r="AK4760" s="30" t="n"/>
      <c r="AL4760" s="30" t="n"/>
      <c r="AM4760" s="30" t="n"/>
      <c r="AN4760" s="30" t="n"/>
      <c r="AO4760" s="30" t="n"/>
    </row>
    <row r="4761">
      <c r="A4761" s="89" t="inlineStr">
        <is>
          <t>3765XXX</t>
        </is>
      </c>
      <c r="B4761" s="135" t="inlineStr">
        <is>
          <t>TAVERNITI CALZA</t>
        </is>
      </c>
      <c r="C4761" s="88" t="n">
        <v>99000</v>
      </c>
      <c r="D4761" s="88">
        <f>ROUND((C4761*1.06)/100,0)*100</f>
        <v/>
      </c>
      <c r="E4761" s="88">
        <f>ROUND((C4761*1.12)/100,0)*100</f>
        <v/>
      </c>
      <c r="F4761" s="88">
        <f>ROUND((C4761*1.18)/100,0)*100</f>
        <v/>
      </c>
      <c r="G4761" s="170" t="n"/>
      <c r="H4761" s="170" t="n"/>
      <c r="I4761" s="170" t="n"/>
      <c r="J4761" s="170" t="n"/>
      <c r="K4761" s="105" t="n"/>
      <c r="L4761" s="170" t="n"/>
      <c r="M4761" s="170" t="n"/>
      <c r="N4761" s="88">
        <f>C4761*O4761</f>
        <v/>
      </c>
      <c r="O4761" s="96" t="n">
        <v>1</v>
      </c>
      <c r="P4761" s="170" t="n"/>
      <c r="Q4761" s="30" t="n"/>
      <c r="R4761" s="170" t="n"/>
      <c r="S4761" s="30" t="n"/>
      <c r="T4761" s="170" t="n"/>
      <c r="U4761" s="30" t="n"/>
      <c r="V4761" s="30" t="n"/>
      <c r="W4761" s="30" t="n"/>
      <c r="X4761" s="30" t="n"/>
      <c r="Y4761" s="30" t="n"/>
      <c r="Z4761" s="30" t="n"/>
      <c r="AA4761" s="30" t="n"/>
      <c r="AB4761" s="30" t="n"/>
      <c r="AC4761" s="30" t="n"/>
      <c r="AD4761" s="30" t="n"/>
      <c r="AE4761" s="30" t="n"/>
      <c r="AF4761" s="30" t="n"/>
      <c r="AG4761" s="30" t="n"/>
      <c r="AH4761" s="30" t="n"/>
      <c r="AI4761" s="30" t="n"/>
      <c r="AJ4761" s="30" t="n"/>
      <c r="AK4761" s="30" t="n"/>
      <c r="AL4761" s="30" t="n"/>
      <c r="AM4761" s="30" t="n"/>
      <c r="AN4761" s="30" t="n"/>
      <c r="AO4761" s="30" t="n"/>
    </row>
    <row r="4762">
      <c r="A4762" s="89" t="inlineStr">
        <is>
          <t>3767XXX</t>
        </is>
      </c>
      <c r="B4762" s="135" t="inlineStr">
        <is>
          <t>TAVERNITI CALZA</t>
        </is>
      </c>
      <c r="C4762" s="88" t="n">
        <v>83000</v>
      </c>
      <c r="D4762" s="88">
        <f>ROUND((C4762*1.06)/100,0)*100</f>
        <v/>
      </c>
      <c r="E4762" s="88">
        <f>ROUND((C4762*1.12)/100,0)*100</f>
        <v/>
      </c>
      <c r="F4762" s="88">
        <f>ROUND((C4762*1.18)/100,0)*100</f>
        <v/>
      </c>
      <c r="G4762" s="170" t="n"/>
      <c r="H4762" s="170" t="n"/>
      <c r="I4762" s="170" t="n"/>
      <c r="J4762" s="170" t="n"/>
      <c r="K4762" s="105" t="n"/>
      <c r="L4762" s="170" t="n"/>
      <c r="M4762" s="170" t="n"/>
      <c r="N4762" s="88">
        <f>C4762*O4762</f>
        <v/>
      </c>
      <c r="O4762" s="96" t="n">
        <v>1</v>
      </c>
      <c r="P4762" s="170" t="n"/>
      <c r="Q4762" s="30" t="n"/>
      <c r="R4762" s="170" t="n"/>
      <c r="S4762" s="30" t="n"/>
      <c r="T4762" s="170" t="n"/>
      <c r="U4762" s="30" t="n"/>
      <c r="V4762" s="30" t="n"/>
      <c r="W4762" s="30" t="n"/>
      <c r="X4762" s="30" t="n"/>
      <c r="Y4762" s="30" t="n"/>
      <c r="Z4762" s="30" t="n"/>
      <c r="AA4762" s="30" t="n"/>
      <c r="AB4762" s="30" t="n"/>
      <c r="AC4762" s="30" t="n"/>
      <c r="AD4762" s="30" t="n"/>
      <c r="AE4762" s="30" t="n"/>
      <c r="AF4762" s="30" t="n"/>
      <c r="AG4762" s="30" t="n"/>
      <c r="AH4762" s="30" t="n"/>
      <c r="AI4762" s="30" t="n"/>
      <c r="AJ4762" s="30" t="n"/>
      <c r="AK4762" s="30" t="n"/>
      <c r="AL4762" s="30" t="n"/>
      <c r="AM4762" s="30" t="n"/>
      <c r="AN4762" s="30" t="n"/>
      <c r="AO4762" s="30" t="n"/>
    </row>
    <row r="4763">
      <c r="A4763" s="89" t="inlineStr">
        <is>
          <t>5157XXX</t>
        </is>
      </c>
      <c r="B4763" s="135" t="inlineStr">
        <is>
          <t>TAVERNITI CALZA</t>
        </is>
      </c>
      <c r="C4763" s="88" t="n">
        <v>67000</v>
      </c>
      <c r="D4763" s="88">
        <f>ROUND((C4763*1.06)/100,0)*100</f>
        <v/>
      </c>
      <c r="E4763" s="88">
        <f>ROUND((C4763*1.12)/100,0)*100</f>
        <v/>
      </c>
      <c r="F4763" s="22">
        <f>ROUND((C4763*1.18)/100,0)*100</f>
        <v/>
      </c>
      <c r="G4763" s="88" t="n"/>
      <c r="H4763" s="88" t="n"/>
      <c r="I4763" s="88" t="n"/>
      <c r="J4763" s="88" t="n"/>
      <c r="K4763" s="105" t="n"/>
      <c r="L4763" s="170" t="n"/>
      <c r="M4763" s="170" t="n"/>
      <c r="N4763" s="219">
        <f>C4763*O4763</f>
        <v/>
      </c>
      <c r="O4763" s="96" t="n">
        <v>1.1</v>
      </c>
      <c r="P4763" s="150" t="n"/>
      <c r="Q4763" s="96" t="n"/>
      <c r="R4763" s="150" t="n"/>
      <c r="S4763" s="96" t="n"/>
      <c r="T4763" s="150" t="n"/>
      <c r="U4763" s="96" t="n"/>
      <c r="V4763" s="96" t="n"/>
      <c r="W4763" s="96" t="n"/>
      <c r="X4763" s="96" t="n"/>
      <c r="Y4763" s="96" t="n"/>
      <c r="Z4763" s="30" t="n"/>
      <c r="AA4763" s="30" t="n"/>
      <c r="AB4763" s="30" t="n"/>
      <c r="AC4763" s="30" t="n"/>
      <c r="AD4763" s="30" t="n"/>
      <c r="AE4763" s="30" t="n"/>
      <c r="AF4763" s="30" t="n"/>
      <c r="AG4763" s="30" t="n"/>
      <c r="AH4763" s="30" t="n"/>
      <c r="AI4763" s="30" t="n"/>
      <c r="AJ4763" s="30" t="n"/>
      <c r="AK4763" s="30" t="n"/>
      <c r="AL4763" s="30" t="n"/>
      <c r="AM4763" s="30" t="n"/>
      <c r="AN4763" s="30" t="n"/>
    </row>
    <row r="4764">
      <c r="A4764" s="89" t="inlineStr">
        <is>
          <t>5195XXX</t>
        </is>
      </c>
      <c r="B4764" s="135" t="inlineStr">
        <is>
          <t>TAVERNITI CALZA</t>
        </is>
      </c>
      <c r="C4764" s="88" t="n">
        <v>52600</v>
      </c>
      <c r="D4764" s="88">
        <f>ROUND((C4764*1.06)/100,0)*100</f>
        <v/>
      </c>
      <c r="E4764" s="88">
        <f>ROUND((C4764*1.12)/100,0)*100</f>
        <v/>
      </c>
      <c r="F4764" s="22">
        <f>ROUND((C4764*1.18)/100,0)*100</f>
        <v/>
      </c>
      <c r="G4764" s="88" t="n"/>
      <c r="H4764" s="88" t="n"/>
      <c r="I4764" s="88" t="n"/>
      <c r="J4764" s="88" t="n"/>
      <c r="K4764" s="105" t="n"/>
      <c r="L4764" s="170" t="n"/>
      <c r="M4764" s="170" t="n"/>
      <c r="N4764" s="219">
        <f>C4764*O4764</f>
        <v/>
      </c>
      <c r="O4764" s="96" t="n">
        <v>1.1</v>
      </c>
      <c r="P4764" s="150" t="n"/>
      <c r="Q4764" s="96" t="n"/>
      <c r="R4764" s="150" t="n"/>
      <c r="S4764" s="96" t="n"/>
      <c r="T4764" s="150" t="n"/>
      <c r="U4764" s="96" t="n"/>
      <c r="V4764" s="96" t="n"/>
      <c r="W4764" s="96" t="n"/>
      <c r="X4764" s="96" t="n"/>
      <c r="Y4764" s="96" t="n"/>
      <c r="Z4764" s="30" t="n"/>
      <c r="AA4764" s="30" t="n"/>
      <c r="AB4764" s="30" t="n"/>
      <c r="AC4764" s="30" t="n"/>
      <c r="AD4764" s="30" t="n"/>
      <c r="AE4764" s="30" t="n"/>
      <c r="AF4764" s="30" t="n"/>
      <c r="AG4764" s="30" t="n"/>
      <c r="AH4764" s="30" t="n"/>
      <c r="AI4764" s="30" t="n"/>
      <c r="AJ4764" s="30" t="n"/>
      <c r="AK4764" s="30" t="n"/>
      <c r="AL4764" s="30" t="n"/>
      <c r="AM4764" s="30" t="n"/>
      <c r="AN4764" s="30" t="n"/>
    </row>
    <row r="4765">
      <c r="A4765" s="89" t="inlineStr">
        <is>
          <t>5215XXX</t>
        </is>
      </c>
      <c r="B4765" s="135" t="inlineStr">
        <is>
          <t>TAVERNITI CALZA</t>
        </is>
      </c>
      <c r="C4765" s="88" t="n">
        <v>67000</v>
      </c>
      <c r="D4765" s="88">
        <f>ROUND((C4765*1.06)/100,0)*100</f>
        <v/>
      </c>
      <c r="E4765" s="88">
        <f>ROUND((C4765*1.12)/100,0)*100</f>
        <v/>
      </c>
      <c r="F4765" s="22">
        <f>ROUND((C4765*1.18)/100,0)*100</f>
        <v/>
      </c>
      <c r="G4765" s="88" t="n"/>
      <c r="H4765" s="88" t="n"/>
      <c r="I4765" s="88" t="n"/>
      <c r="J4765" s="88" t="n"/>
      <c r="K4765" s="105" t="n"/>
      <c r="L4765" s="170" t="n"/>
      <c r="M4765" s="170" t="n"/>
      <c r="N4765" s="219">
        <f>C4765*O4765</f>
        <v/>
      </c>
      <c r="O4765" s="96" t="n">
        <v>1.1</v>
      </c>
      <c r="P4765" s="150" t="n"/>
      <c r="Q4765" s="96" t="n"/>
      <c r="R4765" s="150" t="n"/>
      <c r="S4765" s="96" t="n"/>
      <c r="T4765" s="150" t="n"/>
      <c r="Z4765" s="30" t="n"/>
      <c r="AA4765" s="30" t="n"/>
      <c r="AB4765" s="30" t="n"/>
      <c r="AC4765" s="30" t="n"/>
      <c r="AD4765" s="30" t="n"/>
      <c r="AE4765" s="30" t="n"/>
      <c r="AF4765" s="30" t="n"/>
      <c r="AG4765" s="30" t="n"/>
      <c r="AH4765" s="30" t="n"/>
      <c r="AI4765" s="30" t="n"/>
      <c r="AJ4765" s="30" t="n"/>
      <c r="AK4765" s="30" t="n"/>
      <c r="AL4765" s="30" t="n"/>
      <c r="AM4765" s="30" t="n"/>
      <c r="AN4765" s="30" t="n"/>
    </row>
    <row r="4766">
      <c r="A4766" s="89" t="inlineStr">
        <is>
          <t>5219XXX</t>
        </is>
      </c>
      <c r="B4766" s="135" t="inlineStr">
        <is>
          <t>TAVERNITI CALZA</t>
        </is>
      </c>
      <c r="C4766" s="88" t="n">
        <v>62800</v>
      </c>
      <c r="D4766" s="88">
        <f>ROUND((C4766*1.06)/100,0)*100</f>
        <v/>
      </c>
      <c r="E4766" s="88">
        <f>ROUND((C4766*1.12)/100,0)*100</f>
        <v/>
      </c>
      <c r="F4766" s="22">
        <f>ROUND((C4766*1.18)/100,0)*100</f>
        <v/>
      </c>
      <c r="G4766" s="88" t="n"/>
      <c r="H4766" s="88" t="n"/>
      <c r="I4766" s="88" t="n"/>
      <c r="J4766" s="88" t="n"/>
      <c r="K4766" s="105" t="n"/>
      <c r="L4766" s="170" t="n"/>
      <c r="M4766" s="170" t="n"/>
      <c r="N4766" s="219">
        <f>C4766*O4766</f>
        <v/>
      </c>
      <c r="O4766" s="96" t="n">
        <v>1.1</v>
      </c>
      <c r="P4766" s="150" t="n"/>
      <c r="Q4766" s="96" t="n"/>
      <c r="R4766" s="150" t="n"/>
      <c r="S4766" s="96" t="n"/>
      <c r="T4766" s="150" t="n"/>
      <c r="Z4766" s="30" t="n"/>
      <c r="AA4766" s="30" t="n"/>
      <c r="AB4766" s="30" t="n"/>
      <c r="AC4766" s="30" t="n"/>
      <c r="AD4766" s="30" t="n"/>
      <c r="AE4766" s="30" t="n"/>
      <c r="AF4766" s="30" t="n"/>
      <c r="AG4766" s="30" t="n"/>
      <c r="AH4766" s="30" t="n"/>
      <c r="AI4766" s="30" t="n"/>
      <c r="AJ4766" s="30" t="n"/>
      <c r="AK4766" s="30" t="n"/>
      <c r="AL4766" s="30" t="n"/>
      <c r="AM4766" s="30" t="n"/>
      <c r="AN4766" s="30" t="n"/>
    </row>
    <row r="4767">
      <c r="A4767" s="89" t="inlineStr">
        <is>
          <t>5229XXX</t>
        </is>
      </c>
      <c r="B4767" s="135" t="inlineStr">
        <is>
          <t>TAVERNITI CALZA</t>
        </is>
      </c>
      <c r="C4767" s="88" t="n">
        <v>67000</v>
      </c>
      <c r="D4767" s="88">
        <f>ROUND((C4767*1.06)/100,0)*100</f>
        <v/>
      </c>
      <c r="E4767" s="88">
        <f>ROUND((C4767*1.12)/100,0)*100</f>
        <v/>
      </c>
      <c r="F4767" s="22">
        <f>ROUND((C4767*1.18)/100,0)*100</f>
        <v/>
      </c>
      <c r="G4767" s="88" t="n"/>
      <c r="H4767" s="88" t="n"/>
      <c r="I4767" s="88" t="n"/>
      <c r="J4767" s="88" t="n"/>
      <c r="K4767" s="105" t="n"/>
      <c r="L4767" s="170" t="n"/>
      <c r="M4767" s="170" t="n"/>
      <c r="N4767" s="219">
        <f>C4767*O4767</f>
        <v/>
      </c>
      <c r="O4767" s="96" t="n">
        <v>1.1</v>
      </c>
      <c r="P4767" s="150" t="n"/>
      <c r="Q4767" s="96" t="n"/>
      <c r="R4767" s="150" t="n"/>
      <c r="S4767" s="96" t="n"/>
      <c r="T4767" s="150" t="n"/>
      <c r="Z4767" s="30" t="n"/>
      <c r="AA4767" s="30" t="n"/>
      <c r="AB4767" s="30" t="n"/>
      <c r="AC4767" s="30" t="n"/>
      <c r="AD4767" s="30" t="n"/>
      <c r="AE4767" s="30" t="n"/>
      <c r="AF4767" s="30" t="n"/>
      <c r="AG4767" s="30" t="n"/>
      <c r="AH4767" s="30" t="n"/>
      <c r="AI4767" s="30" t="n"/>
      <c r="AJ4767" s="30" t="n"/>
      <c r="AK4767" s="30" t="n"/>
      <c r="AL4767" s="30" t="n"/>
      <c r="AM4767" s="30" t="n"/>
      <c r="AN4767" s="30" t="n"/>
    </row>
    <row r="4768">
      <c r="A4768" s="89" t="inlineStr">
        <is>
          <t>6265XXX</t>
        </is>
      </c>
      <c r="B4768" s="135" t="inlineStr">
        <is>
          <t>TAVERNITI CALZA</t>
        </is>
      </c>
      <c r="C4768" s="88" t="n">
        <v>68700</v>
      </c>
      <c r="D4768" s="88">
        <f>ROUND((C4768*1.06)/100,0)*100</f>
        <v/>
      </c>
      <c r="E4768" s="88">
        <f>ROUND((C4768*1.12)/100,0)*100</f>
        <v/>
      </c>
      <c r="F4768" s="88">
        <f>ROUND((C4768*1.18)/100,0)*100</f>
        <v/>
      </c>
      <c r="G4768" s="170" t="n"/>
      <c r="H4768" s="170" t="n"/>
      <c r="I4768" s="170" t="n"/>
      <c r="J4768" s="170" t="n"/>
      <c r="K4768" s="105" t="n"/>
      <c r="L4768" s="170" t="n"/>
      <c r="M4768" s="170" t="n"/>
      <c r="N4768" s="88">
        <f>C4768*O4768</f>
        <v/>
      </c>
      <c r="O4768" s="96" t="n">
        <v>1.1</v>
      </c>
      <c r="P4768" s="170" t="n"/>
      <c r="Q4768" s="30" t="n"/>
      <c r="R4768" s="170" t="n"/>
      <c r="S4768" s="30" t="n"/>
      <c r="T4768" s="170" t="n"/>
      <c r="U4768" s="30" t="n"/>
      <c r="V4768" s="30" t="n"/>
      <c r="W4768" s="30" t="n"/>
      <c r="X4768" s="30" t="n"/>
      <c r="Y4768" s="30" t="n"/>
      <c r="Z4768" s="30" t="n"/>
      <c r="AA4768" s="30" t="n"/>
      <c r="AB4768" s="30" t="n"/>
      <c r="AC4768" s="30" t="n"/>
      <c r="AD4768" s="30" t="n"/>
      <c r="AE4768" s="30" t="n"/>
      <c r="AF4768" s="30" t="n"/>
      <c r="AG4768" s="30" t="n"/>
      <c r="AH4768" s="30" t="n"/>
      <c r="AI4768" s="30" t="n"/>
      <c r="AJ4768" s="30" t="n"/>
      <c r="AK4768" s="30" t="n"/>
      <c r="AL4768" s="30" t="n"/>
      <c r="AM4768" s="30" t="n"/>
      <c r="AN4768" s="30" t="n"/>
      <c r="AO4768" s="30" t="n"/>
    </row>
    <row r="4769">
      <c r="A4769" s="134" t="inlineStr">
        <is>
          <t>8523XXX</t>
        </is>
      </c>
      <c r="B4769" s="246" t="inlineStr">
        <is>
          <t>TAVERNITI CALZA</t>
        </is>
      </c>
      <c r="C4769" s="88" t="n">
        <v>67000</v>
      </c>
      <c r="D4769" s="88">
        <f>ROUND((C4769*1.06)/100,0)*100</f>
        <v/>
      </c>
      <c r="E4769" s="88">
        <f>ROUND((C4769*1.12)/100,0)*100</f>
        <v/>
      </c>
      <c r="F4769" s="22">
        <f>ROUND((C4769*1.18)/100,0)*100</f>
        <v/>
      </c>
      <c r="G4769" s="219" t="n"/>
      <c r="H4769" s="219" t="n"/>
      <c r="I4769" s="219" t="n"/>
      <c r="J4769" s="219" t="n"/>
      <c r="K4769" s="105" t="n"/>
      <c r="L4769" s="170" t="n"/>
      <c r="M4769" s="170" t="n"/>
      <c r="N4769" s="219">
        <f>C4769*O4769</f>
        <v/>
      </c>
      <c r="O4769" s="96" t="n">
        <v>1.1</v>
      </c>
      <c r="P4769" s="150" t="n"/>
      <c r="Q4769" s="96" t="n"/>
      <c r="R4769" s="150" t="n"/>
      <c r="S4769" s="96" t="n"/>
      <c r="T4769" s="150" t="n"/>
      <c r="Z4769" s="30" t="n"/>
      <c r="AA4769" s="30" t="n"/>
      <c r="AB4769" s="30" t="n"/>
      <c r="AC4769" s="30" t="n"/>
      <c r="AD4769" s="30" t="n"/>
      <c r="AE4769" s="30" t="n"/>
      <c r="AF4769" s="30" t="n"/>
      <c r="AG4769" s="30" t="n"/>
      <c r="AH4769" s="30" t="n"/>
      <c r="AI4769" s="30" t="n"/>
      <c r="AJ4769" s="30" t="n"/>
      <c r="AK4769" s="30" t="n"/>
      <c r="AL4769" s="30" t="n"/>
      <c r="AM4769" s="30" t="n"/>
      <c r="AN4769" s="30" t="n"/>
    </row>
    <row r="4770">
      <c r="A4770" s="134" t="inlineStr">
        <is>
          <t>8525XXX</t>
        </is>
      </c>
      <c r="B4770" s="246" t="inlineStr">
        <is>
          <t>TAVERNITI CALZA</t>
        </is>
      </c>
      <c r="C4770" s="88" t="n">
        <v>67000</v>
      </c>
      <c r="D4770" s="88">
        <f>ROUND((C4770*1.06)/100,0)*100</f>
        <v/>
      </c>
      <c r="E4770" s="88">
        <f>ROUND((C4770*1.12)/100,0)*100</f>
        <v/>
      </c>
      <c r="F4770" s="22">
        <f>ROUND((C4770*1.18)/100,0)*100</f>
        <v/>
      </c>
      <c r="G4770" s="219" t="n"/>
      <c r="H4770" s="219" t="n"/>
      <c r="I4770" s="219" t="n"/>
      <c r="J4770" s="219" t="n"/>
      <c r="K4770" s="105" t="n"/>
      <c r="L4770" s="170" t="n"/>
      <c r="M4770" s="170" t="n"/>
      <c r="N4770" s="219">
        <f>C4770*O4770</f>
        <v/>
      </c>
      <c r="O4770" s="96" t="n">
        <v>1.1</v>
      </c>
      <c r="P4770" s="150" t="n"/>
      <c r="Q4770" s="96" t="n"/>
      <c r="R4770" s="150" t="n"/>
      <c r="S4770" s="96" t="n"/>
      <c r="T4770" s="150" t="n"/>
      <c r="Z4770" s="30" t="n"/>
      <c r="AA4770" s="30" t="n"/>
      <c r="AB4770" s="30" t="n"/>
      <c r="AC4770" s="30" t="n"/>
      <c r="AD4770" s="30" t="n"/>
      <c r="AE4770" s="30" t="n"/>
      <c r="AF4770" s="30" t="n"/>
      <c r="AG4770" s="30" t="n"/>
      <c r="AH4770" s="30" t="n"/>
      <c r="AI4770" s="30" t="n"/>
      <c r="AJ4770" s="30" t="n"/>
      <c r="AK4770" s="30" t="n"/>
      <c r="AL4770" s="30" t="n"/>
      <c r="AM4770" s="30" t="n"/>
      <c r="AN4770" s="30" t="n"/>
    </row>
    <row r="4771">
      <c r="A4771" s="128" t="inlineStr">
        <is>
          <t>14021XXX</t>
        </is>
      </c>
      <c r="B4771" s="188" t="inlineStr">
        <is>
          <t>TAVERNITI CALZA</t>
        </is>
      </c>
      <c r="C4771" s="88" t="n">
        <v>67000</v>
      </c>
      <c r="D4771" s="88">
        <f>ROUND((C4771*1.06)/100,0)*100</f>
        <v/>
      </c>
      <c r="E4771" s="88">
        <f>ROUND((C4771*1.12)/100,0)*100</f>
        <v/>
      </c>
      <c r="F4771" s="22">
        <f>ROUND((C4771*1.18)/100,0)*100</f>
        <v/>
      </c>
      <c r="G4771" s="153" t="n"/>
      <c r="H4771" s="153" t="n"/>
      <c r="I4771" s="153" t="n"/>
      <c r="J4771" s="153" t="n"/>
      <c r="K4771" s="180" t="n"/>
      <c r="L4771" s="219" t="n"/>
      <c r="M4771" s="219" t="n"/>
      <c r="N4771" s="219">
        <f>C4771*O4771</f>
        <v/>
      </c>
      <c r="O4771" s="96" t="n">
        <v>1.1</v>
      </c>
      <c r="P4771" s="117" t="n"/>
      <c r="R4771" s="117" t="n"/>
      <c r="T4771" s="117" t="n"/>
    </row>
    <row r="4772">
      <c r="A4772" s="128" t="inlineStr">
        <is>
          <t>14267XXX</t>
        </is>
      </c>
      <c r="B4772" s="188" t="inlineStr">
        <is>
          <t>TAVERNITI CALZA</t>
        </is>
      </c>
      <c r="C4772" s="88" t="n">
        <v>83000</v>
      </c>
      <c r="D4772" s="88">
        <f>ROUND((C4772*1.06)/100,0)*100</f>
        <v/>
      </c>
      <c r="E4772" s="88">
        <f>ROUND((C4772*1.12)/100,0)*100</f>
        <v/>
      </c>
      <c r="F4772" s="22">
        <f>ROUND((C4772*1.18)/100,0)*100</f>
        <v/>
      </c>
      <c r="G4772" s="153" t="n"/>
      <c r="H4772" s="153" t="n"/>
      <c r="I4772" s="153" t="n"/>
      <c r="J4772" s="153" t="n"/>
      <c r="K4772" s="180" t="n"/>
      <c r="L4772" s="219" t="n"/>
      <c r="M4772" s="219" t="n"/>
      <c r="N4772" s="219">
        <f>C4772*O4772</f>
        <v/>
      </c>
      <c r="O4772" s="96" t="n">
        <v>1.1</v>
      </c>
      <c r="P4772" s="117" t="n"/>
      <c r="R4772" s="117" t="n"/>
      <c r="T4772" s="117" t="n"/>
    </row>
    <row r="4773">
      <c r="A4773" s="128" t="inlineStr">
        <is>
          <t>14711XXX</t>
        </is>
      </c>
      <c r="B4773" s="188" t="inlineStr">
        <is>
          <t>TAVERNITI CALZA</t>
        </is>
      </c>
      <c r="C4773" s="88" t="n">
        <v>67000</v>
      </c>
      <c r="D4773" s="88">
        <f>ROUND((C4773*1.06)/100,0)*100</f>
        <v/>
      </c>
      <c r="E4773" s="88">
        <f>ROUND((C4773*1.12)/100,0)*100</f>
        <v/>
      </c>
      <c r="F4773" s="22">
        <f>ROUND((C4773*1.18)/100,0)*100</f>
        <v/>
      </c>
      <c r="G4773" s="153" t="n"/>
      <c r="H4773" s="153" t="n"/>
      <c r="I4773" s="153" t="n"/>
      <c r="J4773" s="153" t="n"/>
      <c r="K4773" s="180" t="n"/>
      <c r="L4773" s="219" t="n"/>
      <c r="M4773" s="219" t="n"/>
      <c r="N4773" s="219">
        <f>C4773*O4773</f>
        <v/>
      </c>
      <c r="O4773" s="96" t="n">
        <v>1.1</v>
      </c>
      <c r="P4773" s="117" t="n"/>
      <c r="R4773" s="117" t="n"/>
      <c r="T4773" s="117" t="n"/>
    </row>
    <row r="4774">
      <c r="A4774" s="128" t="inlineStr">
        <is>
          <t>15011XXX</t>
        </is>
      </c>
      <c r="B4774" s="188" t="inlineStr">
        <is>
          <t>TAVERNITI CALZA</t>
        </is>
      </c>
      <c r="C4774" s="88" t="n">
        <v>67000</v>
      </c>
      <c r="D4774" s="88">
        <f>ROUND((C4774*1.06)/100,0)*100</f>
        <v/>
      </c>
      <c r="E4774" s="88">
        <f>ROUND((C4774*1.12)/100,0)*100</f>
        <v/>
      </c>
      <c r="F4774" s="22">
        <f>ROUND((C4774*1.18)/100,0)*100</f>
        <v/>
      </c>
      <c r="G4774" s="153" t="n"/>
      <c r="H4774" s="153" t="n"/>
      <c r="I4774" s="153" t="n"/>
      <c r="J4774" s="153" t="n"/>
      <c r="K4774" s="180" t="n"/>
      <c r="L4774" s="219" t="n"/>
      <c r="M4774" s="219" t="n"/>
      <c r="N4774" s="219">
        <f>C4774*O4774</f>
        <v/>
      </c>
      <c r="O4774" s="96" t="n">
        <v>1.1</v>
      </c>
      <c r="P4774" s="117" t="n"/>
      <c r="R4774" s="117" t="n"/>
      <c r="T4774" s="117" t="n"/>
    </row>
    <row r="4775">
      <c r="A4775" s="128" t="inlineStr">
        <is>
          <t>15013XXX</t>
        </is>
      </c>
      <c r="B4775" s="188" t="inlineStr">
        <is>
          <t>TAVERNITI CALZA</t>
        </is>
      </c>
      <c r="C4775" s="88" t="n">
        <v>67000</v>
      </c>
      <c r="D4775" s="88">
        <f>ROUND((C4775*1.06)/100,0)*100</f>
        <v/>
      </c>
      <c r="E4775" s="88">
        <f>ROUND((C4775*1.12)/100,0)*100</f>
        <v/>
      </c>
      <c r="F4775" s="22">
        <f>ROUND((C4775*1.18)/100,0)*100</f>
        <v/>
      </c>
      <c r="G4775" s="153" t="n"/>
      <c r="H4775" s="153" t="n"/>
      <c r="I4775" s="153" t="n"/>
      <c r="J4775" s="153" t="n"/>
      <c r="K4775" s="180" t="n"/>
      <c r="L4775" s="219" t="n"/>
      <c r="M4775" s="219" t="n"/>
      <c r="N4775" s="219">
        <f>C4775*O4775</f>
        <v/>
      </c>
      <c r="O4775" s="96" t="n">
        <v>1.1</v>
      </c>
      <c r="P4775" s="117" t="n"/>
      <c r="R4775" s="117" t="n"/>
      <c r="T4775" s="117" t="n"/>
    </row>
    <row r="4776">
      <c r="A4776" s="177" t="inlineStr">
        <is>
          <t>20113XXX</t>
        </is>
      </c>
      <c r="B4776" s="246" t="inlineStr">
        <is>
          <t>TAVERNITI CALZA</t>
        </is>
      </c>
      <c r="C4776" s="88" t="n">
        <v>67000</v>
      </c>
      <c r="D4776" s="88">
        <f>ROUND((C4776*1.06)/100,0)*100</f>
        <v/>
      </c>
      <c r="E4776" s="88">
        <f>ROUND((C4776*1.12)/100,0)*100</f>
        <v/>
      </c>
      <c r="F4776" s="22">
        <f>ROUND((C4776*1.18)/100,0)*100</f>
        <v/>
      </c>
      <c r="G4776" s="22" t="n"/>
      <c r="H4776" s="22" t="n"/>
      <c r="I4776" s="22" t="n"/>
      <c r="J4776" s="22" t="n"/>
      <c r="K4776" s="227" t="n"/>
      <c r="L4776" s="227" t="n"/>
      <c r="M4776" s="227" t="n"/>
      <c r="N4776" s="219">
        <f>C4776*O4776</f>
        <v/>
      </c>
      <c r="O4776" s="96" t="n">
        <v>1.1</v>
      </c>
      <c r="P4776" s="141" t="n"/>
      <c r="Q4776" s="137" t="n"/>
      <c r="R4776" s="141" t="n"/>
      <c r="S4776" s="137" t="n"/>
      <c r="T4776" s="141" t="n"/>
      <c r="Z4776" s="137" t="n"/>
      <c r="AA4776" s="137" t="n"/>
      <c r="AB4776" s="137" t="n"/>
      <c r="AC4776" s="137" t="n"/>
      <c r="AD4776" s="137" t="n"/>
      <c r="AE4776" s="137" t="n"/>
      <c r="AF4776" s="137" t="n"/>
      <c r="AG4776" s="137" t="n"/>
      <c r="AH4776" s="137" t="n"/>
      <c r="AI4776" s="137" t="n"/>
      <c r="AJ4776" s="137" t="n"/>
      <c r="AK4776" s="137" t="n"/>
      <c r="AL4776" s="137" t="n"/>
      <c r="AM4776" s="137" t="n"/>
      <c r="AN4776" s="137" t="n"/>
    </row>
    <row r="4777">
      <c r="A4777" s="177" t="inlineStr">
        <is>
          <t>20115XXX</t>
        </is>
      </c>
      <c r="B4777" s="246" t="inlineStr">
        <is>
          <t>TAVERNITI PANTALON</t>
        </is>
      </c>
      <c r="C4777" s="88" t="n">
        <v>75900</v>
      </c>
      <c r="D4777" s="88">
        <f>ROUND((C4777*1.06)/100,0)*100</f>
        <v/>
      </c>
      <c r="E4777" s="88">
        <f>ROUND((C4777*1.12)/100,0)*100</f>
        <v/>
      </c>
      <c r="F4777" s="22">
        <f>ROUND((C4777*1.18)/100,0)*100</f>
        <v/>
      </c>
      <c r="G4777" s="22" t="n"/>
      <c r="H4777" s="22" t="n"/>
      <c r="I4777" s="22" t="n"/>
      <c r="J4777" s="22" t="n"/>
      <c r="K4777" s="227" t="n"/>
      <c r="L4777" s="227" t="n"/>
      <c r="M4777" s="227" t="n"/>
      <c r="N4777" s="219">
        <f>C4777*O4777</f>
        <v/>
      </c>
      <c r="O4777" s="96" t="n">
        <v>1.1</v>
      </c>
      <c r="P4777" s="141" t="n"/>
      <c r="Q4777" s="137" t="n"/>
      <c r="R4777" s="141" t="n"/>
      <c r="S4777" s="137" t="n"/>
      <c r="T4777" s="141" t="n"/>
      <c r="Z4777" s="137" t="n"/>
      <c r="AA4777" s="137" t="n"/>
      <c r="AB4777" s="137" t="n"/>
      <c r="AC4777" s="137" t="n"/>
      <c r="AD4777" s="137" t="n"/>
      <c r="AE4777" s="137" t="n"/>
      <c r="AF4777" s="137" t="n"/>
      <c r="AG4777" s="137" t="n"/>
      <c r="AH4777" s="137" t="n"/>
      <c r="AI4777" s="137" t="n"/>
      <c r="AJ4777" s="137" t="n"/>
      <c r="AK4777" s="137" t="n"/>
      <c r="AL4777" s="137" t="n"/>
      <c r="AM4777" s="137" t="n"/>
      <c r="AN4777" s="137" t="n"/>
    </row>
    <row r="4778">
      <c r="A4778" s="128" t="n"/>
      <c r="B4778" s="246" t="n"/>
      <c r="C4778" s="153" t="n"/>
      <c r="D4778" s="153" t="n"/>
      <c r="E4778" s="153" t="inlineStr">
        <is>
          <t xml:space="preserve"> </t>
        </is>
      </c>
      <c r="F4778" s="153" t="n"/>
      <c r="G4778" s="153" t="n"/>
      <c r="H4778" s="153" t="n"/>
      <c r="I4778" s="153" t="n"/>
      <c r="J4778" s="153" t="n"/>
      <c r="K4778" s="219" t="n"/>
      <c r="L4778" s="219" t="n"/>
      <c r="M4778" s="219" t="n"/>
      <c r="P4778" s="117" t="n"/>
      <c r="R4778" s="117" t="n"/>
      <c r="T4778" s="117" t="n"/>
    </row>
    <row r="4779">
      <c r="A4779" s="128" t="n"/>
      <c r="B4779" s="247" t="inlineStr">
        <is>
          <t>JEANS DAMA</t>
        </is>
      </c>
      <c r="C4779" s="202" t="inlineStr">
        <is>
          <t>38-48</t>
        </is>
      </c>
      <c r="D4779" s="202" t="inlineStr">
        <is>
          <t>50-54</t>
        </is>
      </c>
      <c r="E4779" s="202" t="inlineStr">
        <is>
          <t>56-60</t>
        </is>
      </c>
      <c r="F4779" s="153" t="n"/>
      <c r="G4779" s="153" t="n"/>
      <c r="H4779" s="153" t="n"/>
      <c r="I4779" s="153" t="n"/>
      <c r="J4779" s="128" t="inlineStr">
        <is>
          <t>04/25</t>
        </is>
      </c>
      <c r="K4779" s="219" t="n"/>
      <c r="L4779" s="219" t="n"/>
      <c r="M4779" s="219" t="n"/>
      <c r="P4779" s="117" t="n"/>
      <c r="R4779" s="117" t="n"/>
      <c r="T4779" s="117" t="n"/>
    </row>
    <row r="4780">
      <c r="A4780" s="128" t="inlineStr">
        <is>
          <t>591710</t>
        </is>
      </c>
      <c r="B4780" s="188" t="inlineStr">
        <is>
          <t>TAVERNITI JEAN DAMA</t>
        </is>
      </c>
      <c r="C4780" s="88" t="n">
        <v>90900</v>
      </c>
      <c r="D4780" s="153" t="n"/>
      <c r="E4780" s="153" t="n"/>
      <c r="F4780" s="153">
        <f>ROUND((C4780*G4780)/100,0)*100</f>
        <v/>
      </c>
      <c r="G4780" s="219" t="n">
        <v>1.1</v>
      </c>
      <c r="H4780" s="219" t="n"/>
      <c r="J4780" s="219" t="n"/>
      <c r="K4780" s="219" t="n"/>
      <c r="L4780" s="219" t="n"/>
      <c r="M4780" s="219" t="n"/>
      <c r="P4780" s="117" t="n"/>
      <c r="R4780" s="117" t="n"/>
      <c r="T4780" s="117" t="n"/>
    </row>
    <row r="4781">
      <c r="A4781" s="134" t="inlineStr">
        <is>
          <t>1133708</t>
        </is>
      </c>
      <c r="B4781" s="246" t="inlineStr">
        <is>
          <t>TAVERNITI JEAN DAMA</t>
        </is>
      </c>
      <c r="C4781" s="88" t="n">
        <v>90900</v>
      </c>
      <c r="D4781" s="111" t="n"/>
      <c r="E4781" s="111" t="n"/>
      <c r="F4781" s="111">
        <f>ROUND((C4781*G4781)/100,0)*100</f>
        <v/>
      </c>
      <c r="G4781" s="219" t="n">
        <v>1.1</v>
      </c>
      <c r="H4781" s="170" t="n"/>
      <c r="I4781" s="170" t="n"/>
      <c r="J4781" s="170" t="n"/>
      <c r="K4781" s="170" t="n"/>
      <c r="L4781" s="170" t="n"/>
      <c r="M4781" s="170" t="n"/>
      <c r="N4781" s="30" t="n"/>
      <c r="O4781" s="30" t="n"/>
      <c r="P4781" s="170" t="n"/>
      <c r="Q4781" s="30" t="n"/>
      <c r="R4781" s="170" t="n"/>
      <c r="S4781" s="30" t="n"/>
      <c r="T4781" s="170" t="n"/>
      <c r="U4781" s="30" t="n"/>
      <c r="V4781" s="30" t="n"/>
      <c r="W4781" s="30" t="n"/>
      <c r="X4781" s="30" t="n"/>
      <c r="Y4781" s="30" t="n"/>
      <c r="Z4781" s="30" t="n"/>
      <c r="AA4781" s="30" t="n"/>
      <c r="AB4781" s="30" t="n"/>
      <c r="AC4781" s="30" t="n"/>
      <c r="AD4781" s="30" t="n"/>
      <c r="AE4781" s="30" t="n"/>
      <c r="AF4781" s="30" t="n"/>
      <c r="AG4781" s="30" t="n"/>
      <c r="AH4781" s="30" t="n"/>
      <c r="AI4781" s="30" t="n"/>
      <c r="AJ4781" s="30" t="n"/>
      <c r="AK4781" s="30" t="n"/>
      <c r="AL4781" s="30" t="n"/>
      <c r="AM4781" s="30" t="n"/>
      <c r="AN4781" s="30" t="n"/>
    </row>
    <row r="4782">
      <c r="A4782" s="128" t="inlineStr">
        <is>
          <t>1167705</t>
        </is>
      </c>
      <c r="B4782" s="188" t="inlineStr">
        <is>
          <t>TAVERNITI JEAN DAMA</t>
        </is>
      </c>
      <c r="C4782" s="88" t="n">
        <v>90900</v>
      </c>
      <c r="D4782" s="153" t="n"/>
      <c r="E4782" s="153" t="n"/>
      <c r="F4782" s="153">
        <f>ROUND((C4782*G4782)/100,0)*100</f>
        <v/>
      </c>
      <c r="G4782" s="219" t="n">
        <v>1.1</v>
      </c>
      <c r="H4782" s="219" t="n"/>
      <c r="I4782" s="219" t="n"/>
      <c r="J4782" s="219" t="n"/>
      <c r="K4782" s="219" t="n"/>
      <c r="L4782" s="219" t="n"/>
      <c r="M4782" s="219" t="n"/>
      <c r="P4782" s="117" t="n"/>
      <c r="R4782" s="117" t="n"/>
      <c r="T4782" s="117" t="n"/>
    </row>
    <row r="4783">
      <c r="A4783" s="128" t="inlineStr">
        <is>
          <t>1195451</t>
        </is>
      </c>
      <c r="B4783" s="188" t="inlineStr">
        <is>
          <t>TAVERNITI JEAN DAMA</t>
        </is>
      </c>
      <c r="C4783" s="88" t="n">
        <v>90900</v>
      </c>
      <c r="D4783" s="153" t="n"/>
      <c r="E4783" s="153" t="n"/>
      <c r="F4783" s="153">
        <f>ROUND((C4783*G4783)/100,0)*100</f>
        <v/>
      </c>
      <c r="G4783" s="219" t="n">
        <v>1.1</v>
      </c>
      <c r="H4783" s="219" t="n"/>
      <c r="I4783" s="219" t="n"/>
      <c r="J4783" s="219" t="n"/>
      <c r="K4783" s="219" t="n"/>
      <c r="L4783" s="219" t="n"/>
      <c r="M4783" s="219" t="n"/>
      <c r="P4783" s="117" t="n"/>
      <c r="R4783" s="117" t="n"/>
      <c r="T4783" s="117" t="n"/>
    </row>
    <row r="4784">
      <c r="A4784" s="128" t="inlineStr">
        <is>
          <t>1201204</t>
        </is>
      </c>
      <c r="B4784" s="188" t="inlineStr">
        <is>
          <t>TAVERNITI JEAN DAMA</t>
        </is>
      </c>
      <c r="C4784" s="88" t="n">
        <v>90900</v>
      </c>
      <c r="D4784" s="153" t="n"/>
      <c r="E4784" s="153" t="n"/>
      <c r="F4784" s="153">
        <f>ROUND((C4784*G4784)/100,0)*100</f>
        <v/>
      </c>
      <c r="G4784" s="219" t="n">
        <v>1.1</v>
      </c>
      <c r="H4784" s="219" t="n"/>
      <c r="I4784" s="219" t="n"/>
      <c r="J4784" s="219" t="n"/>
      <c r="K4784" s="219" t="n"/>
      <c r="L4784" s="219" t="n"/>
      <c r="M4784" s="219" t="n"/>
      <c r="P4784" s="117" t="n"/>
      <c r="R4784" s="117" t="n"/>
      <c r="T4784" s="117" t="n"/>
    </row>
    <row r="4785">
      <c r="A4785" s="128" t="inlineStr">
        <is>
          <t>1201205</t>
        </is>
      </c>
      <c r="B4785" s="188" t="inlineStr">
        <is>
          <t>TAVERNITI JEAN DAMA</t>
        </is>
      </c>
      <c r="C4785" s="88" t="n">
        <v>90900</v>
      </c>
      <c r="D4785" s="153" t="n"/>
      <c r="E4785" s="153" t="n"/>
      <c r="F4785" s="153">
        <f>ROUND((C4785*G4785)/100,0)*100</f>
        <v/>
      </c>
      <c r="G4785" s="219" t="n">
        <v>1.1</v>
      </c>
      <c r="H4785" s="219" t="n"/>
      <c r="I4785" s="219" t="n"/>
      <c r="J4785" s="219" t="n"/>
      <c r="K4785" s="219" t="n"/>
      <c r="L4785" s="219" t="n"/>
      <c r="M4785" s="219" t="n"/>
      <c r="P4785" s="117" t="n"/>
      <c r="R4785" s="117" t="n"/>
      <c r="T4785" s="117" t="n"/>
    </row>
    <row r="4786">
      <c r="A4786" s="128" t="inlineStr">
        <is>
          <t>1201568</t>
        </is>
      </c>
      <c r="B4786" s="188" t="inlineStr">
        <is>
          <t>TAVERNITI JEAN DAMA</t>
        </is>
      </c>
      <c r="C4786" s="88" t="n">
        <v>90900</v>
      </c>
      <c r="D4786" s="153" t="n"/>
      <c r="E4786" s="153" t="n"/>
      <c r="F4786" s="153">
        <f>ROUND((C4786*G4786)/100,0)*100</f>
        <v/>
      </c>
      <c r="G4786" s="219" t="n">
        <v>1.1</v>
      </c>
      <c r="H4786" s="219" t="n"/>
      <c r="I4786" s="219" t="n"/>
      <c r="J4786" s="219" t="n"/>
      <c r="K4786" s="219" t="n"/>
      <c r="L4786" s="219" t="n"/>
      <c r="M4786" s="219" t="n"/>
      <c r="P4786" s="117" t="n"/>
      <c r="R4786" s="117" t="n"/>
      <c r="T4786" s="117" t="n"/>
    </row>
    <row r="4787">
      <c r="A4787" s="128" t="inlineStr">
        <is>
          <t>1201710</t>
        </is>
      </c>
      <c r="B4787" s="188" t="inlineStr">
        <is>
          <t>TAVERNITI JEAN DAMA</t>
        </is>
      </c>
      <c r="C4787" s="88" t="n">
        <v>90900</v>
      </c>
      <c r="D4787" s="153" t="n"/>
      <c r="E4787" s="153" t="n"/>
      <c r="F4787" s="153">
        <f>ROUND((C4787*G4787)/100,0)*100</f>
        <v/>
      </c>
      <c r="G4787" s="219" t="n">
        <v>1.1</v>
      </c>
      <c r="H4787" s="219" t="n"/>
      <c r="I4787" s="219" t="n"/>
      <c r="J4787" s="219" t="n"/>
      <c r="K4787" s="219" t="n"/>
      <c r="L4787" s="219" t="n"/>
      <c r="M4787" s="219" t="n"/>
      <c r="P4787" s="117" t="n"/>
      <c r="R4787" s="117" t="n"/>
      <c r="T4787" s="117" t="n"/>
    </row>
    <row r="4788">
      <c r="A4788" s="128" t="inlineStr">
        <is>
          <t>1201711</t>
        </is>
      </c>
      <c r="B4788" s="188" t="inlineStr">
        <is>
          <t>TAVERNITI JEAN DAMA</t>
        </is>
      </c>
      <c r="C4788" s="88" t="n">
        <v>90900</v>
      </c>
      <c r="D4788" s="153" t="n"/>
      <c r="E4788" s="153" t="n"/>
      <c r="F4788" s="153">
        <f>ROUND((C4788*G4788)/100,0)*100</f>
        <v/>
      </c>
      <c r="G4788" s="219" t="n">
        <v>1.1</v>
      </c>
      <c r="H4788" s="219" t="n"/>
      <c r="I4788" s="219" t="n"/>
      <c r="J4788" s="219" t="n"/>
      <c r="K4788" s="219" t="n"/>
      <c r="L4788" s="219" t="n"/>
      <c r="M4788" s="219" t="n"/>
      <c r="P4788" s="117" t="n"/>
      <c r="R4788" s="117" t="n"/>
      <c r="T4788" s="117" t="n"/>
    </row>
    <row r="4789">
      <c r="A4789" s="128" t="inlineStr">
        <is>
          <t>1205602</t>
        </is>
      </c>
      <c r="B4789" s="188" t="inlineStr">
        <is>
          <t>TAVERNITI JEAN DAMA</t>
        </is>
      </c>
      <c r="C4789" s="88" t="n">
        <v>90900</v>
      </c>
      <c r="D4789" s="153" t="n"/>
      <c r="E4789" s="153" t="n"/>
      <c r="F4789" s="153">
        <f>ROUND((C4789*G4789)/100,0)*100</f>
        <v/>
      </c>
      <c r="G4789" s="219" t="n">
        <v>1.1</v>
      </c>
      <c r="H4789" s="219" t="n"/>
      <c r="I4789" s="219" t="n"/>
      <c r="J4789" s="219" t="n"/>
      <c r="K4789" s="219" t="n"/>
      <c r="L4789" s="219" t="n"/>
      <c r="M4789" s="219" t="n"/>
      <c r="P4789" s="117" t="n"/>
      <c r="R4789" s="117" t="n"/>
      <c r="T4789" s="117" t="n"/>
    </row>
    <row r="4790">
      <c r="A4790" s="128" t="inlineStr">
        <is>
          <t>1211204</t>
        </is>
      </c>
      <c r="B4790" s="188" t="inlineStr">
        <is>
          <t>TAVERNITI JEAN DAMA</t>
        </is>
      </c>
      <c r="C4790" s="88" t="n">
        <v>90900</v>
      </c>
      <c r="D4790" s="153" t="n"/>
      <c r="E4790" s="153" t="n"/>
      <c r="F4790" s="153">
        <f>ROUND((C4790*G4790)/100,0)*100</f>
        <v/>
      </c>
      <c r="G4790" s="219" t="n">
        <v>1.1</v>
      </c>
      <c r="H4790" s="219" t="n"/>
      <c r="I4790" s="219" t="n"/>
      <c r="J4790" s="219" t="n"/>
      <c r="K4790" s="219" t="n"/>
      <c r="L4790" s="219" t="n"/>
      <c r="M4790" s="219" t="n"/>
      <c r="P4790" s="117" t="n"/>
      <c r="R4790" s="117" t="n"/>
      <c r="T4790" s="117" t="n"/>
    </row>
    <row r="4791">
      <c r="A4791" s="128" t="inlineStr">
        <is>
          <t>1223683</t>
        </is>
      </c>
      <c r="B4791" s="188" t="inlineStr">
        <is>
          <t>TAVERNITI JEAN DAMA</t>
        </is>
      </c>
      <c r="C4791" s="88" t="n">
        <v>90900</v>
      </c>
      <c r="D4791" s="153" t="n"/>
      <c r="E4791" s="153" t="n"/>
      <c r="F4791" s="153">
        <f>ROUND((C4791*G4791)/100,0)*100</f>
        <v/>
      </c>
      <c r="G4791" s="219" t="n">
        <v>1.1</v>
      </c>
      <c r="H4791" s="219" t="n"/>
      <c r="I4791" s="219" t="n"/>
      <c r="J4791" s="219" t="n"/>
      <c r="K4791" s="219" t="n"/>
      <c r="L4791" s="219" t="n"/>
      <c r="M4791" s="219" t="n"/>
      <c r="P4791" s="117" t="n"/>
      <c r="R4791" s="117" t="n"/>
      <c r="T4791" s="117" t="n"/>
    </row>
    <row r="4792">
      <c r="A4792" s="128" t="inlineStr">
        <is>
          <t>1225205</t>
        </is>
      </c>
      <c r="B4792" s="188" t="inlineStr">
        <is>
          <t>TAVERNITI JEAN DAMA</t>
        </is>
      </c>
      <c r="C4792" s="88" t="n">
        <v>90900</v>
      </c>
      <c r="D4792" s="153" t="n"/>
      <c r="E4792" s="153" t="n"/>
      <c r="F4792" s="153">
        <f>ROUND((C4792*G4792)/100,0)*100</f>
        <v/>
      </c>
      <c r="G4792" s="219" t="n">
        <v>1.1</v>
      </c>
      <c r="H4792" s="219" t="n"/>
      <c r="I4792" s="219" t="n"/>
      <c r="J4792" s="219" t="n"/>
      <c r="K4792" s="219" t="n"/>
      <c r="L4792" s="219" t="n"/>
      <c r="M4792" s="219" t="n"/>
      <c r="P4792" s="117" t="n"/>
      <c r="R4792" s="117" t="n"/>
      <c r="T4792" s="117" t="n"/>
    </row>
    <row r="4793">
      <c r="A4793" s="128" t="inlineStr">
        <is>
          <t>1237705</t>
        </is>
      </c>
      <c r="B4793" s="188" t="inlineStr">
        <is>
          <t>TAVERNITI JEAN DAMA</t>
        </is>
      </c>
      <c r="C4793" s="88" t="n">
        <v>90900</v>
      </c>
      <c r="D4793" s="153" t="n"/>
      <c r="E4793" s="153" t="n"/>
      <c r="F4793" s="153">
        <f>ROUND((C4793*G4793)/100,0)*100</f>
        <v/>
      </c>
      <c r="G4793" s="219" t="n">
        <v>1.1</v>
      </c>
      <c r="H4793" s="219" t="n"/>
      <c r="I4793" s="219" t="n"/>
      <c r="J4793" s="219" t="n"/>
      <c r="K4793" s="219" t="n"/>
      <c r="L4793" s="219" t="n"/>
      <c r="M4793" s="219" t="n"/>
      <c r="P4793" s="117" t="n"/>
      <c r="R4793" s="117" t="n"/>
      <c r="T4793" s="117" t="n"/>
    </row>
    <row r="4794">
      <c r="A4794" s="128" t="inlineStr">
        <is>
          <t>1241920</t>
        </is>
      </c>
      <c r="B4794" s="188" t="inlineStr">
        <is>
          <t>TAVERNITI JEAN DAMA</t>
        </is>
      </c>
      <c r="C4794" s="88" t="n">
        <v>90900</v>
      </c>
      <c r="D4794" s="153" t="n"/>
      <c r="E4794" s="153" t="n"/>
      <c r="F4794" s="153">
        <f>ROUND((C4794*G4794)/100,0)*100</f>
        <v/>
      </c>
      <c r="G4794" s="219" t="n">
        <v>1.1</v>
      </c>
      <c r="H4794" s="219" t="n"/>
      <c r="I4794" s="219" t="n"/>
      <c r="J4794" s="219" t="n"/>
      <c r="K4794" s="219" t="n"/>
      <c r="L4794" s="219" t="n"/>
      <c r="M4794" s="219" t="n"/>
      <c r="P4794" s="117" t="n"/>
      <c r="R4794" s="117" t="n"/>
      <c r="T4794" s="117" t="n"/>
    </row>
    <row r="4795">
      <c r="A4795" s="128" t="inlineStr">
        <is>
          <t>1243710</t>
        </is>
      </c>
      <c r="B4795" s="188" t="inlineStr">
        <is>
          <t>TAVERNITI JEAN DAMA</t>
        </is>
      </c>
      <c r="C4795" s="88" t="n">
        <v>90900</v>
      </c>
      <c r="D4795" s="153" t="n"/>
      <c r="E4795" s="153" t="n"/>
      <c r="F4795" s="153">
        <f>ROUND((C4795*G4795)/100,0)*100</f>
        <v/>
      </c>
      <c r="G4795" s="219" t="n">
        <v>1.1</v>
      </c>
      <c r="H4795" s="219" t="n"/>
      <c r="I4795" s="219" t="n"/>
      <c r="J4795" s="219" t="n"/>
      <c r="K4795" s="219" t="n"/>
      <c r="L4795" s="219" t="n"/>
      <c r="M4795" s="219" t="n"/>
      <c r="P4795" s="117" t="n"/>
      <c r="R4795" s="117" t="n"/>
      <c r="T4795" s="117" t="n"/>
    </row>
    <row r="4796">
      <c r="A4796" s="128" t="inlineStr">
        <is>
          <t>1257603</t>
        </is>
      </c>
      <c r="B4796" s="188" t="inlineStr">
        <is>
          <t>TAVERNITI JEAN DAMA</t>
        </is>
      </c>
      <c r="C4796" s="88" t="n">
        <v>90900</v>
      </c>
      <c r="D4796" s="153" t="n"/>
      <c r="E4796" s="153" t="n"/>
      <c r="F4796" s="153">
        <f>ROUND((C4796*G4796)/100,0)*100</f>
        <v/>
      </c>
      <c r="G4796" s="219" t="n">
        <v>1.1</v>
      </c>
      <c r="H4796" s="219" t="n"/>
      <c r="I4796" s="219" t="n"/>
      <c r="J4796" s="219" t="n"/>
      <c r="K4796" s="219" t="n"/>
      <c r="L4796" s="219" t="n"/>
      <c r="M4796" s="219" t="n"/>
      <c r="P4796" s="117" t="n"/>
      <c r="R4796" s="117" t="n"/>
      <c r="T4796" s="117" t="n"/>
    </row>
    <row r="4797">
      <c r="A4797" s="128" t="inlineStr">
        <is>
          <t>1259510</t>
        </is>
      </c>
      <c r="B4797" s="188" t="inlineStr">
        <is>
          <t>TAVERNITI JEAN DAMA</t>
        </is>
      </c>
      <c r="C4797" s="88" t="n">
        <v>90900</v>
      </c>
      <c r="D4797" s="153" t="n"/>
      <c r="E4797" s="153" t="n"/>
      <c r="F4797" s="153">
        <f>ROUND((C4797*G4797)/100,0)*100</f>
        <v/>
      </c>
      <c r="G4797" s="219" t="n">
        <v>1.1</v>
      </c>
      <c r="H4797" s="219" t="n"/>
      <c r="I4797" s="219" t="n"/>
      <c r="J4797" s="219" t="n"/>
      <c r="K4797" s="219" t="n"/>
      <c r="L4797" s="219" t="n"/>
      <c r="M4797" s="219" t="n"/>
      <c r="P4797" s="117" t="n"/>
      <c r="R4797" s="117" t="n"/>
      <c r="T4797" s="117" t="n"/>
    </row>
    <row r="4798">
      <c r="A4798" s="128" t="inlineStr">
        <is>
          <t>1261708</t>
        </is>
      </c>
      <c r="B4798" s="188" t="inlineStr">
        <is>
          <t>TAVERNITI JEAN DAMA</t>
        </is>
      </c>
      <c r="C4798" s="88" t="n">
        <v>90900</v>
      </c>
      <c r="D4798" s="153" t="n"/>
      <c r="E4798" s="153" t="n"/>
      <c r="F4798" s="153">
        <f>ROUND((C4798*G4798)/100,0)*100</f>
        <v/>
      </c>
      <c r="G4798" s="219" t="n">
        <v>1.1</v>
      </c>
      <c r="H4798" s="219" t="n"/>
      <c r="I4798" s="219" t="n"/>
      <c r="J4798" s="219" t="n"/>
      <c r="K4798" s="219" t="n"/>
      <c r="L4798" s="219" t="n"/>
      <c r="M4798" s="219" t="n"/>
      <c r="P4798" s="117" t="n"/>
      <c r="R4798" s="117" t="n"/>
      <c r="T4798" s="117" t="n"/>
    </row>
    <row r="4799">
      <c r="A4799" s="128" t="inlineStr">
        <is>
          <t>1263710</t>
        </is>
      </c>
      <c r="B4799" s="188" t="inlineStr">
        <is>
          <t>TAVERNITI JEAN DAMA</t>
        </is>
      </c>
      <c r="C4799" s="88" t="n">
        <v>90900</v>
      </c>
      <c r="D4799" s="153" t="n"/>
      <c r="E4799" s="153" t="n"/>
      <c r="F4799" s="153">
        <f>ROUND((C4799*G4799)/100,0)*100</f>
        <v/>
      </c>
      <c r="G4799" s="219" t="n">
        <v>1.1</v>
      </c>
      <c r="H4799" s="219" t="n"/>
      <c r="I4799" s="219" t="n"/>
      <c r="J4799" s="219" t="n"/>
      <c r="K4799" s="219" t="n"/>
      <c r="L4799" s="219" t="n"/>
      <c r="M4799" s="219" t="n"/>
      <c r="P4799" s="117" t="n"/>
      <c r="R4799" s="117" t="n"/>
      <c r="T4799" s="117" t="n"/>
    </row>
    <row r="4800">
      <c r="A4800" s="128" t="inlineStr">
        <is>
          <t>1277705</t>
        </is>
      </c>
      <c r="B4800" s="188" t="inlineStr">
        <is>
          <t>TAVERNITI JEAN DAMA</t>
        </is>
      </c>
      <c r="C4800" s="88" t="n">
        <v>90900</v>
      </c>
      <c r="D4800" s="221" t="n"/>
      <c r="E4800" s="153" t="n"/>
      <c r="F4800" s="153">
        <f>ROUND((C4800*G4800)/100,0)*100</f>
        <v/>
      </c>
      <c r="G4800" s="219" t="n">
        <v>1.1</v>
      </c>
      <c r="H4800" s="219" t="n"/>
      <c r="I4800" s="219" t="n"/>
      <c r="J4800" s="219" t="n"/>
      <c r="K4800" s="219" t="n"/>
      <c r="L4800" s="219" t="n"/>
      <c r="M4800" s="219" t="n"/>
      <c r="P4800" s="117" t="n"/>
      <c r="R4800" s="117" t="n"/>
      <c r="T4800" s="117" t="n"/>
    </row>
    <row r="4801">
      <c r="A4801" s="128" t="inlineStr">
        <is>
          <t>1277912</t>
        </is>
      </c>
      <c r="B4801" s="188" t="inlineStr">
        <is>
          <t>TAVERNITI JEAN DAMA</t>
        </is>
      </c>
      <c r="C4801" s="88" t="n">
        <v>90900</v>
      </c>
      <c r="D4801" s="221" t="n"/>
      <c r="E4801" s="153" t="n"/>
      <c r="F4801" s="153">
        <f>ROUND((C4801*G4801)/100,0)*100</f>
        <v/>
      </c>
      <c r="G4801" s="219" t="n">
        <v>1.1</v>
      </c>
      <c r="H4801" s="219" t="n"/>
      <c r="I4801" s="219" t="n"/>
      <c r="J4801" s="219" t="n"/>
      <c r="K4801" s="219" t="n"/>
      <c r="L4801" s="219" t="n"/>
      <c r="M4801" s="219" t="n"/>
      <c r="P4801" s="117" t="n"/>
      <c r="R4801" s="117" t="n"/>
      <c r="T4801" s="117" t="n"/>
    </row>
    <row r="4802">
      <c r="A4802" s="128" t="inlineStr">
        <is>
          <t>1297450</t>
        </is>
      </c>
      <c r="B4802" s="188" t="inlineStr">
        <is>
          <t>TAVERNITI JEAN DAMA</t>
        </is>
      </c>
      <c r="C4802" s="88" t="n">
        <v>90900</v>
      </c>
      <c r="D4802" s="221" t="n"/>
      <c r="E4802" s="153" t="n"/>
      <c r="F4802" s="153">
        <f>ROUND((C4802*G4802)/100,0)*100</f>
        <v/>
      </c>
      <c r="G4802" s="219" t="n">
        <v>1.1</v>
      </c>
      <c r="H4802" s="219" t="n"/>
      <c r="I4802" s="219" t="n"/>
      <c r="J4802" s="219" t="n"/>
      <c r="K4802" s="219" t="n"/>
      <c r="L4802" s="219" t="n"/>
      <c r="M4802" s="219" t="n"/>
      <c r="P4802" s="117" t="n"/>
      <c r="R4802" s="117" t="n"/>
      <c r="T4802" s="117" t="n"/>
    </row>
    <row r="4803">
      <c r="A4803" s="128" t="inlineStr">
        <is>
          <t>1303705</t>
        </is>
      </c>
      <c r="B4803" s="188" t="inlineStr">
        <is>
          <t>TAVERNITI JEAN DAMA</t>
        </is>
      </c>
      <c r="C4803" s="88" t="n">
        <v>90900</v>
      </c>
      <c r="D4803" s="221" t="n"/>
      <c r="E4803" s="153" t="n"/>
      <c r="F4803" s="153">
        <f>ROUND((C4803*G4803)/100,0)*100</f>
        <v/>
      </c>
      <c r="G4803" s="219" t="n">
        <v>1.1</v>
      </c>
      <c r="H4803" s="219" t="n"/>
      <c r="I4803" s="219" t="n"/>
      <c r="J4803" s="219" t="n"/>
      <c r="K4803" s="219" t="n"/>
      <c r="L4803" s="219" t="n"/>
      <c r="M4803" s="219" t="n"/>
      <c r="P4803" s="117" t="n"/>
      <c r="R4803" s="117" t="n"/>
      <c r="T4803" s="117" t="n"/>
    </row>
    <row r="4804">
      <c r="A4804" s="128" t="inlineStr">
        <is>
          <t>1329712</t>
        </is>
      </c>
      <c r="B4804" s="188" t="inlineStr">
        <is>
          <t>TAVERNITI JEAN DAMA</t>
        </is>
      </c>
      <c r="C4804" s="88" t="n">
        <v>90900</v>
      </c>
      <c r="D4804" s="221" t="n"/>
      <c r="E4804" s="153" t="n"/>
      <c r="F4804" s="153">
        <f>ROUND((C4804*G4804)/100,0)*100</f>
        <v/>
      </c>
      <c r="G4804" s="219" t="n">
        <v>1.1</v>
      </c>
      <c r="H4804" s="219" t="n"/>
      <c r="I4804" s="219" t="n"/>
      <c r="J4804" s="219" t="n"/>
      <c r="K4804" s="219" t="n"/>
      <c r="L4804" s="219" t="n"/>
      <c r="M4804" s="219" t="n"/>
      <c r="P4804" s="117" t="n"/>
      <c r="R4804" s="117" t="n"/>
      <c r="T4804" s="117" t="n"/>
    </row>
    <row r="4805">
      <c r="A4805" s="128" t="inlineStr">
        <is>
          <t>1331627</t>
        </is>
      </c>
      <c r="B4805" s="188" t="inlineStr">
        <is>
          <t>TAVERNITI JEAN DAMA</t>
        </is>
      </c>
      <c r="C4805" s="88" t="n">
        <v>90900</v>
      </c>
      <c r="D4805" s="221" t="n"/>
      <c r="E4805" s="153" t="n"/>
      <c r="F4805" s="153">
        <f>ROUND((C4805*G4805)/100,0)*100</f>
        <v/>
      </c>
      <c r="G4805" s="219" t="n">
        <v>1.1</v>
      </c>
      <c r="H4805" s="219" t="n"/>
      <c r="I4805" s="219" t="n"/>
      <c r="J4805" s="219" t="n"/>
      <c r="K4805" s="219" t="n"/>
      <c r="L4805" s="219" t="n"/>
      <c r="M4805" s="219" t="n"/>
      <c r="P4805" s="117" t="n"/>
      <c r="R4805" s="117" t="n"/>
      <c r="T4805" s="117" t="n"/>
    </row>
    <row r="4806">
      <c r="A4806" s="128" t="inlineStr">
        <is>
          <t>1345568</t>
        </is>
      </c>
      <c r="B4806" s="188" t="inlineStr">
        <is>
          <t>TAVERNITI JEAN DAMA</t>
        </is>
      </c>
      <c r="C4806" s="88" t="n">
        <v>90900</v>
      </c>
      <c r="D4806" s="221" t="n"/>
      <c r="E4806" s="153" t="n"/>
      <c r="F4806" s="153">
        <f>ROUND((C4806*G4806)/100,0)*100</f>
        <v/>
      </c>
      <c r="G4806" s="219" t="n">
        <v>1.1</v>
      </c>
      <c r="H4806" s="219" t="n"/>
      <c r="I4806" s="219" t="n"/>
      <c r="J4806" s="219" t="n"/>
      <c r="K4806" s="219" t="n"/>
      <c r="L4806" s="219" t="n"/>
      <c r="M4806" s="219" t="n"/>
      <c r="P4806" s="117" t="n"/>
      <c r="R4806" s="117" t="n"/>
      <c r="T4806" s="117" t="n"/>
    </row>
    <row r="4807">
      <c r="A4807" s="128" t="inlineStr">
        <is>
          <t>1359912</t>
        </is>
      </c>
      <c r="B4807" s="188" t="inlineStr">
        <is>
          <t>TAVERNITI JEAN DAMA</t>
        </is>
      </c>
      <c r="C4807" s="88" t="n">
        <v>90900</v>
      </c>
      <c r="D4807" s="221" t="n"/>
      <c r="E4807" s="153" t="n"/>
      <c r="F4807" s="153">
        <f>ROUND((C4807*G4807)/100,0)*100</f>
        <v/>
      </c>
      <c r="G4807" s="219" t="n">
        <v>1.1</v>
      </c>
      <c r="H4807" s="219" t="n"/>
      <c r="I4807" s="219" t="n"/>
      <c r="J4807" s="219" t="n"/>
      <c r="K4807" s="219" t="n"/>
      <c r="L4807" s="219" t="n"/>
      <c r="M4807" s="219" t="n"/>
      <c r="P4807" s="117" t="n"/>
      <c r="R4807" s="117" t="n"/>
      <c r="T4807" s="117" t="n"/>
    </row>
    <row r="4808">
      <c r="A4808" s="128" t="inlineStr">
        <is>
          <t>1359906</t>
        </is>
      </c>
      <c r="B4808" s="188" t="inlineStr">
        <is>
          <t>TAVERNITI JEAN DAMA</t>
        </is>
      </c>
      <c r="C4808" s="88" t="n">
        <v>90900</v>
      </c>
      <c r="D4808" s="221" t="n"/>
      <c r="E4808" s="153" t="n"/>
      <c r="F4808" s="153">
        <f>ROUND((C4808*G4808)/100,0)*100</f>
        <v/>
      </c>
      <c r="G4808" s="219" t="n">
        <v>1.1</v>
      </c>
      <c r="H4808" s="219" t="n"/>
      <c r="I4808" s="219" t="n"/>
      <c r="J4808" s="219" t="n"/>
      <c r="K4808" s="219" t="n"/>
      <c r="L4808" s="219" t="n"/>
      <c r="M4808" s="219" t="n"/>
      <c r="P4808" s="117" t="n"/>
      <c r="R4808" s="117" t="n"/>
      <c r="T4808" s="117" t="n"/>
    </row>
    <row r="4809">
      <c r="A4809" s="128" t="inlineStr">
        <is>
          <t>1359937</t>
        </is>
      </c>
      <c r="B4809" s="188" t="inlineStr">
        <is>
          <t>TAVERNITI JEAN DAMA</t>
        </is>
      </c>
      <c r="C4809" s="88" t="n">
        <v>90900</v>
      </c>
      <c r="D4809" s="221" t="n"/>
      <c r="E4809" s="153" t="n"/>
      <c r="F4809" s="153">
        <f>ROUND((C4809*G4809)/100,0)*100</f>
        <v/>
      </c>
      <c r="G4809" s="219" t="n">
        <v>1.1</v>
      </c>
      <c r="H4809" s="219" t="n"/>
      <c r="I4809" s="219" t="n"/>
      <c r="J4809" s="219" t="n"/>
      <c r="K4809" s="219" t="n"/>
      <c r="L4809" s="219" t="n"/>
      <c r="M4809" s="219" t="n"/>
      <c r="P4809" s="117" t="n"/>
      <c r="R4809" s="117" t="n"/>
      <c r="T4809" s="117" t="n"/>
    </row>
    <row r="4810">
      <c r="A4810" s="128" t="inlineStr">
        <is>
          <t>1361708</t>
        </is>
      </c>
      <c r="B4810" s="188" t="inlineStr">
        <is>
          <t>TAVERNITI JEAN DAMA</t>
        </is>
      </c>
      <c r="C4810" s="88" t="n">
        <v>90900</v>
      </c>
      <c r="D4810" s="221" t="n"/>
      <c r="E4810" s="153" t="n"/>
      <c r="F4810" s="153">
        <f>ROUND((C4810*G4810)/100,0)*100</f>
        <v/>
      </c>
      <c r="G4810" s="219" t="n">
        <v>1.1</v>
      </c>
      <c r="H4810" s="219" t="n"/>
      <c r="I4810" s="219" t="n"/>
      <c r="J4810" s="219" t="n"/>
      <c r="K4810" s="219" t="n"/>
      <c r="L4810" s="219" t="n"/>
      <c r="M4810" s="219" t="n"/>
      <c r="P4810" s="117" t="n"/>
      <c r="R4810" s="117" t="n"/>
      <c r="T4810" s="117" t="n"/>
    </row>
    <row r="4811">
      <c r="A4811" s="128" t="inlineStr">
        <is>
          <t>1441568</t>
        </is>
      </c>
      <c r="B4811" s="188" t="inlineStr">
        <is>
          <t>TAVERNITI JEAN DAMA</t>
        </is>
      </c>
      <c r="C4811" s="88" t="n">
        <v>90900</v>
      </c>
      <c r="D4811" s="221" t="n"/>
      <c r="E4811" s="153" t="n"/>
      <c r="F4811" s="153">
        <f>ROUND((C4811*G4811)/100,0)*100</f>
        <v/>
      </c>
      <c r="G4811" s="219" t="n">
        <v>1.1</v>
      </c>
      <c r="H4811" s="219" t="n"/>
      <c r="I4811" s="219" t="n"/>
      <c r="J4811" s="219" t="n"/>
      <c r="K4811" s="219" t="n"/>
      <c r="L4811" s="219" t="n"/>
      <c r="M4811" s="219" t="n"/>
      <c r="P4811" s="117" t="n"/>
      <c r="R4811" s="117" t="n"/>
      <c r="T4811" s="117" t="n"/>
    </row>
    <row r="4812">
      <c r="A4812" s="128" t="inlineStr">
        <is>
          <t>1471708</t>
        </is>
      </c>
      <c r="B4812" s="188" t="inlineStr">
        <is>
          <t>TAVERNITI JEAN DAMA</t>
        </is>
      </c>
      <c r="C4812" s="88" t="n">
        <v>90900</v>
      </c>
      <c r="D4812" s="221" t="n"/>
      <c r="E4812" s="153" t="n"/>
      <c r="F4812" s="153">
        <f>ROUND((C4812*G4812)/100,0)*100</f>
        <v/>
      </c>
      <c r="G4812" s="219" t="n">
        <v>1.1</v>
      </c>
      <c r="H4812" s="219" t="n"/>
      <c r="I4812" s="219" t="n"/>
      <c r="J4812" s="219" t="n"/>
      <c r="K4812" s="219" t="n"/>
      <c r="L4812" s="219" t="n"/>
      <c r="M4812" s="219" t="n"/>
      <c r="P4812" s="117" t="n"/>
      <c r="R4812" s="117" t="n"/>
      <c r="T4812" s="117" t="n"/>
    </row>
    <row r="4813">
      <c r="A4813" s="128" t="inlineStr">
        <is>
          <t>1515627</t>
        </is>
      </c>
      <c r="B4813" s="188" t="inlineStr">
        <is>
          <t>TAVERNITI JEAN DAMA</t>
        </is>
      </c>
      <c r="C4813" s="88" t="n">
        <v>90900</v>
      </c>
      <c r="D4813" s="221" t="n"/>
      <c r="E4813" s="153" t="n"/>
      <c r="F4813" s="153">
        <f>ROUND((C4813*G4813)/100,0)*100</f>
        <v/>
      </c>
      <c r="G4813" s="219" t="n">
        <v>1.1</v>
      </c>
      <c r="H4813" s="219" t="n"/>
      <c r="I4813" s="219" t="n"/>
      <c r="J4813" s="219" t="n"/>
      <c r="K4813" s="219" t="n"/>
      <c r="L4813" s="219" t="n"/>
      <c r="M4813" s="219" t="n"/>
      <c r="P4813" s="117" t="n"/>
      <c r="R4813" s="117" t="n"/>
      <c r="T4813" s="117" t="n"/>
    </row>
    <row r="4814">
      <c r="A4814" s="128" t="inlineStr">
        <is>
          <t>1561510</t>
        </is>
      </c>
      <c r="B4814" s="188" t="inlineStr">
        <is>
          <t>TAVERNITI JEAN DAMA</t>
        </is>
      </c>
      <c r="C4814" s="88" t="n">
        <v>90900</v>
      </c>
      <c r="D4814" s="221" t="n"/>
      <c r="E4814" s="153" t="n"/>
      <c r="F4814" s="153">
        <f>ROUND((C4814*G4814)/100,0)*100</f>
        <v/>
      </c>
      <c r="G4814" s="219" t="n">
        <v>1.1</v>
      </c>
      <c r="H4814" s="219" t="n"/>
      <c r="I4814" s="219" t="n"/>
      <c r="J4814" s="219" t="n"/>
      <c r="K4814" s="219" t="n"/>
      <c r="L4814" s="219" t="n"/>
      <c r="M4814" s="219" t="n"/>
      <c r="P4814" s="117" t="n"/>
      <c r="R4814" s="117" t="n"/>
      <c r="T4814" s="117" t="n"/>
    </row>
    <row r="4815">
      <c r="A4815" s="128" t="inlineStr">
        <is>
          <t>1587711</t>
        </is>
      </c>
      <c r="B4815" s="188" t="inlineStr">
        <is>
          <t>TAVERNITI JEAN DAMA</t>
        </is>
      </c>
      <c r="C4815" s="88" t="n">
        <v>90900</v>
      </c>
      <c r="D4815" s="221" t="n"/>
      <c r="E4815" s="153" t="n"/>
      <c r="F4815" s="153">
        <f>ROUND((C4815*G4815)/100,0)*100</f>
        <v/>
      </c>
      <c r="G4815" s="219" t="n">
        <v>1.1</v>
      </c>
      <c r="H4815" s="219" t="n"/>
      <c r="I4815" s="219" t="n"/>
      <c r="J4815" s="219" t="n"/>
      <c r="K4815" s="219" t="n"/>
      <c r="L4815" s="219" t="n"/>
      <c r="M4815" s="219" t="n"/>
      <c r="P4815" s="117" t="n"/>
      <c r="R4815" s="117" t="n"/>
      <c r="T4815" s="117" t="n"/>
    </row>
    <row r="4816">
      <c r="A4816" s="128" t="inlineStr">
        <is>
          <t>1617705</t>
        </is>
      </c>
      <c r="B4816" s="188" t="inlineStr">
        <is>
          <t>TAVERNITI JEAN DAMA</t>
        </is>
      </c>
      <c r="C4816" s="88" t="n">
        <v>90900</v>
      </c>
      <c r="D4816" s="221" t="n"/>
      <c r="E4816" s="153" t="n"/>
      <c r="F4816" s="153">
        <f>ROUND((C4816*G4816)/100,0)*100</f>
        <v/>
      </c>
      <c r="G4816" s="219" t="n">
        <v>1.1</v>
      </c>
      <c r="H4816" s="219" t="n"/>
      <c r="I4816" s="219" t="n"/>
      <c r="J4816" s="219" t="n"/>
      <c r="K4816" s="219" t="n"/>
      <c r="L4816" s="219" t="n"/>
      <c r="M4816" s="219" t="n"/>
      <c r="P4816" s="117" t="n"/>
      <c r="R4816" s="117" t="n"/>
      <c r="T4816" s="117" t="n"/>
    </row>
    <row r="4817">
      <c r="A4817" s="128" t="inlineStr">
        <is>
          <t>1639921</t>
        </is>
      </c>
      <c r="B4817" s="188" t="inlineStr">
        <is>
          <t>TAVERNITI JEAN DAMA</t>
        </is>
      </c>
      <c r="C4817" s="88" t="n">
        <v>90900</v>
      </c>
      <c r="D4817" s="221" t="n"/>
      <c r="E4817" s="153" t="n"/>
      <c r="F4817" s="153">
        <f>ROUND((C4817*G4817)/100,0)*100</f>
        <v/>
      </c>
      <c r="G4817" s="219" t="n">
        <v>1.1</v>
      </c>
      <c r="H4817" s="219" t="n"/>
      <c r="I4817" s="219" t="n"/>
      <c r="J4817" s="219" t="n"/>
      <c r="K4817" s="219" t="n"/>
      <c r="L4817" s="219" t="n"/>
      <c r="M4817" s="219" t="n"/>
      <c r="P4817" s="117" t="n"/>
      <c r="R4817" s="117" t="n"/>
      <c r="T4817" s="117" t="n"/>
    </row>
    <row r="4818">
      <c r="A4818" s="128" t="inlineStr">
        <is>
          <t>1645205</t>
        </is>
      </c>
      <c r="B4818" s="188" t="inlineStr">
        <is>
          <t>TAVERNITI JEAN DAMA</t>
        </is>
      </c>
      <c r="C4818" s="88" t="n">
        <v>90900</v>
      </c>
      <c r="D4818" s="221" t="n"/>
      <c r="E4818" s="153" t="n"/>
      <c r="F4818" s="153">
        <f>ROUND((C4818*G4818)/100,0)*100</f>
        <v/>
      </c>
      <c r="G4818" s="219" t="n">
        <v>1.1</v>
      </c>
      <c r="H4818" s="219" t="n"/>
      <c r="I4818" s="219" t="n"/>
      <c r="J4818" s="219" t="n"/>
      <c r="K4818" s="219" t="n"/>
      <c r="L4818" s="219" t="n"/>
      <c r="M4818" s="219" t="n"/>
      <c r="P4818" s="117" t="n"/>
      <c r="R4818" s="117" t="n"/>
      <c r="T4818" s="117" t="n"/>
    </row>
    <row r="4819">
      <c r="A4819" s="128" t="inlineStr">
        <is>
          <t>1645208</t>
        </is>
      </c>
      <c r="B4819" s="188" t="inlineStr">
        <is>
          <t>TAVERNITI JEAN DAMA</t>
        </is>
      </c>
      <c r="C4819" s="88" t="n">
        <v>90900</v>
      </c>
      <c r="D4819" s="221" t="n"/>
      <c r="E4819" s="153" t="n"/>
      <c r="F4819" s="153">
        <f>ROUND((C4819*G4819)/100,0)*100</f>
        <v/>
      </c>
      <c r="G4819" s="219" t="n">
        <v>1.1</v>
      </c>
      <c r="H4819" s="219" t="n"/>
      <c r="I4819" s="219" t="n"/>
      <c r="J4819" s="219" t="n"/>
      <c r="K4819" s="219" t="n"/>
      <c r="L4819" s="219" t="n"/>
      <c r="M4819" s="219" t="n"/>
      <c r="P4819" s="117" t="n"/>
      <c r="R4819" s="117" t="n"/>
      <c r="T4819" s="117" t="n"/>
    </row>
    <row r="4820">
      <c r="A4820" s="128" t="inlineStr">
        <is>
          <t>1677205</t>
        </is>
      </c>
      <c r="B4820" s="188" t="inlineStr">
        <is>
          <t>TAVERNITI JEAN DAMA</t>
        </is>
      </c>
      <c r="C4820" s="88" t="n">
        <v>90900</v>
      </c>
      <c r="D4820" s="221" t="n"/>
      <c r="E4820" s="153" t="n"/>
      <c r="F4820" s="153">
        <f>ROUND((C4820*G4820)/100,0)*100</f>
        <v/>
      </c>
      <c r="G4820" s="219" t="n">
        <v>1.1</v>
      </c>
      <c r="H4820" s="219" t="n"/>
      <c r="I4820" s="219" t="n"/>
      <c r="J4820" s="219" t="n"/>
      <c r="K4820" s="219" t="n"/>
      <c r="L4820" s="219" t="n"/>
      <c r="M4820" s="219" t="n"/>
      <c r="P4820" s="117" t="n"/>
      <c r="R4820" s="117" t="n"/>
      <c r="T4820" s="117" t="n"/>
    </row>
    <row r="4821">
      <c r="A4821" s="128" t="inlineStr">
        <is>
          <t>16777XX</t>
        </is>
      </c>
      <c r="B4821" s="188" t="inlineStr">
        <is>
          <t>TAVERNITI JEAN DAMA</t>
        </is>
      </c>
      <c r="C4821" s="88" t="n">
        <v>90900</v>
      </c>
      <c r="D4821" s="221" t="n"/>
      <c r="E4821" s="153" t="n"/>
      <c r="F4821" s="153">
        <f>ROUND((C4821*G4821)/100,0)*100</f>
        <v/>
      </c>
      <c r="G4821" s="219" t="n">
        <v>1.1</v>
      </c>
      <c r="H4821" s="219" t="n"/>
      <c r="I4821" s="219" t="n"/>
      <c r="J4821" s="219" t="n"/>
      <c r="K4821" s="219" t="n"/>
      <c r="L4821" s="219" t="n"/>
      <c r="M4821" s="219" t="n"/>
      <c r="P4821" s="117" t="n"/>
      <c r="R4821" s="117" t="n"/>
      <c r="T4821" s="117" t="n"/>
    </row>
    <row r="4822">
      <c r="A4822" s="128" t="inlineStr">
        <is>
          <t>1679XXX</t>
        </is>
      </c>
      <c r="B4822" s="188" t="inlineStr">
        <is>
          <t>TAVERNITI JEAN DAMA</t>
        </is>
      </c>
      <c r="C4822" s="88" t="n">
        <v>90900</v>
      </c>
      <c r="D4822" s="221" t="n"/>
      <c r="E4822" s="153" t="n"/>
      <c r="F4822" s="153">
        <f>ROUND((C4822*G4822)/100,0)*100</f>
        <v/>
      </c>
      <c r="G4822" s="219" t="n">
        <v>1.1</v>
      </c>
      <c r="H4822" s="219" t="n"/>
      <c r="I4822" s="219" t="n"/>
      <c r="J4822" s="219" t="n"/>
      <c r="K4822" s="219" t="n"/>
      <c r="L4822" s="219" t="n"/>
      <c r="M4822" s="219" t="n"/>
      <c r="P4822" s="117" t="n"/>
      <c r="R4822" s="117" t="n"/>
      <c r="T4822" s="117" t="n"/>
    </row>
    <row r="4823">
      <c r="A4823" s="128" t="inlineStr">
        <is>
          <t>16897XX</t>
        </is>
      </c>
      <c r="B4823" s="188" t="inlineStr">
        <is>
          <t>TAVERNITI JEAN DAMA</t>
        </is>
      </c>
      <c r="C4823" s="88" t="n">
        <v>90900</v>
      </c>
      <c r="D4823" s="221" t="n"/>
      <c r="E4823" s="153" t="n"/>
      <c r="F4823" s="153">
        <f>ROUND((C4823*G4823)/100,0)*100</f>
        <v/>
      </c>
      <c r="G4823" s="219" t="n">
        <v>1.1</v>
      </c>
      <c r="H4823" s="219" t="n"/>
      <c r="I4823" s="219" t="n"/>
      <c r="J4823" s="219" t="n"/>
      <c r="K4823" s="219" t="n"/>
      <c r="L4823" s="219" t="n"/>
      <c r="M4823" s="219" t="n"/>
      <c r="P4823" s="117" t="n"/>
      <c r="R4823" s="117" t="n"/>
      <c r="T4823" s="117" t="n"/>
    </row>
    <row r="4824">
      <c r="A4824" s="128" t="inlineStr">
        <is>
          <t>1699708</t>
        </is>
      </c>
      <c r="B4824" s="188" t="inlineStr">
        <is>
          <t>TAVERNITI JEAN DAMA</t>
        </is>
      </c>
      <c r="C4824" s="88" t="n">
        <v>90900</v>
      </c>
      <c r="D4824" s="221" t="n"/>
      <c r="E4824" s="153" t="n"/>
      <c r="F4824" s="153">
        <f>ROUND((C4824*G4824)/100,0)*100</f>
        <v/>
      </c>
      <c r="G4824" s="219" t="n">
        <v>1.1</v>
      </c>
      <c r="H4824" s="219" t="n"/>
      <c r="I4824" s="219" t="n"/>
      <c r="J4824" s="219" t="n"/>
      <c r="K4824" s="219" t="n"/>
      <c r="L4824" s="219" t="n"/>
      <c r="M4824" s="219" t="n"/>
      <c r="P4824" s="117" t="n"/>
      <c r="R4824" s="117" t="n"/>
      <c r="T4824" s="117" t="n"/>
    </row>
    <row r="4825">
      <c r="A4825" s="128" t="inlineStr">
        <is>
          <t>1707XXX</t>
        </is>
      </c>
      <c r="B4825" s="188" t="inlineStr">
        <is>
          <t>TAVERNITI GABARDINA</t>
        </is>
      </c>
      <c r="C4825" s="88" t="n">
        <v>90900</v>
      </c>
      <c r="D4825" s="221" t="n"/>
      <c r="E4825" s="153" t="n"/>
      <c r="F4825" s="153">
        <f>ROUND((C4825*G4825)/100,0)*100</f>
        <v/>
      </c>
      <c r="G4825" s="219" t="n">
        <v>1.1</v>
      </c>
      <c r="H4825" s="219" t="n"/>
      <c r="I4825" s="219" t="n"/>
      <c r="J4825" s="219" t="n"/>
      <c r="K4825" s="219" t="n"/>
      <c r="L4825" s="219" t="n"/>
      <c r="M4825" s="219" t="n"/>
      <c r="P4825" s="117" t="n"/>
      <c r="R4825" s="117" t="n"/>
      <c r="T4825" s="117" t="n"/>
    </row>
    <row r="4826">
      <c r="A4826" s="128" t="inlineStr">
        <is>
          <t>17156XX</t>
        </is>
      </c>
      <c r="B4826" s="188" t="inlineStr">
        <is>
          <t>TAVERNITI JEAN DAMA</t>
        </is>
      </c>
      <c r="C4826" s="88" t="n">
        <v>90900</v>
      </c>
      <c r="D4826" s="251" t="n"/>
      <c r="E4826" s="153" t="n"/>
      <c r="F4826" s="153">
        <f>ROUND((C4826*G4826)/100,0)*100</f>
        <v/>
      </c>
      <c r="G4826" s="219" t="n">
        <v>1.1</v>
      </c>
      <c r="H4826" s="219" t="n"/>
      <c r="I4826" s="219" t="n"/>
      <c r="J4826" s="219" t="n"/>
      <c r="K4826" s="219" t="n"/>
      <c r="L4826" s="219" t="n"/>
      <c r="M4826" s="219" t="n"/>
      <c r="P4826" s="117" t="n"/>
      <c r="R4826" s="117" t="n"/>
      <c r="T4826" s="117" t="n"/>
    </row>
    <row r="4827">
      <c r="A4827" s="128" t="inlineStr">
        <is>
          <t>1721XXX</t>
        </is>
      </c>
      <c r="B4827" s="188" t="inlineStr">
        <is>
          <t>TAVERNITI JEAN DAMA</t>
        </is>
      </c>
      <c r="C4827" s="88" t="n">
        <v>90900</v>
      </c>
      <c r="D4827" s="221" t="n"/>
      <c r="E4827" s="153" t="n"/>
      <c r="F4827" s="153">
        <f>ROUND((C4827*G4827)/100,0)*100</f>
        <v/>
      </c>
      <c r="G4827" s="219" t="n">
        <v>1.1</v>
      </c>
      <c r="H4827" s="219" t="n"/>
      <c r="I4827" s="219" t="n"/>
      <c r="J4827" s="219" t="n"/>
      <c r="K4827" s="219" t="n"/>
      <c r="L4827" s="219" t="n"/>
      <c r="M4827" s="219" t="n"/>
      <c r="P4827" s="117" t="n"/>
      <c r="R4827" s="117" t="n"/>
      <c r="T4827" s="117" t="n"/>
    </row>
    <row r="4828">
      <c r="A4828" s="128" t="inlineStr">
        <is>
          <t>17232XX</t>
        </is>
      </c>
      <c r="B4828" s="188" t="inlineStr">
        <is>
          <t>TAVERNITI JEAN DAMA</t>
        </is>
      </c>
      <c r="C4828" s="88" t="n">
        <v>90900</v>
      </c>
      <c r="D4828" s="221" t="n"/>
      <c r="E4828" s="153" t="n"/>
      <c r="F4828" s="153">
        <f>ROUND((C4828*G4828)/100,0)*100</f>
        <v/>
      </c>
      <c r="G4828" s="219" t="n">
        <v>1.1</v>
      </c>
      <c r="H4828" s="219" t="n"/>
      <c r="I4828" s="219" t="n"/>
      <c r="J4828" s="219" t="n"/>
      <c r="K4828" s="219" t="n"/>
      <c r="L4828" s="219" t="n"/>
      <c r="M4828" s="219" t="n"/>
      <c r="P4828" s="117" t="n"/>
      <c r="R4828" s="117" t="n"/>
      <c r="T4828" s="117" t="n"/>
    </row>
    <row r="4829">
      <c r="A4829" s="128" t="inlineStr">
        <is>
          <t>17295XX</t>
        </is>
      </c>
      <c r="B4829" s="188" t="inlineStr">
        <is>
          <t>TAVERNITI JEAN DAMA</t>
        </is>
      </c>
      <c r="C4829" s="88" t="n">
        <v>90900</v>
      </c>
      <c r="D4829" s="221" t="n"/>
      <c r="E4829" s="153" t="n"/>
      <c r="F4829" s="153">
        <f>ROUND((C4829*G4829)/100,0)*100</f>
        <v/>
      </c>
      <c r="G4829" s="219" t="n">
        <v>1.1</v>
      </c>
      <c r="H4829" s="219" t="n"/>
      <c r="I4829" s="219" t="n"/>
      <c r="J4829" s="219" t="n"/>
      <c r="K4829" s="219" t="n"/>
      <c r="L4829" s="219" t="n"/>
      <c r="M4829" s="219" t="n"/>
      <c r="P4829" s="117" t="n"/>
      <c r="R4829" s="117" t="n"/>
      <c r="T4829" s="117" t="n"/>
    </row>
    <row r="4830">
      <c r="A4830" s="128" t="inlineStr">
        <is>
          <t>17299XX</t>
        </is>
      </c>
      <c r="B4830" s="188" t="inlineStr">
        <is>
          <t>TAVERNITI JEAN DAMA</t>
        </is>
      </c>
      <c r="C4830" s="88" t="n">
        <v>90900</v>
      </c>
      <c r="D4830" s="221" t="n"/>
      <c r="E4830" s="153" t="n"/>
      <c r="F4830" s="153">
        <f>ROUND((C4830*G4830)/100,0)*100</f>
        <v/>
      </c>
      <c r="G4830" s="219" t="n">
        <v>1.1</v>
      </c>
      <c r="H4830" s="219" t="n"/>
      <c r="I4830" s="219" t="n"/>
      <c r="J4830" s="219" t="n"/>
      <c r="K4830" s="219" t="n"/>
      <c r="L4830" s="219" t="n"/>
      <c r="M4830" s="219" t="n"/>
      <c r="P4830" s="117" t="n"/>
      <c r="R4830" s="117" t="n"/>
      <c r="T4830" s="117" t="n"/>
    </row>
    <row r="4831">
      <c r="A4831" s="128" t="inlineStr">
        <is>
          <t>1741XXX</t>
        </is>
      </c>
      <c r="B4831" s="188" t="inlineStr">
        <is>
          <t>TAVERNITI JEAN DAMA</t>
        </is>
      </c>
      <c r="C4831" s="88" t="n">
        <v>90900</v>
      </c>
      <c r="D4831" s="221" t="n"/>
      <c r="E4831" s="153" t="n"/>
      <c r="F4831" s="153">
        <f>ROUND((C4831*G4831)/100,0)*100</f>
        <v/>
      </c>
      <c r="G4831" s="219" t="n">
        <v>1.1</v>
      </c>
      <c r="H4831" s="219" t="n"/>
      <c r="I4831" s="219" t="n"/>
      <c r="J4831" s="219" t="n"/>
      <c r="K4831" s="219" t="n"/>
      <c r="L4831" s="219" t="n"/>
      <c r="M4831" s="219" t="n"/>
      <c r="P4831" s="117" t="n"/>
      <c r="R4831" s="117" t="n"/>
      <c r="T4831" s="117" t="n"/>
    </row>
    <row r="4832">
      <c r="A4832" s="128" t="inlineStr">
        <is>
          <t>1753920</t>
        </is>
      </c>
      <c r="B4832" s="188" t="inlineStr">
        <is>
          <t>TAVERNITI JEAN DAMA</t>
        </is>
      </c>
      <c r="C4832" s="88" t="n">
        <v>90900</v>
      </c>
      <c r="D4832" s="221" t="n"/>
      <c r="E4832" s="153" t="n"/>
      <c r="F4832" s="153">
        <f>ROUND((C4832*G4832)/100,0)*100</f>
        <v/>
      </c>
      <c r="G4832" s="219" t="n">
        <v>1.1</v>
      </c>
      <c r="H4832" s="219" t="n"/>
      <c r="I4832" s="219" t="n"/>
      <c r="J4832" s="219" t="n"/>
      <c r="K4832" s="219" t="n"/>
      <c r="L4832" s="219" t="n"/>
      <c r="M4832" s="219" t="n"/>
      <c r="P4832" s="117" t="n"/>
      <c r="R4832" s="117" t="n"/>
      <c r="T4832" s="117" t="n"/>
    </row>
    <row r="4833">
      <c r="A4833" s="128" t="inlineStr">
        <is>
          <t>1753925</t>
        </is>
      </c>
      <c r="B4833" s="188" t="inlineStr">
        <is>
          <t>TAVERNITI JEAN DAMA</t>
        </is>
      </c>
      <c r="C4833" s="88" t="n">
        <v>90900</v>
      </c>
      <c r="D4833" s="221" t="n"/>
      <c r="E4833" s="153" t="n"/>
      <c r="F4833" s="153">
        <f>ROUND((C4833*G4833)/100,0)*100</f>
        <v/>
      </c>
      <c r="G4833" s="219" t="n">
        <v>1.1</v>
      </c>
      <c r="H4833" s="219" t="n"/>
      <c r="I4833" s="219" t="n"/>
      <c r="J4833" s="219" t="n"/>
      <c r="K4833" s="219" t="n"/>
      <c r="L4833" s="219" t="n"/>
      <c r="M4833" s="219" t="n"/>
      <c r="P4833" s="117" t="n"/>
      <c r="R4833" s="117" t="n"/>
      <c r="T4833" s="117" t="n"/>
    </row>
    <row r="4834">
      <c r="A4834" s="128" t="inlineStr">
        <is>
          <t>1789XXX</t>
        </is>
      </c>
      <c r="B4834" s="188" t="inlineStr">
        <is>
          <t>TAVERNITI JEAN DAMA</t>
        </is>
      </c>
      <c r="C4834" s="88" t="n">
        <v>90900</v>
      </c>
      <c r="D4834" s="221" t="n"/>
      <c r="E4834" s="153" t="n"/>
      <c r="F4834" s="153">
        <f>ROUND((C4834*G4834)/100,0)*100</f>
        <v/>
      </c>
      <c r="G4834" s="219" t="n">
        <v>1.1</v>
      </c>
      <c r="H4834" s="219" t="n"/>
      <c r="I4834" s="219" t="n"/>
      <c r="J4834" s="219" t="n"/>
      <c r="K4834" s="219" t="n"/>
      <c r="L4834" s="219" t="n"/>
      <c r="M4834" s="219" t="n"/>
      <c r="P4834" s="117" t="n"/>
      <c r="R4834" s="117" t="n"/>
      <c r="T4834" s="117" t="n"/>
    </row>
    <row r="4835">
      <c r="A4835" s="128" t="inlineStr">
        <is>
          <t>17917XX</t>
        </is>
      </c>
      <c r="B4835" s="188" t="inlineStr">
        <is>
          <t>TAVERNITI JEAN DAMA</t>
        </is>
      </c>
      <c r="C4835" s="88" t="n">
        <v>90900</v>
      </c>
      <c r="D4835" s="221" t="n"/>
      <c r="E4835" s="153" t="n"/>
      <c r="F4835" s="153">
        <f>ROUND((C4835*G4835)/100,0)*100</f>
        <v/>
      </c>
      <c r="G4835" s="219" t="n">
        <v>1.1</v>
      </c>
      <c r="H4835" s="219" t="n"/>
      <c r="I4835" s="219" t="n"/>
      <c r="J4835" s="219" t="n"/>
      <c r="K4835" s="219" t="n"/>
      <c r="L4835" s="219" t="n"/>
      <c r="M4835" s="219" t="n"/>
      <c r="P4835" s="117" t="n"/>
      <c r="R4835" s="117" t="n"/>
      <c r="T4835" s="117" t="n"/>
    </row>
    <row r="4836">
      <c r="A4836" s="128" t="inlineStr">
        <is>
          <t>1801XXX</t>
        </is>
      </c>
      <c r="B4836" s="188" t="inlineStr">
        <is>
          <t>TAVERNITI JEAN DAMA</t>
        </is>
      </c>
      <c r="C4836" s="88" t="n">
        <v>90900</v>
      </c>
      <c r="D4836" s="221" t="n"/>
      <c r="E4836" s="153" t="n"/>
      <c r="F4836" s="153">
        <f>ROUND((C4836*G4836)/100,0)*100</f>
        <v/>
      </c>
      <c r="G4836" s="219" t="n">
        <v>1.1</v>
      </c>
      <c r="H4836" s="219" t="n"/>
      <c r="I4836" s="219" t="n"/>
      <c r="J4836" s="219" t="n"/>
      <c r="K4836" s="219" t="n"/>
      <c r="L4836" s="219" t="n"/>
      <c r="M4836" s="219" t="n"/>
      <c r="P4836" s="117" t="n"/>
      <c r="R4836" s="117" t="n"/>
      <c r="T4836" s="117" t="n"/>
    </row>
    <row r="4837">
      <c r="A4837" s="128" t="inlineStr">
        <is>
          <t>1811XXX</t>
        </is>
      </c>
      <c r="B4837" s="188" t="inlineStr">
        <is>
          <t>TAVERNITI JEAN DAMA</t>
        </is>
      </c>
      <c r="C4837" s="88" t="n">
        <v>90900</v>
      </c>
      <c r="D4837" s="221" t="n"/>
      <c r="E4837" s="153" t="n"/>
      <c r="F4837" s="153">
        <f>ROUND((C4837*G4837)/100,0)*100</f>
        <v/>
      </c>
      <c r="G4837" s="219" t="n">
        <v>1.1</v>
      </c>
      <c r="H4837" s="219" t="n"/>
      <c r="I4837" s="219" t="n"/>
      <c r="J4837" s="219" t="n"/>
      <c r="K4837" s="219" t="n"/>
      <c r="L4837" s="219" t="n"/>
      <c r="M4837" s="219" t="n"/>
      <c r="P4837" s="117" t="n"/>
      <c r="R4837" s="117" t="n"/>
      <c r="T4837" s="117" t="n"/>
    </row>
    <row r="4838">
      <c r="A4838" s="128" t="inlineStr">
        <is>
          <t>18137XX</t>
        </is>
      </c>
      <c r="B4838" s="188" t="inlineStr">
        <is>
          <t>TAVERNITI JEAN DAMA</t>
        </is>
      </c>
      <c r="C4838" s="88" t="n">
        <v>90900</v>
      </c>
      <c r="D4838" s="221" t="n"/>
      <c r="E4838" s="153" t="n"/>
      <c r="F4838" s="153">
        <f>ROUND((C4838*G4838)/100,0)*100</f>
        <v/>
      </c>
      <c r="G4838" s="219" t="n">
        <v>1.1</v>
      </c>
      <c r="H4838" s="219" t="n"/>
      <c r="I4838" s="219" t="n"/>
      <c r="J4838" s="219" t="n"/>
      <c r="K4838" s="219" t="n"/>
      <c r="L4838" s="219" t="n"/>
      <c r="M4838" s="219" t="n"/>
      <c r="P4838" s="117" t="n"/>
      <c r="R4838" s="117" t="n"/>
      <c r="T4838" s="117" t="n"/>
    </row>
    <row r="4839">
      <c r="A4839" s="128" t="inlineStr">
        <is>
          <t>1819XXX</t>
        </is>
      </c>
      <c r="B4839" s="188" t="inlineStr">
        <is>
          <t>TAVERNITI JEAN DAMA</t>
        </is>
      </c>
      <c r="C4839" s="88" t="n">
        <v>90900</v>
      </c>
      <c r="D4839" s="221" t="n"/>
      <c r="E4839" s="153" t="n"/>
      <c r="F4839" s="153">
        <f>ROUND((C4839*G4839)/100,0)*100</f>
        <v/>
      </c>
      <c r="G4839" s="219" t="n">
        <v>1.1</v>
      </c>
      <c r="H4839" s="219" t="n"/>
      <c r="I4839" s="219" t="n"/>
      <c r="J4839" s="219" t="n"/>
      <c r="K4839" s="219" t="n"/>
      <c r="L4839" s="219" t="n"/>
      <c r="M4839" s="219" t="n"/>
      <c r="P4839" s="117" t="n"/>
      <c r="R4839" s="117" t="n"/>
      <c r="T4839" s="117" t="n"/>
    </row>
    <row r="4840">
      <c r="A4840" s="128" t="inlineStr">
        <is>
          <t>18932XX</t>
        </is>
      </c>
      <c r="B4840" s="188" t="inlineStr">
        <is>
          <t>TAVERNITI JEAN DAMA</t>
        </is>
      </c>
      <c r="C4840" s="88" t="n">
        <v>90900</v>
      </c>
      <c r="D4840" s="221" t="n"/>
      <c r="E4840" s="153" t="n"/>
      <c r="F4840" s="153">
        <f>ROUND((C4840*G4840)/100,0)*100</f>
        <v/>
      </c>
      <c r="G4840" s="219" t="n">
        <v>1.1</v>
      </c>
      <c r="H4840" s="219" t="n"/>
      <c r="I4840" s="219" t="n"/>
      <c r="J4840" s="219" t="n"/>
      <c r="K4840" s="219" t="n"/>
      <c r="L4840" s="219" t="n"/>
      <c r="M4840" s="219" t="n"/>
      <c r="P4840" s="117" t="n"/>
      <c r="R4840" s="117" t="n"/>
      <c r="T4840" s="117" t="n"/>
    </row>
    <row r="4841">
      <c r="A4841" s="128" t="inlineStr">
        <is>
          <t>1901XXX</t>
        </is>
      </c>
      <c r="B4841" s="188" t="inlineStr">
        <is>
          <t>TAVERNITI JEAN DAMA</t>
        </is>
      </c>
      <c r="C4841" s="88" t="n">
        <v>90900</v>
      </c>
      <c r="D4841" s="153" t="n"/>
      <c r="E4841" s="153" t="n"/>
      <c r="F4841" s="153">
        <f>ROUND((C4841*G4841)/100,0)*100</f>
        <v/>
      </c>
      <c r="G4841" s="219" t="n">
        <v>1.1</v>
      </c>
      <c r="H4841" s="219" t="n"/>
      <c r="I4841" s="219" t="n"/>
      <c r="J4841" s="219" t="n"/>
      <c r="K4841" s="219" t="n"/>
      <c r="L4841" s="219" t="n"/>
      <c r="M4841" s="219" t="n"/>
      <c r="P4841" s="117" t="n"/>
      <c r="R4841" s="117" t="n"/>
      <c r="T4841" s="117" t="n"/>
    </row>
    <row r="4842">
      <c r="A4842" s="128" t="inlineStr">
        <is>
          <t>1907205</t>
        </is>
      </c>
      <c r="B4842" s="188" t="inlineStr">
        <is>
          <t>TAVERNITI JEAN DAMA</t>
        </is>
      </c>
      <c r="C4842" s="88" t="n">
        <v>90900</v>
      </c>
      <c r="D4842" s="221" t="n"/>
      <c r="E4842" s="153" t="n"/>
      <c r="F4842" s="153">
        <f>ROUND((C4842*G4842)/100,0)*100</f>
        <v/>
      </c>
      <c r="G4842" s="219" t="n">
        <v>1.1</v>
      </c>
      <c r="H4842" s="219" t="n"/>
      <c r="I4842" s="219" t="n"/>
      <c r="J4842" s="219" t="n"/>
      <c r="K4842" s="219" t="n"/>
      <c r="L4842" s="219" t="n"/>
      <c r="M4842" s="219" t="n"/>
      <c r="P4842" s="117" t="n"/>
      <c r="R4842" s="117" t="n"/>
      <c r="T4842" s="117" t="n"/>
    </row>
    <row r="4843">
      <c r="A4843" s="128" t="inlineStr">
        <is>
          <t>1945525</t>
        </is>
      </c>
      <c r="B4843" s="188" t="inlineStr">
        <is>
          <t>TAVERNITI JEAN DAMA</t>
        </is>
      </c>
      <c r="C4843" s="88" t="n">
        <v>90900</v>
      </c>
      <c r="D4843" s="221" t="n"/>
      <c r="E4843" s="153" t="n"/>
      <c r="F4843" s="153">
        <f>ROUND((C4843*G4843)/100,0)*100</f>
        <v/>
      </c>
      <c r="G4843" s="219" t="n">
        <v>1.1</v>
      </c>
      <c r="H4843" s="219" t="n"/>
      <c r="I4843" s="219" t="n"/>
      <c r="J4843" s="219" t="n"/>
      <c r="K4843" s="219" t="n"/>
      <c r="L4843" s="219" t="n"/>
      <c r="M4843" s="219" t="n"/>
      <c r="P4843" s="117" t="n"/>
      <c r="R4843" s="117" t="n"/>
      <c r="T4843" s="117" t="n"/>
    </row>
    <row r="4844">
      <c r="A4844" s="128" t="inlineStr">
        <is>
          <t>1947235</t>
        </is>
      </c>
      <c r="B4844" s="188" t="inlineStr">
        <is>
          <t>TAVERNITI JEAN DAMA</t>
        </is>
      </c>
      <c r="C4844" s="88" t="n">
        <v>90900</v>
      </c>
      <c r="D4844" s="221" t="n"/>
      <c r="E4844" s="153" t="n"/>
      <c r="F4844" s="153">
        <f>ROUND((C4844*G4844)/100,0)*100</f>
        <v/>
      </c>
      <c r="G4844" s="219" t="n">
        <v>1.1</v>
      </c>
      <c r="H4844" s="219" t="n"/>
      <c r="I4844" s="219" t="n"/>
      <c r="J4844" s="219" t="n"/>
      <c r="K4844" s="219" t="n"/>
      <c r="L4844" s="219" t="n"/>
      <c r="M4844" s="219" t="n"/>
      <c r="P4844" s="117" t="n"/>
      <c r="R4844" s="117" t="n"/>
      <c r="T4844" s="117" t="n"/>
    </row>
    <row r="4845">
      <c r="A4845" s="128" t="inlineStr">
        <is>
          <t>1971451</t>
        </is>
      </c>
      <c r="B4845" s="188" t="inlineStr">
        <is>
          <t>TAVERNITI JEAN DAMA</t>
        </is>
      </c>
      <c r="C4845" s="88" t="n">
        <v>90900</v>
      </c>
      <c r="D4845" s="221" t="n"/>
      <c r="E4845" s="153" t="n"/>
      <c r="F4845" s="153">
        <f>ROUND((C4845*G4845)/100,0)*100</f>
        <v/>
      </c>
      <c r="G4845" s="219" t="n">
        <v>1.1</v>
      </c>
      <c r="H4845" s="219" t="n"/>
      <c r="I4845" s="219" t="n"/>
      <c r="J4845" s="219" t="n"/>
      <c r="K4845" s="219" t="n"/>
      <c r="L4845" s="219" t="n"/>
      <c r="M4845" s="219" t="n"/>
      <c r="P4845" s="117" t="n"/>
      <c r="R4845" s="117" t="n"/>
      <c r="T4845" s="117" t="n"/>
    </row>
    <row r="4846">
      <c r="A4846" s="128" t="inlineStr">
        <is>
          <t>1989523</t>
        </is>
      </c>
      <c r="B4846" s="188" t="inlineStr">
        <is>
          <t>TAVERNITI JEAN DAMA</t>
        </is>
      </c>
      <c r="C4846" s="88" t="n">
        <v>90900</v>
      </c>
      <c r="D4846" s="153" t="n"/>
      <c r="E4846" s="153" t="n"/>
      <c r="F4846" s="153">
        <f>ROUND((C4846*G4846)/100,0)*100</f>
        <v/>
      </c>
      <c r="G4846" s="219" t="n">
        <v>1.1</v>
      </c>
      <c r="H4846" s="219" t="n"/>
      <c r="I4846" s="219" t="n"/>
      <c r="J4846" s="219" t="n"/>
      <c r="K4846" s="219" t="n"/>
      <c r="L4846" s="219" t="n"/>
      <c r="M4846" s="219" t="n"/>
      <c r="P4846" s="117" t="n"/>
      <c r="R4846" s="117" t="n"/>
      <c r="T4846" s="117" t="n"/>
    </row>
    <row r="4847">
      <c r="A4847" s="128" t="inlineStr">
        <is>
          <t>04145XXX</t>
        </is>
      </c>
      <c r="B4847" s="188" t="inlineStr">
        <is>
          <t>TAVERNITI JEAN DAMA</t>
        </is>
      </c>
      <c r="C4847" s="88" t="n">
        <v>90900</v>
      </c>
      <c r="D4847" s="153" t="n"/>
      <c r="E4847" s="153" t="n"/>
      <c r="F4847" s="153">
        <f>ROUND((C4847*G4847)/100,0)*100</f>
        <v/>
      </c>
      <c r="G4847" s="219" t="n">
        <v>1.1</v>
      </c>
      <c r="H4847" s="219" t="n"/>
      <c r="J4847" s="219" t="n"/>
      <c r="K4847" s="219" t="n"/>
      <c r="L4847" s="219" t="n"/>
      <c r="M4847" s="219" t="n"/>
      <c r="P4847" s="117" t="n"/>
      <c r="R4847" s="117" t="n"/>
      <c r="T4847" s="117" t="n"/>
    </row>
    <row r="4848">
      <c r="A4848" s="128" t="inlineStr">
        <is>
          <t>04153XXX</t>
        </is>
      </c>
      <c r="B4848" s="188" t="inlineStr">
        <is>
          <t>TAVERNITI JEAN DAMA</t>
        </is>
      </c>
      <c r="C4848" s="88" t="n">
        <v>90900</v>
      </c>
      <c r="D4848" s="153" t="n"/>
      <c r="E4848" s="153" t="n"/>
      <c r="F4848" s="153">
        <f>ROUND((C4848*G4848)/100,0)*100</f>
        <v/>
      </c>
      <c r="G4848" s="219" t="n">
        <v>1.1</v>
      </c>
      <c r="H4848" s="219" t="n"/>
      <c r="J4848" s="219" t="n"/>
      <c r="K4848" s="219" t="n"/>
      <c r="L4848" s="219" t="n"/>
      <c r="M4848" s="219" t="n"/>
      <c r="P4848" s="117" t="n"/>
      <c r="R4848" s="117" t="n"/>
      <c r="T4848" s="117" t="n"/>
    </row>
    <row r="4849">
      <c r="A4849" s="128" t="inlineStr">
        <is>
          <t>04155XXX</t>
        </is>
      </c>
      <c r="B4849" s="188" t="inlineStr">
        <is>
          <t>TAVERNITI JEAN DAMA</t>
        </is>
      </c>
      <c r="C4849" s="88" t="n">
        <v>90900</v>
      </c>
      <c r="D4849" s="153" t="n"/>
      <c r="E4849" s="153" t="n"/>
      <c r="F4849" s="153">
        <f>ROUND((C4849*G4849)/100,0)*100</f>
        <v/>
      </c>
      <c r="G4849" s="219" t="n">
        <v>1.1</v>
      </c>
      <c r="H4849" s="219" t="n"/>
      <c r="J4849" s="219" t="n"/>
      <c r="K4849" s="219" t="n"/>
      <c r="L4849" s="219" t="n"/>
      <c r="M4849" s="219" t="n"/>
      <c r="P4849" s="117" t="n"/>
      <c r="R4849" s="117" t="n"/>
      <c r="T4849" s="117" t="n"/>
    </row>
    <row r="4850">
      <c r="A4850" s="128" t="inlineStr">
        <is>
          <t>10085XXX</t>
        </is>
      </c>
      <c r="B4850" s="188" t="inlineStr">
        <is>
          <t>TAVERNITI JEAN DAMA</t>
        </is>
      </c>
      <c r="C4850" s="88" t="n">
        <v>90900</v>
      </c>
      <c r="D4850" s="153" t="n"/>
      <c r="E4850" s="153" t="n"/>
      <c r="F4850" s="153">
        <f>ROUND((C4850*G4850)/100,0)*100</f>
        <v/>
      </c>
      <c r="G4850" s="219" t="n">
        <v>1.1</v>
      </c>
      <c r="H4850" s="219" t="n"/>
      <c r="I4850" s="219" t="n"/>
      <c r="J4850" s="219" t="n"/>
      <c r="K4850" s="219" t="n"/>
      <c r="L4850" s="219" t="n"/>
      <c r="M4850" s="219" t="n"/>
      <c r="P4850" s="117" t="n"/>
      <c r="R4850" s="117" t="n"/>
      <c r="T4850" s="117" t="n"/>
    </row>
    <row r="4851">
      <c r="A4851" s="128" t="inlineStr">
        <is>
          <t>10087XXX</t>
        </is>
      </c>
      <c r="B4851" s="188" t="inlineStr">
        <is>
          <t>TAVERNITI JEAN DAMA</t>
        </is>
      </c>
      <c r="C4851" s="88" t="n">
        <v>90900</v>
      </c>
      <c r="D4851" s="153" t="n"/>
      <c r="E4851" s="153" t="n"/>
      <c r="F4851" s="153">
        <f>ROUND((C4851*G4851)/100,0)*100</f>
        <v/>
      </c>
      <c r="G4851" s="219" t="n">
        <v>1.1</v>
      </c>
      <c r="H4851" s="219" t="n"/>
      <c r="I4851" s="219" t="n"/>
      <c r="J4851" s="219" t="n"/>
      <c r="K4851" s="219" t="n"/>
      <c r="L4851" s="219" t="n"/>
      <c r="M4851" s="219" t="n"/>
      <c r="P4851" s="117" t="n"/>
      <c r="R4851" s="117" t="n"/>
      <c r="T4851" s="117" t="n"/>
    </row>
    <row r="4852">
      <c r="A4852" s="128" t="inlineStr">
        <is>
          <t>10091XXX</t>
        </is>
      </c>
      <c r="B4852" s="188" t="inlineStr">
        <is>
          <t>TAVERNITI JEAN DAMA</t>
        </is>
      </c>
      <c r="C4852" s="88" t="n">
        <v>90900</v>
      </c>
      <c r="D4852" s="153" t="n"/>
      <c r="E4852" s="153" t="n"/>
      <c r="F4852" s="153" t="n">
        <v>2200</v>
      </c>
      <c r="G4852" s="219" t="n">
        <v>1.1</v>
      </c>
      <c r="H4852" s="219" t="n"/>
      <c r="I4852" s="219" t="n"/>
      <c r="J4852" s="219" t="n"/>
      <c r="K4852" s="219" t="n"/>
      <c r="L4852" s="219" t="n"/>
      <c r="M4852" s="219" t="n"/>
      <c r="P4852" s="117" t="n"/>
      <c r="R4852" s="117" t="n"/>
      <c r="T4852" s="117" t="n"/>
    </row>
    <row r="4853">
      <c r="A4853" s="128" t="inlineStr">
        <is>
          <t>10113XXX</t>
        </is>
      </c>
      <c r="B4853" s="188" t="inlineStr">
        <is>
          <t>TAVERNITI JEAN DAMA</t>
        </is>
      </c>
      <c r="C4853" s="88" t="n">
        <v>90900</v>
      </c>
      <c r="D4853" s="153" t="n"/>
      <c r="E4853" s="153" t="n"/>
      <c r="F4853" s="153" t="n">
        <v>2200</v>
      </c>
      <c r="G4853" s="219" t="n">
        <v>1.1</v>
      </c>
      <c r="H4853" s="219" t="n"/>
      <c r="I4853" s="219" t="n"/>
      <c r="J4853" s="219" t="n"/>
      <c r="K4853" s="219" t="n"/>
      <c r="L4853" s="219" t="n"/>
      <c r="M4853" s="219" t="n"/>
      <c r="P4853" s="117" t="n"/>
      <c r="R4853" s="117" t="n"/>
      <c r="T4853" s="117" t="n"/>
    </row>
    <row r="4854">
      <c r="A4854" s="128" t="inlineStr">
        <is>
          <t>10117XXX</t>
        </is>
      </c>
      <c r="B4854" s="188" t="inlineStr">
        <is>
          <t>TAVERNITI JEAN DAMA</t>
        </is>
      </c>
      <c r="C4854" s="88" t="n">
        <v>90900</v>
      </c>
      <c r="D4854" s="153" t="n"/>
      <c r="E4854" s="153" t="n"/>
      <c r="F4854" s="153">
        <f>ROUND((C4854*G4854)/100,0)*100</f>
        <v/>
      </c>
      <c r="G4854" s="219" t="n">
        <v>1.1</v>
      </c>
      <c r="H4854" s="219" t="n"/>
      <c r="I4854" s="219" t="n"/>
      <c r="J4854" s="219" t="n"/>
      <c r="K4854" s="219" t="n"/>
      <c r="L4854" s="219" t="n"/>
      <c r="M4854" s="219" t="n"/>
      <c r="P4854" s="117" t="n"/>
      <c r="R4854" s="117" t="n"/>
      <c r="T4854" s="117" t="n"/>
    </row>
    <row r="4855">
      <c r="A4855" s="128" t="inlineStr">
        <is>
          <t>10119XXX</t>
        </is>
      </c>
      <c r="B4855" s="188" t="inlineStr">
        <is>
          <t>TAVERNITI JEAN DAMA</t>
        </is>
      </c>
      <c r="C4855" s="88" t="n">
        <v>90900</v>
      </c>
      <c r="D4855" s="153" t="n"/>
      <c r="E4855" s="153" t="n"/>
      <c r="F4855" s="153">
        <f>ROUND((C4855*G4855)/100,0)*100</f>
        <v/>
      </c>
      <c r="G4855" s="219" t="n">
        <v>1.1</v>
      </c>
      <c r="H4855" s="219" t="n"/>
      <c r="I4855" s="219" t="n"/>
      <c r="J4855" s="219" t="n"/>
      <c r="K4855" s="219" t="n"/>
      <c r="L4855" s="219" t="n"/>
      <c r="M4855" s="219" t="n"/>
      <c r="P4855" s="117" t="n"/>
      <c r="R4855" s="117" t="n"/>
      <c r="T4855" s="117" t="n"/>
    </row>
    <row r="4856">
      <c r="A4856" s="128" t="inlineStr">
        <is>
          <t>10123XXX</t>
        </is>
      </c>
      <c r="B4856" s="188" t="inlineStr">
        <is>
          <t>TAVERNITI JEAN DAMA</t>
        </is>
      </c>
      <c r="C4856" s="88" t="n">
        <v>90900</v>
      </c>
      <c r="D4856" s="153" t="n"/>
      <c r="E4856" s="153" t="n"/>
      <c r="F4856" s="153">
        <f>ROUND((C4856*G4856)/100,0)*100</f>
        <v/>
      </c>
      <c r="G4856" s="219" t="n">
        <v>1.1</v>
      </c>
      <c r="H4856" s="219" t="n"/>
      <c r="I4856" s="219" t="n"/>
      <c r="J4856" s="219" t="n"/>
      <c r="K4856" s="219" t="n"/>
      <c r="L4856" s="219" t="n"/>
      <c r="M4856" s="219" t="n"/>
      <c r="P4856" s="117" t="n"/>
      <c r="R4856" s="117" t="n"/>
      <c r="T4856" s="117" t="n"/>
    </row>
    <row r="4857">
      <c r="A4857" s="128" t="inlineStr">
        <is>
          <t>10127XXX</t>
        </is>
      </c>
      <c r="B4857" s="188" t="inlineStr">
        <is>
          <t>TAVERNITI JEAN DAMA</t>
        </is>
      </c>
      <c r="C4857" s="88" t="n">
        <v>90900</v>
      </c>
      <c r="D4857" s="153" t="n"/>
      <c r="E4857" s="153" t="n"/>
      <c r="F4857" s="153">
        <f>ROUND((C4857*G4857)/100,0)*100</f>
        <v/>
      </c>
      <c r="G4857" s="219" t="n">
        <v>1.1</v>
      </c>
      <c r="H4857" s="219" t="n"/>
      <c r="I4857" s="219" t="n"/>
      <c r="J4857" s="219" t="n"/>
      <c r="K4857" s="219" t="n"/>
      <c r="L4857" s="219" t="n"/>
      <c r="M4857" s="219" t="n"/>
      <c r="P4857" s="117" t="n"/>
      <c r="R4857" s="117" t="n"/>
      <c r="T4857" s="117" t="n"/>
    </row>
    <row r="4858">
      <c r="A4858" s="128" t="inlineStr">
        <is>
          <t>10135XXX</t>
        </is>
      </c>
      <c r="B4858" s="188" t="inlineStr">
        <is>
          <t>TAVERNITI JEAN DAMA</t>
        </is>
      </c>
      <c r="C4858" s="88" t="n">
        <v>90900</v>
      </c>
      <c r="D4858" s="153" t="n"/>
      <c r="E4858" s="153" t="n"/>
      <c r="F4858" s="153">
        <f>ROUND((C4858*G4858)/100,0)*100</f>
        <v/>
      </c>
      <c r="G4858" s="219" t="n">
        <v>1.1</v>
      </c>
      <c r="H4858" s="219" t="n"/>
      <c r="I4858" s="219" t="n"/>
      <c r="J4858" s="219" t="n"/>
      <c r="K4858" s="219" t="n"/>
      <c r="L4858" s="219" t="n"/>
      <c r="M4858" s="219" t="n"/>
      <c r="P4858" s="117" t="n"/>
      <c r="R4858" s="117" t="n"/>
      <c r="T4858" s="117" t="n"/>
    </row>
    <row r="4859">
      <c r="A4859" s="128" t="inlineStr">
        <is>
          <t>10141XXX</t>
        </is>
      </c>
      <c r="B4859" s="188" t="inlineStr">
        <is>
          <t>TAVERNITI JEAN DAMA</t>
        </is>
      </c>
      <c r="C4859" s="88" t="n">
        <v>90900</v>
      </c>
      <c r="D4859" s="153" t="n"/>
      <c r="E4859" s="153" t="n"/>
      <c r="F4859" s="153">
        <f>ROUND((C4859*G4859)/100,0)*100</f>
        <v/>
      </c>
      <c r="G4859" s="219" t="n">
        <v>1.1</v>
      </c>
      <c r="H4859" s="219" t="n"/>
      <c r="I4859" s="219" t="n"/>
      <c r="J4859" s="219" t="n"/>
      <c r="K4859" s="219" t="n"/>
      <c r="L4859" s="219" t="n"/>
      <c r="M4859" s="219" t="n"/>
      <c r="P4859" s="117" t="n"/>
      <c r="R4859" s="117" t="n"/>
      <c r="T4859" s="117" t="n"/>
    </row>
    <row r="4860">
      <c r="A4860" s="128" t="inlineStr">
        <is>
          <t>10145XXX</t>
        </is>
      </c>
      <c r="B4860" s="188" t="inlineStr">
        <is>
          <t>TAVERNITI JEAN DAMA</t>
        </is>
      </c>
      <c r="C4860" s="88" t="n">
        <v>90900</v>
      </c>
      <c r="D4860" s="153" t="n"/>
      <c r="E4860" s="153" t="n"/>
      <c r="F4860" s="153">
        <f>ROUND((C4860*G4860)/100,0)*100</f>
        <v/>
      </c>
      <c r="G4860" s="219" t="n">
        <v>1.1</v>
      </c>
      <c r="H4860" s="219" t="n"/>
      <c r="I4860" s="219" t="n"/>
      <c r="J4860" s="219" t="n"/>
      <c r="K4860" s="219" t="n"/>
      <c r="L4860" s="219" t="n"/>
      <c r="M4860" s="219" t="n"/>
      <c r="P4860" s="117" t="n"/>
      <c r="R4860" s="117" t="n"/>
      <c r="T4860" s="117" t="n"/>
    </row>
    <row r="4861">
      <c r="A4861" s="128" t="inlineStr">
        <is>
          <t>10153XXX</t>
        </is>
      </c>
      <c r="B4861" s="188" t="inlineStr">
        <is>
          <t>TAVERNITI JEAN DAMA</t>
        </is>
      </c>
      <c r="C4861" s="88" t="n">
        <v>90900</v>
      </c>
      <c r="D4861" s="153" t="n"/>
      <c r="E4861" s="153" t="n"/>
      <c r="F4861" s="153">
        <f>ROUND((C4861*G4861)/100,0)*100</f>
        <v/>
      </c>
      <c r="G4861" s="219" t="n">
        <v>1.1</v>
      </c>
      <c r="H4861" s="219" t="n"/>
      <c r="I4861" s="219" t="n"/>
      <c r="J4861" s="219" t="n"/>
      <c r="K4861" s="219" t="n"/>
      <c r="L4861" s="219" t="n"/>
      <c r="M4861" s="219" t="n"/>
      <c r="P4861" s="117" t="n"/>
      <c r="R4861" s="117" t="n"/>
      <c r="T4861" s="117" t="n"/>
    </row>
    <row r="4862">
      <c r="A4862" s="128" t="inlineStr">
        <is>
          <t>10159XXX</t>
        </is>
      </c>
      <c r="B4862" s="188" t="inlineStr">
        <is>
          <t>TAVERNITI JEAN DAMA</t>
        </is>
      </c>
      <c r="C4862" s="88" t="n">
        <v>90900</v>
      </c>
      <c r="D4862" s="153" t="n"/>
      <c r="E4862" s="153" t="n"/>
      <c r="F4862" s="153">
        <f>ROUND((C4862*G4862)/100,0)*100</f>
        <v/>
      </c>
      <c r="G4862" s="219" t="n">
        <v>1.1</v>
      </c>
      <c r="H4862" s="219" t="n"/>
      <c r="I4862" s="219" t="n"/>
      <c r="J4862" s="219" t="n"/>
      <c r="K4862" s="219" t="n"/>
      <c r="L4862" s="219" t="n"/>
      <c r="M4862" s="219" t="n"/>
      <c r="P4862" s="117" t="n"/>
      <c r="R4862" s="117" t="n"/>
      <c r="T4862" s="117" t="n"/>
    </row>
    <row r="4863">
      <c r="A4863" s="128" t="inlineStr">
        <is>
          <t>10181XXX</t>
        </is>
      </c>
      <c r="B4863" s="188" t="inlineStr">
        <is>
          <t>TAVERNITI JEAN DAMA</t>
        </is>
      </c>
      <c r="C4863" s="88" t="n">
        <v>90900</v>
      </c>
      <c r="D4863" s="153" t="n"/>
      <c r="E4863" s="153" t="n"/>
      <c r="F4863" s="153">
        <f>ROUND((C4863*G4863)/100,0)*100</f>
        <v/>
      </c>
      <c r="G4863" s="219" t="n">
        <v>1.1</v>
      </c>
      <c r="H4863" s="219" t="n"/>
      <c r="I4863" s="219" t="n"/>
      <c r="J4863" s="219" t="n"/>
      <c r="K4863" s="219" t="n"/>
      <c r="L4863" s="219" t="n"/>
      <c r="M4863" s="219" t="n"/>
      <c r="P4863" s="117" t="n"/>
      <c r="R4863" s="117" t="n"/>
      <c r="T4863" s="117" t="n"/>
    </row>
    <row r="4864">
      <c r="A4864" s="128" t="inlineStr">
        <is>
          <t>10183XXX</t>
        </is>
      </c>
      <c r="B4864" s="188" t="inlineStr">
        <is>
          <t>TAVERNITI JEAN DAMA</t>
        </is>
      </c>
      <c r="C4864" s="88" t="n">
        <v>90900</v>
      </c>
      <c r="D4864" s="153" t="n"/>
      <c r="E4864" s="153" t="n"/>
      <c r="F4864" s="153">
        <f>ROUND((C4864*G4864)/100,0)*100</f>
        <v/>
      </c>
      <c r="G4864" s="219" t="n">
        <v>1.1</v>
      </c>
      <c r="H4864" s="219" t="n"/>
      <c r="I4864" s="219" t="n"/>
      <c r="J4864" s="219" t="n"/>
      <c r="K4864" s="219" t="n"/>
      <c r="L4864" s="219" t="n"/>
      <c r="M4864" s="219" t="n"/>
      <c r="P4864" s="117" t="n"/>
      <c r="R4864" s="117" t="n"/>
      <c r="T4864" s="117" t="n"/>
    </row>
    <row r="4865">
      <c r="A4865" s="128" t="inlineStr">
        <is>
          <t>10187706</t>
        </is>
      </c>
      <c r="B4865" s="188" t="inlineStr">
        <is>
          <t>TAVERNITI JEAN DAMA</t>
        </is>
      </c>
      <c r="C4865" s="88" t="n">
        <v>90900</v>
      </c>
      <c r="D4865" s="153" t="n"/>
      <c r="E4865" s="153" t="n"/>
      <c r="F4865" s="153">
        <f>ROUND((C4865*G4865)/100,0)*100</f>
        <v/>
      </c>
      <c r="G4865" s="219" t="n">
        <v>1.1</v>
      </c>
      <c r="H4865" s="219" t="n"/>
      <c r="I4865" s="219" t="n"/>
      <c r="J4865" s="219" t="n"/>
      <c r="K4865" s="219" t="n"/>
      <c r="L4865" s="219" t="n"/>
      <c r="M4865" s="219" t="n"/>
      <c r="P4865" s="117" t="n"/>
      <c r="R4865" s="117" t="n"/>
      <c r="T4865" s="117" t="n"/>
    </row>
    <row r="4866">
      <c r="A4866" s="128" t="inlineStr">
        <is>
          <t>10199XXX</t>
        </is>
      </c>
      <c r="B4866" s="188" t="inlineStr">
        <is>
          <t>TAVERNITI JEAN DAMA</t>
        </is>
      </c>
      <c r="C4866" s="88" t="n">
        <v>90900</v>
      </c>
      <c r="D4866" s="153" t="n"/>
      <c r="E4866" s="153" t="n"/>
      <c r="F4866" s="153">
        <f>ROUND((C4866*G4866)/100,0)*100</f>
        <v/>
      </c>
      <c r="G4866" s="219" t="n">
        <v>1.1</v>
      </c>
      <c r="H4866" s="219" t="n"/>
      <c r="I4866" s="219" t="n"/>
      <c r="J4866" s="219" t="n"/>
      <c r="K4866" s="219" t="n"/>
      <c r="L4866" s="219" t="n"/>
      <c r="M4866" s="219" t="n"/>
      <c r="P4866" s="117" t="n"/>
      <c r="R4866" s="117" t="n"/>
      <c r="T4866" s="117" t="n"/>
    </row>
    <row r="4867">
      <c r="A4867" s="128" t="inlineStr">
        <is>
          <t>10205XXX</t>
        </is>
      </c>
      <c r="B4867" s="188" t="inlineStr">
        <is>
          <t>TAVERNITI JEAN DAMA</t>
        </is>
      </c>
      <c r="C4867" s="88" t="n">
        <v>90900</v>
      </c>
      <c r="D4867" s="153" t="n"/>
      <c r="E4867" s="153" t="n"/>
      <c r="F4867" s="153">
        <f>ROUND((C4867*G4867)/100,0)*100</f>
        <v/>
      </c>
      <c r="G4867" s="219" t="n">
        <v>1.1</v>
      </c>
      <c r="H4867" s="219" t="n"/>
      <c r="I4867" s="219" t="n"/>
      <c r="J4867" s="219" t="n"/>
      <c r="K4867" s="219" t="n"/>
      <c r="L4867" s="219" t="n"/>
      <c r="M4867" s="219" t="n"/>
      <c r="P4867" s="117" t="n"/>
      <c r="R4867" s="117" t="n"/>
      <c r="T4867" s="117" t="n"/>
    </row>
    <row r="4868">
      <c r="A4868" s="128" t="inlineStr">
        <is>
          <t>10211710</t>
        </is>
      </c>
      <c r="B4868" s="188" t="inlineStr">
        <is>
          <t>TAVERNITI JEAN DAMA</t>
        </is>
      </c>
      <c r="C4868" s="88" t="n">
        <v>90900</v>
      </c>
      <c r="D4868" s="153" t="n"/>
      <c r="E4868" s="153" t="n"/>
      <c r="F4868" s="153">
        <f>ROUND((C4868*G4868)/100,0)*100</f>
        <v/>
      </c>
      <c r="G4868" s="219" t="n">
        <v>1.1</v>
      </c>
      <c r="H4868" s="219" t="n"/>
      <c r="I4868" s="219" t="n"/>
      <c r="J4868" s="219" t="n"/>
      <c r="K4868" s="219" t="n"/>
      <c r="L4868" s="219" t="n"/>
      <c r="M4868" s="219" t="n"/>
      <c r="P4868" s="117" t="n"/>
      <c r="R4868" s="117" t="n"/>
      <c r="T4868" s="117" t="n"/>
    </row>
    <row r="4869">
      <c r="A4869" s="128" t="inlineStr">
        <is>
          <t>10215XXX</t>
        </is>
      </c>
      <c r="B4869" s="188" t="inlineStr">
        <is>
          <t>TAVERNITI JEAN DAMA</t>
        </is>
      </c>
      <c r="C4869" s="88" t="n">
        <v>90900</v>
      </c>
      <c r="D4869" s="153" t="n"/>
      <c r="E4869" s="153" t="n"/>
      <c r="F4869" s="153">
        <f>ROUND((C4869*G4869)/100,0)*100</f>
        <v/>
      </c>
      <c r="G4869" s="219" t="n">
        <v>1.1</v>
      </c>
      <c r="H4869" s="219" t="n"/>
      <c r="I4869" s="219" t="n"/>
      <c r="J4869" s="219" t="n"/>
      <c r="K4869" s="219" t="n"/>
      <c r="L4869" s="219" t="n"/>
      <c r="M4869" s="219" t="n"/>
      <c r="P4869" s="117" t="n"/>
      <c r="R4869" s="117" t="n"/>
      <c r="T4869" s="117" t="n"/>
    </row>
    <row r="4870">
      <c r="A4870" s="128" t="inlineStr">
        <is>
          <t>10217XXX</t>
        </is>
      </c>
      <c r="B4870" s="188" t="inlineStr">
        <is>
          <t>TAVERNITI JEAN DAMA</t>
        </is>
      </c>
      <c r="C4870" s="88" t="n">
        <v>90900</v>
      </c>
      <c r="D4870" s="153" t="n"/>
      <c r="E4870" s="153" t="n"/>
      <c r="F4870" s="153">
        <f>ROUND((C4870*G4870)/100,0)*100</f>
        <v/>
      </c>
      <c r="G4870" s="219" t="n">
        <v>1.1</v>
      </c>
      <c r="H4870" s="219" t="n"/>
      <c r="I4870" s="219" t="n"/>
      <c r="J4870" s="219" t="n"/>
      <c r="K4870" s="219" t="n"/>
      <c r="L4870" s="219" t="n"/>
      <c r="M4870" s="219" t="n"/>
      <c r="P4870" s="117" t="n"/>
      <c r="R4870" s="117" t="n"/>
      <c r="T4870" s="117" t="n"/>
    </row>
    <row r="4871">
      <c r="A4871" s="128" t="inlineStr">
        <is>
          <t>10221XXX</t>
        </is>
      </c>
      <c r="B4871" s="188" t="inlineStr">
        <is>
          <t>TAVERNITI JEAN DAMA</t>
        </is>
      </c>
      <c r="C4871" s="88" t="n">
        <v>90900</v>
      </c>
      <c r="D4871" s="153" t="n"/>
      <c r="E4871" s="153" t="n"/>
      <c r="F4871" s="153">
        <f>ROUND((C4871*G4871)/100,0)*100</f>
        <v/>
      </c>
      <c r="G4871" s="219" t="n">
        <v>1.1</v>
      </c>
      <c r="H4871" s="219" t="n"/>
      <c r="I4871" s="219" t="n"/>
      <c r="J4871" s="219" t="n"/>
      <c r="K4871" s="219" t="n"/>
      <c r="L4871" s="219" t="n"/>
      <c r="M4871" s="219" t="n"/>
      <c r="P4871" s="117" t="n"/>
      <c r="R4871" s="117" t="n"/>
      <c r="T4871" s="117" t="n"/>
    </row>
    <row r="4872">
      <c r="A4872" s="128" t="inlineStr">
        <is>
          <t>10227XXX</t>
        </is>
      </c>
      <c r="B4872" s="188" t="inlineStr">
        <is>
          <t>TAVERNITI JEAN DAMA</t>
        </is>
      </c>
      <c r="C4872" s="88" t="n">
        <v>90900</v>
      </c>
      <c r="D4872" s="153" t="n"/>
      <c r="E4872" s="153" t="n"/>
      <c r="F4872" s="153">
        <f>ROUND((C4872*G4872)/100,0)*100</f>
        <v/>
      </c>
      <c r="G4872" s="219" t="n">
        <v>1.1</v>
      </c>
      <c r="H4872" s="219" t="n"/>
      <c r="I4872" s="219" t="n"/>
      <c r="J4872" s="219" t="n"/>
      <c r="K4872" s="219" t="n"/>
      <c r="L4872" s="219" t="n"/>
      <c r="M4872" s="219" t="n"/>
      <c r="P4872" s="117" t="n"/>
      <c r="R4872" s="117" t="n"/>
      <c r="T4872" s="117" t="n"/>
    </row>
    <row r="4873">
      <c r="A4873" s="128" t="inlineStr">
        <is>
          <t>10247XXX</t>
        </is>
      </c>
      <c r="B4873" s="188" t="inlineStr">
        <is>
          <t>TAVERNITI JEAN DAMA</t>
        </is>
      </c>
      <c r="C4873" s="88" t="n">
        <v>90900</v>
      </c>
      <c r="D4873" s="153" t="n"/>
      <c r="E4873" s="153" t="n"/>
      <c r="F4873" s="153">
        <f>ROUND((C4873*G4873)/100,0)*100</f>
        <v/>
      </c>
      <c r="G4873" s="219" t="n">
        <v>1.1</v>
      </c>
      <c r="H4873" s="219" t="n"/>
      <c r="I4873" s="219" t="n"/>
      <c r="J4873" s="219" t="n"/>
      <c r="K4873" s="219" t="n"/>
      <c r="L4873" s="219" t="n"/>
      <c r="M4873" s="219" t="n"/>
      <c r="P4873" s="117" t="n"/>
      <c r="R4873" s="117" t="n"/>
      <c r="T4873" s="117" t="n"/>
    </row>
    <row r="4874">
      <c r="A4874" s="128" t="inlineStr">
        <is>
          <t>10251XXX</t>
        </is>
      </c>
      <c r="B4874" s="188" t="inlineStr">
        <is>
          <t>TAVERNITI JEAN DAMA</t>
        </is>
      </c>
      <c r="C4874" s="88" t="n">
        <v>90900</v>
      </c>
      <c r="D4874" s="153" t="n"/>
      <c r="E4874" s="153" t="n"/>
      <c r="F4874" s="153">
        <f>ROUND((C4874*G4874)/100,0)*100</f>
        <v/>
      </c>
      <c r="G4874" s="219" t="n">
        <v>1.1</v>
      </c>
      <c r="H4874" s="219" t="n"/>
      <c r="I4874" s="219" t="n"/>
      <c r="J4874" s="219" t="n"/>
      <c r="K4874" s="219" t="n"/>
      <c r="L4874" s="219" t="n"/>
      <c r="M4874" s="219" t="n"/>
      <c r="P4874" s="117" t="n"/>
      <c r="R4874" s="117" t="n"/>
      <c r="T4874" s="117" t="n"/>
    </row>
    <row r="4875">
      <c r="A4875" s="128" t="inlineStr">
        <is>
          <t>10263205</t>
        </is>
      </c>
      <c r="B4875" s="188" t="inlineStr">
        <is>
          <t>TAVERNITI JEAN DAMA</t>
        </is>
      </c>
      <c r="C4875" s="88" t="n">
        <v>90900</v>
      </c>
      <c r="D4875" s="153" t="n"/>
      <c r="E4875" s="153" t="n"/>
      <c r="F4875" s="153">
        <f>ROUND((C4875*G4875)/100,0)*100</f>
        <v/>
      </c>
      <c r="G4875" s="219" t="n">
        <v>1.1</v>
      </c>
      <c r="H4875" s="219" t="n"/>
      <c r="I4875" s="219" t="n"/>
      <c r="J4875" s="219" t="n"/>
      <c r="K4875" s="219" t="n"/>
      <c r="L4875" s="219" t="n"/>
      <c r="M4875" s="219" t="n"/>
      <c r="P4875" s="117" t="n"/>
      <c r="R4875" s="117" t="n"/>
      <c r="T4875" s="117" t="n"/>
    </row>
    <row r="4876">
      <c r="A4876" s="128" t="inlineStr">
        <is>
          <t>10265XXX</t>
        </is>
      </c>
      <c r="B4876" s="188" t="inlineStr">
        <is>
          <t>TAVERNITI JEAN DAMA</t>
        </is>
      </c>
      <c r="C4876" s="88" t="n">
        <v>90900</v>
      </c>
      <c r="D4876" s="153" t="n"/>
      <c r="E4876" s="153" t="n"/>
      <c r="F4876" s="153">
        <f>ROUND((C4876*G4876)/100,0)*100</f>
        <v/>
      </c>
      <c r="G4876" s="219" t="n">
        <v>1.1</v>
      </c>
      <c r="H4876" s="219" t="n"/>
      <c r="I4876" s="219" t="n"/>
      <c r="J4876" s="219" t="n"/>
      <c r="K4876" s="219" t="n"/>
      <c r="L4876" s="219" t="n"/>
      <c r="M4876" s="219" t="n"/>
      <c r="P4876" s="117" t="n"/>
      <c r="R4876" s="117" t="n"/>
      <c r="T4876" s="117" t="n"/>
    </row>
    <row r="4877">
      <c r="A4877" s="128" t="inlineStr">
        <is>
          <t>10267XXX</t>
        </is>
      </c>
      <c r="B4877" s="188" t="inlineStr">
        <is>
          <t>TAVERNITI JEAN DAMA</t>
        </is>
      </c>
      <c r="C4877" s="88" t="n">
        <v>90900</v>
      </c>
      <c r="D4877" s="153" t="n"/>
      <c r="E4877" s="153" t="n"/>
      <c r="F4877" s="153">
        <f>ROUND((C4877*G4877)/100,0)*100</f>
        <v/>
      </c>
      <c r="G4877" s="219" t="n">
        <v>1.1</v>
      </c>
      <c r="H4877" s="219" t="n"/>
      <c r="I4877" s="219" t="n"/>
      <c r="J4877" s="219" t="n"/>
      <c r="K4877" s="219" t="n"/>
      <c r="L4877" s="219" t="n"/>
      <c r="M4877" s="219" t="n"/>
      <c r="P4877" s="117" t="n"/>
      <c r="R4877" s="117" t="n"/>
      <c r="T4877" s="117" t="n"/>
    </row>
    <row r="4878">
      <c r="A4878" s="128" t="inlineStr">
        <is>
          <t>10279XXX</t>
        </is>
      </c>
      <c r="B4878" s="188" t="inlineStr">
        <is>
          <t>TAVERNITI JEAN DAMA</t>
        </is>
      </c>
      <c r="C4878" s="88" t="n">
        <v>90900</v>
      </c>
      <c r="D4878" s="153" t="n"/>
      <c r="E4878" s="153" t="n"/>
      <c r="F4878" s="153">
        <f>ROUND((C4878*G4878)/100,0)*100</f>
        <v/>
      </c>
      <c r="G4878" s="219" t="n">
        <v>1.1</v>
      </c>
      <c r="H4878" s="219" t="n"/>
      <c r="I4878" s="219" t="n"/>
      <c r="J4878" s="219" t="n"/>
      <c r="K4878" s="219" t="n"/>
      <c r="L4878" s="219" t="n"/>
      <c r="M4878" s="219" t="n"/>
      <c r="P4878" s="117" t="n"/>
      <c r="R4878" s="117" t="n"/>
      <c r="T4878" s="117" t="n"/>
    </row>
    <row r="4879">
      <c r="A4879" s="128" t="inlineStr">
        <is>
          <t>10293XXX</t>
        </is>
      </c>
      <c r="B4879" s="188" t="inlineStr">
        <is>
          <t>TAVERNITI JEAN DAMA</t>
        </is>
      </c>
      <c r="C4879" s="88" t="n">
        <v>90900</v>
      </c>
      <c r="D4879" s="153" t="n"/>
      <c r="E4879" s="153" t="n"/>
      <c r="F4879" s="153">
        <f>ROUND((C4879*G4879)/100,0)*100</f>
        <v/>
      </c>
      <c r="G4879" s="219" t="n">
        <v>1.1</v>
      </c>
      <c r="H4879" s="219" t="n"/>
      <c r="I4879" s="219" t="n"/>
      <c r="J4879" s="219" t="n"/>
      <c r="K4879" s="219" t="n"/>
      <c r="L4879" s="219" t="n"/>
      <c r="M4879" s="219" t="n"/>
      <c r="P4879" s="117" t="n"/>
      <c r="R4879" s="117" t="n"/>
      <c r="T4879" s="117" t="n"/>
    </row>
    <row r="4880">
      <c r="A4880" s="128" t="inlineStr">
        <is>
          <t>10297XXX</t>
        </is>
      </c>
      <c r="B4880" s="188" t="inlineStr">
        <is>
          <t>TAVERNITI JEAN DAMA</t>
        </is>
      </c>
      <c r="C4880" s="88" t="n">
        <v>90900</v>
      </c>
      <c r="D4880" s="153" t="n"/>
      <c r="E4880" s="153" t="n"/>
      <c r="F4880" s="153">
        <f>ROUND((C4880*G4880)/100,0)*100</f>
        <v/>
      </c>
      <c r="G4880" s="219" t="n">
        <v>1.1</v>
      </c>
      <c r="H4880" s="219" t="n"/>
      <c r="I4880" s="219" t="n"/>
      <c r="J4880" s="219" t="n"/>
      <c r="K4880" s="219" t="n"/>
      <c r="L4880" s="219" t="n"/>
      <c r="M4880" s="219" t="n"/>
      <c r="P4880" s="117" t="n"/>
      <c r="R4880" s="117" t="n"/>
      <c r="T4880" s="117" t="n"/>
    </row>
    <row r="4881">
      <c r="A4881" s="134" t="inlineStr">
        <is>
          <t>10301XXX</t>
        </is>
      </c>
      <c r="B4881" s="246" t="inlineStr">
        <is>
          <t>TAVERNITI JEAN DAMA</t>
        </is>
      </c>
      <c r="C4881" s="88" t="n">
        <v>90900</v>
      </c>
      <c r="D4881" s="111" t="n"/>
      <c r="E4881" s="111" t="n"/>
      <c r="F4881" s="111">
        <f>ROUND((C4881*G4881)/100,0)*100</f>
        <v/>
      </c>
      <c r="G4881" s="219" t="n">
        <v>1.1</v>
      </c>
      <c r="H4881" s="170" t="n"/>
      <c r="I4881" s="170" t="n"/>
      <c r="J4881" s="170" t="n"/>
      <c r="K4881" s="170" t="n"/>
      <c r="L4881" s="170" t="n"/>
      <c r="M4881" s="170" t="n"/>
      <c r="N4881" s="30" t="n"/>
      <c r="O4881" s="30" t="n"/>
      <c r="P4881" s="170" t="n"/>
      <c r="Q4881" s="30" t="n"/>
      <c r="R4881" s="170" t="n"/>
      <c r="S4881" s="30" t="n"/>
      <c r="T4881" s="170" t="n"/>
      <c r="U4881" s="30" t="n"/>
      <c r="V4881" s="30" t="n"/>
      <c r="W4881" s="30" t="n"/>
      <c r="X4881" s="30" t="n"/>
      <c r="Y4881" s="30" t="n"/>
      <c r="Z4881" s="30" t="n"/>
      <c r="AA4881" s="30" t="n"/>
      <c r="AB4881" s="30" t="n"/>
      <c r="AC4881" s="30" t="n"/>
      <c r="AD4881" s="30" t="n"/>
      <c r="AE4881" s="30" t="n"/>
      <c r="AF4881" s="30" t="n"/>
      <c r="AG4881" s="30" t="n"/>
      <c r="AH4881" s="30" t="n"/>
      <c r="AI4881" s="30" t="n"/>
      <c r="AJ4881" s="30" t="n"/>
      <c r="AK4881" s="30" t="n"/>
      <c r="AL4881" s="30" t="n"/>
      <c r="AM4881" s="30" t="n"/>
      <c r="AN4881" s="30" t="n"/>
      <c r="AO4881" s="30" t="n"/>
    </row>
    <row r="4882">
      <c r="A4882" s="128" t="inlineStr">
        <is>
          <t>10303XXX</t>
        </is>
      </c>
      <c r="B4882" s="188" t="inlineStr">
        <is>
          <t>TAVERNITI JEAN DAMA</t>
        </is>
      </c>
      <c r="C4882" s="88" t="n">
        <v>90900</v>
      </c>
      <c r="D4882" s="153" t="n"/>
      <c r="E4882" s="153" t="n"/>
      <c r="F4882" s="153">
        <f>ROUND((C4882*G4882)/100,0)*100</f>
        <v/>
      </c>
      <c r="G4882" s="219" t="n">
        <v>1.1</v>
      </c>
      <c r="H4882" s="219" t="n"/>
      <c r="I4882" s="219" t="n"/>
      <c r="J4882" s="219" t="n"/>
      <c r="K4882" s="219" t="n"/>
      <c r="L4882" s="219" t="n"/>
      <c r="M4882" s="219" t="n"/>
      <c r="P4882" s="117" t="n"/>
      <c r="R4882" s="117" t="n"/>
      <c r="T4882" s="117" t="n"/>
    </row>
    <row r="4883">
      <c r="A4883" s="128" t="inlineStr">
        <is>
          <t>10309XXX</t>
        </is>
      </c>
      <c r="B4883" s="188" t="inlineStr">
        <is>
          <t>TAVERNITI JEAN DAMA</t>
        </is>
      </c>
      <c r="C4883" s="88" t="n">
        <v>90900</v>
      </c>
      <c r="D4883" s="153" t="n"/>
      <c r="E4883" s="153" t="n"/>
      <c r="F4883" s="153">
        <f>ROUND((C4883*G4883)/100,0)*100</f>
        <v/>
      </c>
      <c r="G4883" s="219" t="n">
        <v>1.1</v>
      </c>
      <c r="H4883" s="219" t="n"/>
      <c r="I4883" s="219" t="n"/>
      <c r="J4883" s="219" t="n"/>
      <c r="K4883" s="219" t="n"/>
      <c r="L4883" s="219" t="n"/>
      <c r="M4883" s="219" t="n"/>
      <c r="P4883" s="117" t="n"/>
      <c r="R4883" s="117" t="n"/>
      <c r="T4883" s="117" t="n"/>
    </row>
    <row r="4884">
      <c r="A4884" s="128" t="inlineStr">
        <is>
          <t>10311XXX</t>
        </is>
      </c>
      <c r="B4884" s="188" t="inlineStr">
        <is>
          <t>TAVERNITI JEAN DAMA</t>
        </is>
      </c>
      <c r="C4884" s="88" t="n">
        <v>90900</v>
      </c>
      <c r="D4884" s="153" t="n"/>
      <c r="E4884" s="153" t="n"/>
      <c r="F4884" s="153">
        <f>ROUND((C4884*G4884)/100,0)*100</f>
        <v/>
      </c>
      <c r="G4884" s="219" t="n">
        <v>1.1</v>
      </c>
      <c r="H4884" s="219" t="n"/>
      <c r="I4884" s="219" t="n"/>
      <c r="J4884" s="219" t="n"/>
      <c r="K4884" s="219" t="n"/>
      <c r="L4884" s="219" t="n"/>
      <c r="M4884" s="219" t="n"/>
      <c r="P4884" s="117" t="n"/>
      <c r="R4884" s="117" t="n"/>
      <c r="T4884" s="117" t="n"/>
    </row>
    <row r="4885">
      <c r="A4885" s="128" t="inlineStr">
        <is>
          <t>10325XXX</t>
        </is>
      </c>
      <c r="B4885" s="188" t="inlineStr">
        <is>
          <t>TAVERNITI JEAN DAMA</t>
        </is>
      </c>
      <c r="C4885" s="88" t="n">
        <v>90900</v>
      </c>
      <c r="D4885" s="153" t="n"/>
      <c r="E4885" s="153" t="n"/>
      <c r="F4885" s="153">
        <f>ROUND((C4885*G4885)/100,0)*100</f>
        <v/>
      </c>
      <c r="G4885" s="219" t="n">
        <v>1.1</v>
      </c>
      <c r="H4885" s="219" t="n"/>
      <c r="I4885" s="219" t="n"/>
      <c r="J4885" s="219" t="n"/>
      <c r="K4885" s="219" t="n"/>
      <c r="L4885" s="219" t="n"/>
      <c r="M4885" s="219" t="n"/>
      <c r="P4885" s="117" t="n"/>
      <c r="R4885" s="117" t="n"/>
      <c r="T4885" s="117" t="n"/>
    </row>
    <row r="4886">
      <c r="A4886" s="128" t="inlineStr">
        <is>
          <t>10329XXX</t>
        </is>
      </c>
      <c r="B4886" s="188" t="inlineStr">
        <is>
          <t>TAVERNITI JEAN DAMA</t>
        </is>
      </c>
      <c r="C4886" s="88" t="n">
        <v>90900</v>
      </c>
      <c r="D4886" s="153" t="n"/>
      <c r="E4886" s="153" t="n"/>
      <c r="F4886" s="153">
        <f>ROUND((C4886*G4886)/100,0)*100</f>
        <v/>
      </c>
      <c r="G4886" s="219" t="n">
        <v>1.1</v>
      </c>
      <c r="H4886" s="219" t="n"/>
      <c r="I4886" s="219" t="n"/>
      <c r="J4886" s="219" t="n"/>
      <c r="K4886" s="219" t="n"/>
      <c r="L4886" s="219" t="n"/>
      <c r="M4886" s="219" t="n"/>
      <c r="P4886" s="117" t="n"/>
      <c r="R4886" s="117" t="n"/>
      <c r="T4886" s="117" t="n"/>
    </row>
    <row r="4887">
      <c r="A4887" s="128" t="inlineStr">
        <is>
          <t>10331XXX</t>
        </is>
      </c>
      <c r="B4887" s="188" t="inlineStr">
        <is>
          <t>TAVERNITI JEAN DAMA</t>
        </is>
      </c>
      <c r="C4887" s="88" t="n">
        <v>90900</v>
      </c>
      <c r="D4887" s="153" t="n"/>
      <c r="E4887" s="153" t="n"/>
      <c r="F4887" s="153">
        <f>ROUND((C4887*G4887)/100,0)*100</f>
        <v/>
      </c>
      <c r="G4887" s="219" t="n">
        <v>1.1</v>
      </c>
      <c r="H4887" s="219" t="n"/>
      <c r="I4887" s="219" t="n"/>
      <c r="J4887" s="219" t="n"/>
      <c r="K4887" s="219" t="n"/>
      <c r="L4887" s="219" t="n"/>
      <c r="M4887" s="219" t="n"/>
      <c r="P4887" s="117" t="n"/>
      <c r="R4887" s="117" t="n"/>
      <c r="T4887" s="117" t="n"/>
    </row>
    <row r="4888">
      <c r="A4888" s="128" t="inlineStr">
        <is>
          <t>10333XXX</t>
        </is>
      </c>
      <c r="B4888" s="188" t="inlineStr">
        <is>
          <t>TAVERNITI JEAN DAMA</t>
        </is>
      </c>
      <c r="C4888" s="88" t="n">
        <v>90900</v>
      </c>
      <c r="D4888" s="153" t="n"/>
      <c r="E4888" s="153" t="n"/>
      <c r="F4888" s="153">
        <f>ROUND((C4888*G4888)/100,0)*100</f>
        <v/>
      </c>
      <c r="G4888" s="219" t="n">
        <v>1.1</v>
      </c>
      <c r="H4888" s="219" t="n"/>
      <c r="I4888" s="219" t="n"/>
      <c r="J4888" s="219" t="n"/>
      <c r="K4888" s="219" t="n"/>
      <c r="L4888" s="219" t="n"/>
      <c r="M4888" s="219" t="n"/>
      <c r="P4888" s="117" t="n"/>
      <c r="R4888" s="117" t="n"/>
      <c r="T4888" s="117" t="n"/>
    </row>
    <row r="4889">
      <c r="A4889" s="128" t="inlineStr">
        <is>
          <t>10335XXX</t>
        </is>
      </c>
      <c r="B4889" s="188" t="inlineStr">
        <is>
          <t>TAVERNITI JEAN DAMA</t>
        </is>
      </c>
      <c r="C4889" s="88" t="n">
        <v>90900</v>
      </c>
      <c r="D4889" s="153" t="n"/>
      <c r="E4889" s="153" t="n"/>
      <c r="F4889" s="153">
        <f>ROUND((C4889*G4889)/100,0)*100</f>
        <v/>
      </c>
      <c r="G4889" s="219" t="n">
        <v>1.1</v>
      </c>
      <c r="H4889" s="219" t="n"/>
      <c r="I4889" s="219" t="n"/>
      <c r="J4889" s="219" t="n"/>
      <c r="K4889" s="219" t="n"/>
      <c r="L4889" s="219" t="n"/>
      <c r="M4889" s="219" t="n"/>
      <c r="P4889" s="117" t="n"/>
      <c r="R4889" s="117" t="n"/>
      <c r="T4889" s="117" t="n"/>
    </row>
    <row r="4890">
      <c r="A4890" s="89" t="inlineStr">
        <is>
          <t>10343XXX</t>
        </is>
      </c>
      <c r="B4890" s="135" t="inlineStr">
        <is>
          <t>TAVERNITI JEAN DAMA</t>
        </is>
      </c>
      <c r="C4890" s="88" t="n">
        <v>90900</v>
      </c>
      <c r="D4890" s="170" t="n"/>
      <c r="E4890" s="170" t="n"/>
      <c r="F4890" s="150">
        <f>ROUND((C4890*G4890)/100,0)*100</f>
        <v/>
      </c>
      <c r="G4890" s="219" t="n">
        <v>1.1</v>
      </c>
      <c r="H4890" s="170" t="n"/>
      <c r="I4890" s="170" t="n"/>
      <c r="J4890" s="170" t="n"/>
      <c r="K4890" s="170" t="n"/>
      <c r="L4890" s="170" t="n"/>
      <c r="M4890" s="170" t="n"/>
      <c r="N4890" s="30" t="n"/>
      <c r="O4890" s="30" t="n"/>
      <c r="P4890" s="170" t="n"/>
      <c r="Q4890" s="30" t="n"/>
      <c r="R4890" s="170" t="n"/>
      <c r="S4890" s="30" t="n"/>
      <c r="T4890" s="170" t="n"/>
      <c r="U4890" s="30" t="n"/>
      <c r="V4890" s="30" t="n"/>
      <c r="W4890" s="30" t="n"/>
      <c r="X4890" s="30" t="n"/>
      <c r="Y4890" s="30" t="n"/>
      <c r="Z4890" s="30" t="n"/>
      <c r="AA4890" s="30" t="n"/>
      <c r="AB4890" s="30" t="n"/>
      <c r="AC4890" s="30" t="n"/>
      <c r="AD4890" s="30" t="n"/>
      <c r="AE4890" s="30" t="n"/>
      <c r="AF4890" s="30" t="n"/>
      <c r="AG4890" s="30" t="n"/>
      <c r="AH4890" s="30" t="n"/>
      <c r="AI4890" s="30" t="n"/>
      <c r="AJ4890" s="30" t="n"/>
      <c r="AK4890" s="30" t="n"/>
      <c r="AL4890" s="30" t="n"/>
      <c r="AM4890" s="30" t="n"/>
      <c r="AN4890" s="30" t="n"/>
      <c r="AO4890" s="30" t="n"/>
    </row>
    <row r="4891">
      <c r="A4891" s="134" t="inlineStr">
        <is>
          <t>10345XXX</t>
        </is>
      </c>
      <c r="B4891" s="246" t="inlineStr">
        <is>
          <t>TAVERNITI JEAN DAMA</t>
        </is>
      </c>
      <c r="C4891" s="88" t="n">
        <v>90900</v>
      </c>
      <c r="D4891" s="111" t="n"/>
      <c r="E4891" s="111" t="n"/>
      <c r="F4891" s="111">
        <f>ROUND((C4891*G4891)/100,0)*100</f>
        <v/>
      </c>
      <c r="G4891" s="219" t="n">
        <v>1.1</v>
      </c>
      <c r="H4891" s="170" t="n"/>
      <c r="I4891" s="170" t="n"/>
      <c r="J4891" s="170" t="n"/>
      <c r="K4891" s="170" t="n"/>
      <c r="L4891" s="170" t="n"/>
      <c r="M4891" s="170" t="n"/>
      <c r="N4891" s="30" t="n"/>
      <c r="O4891" s="30" t="n"/>
      <c r="P4891" s="170" t="n"/>
      <c r="Q4891" s="30" t="n"/>
      <c r="R4891" s="170" t="n"/>
      <c r="S4891" s="30" t="n"/>
      <c r="T4891" s="170" t="n"/>
      <c r="U4891" s="30" t="n"/>
      <c r="V4891" s="30" t="n"/>
      <c r="W4891" s="30" t="n"/>
      <c r="X4891" s="30" t="n"/>
      <c r="Y4891" s="30" t="n"/>
      <c r="Z4891" s="30" t="n"/>
      <c r="AA4891" s="30" t="n"/>
      <c r="AB4891" s="30" t="n"/>
      <c r="AC4891" s="30" t="n"/>
      <c r="AD4891" s="30" t="n"/>
      <c r="AE4891" s="30" t="n"/>
      <c r="AF4891" s="30" t="n"/>
      <c r="AG4891" s="30" t="n"/>
      <c r="AH4891" s="30" t="n"/>
      <c r="AI4891" s="30" t="n"/>
      <c r="AJ4891" s="30" t="n"/>
      <c r="AK4891" s="30" t="n"/>
      <c r="AL4891" s="30" t="n"/>
      <c r="AM4891" s="30" t="n"/>
      <c r="AN4891" s="30" t="n"/>
    </row>
    <row r="4892">
      <c r="A4892" s="128" t="inlineStr">
        <is>
          <t>10349XXX</t>
        </is>
      </c>
      <c r="B4892" s="188" t="inlineStr">
        <is>
          <t>TAVERNITI JEAN DAMA</t>
        </is>
      </c>
      <c r="C4892" s="88" t="n">
        <v>90900</v>
      </c>
      <c r="D4892" s="153" t="n"/>
      <c r="E4892" s="153" t="n"/>
      <c r="F4892" s="153">
        <f>ROUND((C4892*G4892)/100,0)*100</f>
        <v/>
      </c>
      <c r="G4892" s="219" t="n">
        <v>1.1</v>
      </c>
      <c r="H4892" s="219" t="n"/>
      <c r="I4892" s="219" t="n"/>
      <c r="J4892" s="219" t="n"/>
      <c r="K4892" s="219" t="n"/>
      <c r="L4892" s="219" t="n"/>
      <c r="M4892" s="219" t="n"/>
      <c r="P4892" s="117" t="n"/>
      <c r="R4892" s="117" t="n"/>
      <c r="T4892" s="117" t="n"/>
    </row>
    <row r="4893">
      <c r="A4893" s="134" t="inlineStr">
        <is>
          <t>10351XXX</t>
        </is>
      </c>
      <c r="B4893" s="246" t="inlineStr">
        <is>
          <t>TAVERNITI JEAN DAMA</t>
        </is>
      </c>
      <c r="C4893" s="88" t="n">
        <v>90900</v>
      </c>
      <c r="D4893" s="111" t="n"/>
      <c r="E4893" s="111" t="n"/>
      <c r="F4893" s="111">
        <f>ROUND((C4893*G4893)/100,0)*100</f>
        <v/>
      </c>
      <c r="G4893" s="219" t="n">
        <v>1.1</v>
      </c>
      <c r="H4893" s="170" t="n"/>
      <c r="I4893" s="170" t="n"/>
      <c r="J4893" s="170" t="n"/>
      <c r="K4893" s="170" t="n"/>
      <c r="L4893" s="170" t="n"/>
      <c r="M4893" s="170" t="n"/>
      <c r="N4893" s="30" t="n"/>
      <c r="O4893" s="30" t="n"/>
      <c r="P4893" s="170" t="n"/>
      <c r="Q4893" s="30" t="n"/>
      <c r="R4893" s="170" t="n"/>
      <c r="S4893" s="30" t="n"/>
      <c r="T4893" s="170" t="n"/>
      <c r="U4893" s="30" t="n"/>
      <c r="V4893" s="30" t="n"/>
      <c r="W4893" s="30" t="n"/>
      <c r="X4893" s="30" t="n"/>
      <c r="Y4893" s="30" t="n"/>
      <c r="Z4893" s="30" t="n"/>
      <c r="AA4893" s="30" t="n"/>
      <c r="AB4893" s="30" t="n"/>
      <c r="AC4893" s="30" t="n"/>
      <c r="AD4893" s="30" t="n"/>
      <c r="AE4893" s="30" t="n"/>
      <c r="AF4893" s="30" t="n"/>
      <c r="AG4893" s="30" t="n"/>
      <c r="AH4893" s="30" t="n"/>
      <c r="AI4893" s="30" t="n"/>
      <c r="AJ4893" s="30" t="n"/>
      <c r="AK4893" s="30" t="n"/>
      <c r="AL4893" s="30" t="n"/>
      <c r="AM4893" s="30" t="n"/>
      <c r="AN4893" s="30" t="n"/>
      <c r="AO4893" s="30" t="n"/>
    </row>
    <row r="4894">
      <c r="A4894" s="128" t="inlineStr">
        <is>
          <t>10353XXX</t>
        </is>
      </c>
      <c r="B4894" s="188" t="inlineStr">
        <is>
          <t>TAVERNITI JEAN DAMA</t>
        </is>
      </c>
      <c r="C4894" s="88" t="n">
        <v>90900</v>
      </c>
      <c r="D4894" s="153" t="n"/>
      <c r="E4894" s="153" t="n"/>
      <c r="F4894" s="153">
        <f>ROUND((C4894*G4894)/100,0)*100</f>
        <v/>
      </c>
      <c r="G4894" s="219" t="n">
        <v>1.1</v>
      </c>
      <c r="H4894" s="219" t="n"/>
      <c r="I4894" s="219" t="n"/>
      <c r="J4894" s="219" t="n"/>
      <c r="K4894" s="219" t="n"/>
      <c r="L4894" s="219" t="n"/>
      <c r="M4894" s="219" t="n"/>
      <c r="P4894" s="117" t="n"/>
      <c r="R4894" s="117" t="n"/>
      <c r="T4894" s="117" t="n"/>
    </row>
    <row r="4895">
      <c r="A4895" s="128" t="inlineStr">
        <is>
          <t>10359XXX</t>
        </is>
      </c>
      <c r="B4895" s="188" t="inlineStr">
        <is>
          <t>TAVERNITI JEAN DAMA</t>
        </is>
      </c>
      <c r="C4895" s="88" t="n">
        <v>90900</v>
      </c>
      <c r="D4895" s="153" t="n"/>
      <c r="E4895" s="153" t="n"/>
      <c r="F4895" s="153">
        <f>ROUND((C4895*G4895)/100,0)*100</f>
        <v/>
      </c>
      <c r="G4895" s="219" t="n">
        <v>1.1</v>
      </c>
      <c r="H4895" s="219" t="n"/>
      <c r="I4895" s="219" t="n"/>
      <c r="J4895" s="219" t="n"/>
      <c r="K4895" s="219" t="n"/>
      <c r="L4895" s="219" t="n"/>
      <c r="M4895" s="219" t="n"/>
      <c r="P4895" s="117" t="n"/>
      <c r="R4895" s="117" t="n"/>
      <c r="T4895" s="117" t="n"/>
    </row>
    <row r="4896">
      <c r="A4896" s="128" t="inlineStr">
        <is>
          <t>10367XXX</t>
        </is>
      </c>
      <c r="B4896" s="188" t="inlineStr">
        <is>
          <t>TAVERNITI JEAN DAMA</t>
        </is>
      </c>
      <c r="C4896" s="88" t="n">
        <v>90900</v>
      </c>
      <c r="D4896" s="153" t="n"/>
      <c r="E4896" s="153" t="n"/>
      <c r="F4896" s="153">
        <f>ROUND((C4896*G4896)/100,0)*100</f>
        <v/>
      </c>
      <c r="G4896" s="219" t="n">
        <v>1.1</v>
      </c>
      <c r="H4896" s="219" t="n"/>
      <c r="I4896" s="219" t="n"/>
      <c r="J4896" s="219" t="n"/>
      <c r="K4896" s="219" t="n"/>
      <c r="L4896" s="219" t="n"/>
      <c r="M4896" s="219" t="n"/>
      <c r="P4896" s="117" t="n"/>
      <c r="R4896" s="117" t="n"/>
      <c r="T4896" s="117" t="n"/>
    </row>
    <row r="4897">
      <c r="A4897" s="128" t="inlineStr">
        <is>
          <t>10369XXX</t>
        </is>
      </c>
      <c r="B4897" s="188" t="inlineStr">
        <is>
          <t>TAVERNITI JEAN DAMA</t>
        </is>
      </c>
      <c r="C4897" s="88" t="n">
        <v>90900</v>
      </c>
      <c r="D4897" s="153" t="n"/>
      <c r="E4897" s="153" t="n"/>
      <c r="F4897" s="153">
        <f>ROUND((C4897*G4897)/100,0)*100</f>
        <v/>
      </c>
      <c r="G4897" s="219" t="n">
        <v>1.1</v>
      </c>
      <c r="H4897" s="219" t="n"/>
      <c r="I4897" s="219" t="n"/>
      <c r="J4897" s="219" t="n"/>
      <c r="K4897" s="219" t="n"/>
      <c r="L4897" s="219" t="n"/>
      <c r="M4897" s="219" t="n"/>
      <c r="P4897" s="117" t="n"/>
      <c r="R4897" s="117" t="n"/>
      <c r="T4897" s="117" t="n"/>
    </row>
    <row r="4898">
      <c r="A4898" s="128" t="inlineStr">
        <is>
          <t>10391XXX</t>
        </is>
      </c>
      <c r="B4898" s="188" t="inlineStr">
        <is>
          <t>TAVERNITI JEAN DAMA</t>
        </is>
      </c>
      <c r="C4898" s="88" t="n">
        <v>90900</v>
      </c>
      <c r="D4898" s="153" t="n"/>
      <c r="E4898" s="153" t="n"/>
      <c r="F4898" s="153">
        <f>ROUND((C4898*G4898)/100,0)*100</f>
        <v/>
      </c>
      <c r="G4898" s="219" t="n">
        <v>1.1</v>
      </c>
      <c r="H4898" s="219" t="n"/>
      <c r="I4898" s="219" t="n"/>
      <c r="J4898" s="219" t="n"/>
      <c r="K4898" s="219" t="n"/>
      <c r="L4898" s="219" t="n"/>
      <c r="M4898" s="219" t="n"/>
      <c r="P4898" s="117" t="n"/>
      <c r="R4898" s="117" t="n"/>
      <c r="T4898" s="117" t="n"/>
    </row>
    <row r="4899">
      <c r="A4899" s="128" t="inlineStr">
        <is>
          <t>10403XXX</t>
        </is>
      </c>
      <c r="B4899" s="188" t="inlineStr">
        <is>
          <t>TAVERNITI JEAN DAMA</t>
        </is>
      </c>
      <c r="C4899" s="88" t="n">
        <v>90900</v>
      </c>
      <c r="D4899" s="153" t="n"/>
      <c r="E4899" s="153" t="n"/>
      <c r="F4899" s="153">
        <f>ROUND((C4899*G4899)/100,0)*100</f>
        <v/>
      </c>
      <c r="G4899" s="219" t="n">
        <v>1.1</v>
      </c>
      <c r="H4899" s="219" t="n"/>
      <c r="I4899" s="219" t="n"/>
      <c r="J4899" s="219" t="n"/>
      <c r="K4899" s="219" t="n"/>
      <c r="L4899" s="219" t="n"/>
      <c r="M4899" s="219" t="n"/>
      <c r="P4899" s="117" t="n"/>
      <c r="R4899" s="117" t="n"/>
      <c r="T4899" s="117" t="n"/>
    </row>
    <row r="4900">
      <c r="A4900" s="128" t="inlineStr">
        <is>
          <t>10405XXX</t>
        </is>
      </c>
      <c r="B4900" s="188" t="inlineStr">
        <is>
          <t>TAVERNITI JEAN DAMA</t>
        </is>
      </c>
      <c r="C4900" s="88" t="n">
        <v>90900</v>
      </c>
      <c r="D4900" s="153" t="n"/>
      <c r="E4900" s="153" t="n"/>
      <c r="F4900" s="153">
        <f>ROUND((C4900*G4900)/100,0)*100</f>
        <v/>
      </c>
      <c r="G4900" s="219" t="n">
        <v>1.1</v>
      </c>
      <c r="H4900" s="219" t="n"/>
      <c r="I4900" s="219" t="n"/>
      <c r="J4900" s="219" t="n"/>
      <c r="K4900" s="219" t="n"/>
      <c r="L4900" s="219" t="n"/>
      <c r="M4900" s="219" t="n"/>
      <c r="P4900" s="117" t="n"/>
      <c r="R4900" s="117" t="n"/>
      <c r="T4900" s="117" t="n"/>
    </row>
    <row r="4901">
      <c r="A4901" s="128" t="inlineStr">
        <is>
          <t>10407XXX</t>
        </is>
      </c>
      <c r="B4901" s="188" t="inlineStr">
        <is>
          <t>TAVERNITI JEAN DAMA</t>
        </is>
      </c>
      <c r="C4901" s="88" t="n">
        <v>90900</v>
      </c>
      <c r="D4901" s="153" t="n"/>
      <c r="E4901" s="153" t="n"/>
      <c r="F4901" s="153">
        <f>ROUND((C4901*G4901)/100,0)*100</f>
        <v/>
      </c>
      <c r="G4901" s="219" t="n">
        <v>1.1</v>
      </c>
      <c r="H4901" s="219" t="n"/>
      <c r="I4901" s="219" t="n"/>
      <c r="J4901" s="219" t="n"/>
      <c r="K4901" s="219" t="n"/>
      <c r="L4901" s="219" t="n"/>
      <c r="M4901" s="219" t="n"/>
      <c r="P4901" s="117" t="n"/>
      <c r="R4901" s="117" t="n"/>
      <c r="T4901" s="117" t="n"/>
    </row>
    <row r="4902">
      <c r="A4902" s="128" t="inlineStr">
        <is>
          <t>10409XXX</t>
        </is>
      </c>
      <c r="B4902" s="188" t="inlineStr">
        <is>
          <t>TAVERNITI JEAN DAMA</t>
        </is>
      </c>
      <c r="C4902" s="88" t="n">
        <v>90900</v>
      </c>
      <c r="D4902" s="153" t="n"/>
      <c r="E4902" s="153" t="n"/>
      <c r="F4902" s="153">
        <f>ROUND((C4902*G4902)/100,0)*100</f>
        <v/>
      </c>
      <c r="G4902" s="219" t="n">
        <v>1.1</v>
      </c>
      <c r="H4902" s="219" t="n"/>
      <c r="I4902" s="219" t="n"/>
      <c r="J4902" s="219" t="n"/>
      <c r="K4902" s="219" t="n"/>
      <c r="L4902" s="219" t="n"/>
      <c r="M4902" s="219" t="n"/>
      <c r="P4902" s="117" t="n"/>
      <c r="R4902" s="117" t="n"/>
      <c r="T4902" s="117" t="n"/>
    </row>
    <row r="4903">
      <c r="A4903" s="128" t="inlineStr">
        <is>
          <t>10415XXX</t>
        </is>
      </c>
      <c r="B4903" s="188" t="inlineStr">
        <is>
          <t>TAVERNITI JEAN DAMA</t>
        </is>
      </c>
      <c r="C4903" s="88" t="n">
        <v>90900</v>
      </c>
      <c r="D4903" s="153" t="n"/>
      <c r="E4903" s="153" t="n"/>
      <c r="F4903" s="153">
        <f>ROUND((C4903*G4903)/100,0)*100</f>
        <v/>
      </c>
      <c r="G4903" s="219" t="n">
        <v>1.1</v>
      </c>
      <c r="H4903" s="219" t="n"/>
      <c r="I4903" s="219" t="n"/>
      <c r="J4903" s="219" t="n"/>
      <c r="K4903" s="219" t="n"/>
      <c r="L4903" s="219" t="n"/>
      <c r="M4903" s="219" t="n"/>
      <c r="P4903" s="117" t="n"/>
      <c r="R4903" s="117" t="n"/>
      <c r="T4903" s="117" t="n"/>
    </row>
    <row r="4904">
      <c r="A4904" s="128" t="inlineStr">
        <is>
          <t>10419XXX</t>
        </is>
      </c>
      <c r="B4904" s="188" t="inlineStr">
        <is>
          <t>TAVERNITI JEAN DAMA</t>
        </is>
      </c>
      <c r="C4904" s="88" t="n">
        <v>104500</v>
      </c>
      <c r="D4904" s="153" t="n"/>
      <c r="E4904" s="153" t="n"/>
      <c r="F4904" s="153">
        <f>ROUND((C4904*G4904)/100,0)*100</f>
        <v/>
      </c>
      <c r="G4904" s="219" t="n">
        <v>1.1</v>
      </c>
      <c r="H4904" s="219" t="n"/>
      <c r="I4904" s="219" t="n"/>
      <c r="J4904" s="219" t="n"/>
      <c r="K4904" s="219" t="n"/>
      <c r="L4904" s="219" t="n"/>
      <c r="M4904" s="219" t="n"/>
      <c r="P4904" s="117" t="n"/>
      <c r="R4904" s="117" t="n"/>
      <c r="T4904" s="117" t="n"/>
    </row>
    <row r="4905">
      <c r="A4905" s="128" t="inlineStr">
        <is>
          <t>10421XXX</t>
        </is>
      </c>
      <c r="B4905" s="188" t="inlineStr">
        <is>
          <t>TAVERNITI JEAN DAMA</t>
        </is>
      </c>
      <c r="C4905" s="88" t="n">
        <v>90900</v>
      </c>
      <c r="D4905" s="153" t="n"/>
      <c r="E4905" s="153" t="n"/>
      <c r="F4905" s="153">
        <f>ROUND((C4905*G4905)/100,0)*100</f>
        <v/>
      </c>
      <c r="G4905" s="219" t="n">
        <v>1.1</v>
      </c>
      <c r="H4905" s="219" t="n"/>
      <c r="I4905" s="219" t="n"/>
      <c r="J4905" s="219" t="n"/>
      <c r="K4905" s="219" t="n"/>
      <c r="L4905" s="219" t="n"/>
      <c r="M4905" s="219" t="n"/>
      <c r="P4905" s="117" t="n"/>
      <c r="R4905" s="117" t="n"/>
      <c r="T4905" s="117" t="n"/>
    </row>
    <row r="4906">
      <c r="A4906" s="128" t="inlineStr">
        <is>
          <t>10427XXX</t>
        </is>
      </c>
      <c r="B4906" s="188" t="inlineStr">
        <is>
          <t>TAVERNITI JEAN DAMA</t>
        </is>
      </c>
      <c r="C4906" s="88" t="n">
        <v>90900</v>
      </c>
      <c r="D4906" s="153" t="n"/>
      <c r="E4906" s="153" t="n"/>
      <c r="F4906" s="153">
        <f>ROUND((C4906*G4906)/100,0)*100</f>
        <v/>
      </c>
      <c r="G4906" s="219" t="n">
        <v>1.1</v>
      </c>
      <c r="H4906" s="219" t="n"/>
      <c r="I4906" s="219" t="n"/>
      <c r="J4906" s="219" t="n"/>
      <c r="K4906" s="219" t="n"/>
      <c r="L4906" s="219" t="n"/>
      <c r="M4906" s="219" t="n"/>
      <c r="P4906" s="117" t="n"/>
      <c r="R4906" s="117" t="n"/>
      <c r="T4906" s="117" t="n"/>
    </row>
    <row r="4907">
      <c r="A4907" s="128" t="inlineStr">
        <is>
          <t>10429XXX</t>
        </is>
      </c>
      <c r="B4907" s="188" t="inlineStr">
        <is>
          <t>TAVERNITI JEAN DAMA</t>
        </is>
      </c>
      <c r="C4907" s="88" t="n">
        <v>94600</v>
      </c>
      <c r="D4907" s="153" t="n"/>
      <c r="E4907" s="153" t="n"/>
      <c r="F4907" s="153">
        <f>ROUND((C4907*G4907)/100,0)*100</f>
        <v/>
      </c>
      <c r="G4907" s="219" t="n">
        <v>1.1</v>
      </c>
      <c r="H4907" s="219" t="n"/>
      <c r="I4907" s="219" t="n"/>
      <c r="J4907" s="219" t="n"/>
      <c r="K4907" s="219" t="n"/>
      <c r="L4907" s="219" t="n"/>
      <c r="M4907" s="219" t="n"/>
      <c r="P4907" s="117" t="n"/>
      <c r="R4907" s="117" t="n"/>
      <c r="T4907" s="117" t="n"/>
    </row>
    <row r="4908">
      <c r="A4908" s="134" t="inlineStr">
        <is>
          <t>10431XXX</t>
        </is>
      </c>
      <c r="B4908" s="246" t="inlineStr">
        <is>
          <t>TAVERNITI JEAN DAMA</t>
        </is>
      </c>
      <c r="C4908" s="88" t="n">
        <v>90000</v>
      </c>
      <c r="D4908" s="111" t="n"/>
      <c r="E4908" s="111" t="n"/>
      <c r="F4908" s="219">
        <f>ROUND((C4908*G4908)/100,0)*100</f>
        <v/>
      </c>
      <c r="G4908" s="219" t="n">
        <v>1.1</v>
      </c>
      <c r="H4908" s="170" t="n"/>
      <c r="I4908" s="170" t="n"/>
      <c r="J4908" s="170" t="n"/>
      <c r="K4908" s="170" t="n"/>
      <c r="L4908" s="170" t="n"/>
      <c r="M4908" s="170" t="n"/>
      <c r="N4908" s="30" t="n"/>
      <c r="O4908" s="30" t="n"/>
      <c r="P4908" s="170" t="n"/>
      <c r="Q4908" s="30" t="n"/>
      <c r="R4908" s="170" t="n"/>
      <c r="S4908" s="30" t="n"/>
      <c r="T4908" s="170" t="n"/>
      <c r="U4908" s="30" t="n"/>
      <c r="V4908" s="30" t="n"/>
      <c r="W4908" s="30" t="n"/>
      <c r="X4908" s="30" t="n"/>
      <c r="Y4908" s="30" t="n"/>
      <c r="Z4908" s="30" t="n"/>
      <c r="AA4908" s="30" t="n"/>
      <c r="AB4908" s="30" t="n"/>
      <c r="AC4908" s="30" t="n"/>
      <c r="AD4908" s="30" t="n"/>
      <c r="AE4908" s="30" t="n"/>
      <c r="AF4908" s="30" t="n"/>
      <c r="AG4908" s="30" t="n"/>
      <c r="AH4908" s="30" t="n"/>
      <c r="AI4908" s="30" t="n"/>
      <c r="AJ4908" s="30" t="n"/>
      <c r="AK4908" s="30" t="n"/>
      <c r="AL4908" s="30" t="n"/>
      <c r="AM4908" s="30" t="n"/>
      <c r="AN4908" s="30" t="n"/>
      <c r="AO4908" s="30" t="n"/>
    </row>
    <row r="4909">
      <c r="A4909" s="128" t="inlineStr">
        <is>
          <t>10437XXX</t>
        </is>
      </c>
      <c r="B4909" s="188" t="inlineStr">
        <is>
          <t>TAVERNITI JEAN DAMA</t>
        </is>
      </c>
      <c r="C4909" s="88" t="n">
        <v>94600</v>
      </c>
      <c r="D4909" s="153" t="n"/>
      <c r="E4909" s="153" t="n"/>
      <c r="F4909" s="153">
        <f>ROUND((C4909*G4909)/100,0)*100</f>
        <v/>
      </c>
      <c r="G4909" s="219" t="n">
        <v>1.1</v>
      </c>
      <c r="H4909" s="219" t="n"/>
      <c r="I4909" s="219" t="n"/>
      <c r="J4909" s="219" t="n"/>
      <c r="K4909" s="219" t="n"/>
      <c r="L4909" s="219" t="n"/>
      <c r="M4909" s="219" t="n"/>
      <c r="P4909" s="117" t="n"/>
      <c r="R4909" s="117" t="n"/>
      <c r="T4909" s="117" t="n"/>
    </row>
    <row r="4910">
      <c r="A4910" s="128" t="inlineStr">
        <is>
          <t>10445XXX</t>
        </is>
      </c>
      <c r="B4910" s="188" t="inlineStr">
        <is>
          <t>TAVERNITI JEAN DAMA</t>
        </is>
      </c>
      <c r="C4910" s="88" t="n">
        <v>92100</v>
      </c>
      <c r="D4910" s="153" t="n"/>
      <c r="E4910" s="153" t="n"/>
      <c r="F4910" s="153">
        <f>ROUND((C4910*G4910)/100,0)*100</f>
        <v/>
      </c>
      <c r="G4910" s="219" t="n">
        <v>1.1</v>
      </c>
      <c r="H4910" s="219" t="n"/>
      <c r="I4910" s="219" t="n"/>
      <c r="J4910" s="219" t="n"/>
      <c r="K4910" s="219" t="n"/>
      <c r="L4910" s="219" t="n"/>
      <c r="M4910" s="219" t="n"/>
      <c r="P4910" s="117" t="n"/>
      <c r="R4910" s="117" t="n"/>
      <c r="T4910" s="117" t="n"/>
    </row>
    <row r="4911">
      <c r="A4911" s="128" t="inlineStr">
        <is>
          <t>10447XXX</t>
        </is>
      </c>
      <c r="B4911" s="188" t="inlineStr">
        <is>
          <t>TAVERNITI JEAN DAMA</t>
        </is>
      </c>
      <c r="C4911" s="88" t="n">
        <v>92100</v>
      </c>
      <c r="D4911" s="153" t="n"/>
      <c r="E4911" s="153" t="n"/>
      <c r="F4911" s="153">
        <f>ROUND((C4911*G4911)/100,0)*100</f>
        <v/>
      </c>
      <c r="G4911" s="219" t="n">
        <v>1.1</v>
      </c>
      <c r="H4911" s="219" t="n"/>
      <c r="I4911" s="219" t="n"/>
      <c r="J4911" s="219" t="n"/>
      <c r="K4911" s="219" t="n"/>
      <c r="L4911" s="219" t="n"/>
      <c r="M4911" s="219" t="n"/>
      <c r="P4911" s="117" t="n"/>
      <c r="R4911" s="117" t="n"/>
      <c r="T4911" s="117" t="n"/>
    </row>
    <row r="4912">
      <c r="A4912" s="128" t="inlineStr">
        <is>
          <t>10461XXX</t>
        </is>
      </c>
      <c r="B4912" s="188" t="inlineStr">
        <is>
          <t>TAVERNITI JEAN DAMA</t>
        </is>
      </c>
      <c r="C4912" s="88" t="n">
        <v>101300</v>
      </c>
      <c r="D4912" s="153" t="n"/>
      <c r="E4912" s="153" t="n"/>
      <c r="F4912" s="153">
        <f>ROUND((C4912*G4912)/100,0)*100</f>
        <v/>
      </c>
      <c r="G4912" s="219" t="n">
        <v>1.16</v>
      </c>
      <c r="H4912" s="219" t="n"/>
      <c r="I4912" s="219" t="n"/>
      <c r="J4912" s="219" t="n"/>
      <c r="K4912" s="219" t="n"/>
      <c r="L4912" s="219" t="n"/>
      <c r="M4912" s="219" t="n"/>
      <c r="P4912" s="117" t="n"/>
      <c r="R4912" s="117" t="n"/>
      <c r="T4912" s="117" t="n"/>
    </row>
    <row r="4913">
      <c r="A4913" s="128" t="inlineStr">
        <is>
          <t>10467XXX</t>
        </is>
      </c>
      <c r="B4913" s="188" t="inlineStr">
        <is>
          <t>TAVERNITI JEAN DAMA</t>
        </is>
      </c>
      <c r="C4913" s="88" t="n">
        <v>92100</v>
      </c>
      <c r="D4913" s="153" t="n"/>
      <c r="E4913" s="153" t="n"/>
      <c r="F4913" s="153">
        <f>ROUND((C4913*G4913)/100,0)*100</f>
        <v/>
      </c>
      <c r="G4913" s="219" t="n">
        <v>1.1</v>
      </c>
      <c r="H4913" s="219" t="n"/>
      <c r="I4913" s="219" t="n"/>
      <c r="J4913" s="219" t="n"/>
      <c r="K4913" s="219" t="n"/>
      <c r="L4913" s="219" t="n"/>
      <c r="M4913" s="219" t="n"/>
      <c r="P4913" s="117" t="n"/>
      <c r="R4913" s="117" t="n"/>
      <c r="T4913" s="117" t="n"/>
    </row>
    <row r="4914">
      <c r="A4914" s="128" t="inlineStr">
        <is>
          <t>10473XXX</t>
        </is>
      </c>
      <c r="B4914" s="188" t="inlineStr">
        <is>
          <t>TAVERNITI JEAN DAMA</t>
        </is>
      </c>
      <c r="C4914" s="88" t="n">
        <v>92100</v>
      </c>
      <c r="D4914" s="153" t="n"/>
      <c r="E4914" s="153" t="n"/>
      <c r="F4914" s="153">
        <f>ROUND((C4914*G4914)/100,0)*100</f>
        <v/>
      </c>
      <c r="G4914" s="219" t="n">
        <v>1.1</v>
      </c>
      <c r="H4914" s="219" t="n"/>
      <c r="I4914" s="219" t="n"/>
      <c r="J4914" s="219" t="n"/>
      <c r="K4914" s="219" t="n"/>
      <c r="L4914" s="219" t="n"/>
      <c r="M4914" s="219" t="n"/>
      <c r="P4914" s="117" t="n"/>
      <c r="R4914" s="117" t="n"/>
      <c r="T4914" s="117" t="n"/>
    </row>
    <row r="4915">
      <c r="A4915" s="128" t="inlineStr">
        <is>
          <t>10479XXX</t>
        </is>
      </c>
      <c r="B4915" s="188" t="inlineStr">
        <is>
          <t>TAVERNITI JEAN DAMA</t>
        </is>
      </c>
      <c r="C4915" s="88" t="n">
        <v>92100</v>
      </c>
      <c r="D4915" s="153" t="n"/>
      <c r="E4915" s="153" t="n"/>
      <c r="F4915" s="153">
        <f>ROUND((C4915*G4915)/100,0)*100</f>
        <v/>
      </c>
      <c r="G4915" s="219" t="n">
        <v>1.1</v>
      </c>
      <c r="H4915" s="219" t="n"/>
      <c r="I4915" s="219" t="n"/>
      <c r="J4915" s="219" t="n"/>
      <c r="K4915" s="219" t="n"/>
      <c r="L4915" s="219" t="n"/>
      <c r="M4915" s="219" t="n"/>
      <c r="P4915" s="117" t="n"/>
      <c r="R4915" s="117" t="n"/>
      <c r="T4915" s="117" t="n"/>
    </row>
    <row r="4916">
      <c r="A4916" s="134" t="inlineStr">
        <is>
          <t>10487XXX</t>
        </is>
      </c>
      <c r="B4916" s="188" t="inlineStr">
        <is>
          <t>TAVERNITI PANTALON DAMA</t>
        </is>
      </c>
      <c r="C4916" s="88" t="n">
        <v>108400</v>
      </c>
      <c r="D4916" s="111" t="n"/>
      <c r="E4916" s="111" t="n"/>
      <c r="F4916" s="219">
        <f>ROUND((C4916*G4916)/100,0)*100</f>
        <v/>
      </c>
      <c r="G4916" s="219" t="n">
        <v>1.1</v>
      </c>
      <c r="H4916" s="170" t="n"/>
      <c r="I4916" s="170" t="n"/>
      <c r="J4916" s="170" t="n"/>
      <c r="K4916" s="170" t="n"/>
      <c r="L4916" s="170" t="n"/>
      <c r="M4916" s="170" t="n"/>
      <c r="N4916" s="30" t="n"/>
      <c r="O4916" s="30" t="n"/>
      <c r="P4916" s="170" t="n"/>
      <c r="Q4916" s="30" t="n"/>
      <c r="R4916" s="170" t="n"/>
      <c r="S4916" s="30" t="n"/>
      <c r="T4916" s="170" t="n"/>
      <c r="U4916" s="30" t="n"/>
      <c r="V4916" s="30" t="n"/>
      <c r="W4916" s="30" t="n"/>
      <c r="X4916" s="30" t="n"/>
      <c r="Y4916" s="30" t="n"/>
      <c r="Z4916" s="30" t="n"/>
      <c r="AA4916" s="30" t="n"/>
      <c r="AB4916" s="30" t="n"/>
      <c r="AC4916" s="30" t="n"/>
      <c r="AD4916" s="30" t="n"/>
      <c r="AE4916" s="30" t="n"/>
      <c r="AF4916" s="30" t="n"/>
      <c r="AG4916" s="30" t="n"/>
      <c r="AH4916" s="30" t="n"/>
      <c r="AI4916" s="30" t="n"/>
      <c r="AJ4916" s="30" t="n"/>
      <c r="AK4916" s="30" t="n"/>
      <c r="AL4916" s="30" t="n"/>
      <c r="AM4916" s="30" t="n"/>
      <c r="AN4916" s="30" t="n"/>
      <c r="AO4916" s="30" t="n"/>
    </row>
    <row r="4917">
      <c r="A4917" s="128" t="inlineStr">
        <is>
          <t>10491XXX</t>
        </is>
      </c>
      <c r="B4917" s="188" t="inlineStr">
        <is>
          <t>TAVERNITI JEAN DAMA</t>
        </is>
      </c>
      <c r="C4917" s="88" t="n">
        <v>90900</v>
      </c>
      <c r="D4917" s="153" t="n"/>
      <c r="E4917" s="153" t="n"/>
      <c r="F4917" s="153">
        <f>ROUND((C4917*G4917)/100,0)*100</f>
        <v/>
      </c>
      <c r="G4917" s="219" t="n">
        <v>1.1</v>
      </c>
      <c r="H4917" s="219" t="n"/>
      <c r="I4917" s="219" t="n"/>
      <c r="J4917" s="219" t="n"/>
      <c r="K4917" s="219" t="n"/>
      <c r="L4917" s="219" t="n"/>
      <c r="M4917" s="219" t="n"/>
      <c r="P4917" s="117" t="n"/>
      <c r="R4917" s="117" t="n"/>
      <c r="T4917" s="117" t="n"/>
    </row>
    <row r="4918">
      <c r="A4918" s="128" t="inlineStr">
        <is>
          <t>10501XXX</t>
        </is>
      </c>
      <c r="B4918" s="188" t="inlineStr">
        <is>
          <t>TAVERNITI PANTALON DAMA</t>
        </is>
      </c>
      <c r="C4918" s="88" t="n">
        <v>90900</v>
      </c>
      <c r="D4918" s="153" t="n"/>
      <c r="E4918" s="153" t="n"/>
      <c r="F4918" s="153">
        <f>ROUND((C4918*G4918)/100,0)*100</f>
        <v/>
      </c>
      <c r="G4918" s="219" t="n">
        <v>1.1</v>
      </c>
      <c r="H4918" s="219" t="n"/>
      <c r="I4918" s="219" t="n"/>
      <c r="J4918" s="219" t="n"/>
      <c r="K4918" s="219" t="n"/>
      <c r="L4918" s="219" t="n"/>
      <c r="M4918" s="219" t="n"/>
      <c r="P4918" s="117" t="n"/>
      <c r="R4918" s="117" t="n"/>
      <c r="T4918" s="117" t="n"/>
    </row>
    <row r="4919">
      <c r="A4919" s="134" t="inlineStr">
        <is>
          <t>10503XXX</t>
        </is>
      </c>
      <c r="B4919" s="246" t="inlineStr">
        <is>
          <t>TAVERNITI JEAN DAMA</t>
        </is>
      </c>
      <c r="C4919" s="88" t="n">
        <v>90900</v>
      </c>
      <c r="D4919" s="111" t="n"/>
      <c r="E4919" s="111" t="n"/>
      <c r="F4919" s="111">
        <f>ROUND((C4919*G4919)/100,0)*100</f>
        <v/>
      </c>
      <c r="G4919" s="219" t="n">
        <v>1.1</v>
      </c>
      <c r="H4919" s="170" t="n"/>
      <c r="I4919" s="170" t="n"/>
      <c r="J4919" s="170" t="n"/>
      <c r="K4919" s="170" t="n"/>
      <c r="L4919" s="170" t="n"/>
      <c r="M4919" s="170" t="n"/>
      <c r="N4919" s="30" t="n"/>
      <c r="O4919" s="30" t="n"/>
      <c r="P4919" s="170" t="n"/>
      <c r="Q4919" s="30" t="n"/>
      <c r="R4919" s="170" t="n"/>
      <c r="S4919" s="30" t="n"/>
      <c r="T4919" s="170" t="n"/>
      <c r="U4919" s="30" t="n"/>
      <c r="V4919" s="30" t="n"/>
      <c r="W4919" s="30" t="n"/>
      <c r="X4919" s="30" t="n"/>
      <c r="Y4919" s="30" t="n"/>
      <c r="Z4919" s="30" t="n"/>
      <c r="AA4919" s="30" t="n"/>
      <c r="AB4919" s="30" t="n"/>
      <c r="AC4919" s="30" t="n"/>
      <c r="AD4919" s="30" t="n"/>
      <c r="AE4919" s="30" t="n"/>
      <c r="AF4919" s="30" t="n"/>
      <c r="AG4919" s="30" t="n"/>
      <c r="AH4919" s="30" t="n"/>
      <c r="AI4919" s="30" t="n"/>
      <c r="AJ4919" s="30" t="n"/>
      <c r="AK4919" s="30" t="n"/>
      <c r="AL4919" s="30" t="n"/>
      <c r="AM4919" s="30" t="n"/>
      <c r="AN4919" s="30" t="n"/>
    </row>
    <row r="4920">
      <c r="A4920" s="128" t="inlineStr">
        <is>
          <t>10505XXX</t>
        </is>
      </c>
      <c r="B4920" s="188" t="inlineStr">
        <is>
          <t>TAVERNITI JEAN DAMA</t>
        </is>
      </c>
      <c r="C4920" s="88" t="n">
        <v>90900</v>
      </c>
      <c r="D4920" s="153" t="n"/>
      <c r="E4920" s="153" t="n"/>
      <c r="F4920" s="153">
        <f>ROUND((C4920*G4920)/100,0)*100</f>
        <v/>
      </c>
      <c r="G4920" s="219" t="n">
        <v>1.1</v>
      </c>
      <c r="H4920" s="219" t="n"/>
      <c r="I4920" s="219" t="n"/>
      <c r="J4920" s="219" t="n"/>
      <c r="K4920" s="219" t="n"/>
      <c r="L4920" s="219" t="n"/>
      <c r="M4920" s="219" t="n"/>
      <c r="P4920" s="117" t="n"/>
      <c r="R4920" s="117" t="n"/>
      <c r="T4920" s="117" t="n"/>
    </row>
    <row r="4921">
      <c r="A4921" s="128" t="inlineStr">
        <is>
          <t>10507XXX</t>
        </is>
      </c>
      <c r="B4921" s="188" t="inlineStr">
        <is>
          <t>TAVERNITI JEAN DAMA</t>
        </is>
      </c>
      <c r="C4921" s="88" t="n">
        <v>90900</v>
      </c>
      <c r="D4921" s="153" t="n"/>
      <c r="E4921" s="153" t="n"/>
      <c r="F4921" s="153">
        <f>ROUND((C4921*G4921)/100,0)*100</f>
        <v/>
      </c>
      <c r="G4921" s="219" t="n">
        <v>1.1</v>
      </c>
      <c r="H4921" s="219" t="n"/>
      <c r="I4921" s="219" t="n"/>
      <c r="J4921" s="219" t="n"/>
      <c r="K4921" s="219" t="n"/>
      <c r="L4921" s="219" t="n"/>
      <c r="M4921" s="219" t="n"/>
      <c r="P4921" s="117" t="n"/>
      <c r="R4921" s="117" t="n"/>
      <c r="T4921" s="117" t="n"/>
    </row>
    <row r="4922">
      <c r="A4922" s="134" t="inlineStr">
        <is>
          <t>10511XXX</t>
        </is>
      </c>
      <c r="B4922" s="246" t="inlineStr">
        <is>
          <t>TAVERNITI JEAN DAMA</t>
        </is>
      </c>
      <c r="C4922" s="88" t="n">
        <v>90900</v>
      </c>
      <c r="D4922" s="111" t="n"/>
      <c r="E4922" s="111" t="n"/>
      <c r="F4922" s="111">
        <f>ROUND((C4922*G4922)/100,0)*100</f>
        <v/>
      </c>
      <c r="G4922" s="219" t="n">
        <v>1.1</v>
      </c>
      <c r="H4922" s="170" t="n"/>
      <c r="I4922" s="170" t="n"/>
      <c r="J4922" s="170" t="n"/>
      <c r="K4922" s="170" t="n"/>
      <c r="L4922" s="170" t="n"/>
      <c r="M4922" s="170" t="n"/>
      <c r="N4922" s="30" t="n"/>
      <c r="O4922" s="30" t="n"/>
      <c r="P4922" s="170" t="n"/>
      <c r="Q4922" s="30" t="n"/>
      <c r="R4922" s="170" t="n"/>
      <c r="S4922" s="30" t="n"/>
      <c r="T4922" s="170" t="n"/>
      <c r="U4922" s="30" t="n"/>
      <c r="V4922" s="30" t="n"/>
      <c r="W4922" s="30" t="n"/>
      <c r="X4922" s="30" t="n"/>
      <c r="Y4922" s="30" t="n"/>
      <c r="Z4922" s="30" t="n"/>
      <c r="AA4922" s="30" t="n"/>
      <c r="AB4922" s="30" t="n"/>
      <c r="AC4922" s="30" t="n"/>
      <c r="AD4922" s="30" t="n"/>
      <c r="AE4922" s="30" t="n"/>
      <c r="AF4922" s="30" t="n"/>
      <c r="AG4922" s="30" t="n"/>
      <c r="AH4922" s="30" t="n"/>
      <c r="AI4922" s="30" t="n"/>
      <c r="AJ4922" s="30" t="n"/>
      <c r="AK4922" s="30" t="n"/>
      <c r="AL4922" s="30" t="n"/>
      <c r="AM4922" s="30" t="n"/>
      <c r="AN4922" s="30" t="n"/>
    </row>
    <row r="4923">
      <c r="A4923" s="89" t="inlineStr">
        <is>
          <t>10513XXX</t>
        </is>
      </c>
      <c r="B4923" s="135" t="inlineStr">
        <is>
          <t>TAVERNITI JEAN DAMA</t>
        </is>
      </c>
      <c r="C4923" s="88" t="n">
        <v>90900</v>
      </c>
      <c r="D4923" s="170" t="n"/>
      <c r="E4923" s="170" t="n"/>
      <c r="F4923" s="150">
        <f>ROUND((C4923*G4923)/100,0)*100</f>
        <v/>
      </c>
      <c r="G4923" s="219" t="n">
        <v>1.1</v>
      </c>
      <c r="H4923" s="170" t="n"/>
      <c r="I4923" s="170" t="n"/>
      <c r="J4923" s="170" t="n"/>
      <c r="K4923" s="170" t="n"/>
      <c r="L4923" s="170" t="n"/>
      <c r="M4923" s="170" t="n"/>
      <c r="N4923" s="30" t="n"/>
      <c r="O4923" s="30" t="n"/>
      <c r="P4923" s="170" t="n"/>
      <c r="Q4923" s="30" t="n"/>
      <c r="R4923" s="170" t="n"/>
      <c r="S4923" s="30" t="n"/>
      <c r="T4923" s="170" t="n"/>
      <c r="U4923" s="30" t="n"/>
      <c r="V4923" s="30" t="n"/>
      <c r="W4923" s="30" t="n"/>
      <c r="X4923" s="30" t="n"/>
      <c r="Y4923" s="30" t="n"/>
      <c r="Z4923" s="30" t="n"/>
      <c r="AA4923" s="30" t="n"/>
      <c r="AB4923" s="30" t="n"/>
      <c r="AC4923" s="30" t="n"/>
      <c r="AD4923" s="30" t="n"/>
      <c r="AE4923" s="30" t="n"/>
      <c r="AF4923" s="30" t="n"/>
      <c r="AG4923" s="30" t="n"/>
      <c r="AH4923" s="30" t="n"/>
      <c r="AI4923" s="30" t="n"/>
      <c r="AJ4923" s="30" t="n"/>
      <c r="AK4923" s="30" t="n"/>
      <c r="AL4923" s="30" t="n"/>
      <c r="AM4923" s="30" t="n"/>
      <c r="AN4923" s="30" t="n"/>
      <c r="AO4923" s="30" t="n"/>
    </row>
    <row r="4924">
      <c r="A4924" s="134" t="inlineStr">
        <is>
          <t>10515XXX</t>
        </is>
      </c>
      <c r="B4924" s="246" t="inlineStr">
        <is>
          <t>TAVERNITI JEAN DAMA</t>
        </is>
      </c>
      <c r="C4924" s="88" t="n">
        <v>90900</v>
      </c>
      <c r="D4924" s="111" t="n"/>
      <c r="E4924" s="111" t="n"/>
      <c r="F4924" s="111">
        <f>ROUND((C4924*G4924)/100,0)*100</f>
        <v/>
      </c>
      <c r="G4924" s="219" t="n">
        <v>1.1</v>
      </c>
      <c r="H4924" s="170" t="n"/>
      <c r="I4924" s="170" t="n"/>
      <c r="J4924" s="170" t="n"/>
      <c r="K4924" s="170" t="n"/>
      <c r="L4924" s="170" t="n"/>
      <c r="M4924" s="170" t="n"/>
      <c r="N4924" s="30" t="n"/>
      <c r="O4924" s="30" t="n"/>
      <c r="P4924" s="170" t="n"/>
      <c r="Q4924" s="30" t="n"/>
      <c r="R4924" s="170" t="n"/>
      <c r="S4924" s="30" t="n"/>
      <c r="T4924" s="170" t="n"/>
      <c r="U4924" s="30" t="n"/>
      <c r="V4924" s="30" t="n"/>
      <c r="W4924" s="30" t="n"/>
      <c r="X4924" s="30" t="n"/>
      <c r="Y4924" s="30" t="n"/>
      <c r="Z4924" s="30" t="n"/>
      <c r="AA4924" s="30" t="n"/>
      <c r="AB4924" s="30" t="n"/>
      <c r="AC4924" s="30" t="n"/>
      <c r="AD4924" s="30" t="n"/>
      <c r="AE4924" s="30" t="n"/>
      <c r="AF4924" s="30" t="n"/>
      <c r="AG4924" s="30" t="n"/>
      <c r="AH4924" s="30" t="n"/>
      <c r="AI4924" s="30" t="n"/>
      <c r="AJ4924" s="30" t="n"/>
      <c r="AK4924" s="30" t="n"/>
      <c r="AL4924" s="30" t="n"/>
      <c r="AM4924" s="30" t="n"/>
      <c r="AN4924" s="30" t="n"/>
    </row>
    <row r="4925">
      <c r="A4925" s="128" t="inlineStr">
        <is>
          <t>10523XXX</t>
        </is>
      </c>
      <c r="B4925" s="188" t="inlineStr">
        <is>
          <t>TAVERNITI JEAN DAMA</t>
        </is>
      </c>
      <c r="C4925" s="88" t="n">
        <v>90900</v>
      </c>
      <c r="D4925" s="153" t="n"/>
      <c r="E4925" s="153" t="n"/>
      <c r="F4925" s="153">
        <f>ROUND((C4925*G4925)/100,0)*100</f>
        <v/>
      </c>
      <c r="G4925" s="219" t="n">
        <v>1.1</v>
      </c>
      <c r="H4925" s="219" t="n"/>
      <c r="I4925" s="219" t="n"/>
      <c r="J4925" s="219" t="n"/>
      <c r="K4925" s="219" t="n"/>
      <c r="L4925" s="219" t="n"/>
      <c r="M4925" s="219" t="n"/>
      <c r="P4925" s="117" t="n"/>
      <c r="R4925" s="117" t="n"/>
      <c r="T4925" s="117" t="n"/>
    </row>
    <row r="4926">
      <c r="A4926" s="128" t="inlineStr">
        <is>
          <t>10527XXX</t>
        </is>
      </c>
      <c r="B4926" s="188" t="inlineStr">
        <is>
          <t>TAVERNITI JEAN DAMA</t>
        </is>
      </c>
      <c r="C4926" s="88" t="n">
        <v>90900</v>
      </c>
      <c r="D4926" s="153" t="n"/>
      <c r="E4926" s="153" t="n"/>
      <c r="F4926" s="153">
        <f>ROUND((C4926*G4926)/100,0)*100</f>
        <v/>
      </c>
      <c r="G4926" s="219" t="n">
        <v>1.1</v>
      </c>
      <c r="H4926" s="219" t="n"/>
      <c r="I4926" s="219" t="n"/>
      <c r="J4926" s="219" t="n"/>
      <c r="K4926" s="219" t="n"/>
      <c r="L4926" s="219" t="n"/>
      <c r="M4926" s="219" t="n"/>
      <c r="P4926" s="117" t="n"/>
      <c r="R4926" s="117" t="n"/>
      <c r="T4926" s="117" t="n"/>
    </row>
    <row r="4927">
      <c r="A4927" s="134" t="inlineStr">
        <is>
          <t>10533XXX</t>
        </is>
      </c>
      <c r="B4927" s="246" t="inlineStr">
        <is>
          <t>TAVERNITI JEAN DAMA</t>
        </is>
      </c>
      <c r="C4927" s="88" t="n">
        <v>90900</v>
      </c>
      <c r="D4927" s="111" t="n"/>
      <c r="E4927" s="111" t="n"/>
      <c r="F4927" s="111">
        <f>ROUND((C4927*G4927)/100,0)*100</f>
        <v/>
      </c>
      <c r="G4927" s="219" t="n">
        <v>1.1</v>
      </c>
      <c r="H4927" s="170" t="n"/>
      <c r="I4927" s="170" t="n"/>
      <c r="J4927" s="170" t="n"/>
      <c r="K4927" s="170" t="n"/>
      <c r="L4927" s="170" t="n"/>
      <c r="M4927" s="170" t="n"/>
      <c r="N4927" s="30" t="n"/>
      <c r="O4927" s="30" t="n"/>
      <c r="P4927" s="170" t="n"/>
      <c r="Q4927" s="30" t="n"/>
      <c r="R4927" s="170" t="n"/>
      <c r="S4927" s="30" t="n"/>
      <c r="T4927" s="170" t="n"/>
      <c r="U4927" s="30" t="n"/>
      <c r="V4927" s="30" t="n"/>
      <c r="W4927" s="30" t="n"/>
      <c r="X4927" s="30" t="n"/>
      <c r="Y4927" s="30" t="n"/>
      <c r="Z4927" s="30" t="n"/>
      <c r="AA4927" s="30" t="n"/>
      <c r="AB4927" s="30" t="n"/>
      <c r="AC4927" s="30" t="n"/>
      <c r="AD4927" s="30" t="n"/>
      <c r="AE4927" s="30" t="n"/>
      <c r="AF4927" s="30" t="n"/>
      <c r="AG4927" s="30" t="n"/>
      <c r="AH4927" s="30" t="n"/>
      <c r="AI4927" s="30" t="n"/>
      <c r="AJ4927" s="30" t="n"/>
      <c r="AK4927" s="30" t="n"/>
      <c r="AL4927" s="30" t="n"/>
      <c r="AM4927" s="30" t="n"/>
      <c r="AN4927" s="30" t="n"/>
    </row>
    <row r="4928">
      <c r="A4928" s="134" t="inlineStr">
        <is>
          <t>10535XXX</t>
        </is>
      </c>
      <c r="B4928" s="246" t="inlineStr">
        <is>
          <t>TAVERNITI JEAN DAMA</t>
        </is>
      </c>
      <c r="C4928" s="88" t="n">
        <v>90900</v>
      </c>
      <c r="D4928" s="111" t="n"/>
      <c r="E4928" s="111" t="n"/>
      <c r="F4928" s="111">
        <f>ROUND((C4928*G4928)/100,0)*100</f>
        <v/>
      </c>
      <c r="G4928" s="219" t="n">
        <v>1.1</v>
      </c>
      <c r="H4928" s="170" t="n"/>
      <c r="I4928" s="170" t="n"/>
      <c r="J4928" s="170" t="n"/>
      <c r="K4928" s="170" t="n"/>
      <c r="L4928" s="170" t="n"/>
      <c r="M4928" s="170" t="n"/>
      <c r="N4928" s="30" t="n"/>
      <c r="O4928" s="30" t="n"/>
      <c r="P4928" s="170" t="n"/>
      <c r="Q4928" s="30" t="n"/>
      <c r="R4928" s="170" t="n"/>
      <c r="S4928" s="30" t="n"/>
      <c r="T4928" s="170" t="n"/>
      <c r="U4928" s="30" t="n"/>
      <c r="V4928" s="30" t="n"/>
      <c r="W4928" s="30" t="n"/>
      <c r="X4928" s="30" t="n"/>
      <c r="Y4928" s="30" t="n"/>
      <c r="Z4928" s="30" t="n"/>
      <c r="AA4928" s="30" t="n"/>
      <c r="AB4928" s="30" t="n"/>
      <c r="AC4928" s="30" t="n"/>
      <c r="AD4928" s="30" t="n"/>
      <c r="AE4928" s="30" t="n"/>
      <c r="AF4928" s="30" t="n"/>
      <c r="AG4928" s="30" t="n"/>
      <c r="AH4928" s="30" t="n"/>
      <c r="AI4928" s="30" t="n"/>
      <c r="AJ4928" s="30" t="n"/>
      <c r="AK4928" s="30" t="n"/>
      <c r="AL4928" s="30" t="n"/>
      <c r="AM4928" s="30" t="n"/>
      <c r="AN4928" s="30" t="n"/>
    </row>
    <row r="4929">
      <c r="A4929" s="128" t="inlineStr">
        <is>
          <t>10537XXX</t>
        </is>
      </c>
      <c r="B4929" s="188" t="inlineStr">
        <is>
          <t>TAVERNITI JEAN DAMA</t>
        </is>
      </c>
      <c r="C4929" s="88" t="n">
        <v>90900</v>
      </c>
      <c r="D4929" s="153" t="n"/>
      <c r="E4929" s="153" t="n"/>
      <c r="F4929" s="153">
        <f>ROUND((C4929*G4929)/100,0)*100</f>
        <v/>
      </c>
      <c r="G4929" s="219" t="n">
        <v>1.1</v>
      </c>
      <c r="H4929" s="219" t="n"/>
      <c r="I4929" s="219" t="n"/>
      <c r="J4929" s="219" t="n"/>
      <c r="K4929" s="219" t="n"/>
      <c r="L4929" s="219" t="n"/>
      <c r="M4929" s="219" t="n"/>
      <c r="P4929" s="117" t="n"/>
      <c r="R4929" s="117" t="n"/>
      <c r="T4929" s="117" t="n"/>
    </row>
    <row r="4930">
      <c r="A4930" s="128" t="inlineStr">
        <is>
          <t>10549XXX</t>
        </is>
      </c>
      <c r="B4930" s="188" t="inlineStr">
        <is>
          <t>TAVERNITI JEAN DAMA</t>
        </is>
      </c>
      <c r="C4930" s="88" t="n">
        <v>90900</v>
      </c>
      <c r="D4930" s="153" t="n"/>
      <c r="E4930" s="153" t="n"/>
      <c r="F4930" s="153">
        <f>ROUND((C4930*G4930)/100,0)*100</f>
        <v/>
      </c>
      <c r="G4930" s="219" t="n">
        <v>1.1</v>
      </c>
      <c r="H4930" s="219" t="n"/>
      <c r="I4930" s="219" t="n"/>
      <c r="J4930" s="219" t="n"/>
      <c r="K4930" s="219" t="n"/>
      <c r="L4930" s="219" t="n"/>
      <c r="M4930" s="219" t="n"/>
      <c r="P4930" s="117" t="n"/>
      <c r="R4930" s="117" t="n"/>
      <c r="T4930" s="117" t="n"/>
    </row>
    <row r="4931">
      <c r="A4931" s="134" t="inlineStr">
        <is>
          <t>10551XXX</t>
        </is>
      </c>
      <c r="B4931" s="246" t="inlineStr">
        <is>
          <t>TAVERNITI JEAN DAMA</t>
        </is>
      </c>
      <c r="C4931" s="88" t="n">
        <v>90900</v>
      </c>
      <c r="D4931" s="111" t="n"/>
      <c r="E4931" s="111" t="n"/>
      <c r="F4931" s="111">
        <f>ROUND((C4931*G4931)/100,0)*100</f>
        <v/>
      </c>
      <c r="G4931" s="219" t="n">
        <v>1.1</v>
      </c>
      <c r="H4931" s="170" t="n"/>
      <c r="I4931" s="170" t="n"/>
      <c r="J4931" s="170" t="n"/>
      <c r="K4931" s="170" t="n"/>
      <c r="L4931" s="170" t="n"/>
      <c r="M4931" s="170" t="n"/>
      <c r="N4931" s="30" t="n"/>
      <c r="O4931" s="30" t="n"/>
      <c r="P4931" s="170" t="n"/>
      <c r="Q4931" s="30" t="n"/>
      <c r="R4931" s="170" t="n"/>
      <c r="S4931" s="30" t="n"/>
      <c r="T4931" s="170" t="n"/>
      <c r="U4931" s="30" t="n"/>
      <c r="V4931" s="30" t="n"/>
      <c r="W4931" s="30" t="n"/>
      <c r="X4931" s="30" t="n"/>
      <c r="Y4931" s="30" t="n"/>
      <c r="Z4931" s="30" t="n"/>
      <c r="AA4931" s="30" t="n"/>
      <c r="AB4931" s="30" t="n"/>
      <c r="AC4931" s="30" t="n"/>
      <c r="AD4931" s="30" t="n"/>
      <c r="AE4931" s="30" t="n"/>
      <c r="AF4931" s="30" t="n"/>
      <c r="AG4931" s="30" t="n"/>
      <c r="AH4931" s="30" t="n"/>
      <c r="AI4931" s="30" t="n"/>
      <c r="AJ4931" s="30" t="n"/>
      <c r="AK4931" s="30" t="n"/>
      <c r="AL4931" s="30" t="n"/>
      <c r="AM4931" s="30" t="n"/>
      <c r="AN4931" s="30" t="n"/>
    </row>
    <row r="4932">
      <c r="A4932" s="128" t="inlineStr">
        <is>
          <t>10559XXX</t>
        </is>
      </c>
      <c r="B4932" s="188" t="inlineStr">
        <is>
          <t>TAVERNITI JEAN DAMA</t>
        </is>
      </c>
      <c r="C4932" s="88" t="n">
        <v>90900</v>
      </c>
      <c r="D4932" s="153" t="n"/>
      <c r="E4932" s="153" t="n"/>
      <c r="F4932" s="153">
        <f>ROUND((C4932*G4932)/100,0)*100</f>
        <v/>
      </c>
      <c r="G4932" s="219" t="n">
        <v>1.1</v>
      </c>
      <c r="H4932" s="219" t="n"/>
      <c r="I4932" s="219" t="n"/>
      <c r="J4932" s="219" t="n"/>
      <c r="K4932" s="219" t="n"/>
      <c r="L4932" s="219" t="n"/>
      <c r="M4932" s="219" t="n"/>
      <c r="P4932" s="117" t="n"/>
      <c r="R4932" s="117" t="n"/>
      <c r="T4932" s="117" t="n"/>
    </row>
    <row r="4933">
      <c r="A4933" s="128" t="inlineStr">
        <is>
          <t>10561XXX</t>
        </is>
      </c>
      <c r="B4933" s="188" t="inlineStr">
        <is>
          <t>TAVERNITI JEAN DAMA</t>
        </is>
      </c>
      <c r="C4933" s="88" t="n">
        <v>94500</v>
      </c>
      <c r="D4933" s="153" t="n"/>
      <c r="E4933" s="153" t="n"/>
      <c r="F4933" s="153" t="n">
        <v>101100</v>
      </c>
      <c r="G4933" s="219" t="n">
        <v>1.1</v>
      </c>
      <c r="H4933" s="219" t="n"/>
      <c r="I4933" s="219" t="n"/>
      <c r="J4933" s="219" t="n"/>
      <c r="K4933" s="219" t="n"/>
      <c r="L4933" s="219" t="n"/>
      <c r="M4933" s="219" t="n"/>
      <c r="P4933" s="117" t="n"/>
      <c r="R4933" s="117" t="n"/>
      <c r="T4933" s="117" t="n"/>
    </row>
    <row r="4934">
      <c r="A4934" s="128" t="inlineStr">
        <is>
          <t>10563XXX</t>
        </is>
      </c>
      <c r="B4934" s="188" t="inlineStr">
        <is>
          <t>TAVERNITI JEAN DAMA</t>
        </is>
      </c>
      <c r="C4934" s="88" t="n">
        <v>93800</v>
      </c>
      <c r="D4934" s="153" t="n"/>
      <c r="E4934" s="153" t="n"/>
      <c r="F4934" s="153">
        <f>ROUND((C4934*G4934)/100,0)*100</f>
        <v/>
      </c>
      <c r="G4934" s="219" t="n">
        <v>1.1</v>
      </c>
      <c r="H4934" s="219" t="n"/>
      <c r="I4934" s="219" t="n"/>
      <c r="J4934" s="219" t="n"/>
      <c r="K4934" s="219" t="n"/>
      <c r="L4934" s="219" t="n"/>
      <c r="M4934" s="219" t="n"/>
      <c r="P4934" s="117" t="n"/>
      <c r="R4934" s="117" t="n"/>
      <c r="T4934" s="117" t="n"/>
    </row>
    <row r="4935">
      <c r="A4935" s="128" t="inlineStr">
        <is>
          <t>11569XXX</t>
        </is>
      </c>
      <c r="B4935" s="188" t="inlineStr">
        <is>
          <t>TAVERNITI JEAN DAMA</t>
        </is>
      </c>
      <c r="C4935" s="88" t="n">
        <v>93800</v>
      </c>
      <c r="D4935" s="153" t="n"/>
      <c r="E4935" s="153" t="n"/>
      <c r="F4935" s="153">
        <f>ROUND((C4935*G4935)/100,0)*100</f>
        <v/>
      </c>
      <c r="G4935" s="219" t="n">
        <v>1.1</v>
      </c>
      <c r="H4935" s="219" t="n"/>
      <c r="I4935" s="219" t="n"/>
      <c r="J4935" s="219" t="n"/>
      <c r="K4935" s="219" t="n"/>
      <c r="L4935" s="219" t="n"/>
      <c r="M4935" s="219" t="n"/>
      <c r="P4935" s="117" t="n"/>
      <c r="R4935" s="117" t="n"/>
      <c r="T4935" s="117" t="n"/>
    </row>
    <row r="4936">
      <c r="A4936" s="128" t="inlineStr">
        <is>
          <t>10571XXX</t>
        </is>
      </c>
      <c r="B4936" s="188" t="inlineStr">
        <is>
          <t>TAVERNITI JEAN DAMA</t>
        </is>
      </c>
      <c r="C4936" s="88" t="n">
        <v>90900</v>
      </c>
      <c r="D4936" s="153" t="n"/>
      <c r="E4936" s="153" t="n"/>
      <c r="F4936" s="153">
        <f>ROUND((C4936*G4936)/100,0)*100</f>
        <v/>
      </c>
      <c r="G4936" s="219" t="n">
        <v>1.1</v>
      </c>
      <c r="H4936" s="219" t="n"/>
      <c r="I4936" s="219" t="n"/>
      <c r="J4936" s="219" t="n"/>
      <c r="K4936" s="219" t="n"/>
      <c r="L4936" s="219" t="n"/>
      <c r="M4936" s="219" t="n"/>
      <c r="P4936" s="117" t="n"/>
      <c r="R4936" s="117" t="n"/>
      <c r="T4936" s="117" t="n"/>
    </row>
    <row r="4937">
      <c r="A4937" s="128" t="inlineStr">
        <is>
          <t>10583XXX</t>
        </is>
      </c>
      <c r="B4937" s="188" t="inlineStr">
        <is>
          <t>TAVERNITI JEAN DAMA</t>
        </is>
      </c>
      <c r="C4937" s="88" t="n">
        <v>94600</v>
      </c>
      <c r="D4937" s="153" t="n"/>
      <c r="E4937" s="153" t="n"/>
      <c r="F4937" s="153">
        <f>ROUND((C4937*G4937)/100,0)*100</f>
        <v/>
      </c>
      <c r="G4937" s="219" t="n">
        <v>1.1</v>
      </c>
      <c r="H4937" s="219" t="n"/>
      <c r="I4937" s="219" t="n"/>
      <c r="J4937" s="219" t="n"/>
      <c r="K4937" s="219" t="n"/>
      <c r="L4937" s="219" t="n"/>
      <c r="M4937" s="219" t="n"/>
      <c r="P4937" s="117" t="n"/>
      <c r="R4937" s="117" t="n"/>
      <c r="T4937" s="117" t="n"/>
    </row>
    <row r="4938">
      <c r="A4938" s="128" t="inlineStr">
        <is>
          <t>10593XXX</t>
        </is>
      </c>
      <c r="B4938" s="188" t="inlineStr">
        <is>
          <t>TAVERNITI JEAN DAMA</t>
        </is>
      </c>
      <c r="C4938" s="88" t="n">
        <v>90900</v>
      </c>
      <c r="D4938" s="153" t="n"/>
      <c r="E4938" s="153" t="n"/>
      <c r="F4938" s="153">
        <f>ROUND((C4938*G4938)/100,0)*100</f>
        <v/>
      </c>
      <c r="G4938" s="219" t="n">
        <v>1.1</v>
      </c>
      <c r="H4938" s="219" t="n"/>
      <c r="I4938" s="219" t="n"/>
      <c r="J4938" s="219" t="n"/>
      <c r="K4938" s="219" t="n"/>
      <c r="L4938" s="219" t="n"/>
      <c r="M4938" s="219" t="n"/>
      <c r="P4938" s="117" t="n"/>
      <c r="R4938" s="117" t="n"/>
      <c r="T4938" s="117" t="n"/>
    </row>
    <row r="4939">
      <c r="A4939" s="134" t="inlineStr">
        <is>
          <t>10811XXX</t>
        </is>
      </c>
      <c r="B4939" s="246" t="inlineStr">
        <is>
          <t>TAVERNITI JEAN DAMA</t>
        </is>
      </c>
      <c r="C4939" s="88" t="n">
        <v>90900</v>
      </c>
      <c r="D4939" s="111" t="n"/>
      <c r="E4939" s="111" t="n"/>
      <c r="F4939" s="111">
        <f>ROUND((C4939*G4939)/100,0)*100</f>
        <v/>
      </c>
      <c r="G4939" s="219" t="n">
        <v>1.1</v>
      </c>
      <c r="H4939" s="170" t="n"/>
      <c r="I4939" s="170" t="n"/>
      <c r="J4939" s="170" t="n"/>
      <c r="K4939" s="170" t="n"/>
      <c r="L4939" s="170" t="n"/>
      <c r="M4939" s="170" t="n"/>
      <c r="N4939" s="30" t="n"/>
      <c r="O4939" s="30" t="n"/>
      <c r="P4939" s="170" t="n"/>
      <c r="Q4939" s="30" t="n"/>
      <c r="R4939" s="170" t="n"/>
      <c r="S4939" s="30" t="n"/>
      <c r="T4939" s="170" t="n"/>
      <c r="U4939" s="30" t="n"/>
      <c r="V4939" s="30" t="n"/>
      <c r="W4939" s="30" t="n"/>
      <c r="X4939" s="30" t="n"/>
      <c r="Y4939" s="30" t="n"/>
      <c r="Z4939" s="30" t="n"/>
      <c r="AA4939" s="30" t="n"/>
      <c r="AB4939" s="30" t="n"/>
      <c r="AC4939" s="30" t="n"/>
      <c r="AD4939" s="30" t="n"/>
      <c r="AE4939" s="30" t="n"/>
      <c r="AF4939" s="30" t="n"/>
      <c r="AG4939" s="30" t="n"/>
      <c r="AH4939" s="30" t="n"/>
      <c r="AI4939" s="30" t="n"/>
      <c r="AJ4939" s="30" t="n"/>
      <c r="AK4939" s="30" t="n"/>
      <c r="AL4939" s="30" t="n"/>
      <c r="AM4939" s="30" t="n"/>
      <c r="AN4939" s="30" t="n"/>
      <c r="AO4939" s="30" t="n"/>
    </row>
    <row r="4940">
      <c r="A4940" s="128" t="inlineStr">
        <is>
          <t>10931705</t>
        </is>
      </c>
      <c r="B4940" s="188" t="inlineStr">
        <is>
          <t>TAVERNITI JEAN DAMA</t>
        </is>
      </c>
      <c r="C4940" s="88" t="n">
        <v>90900</v>
      </c>
      <c r="D4940" s="153" t="n"/>
      <c r="E4940" s="153" t="n"/>
      <c r="F4940" s="153">
        <f>ROUND((C4940*G4940)/100,0)*100</f>
        <v/>
      </c>
      <c r="G4940" s="219" t="n">
        <v>1.1</v>
      </c>
      <c r="H4940" s="219" t="n"/>
      <c r="I4940" s="219" t="n"/>
      <c r="J4940" s="219" t="n"/>
      <c r="K4940" s="219" t="n"/>
      <c r="L4940" s="219" t="n"/>
      <c r="M4940" s="219" t="n"/>
      <c r="P4940" s="117" t="n"/>
      <c r="R4940" s="117" t="n"/>
      <c r="T4940" s="117" t="n"/>
    </row>
    <row r="4941">
      <c r="A4941" s="128" t="inlineStr">
        <is>
          <t>11037525</t>
        </is>
      </c>
      <c r="B4941" s="188" t="inlineStr">
        <is>
          <t>TAVERNITI JEAN DAMA</t>
        </is>
      </c>
      <c r="C4941" s="88" t="n">
        <v>90900</v>
      </c>
      <c r="D4941" s="153" t="n"/>
      <c r="E4941" s="153" t="n"/>
      <c r="F4941" s="153">
        <f>ROUND((C4941*G4941)/100,0)*100</f>
        <v/>
      </c>
      <c r="G4941" s="219" t="n">
        <v>1.1</v>
      </c>
      <c r="H4941" s="219" t="n"/>
      <c r="I4941" s="219" t="n"/>
      <c r="J4941" s="219" t="n"/>
      <c r="K4941" s="219" t="n"/>
      <c r="L4941" s="219" t="n"/>
      <c r="M4941" s="219" t="n"/>
      <c r="P4941" s="117" t="n"/>
      <c r="R4941" s="117" t="n"/>
      <c r="T4941" s="117" t="n"/>
    </row>
    <row r="4942">
      <c r="A4942" s="128" t="inlineStr">
        <is>
          <t>11057711</t>
        </is>
      </c>
      <c r="B4942" s="188" t="inlineStr">
        <is>
          <t>TAVERNITI JEAN DAMA</t>
        </is>
      </c>
      <c r="C4942" s="88" t="n">
        <v>90900</v>
      </c>
      <c r="D4942" s="153" t="n"/>
      <c r="E4942" s="153" t="n"/>
      <c r="F4942" s="153">
        <f>ROUND((C4942*G4942)/100,0)*100</f>
        <v/>
      </c>
      <c r="G4942" s="219" t="n">
        <v>1.1</v>
      </c>
      <c r="H4942" s="219" t="n"/>
      <c r="I4942" s="219" t="n"/>
      <c r="J4942" s="219" t="n"/>
      <c r="K4942" s="219" t="n"/>
      <c r="L4942" s="219" t="n"/>
      <c r="M4942" s="219" t="n"/>
      <c r="P4942" s="117" t="n"/>
      <c r="R4942" s="117" t="n"/>
      <c r="T4942" s="117" t="n"/>
    </row>
    <row r="4943">
      <c r="A4943" s="89" t="inlineStr">
        <is>
          <t>11085XXX</t>
        </is>
      </c>
      <c r="B4943" s="135" t="inlineStr">
        <is>
          <t>TAVERNITI JEAN DAMA</t>
        </is>
      </c>
      <c r="C4943" s="88" t="n">
        <v>90900</v>
      </c>
      <c r="D4943" s="170" t="n"/>
      <c r="E4943" s="170" t="n"/>
      <c r="F4943" s="150">
        <f>ROUND((C4943*G4943)/100,0)*100</f>
        <v/>
      </c>
      <c r="G4943" s="219" t="n">
        <v>1.1</v>
      </c>
      <c r="H4943" s="170" t="n"/>
      <c r="I4943" s="170" t="n"/>
      <c r="J4943" s="170" t="n"/>
      <c r="K4943" s="170" t="n"/>
      <c r="L4943" s="170" t="n"/>
      <c r="M4943" s="170" t="n"/>
      <c r="N4943" s="30" t="n"/>
      <c r="O4943" s="30" t="n"/>
      <c r="P4943" s="170" t="n"/>
      <c r="Q4943" s="30" t="n"/>
      <c r="R4943" s="170" t="n"/>
      <c r="S4943" s="30" t="n"/>
      <c r="T4943" s="170" t="n"/>
      <c r="U4943" s="30" t="n"/>
      <c r="V4943" s="30" t="n"/>
      <c r="W4943" s="30" t="n"/>
      <c r="X4943" s="30" t="n"/>
      <c r="Y4943" s="30" t="n"/>
      <c r="Z4943" s="30" t="n"/>
      <c r="AA4943" s="30" t="n"/>
      <c r="AB4943" s="30" t="n"/>
      <c r="AC4943" s="30" t="n"/>
      <c r="AD4943" s="30" t="n"/>
      <c r="AE4943" s="30" t="n"/>
      <c r="AF4943" s="30" t="n"/>
      <c r="AG4943" s="30" t="n"/>
      <c r="AH4943" s="30" t="n"/>
      <c r="AI4943" s="30" t="n"/>
      <c r="AJ4943" s="30" t="n"/>
      <c r="AK4943" s="30" t="n"/>
      <c r="AL4943" s="30" t="n"/>
      <c r="AM4943" s="30" t="n"/>
      <c r="AN4943" s="30" t="n"/>
    </row>
    <row r="4944">
      <c r="A4944" s="128" t="inlineStr">
        <is>
          <t>11097710</t>
        </is>
      </c>
      <c r="B4944" s="188" t="inlineStr">
        <is>
          <t>TAVERNITI JEAN DAMA</t>
        </is>
      </c>
      <c r="C4944" s="88" t="n">
        <v>90900</v>
      </c>
      <c r="D4944" s="153" t="n"/>
      <c r="E4944" s="153" t="n"/>
      <c r="F4944" s="153">
        <f>ROUND((C4944*G4944)/100,0)*100</f>
        <v/>
      </c>
      <c r="G4944" s="219" t="n">
        <v>1.1</v>
      </c>
      <c r="H4944" s="219" t="n"/>
      <c r="I4944" s="219" t="n"/>
      <c r="J4944" s="219" t="n"/>
      <c r="K4944" s="219" t="n"/>
      <c r="L4944" s="219" t="n"/>
      <c r="M4944" s="219" t="n"/>
      <c r="P4944" s="117" t="n"/>
      <c r="R4944" s="117" t="n"/>
      <c r="T4944" s="117" t="n"/>
    </row>
    <row r="4945">
      <c r="A4945" s="128" t="inlineStr">
        <is>
          <t>11155711</t>
        </is>
      </c>
      <c r="B4945" s="188" t="inlineStr">
        <is>
          <t>TAVERNITI JEAN DAMA</t>
        </is>
      </c>
      <c r="C4945" s="88" t="n">
        <v>90900</v>
      </c>
      <c r="D4945" s="153" t="n"/>
      <c r="E4945" s="153" t="n"/>
      <c r="F4945" s="153">
        <f>ROUND((C4945*G4945)/100,0)*100</f>
        <v/>
      </c>
      <c r="G4945" s="219" t="n">
        <v>1.1</v>
      </c>
      <c r="H4945" s="219" t="n"/>
      <c r="I4945" s="219" t="n"/>
      <c r="J4945" s="219" t="n"/>
      <c r="K4945" s="219" t="n"/>
      <c r="L4945" s="219" t="n"/>
      <c r="M4945" s="219" t="n"/>
      <c r="P4945" s="117" t="n"/>
      <c r="R4945" s="117" t="n"/>
      <c r="T4945" s="117" t="n"/>
    </row>
    <row r="4946">
      <c r="A4946" s="128" t="inlineStr">
        <is>
          <t>11163568</t>
        </is>
      </c>
      <c r="B4946" s="188" t="inlineStr">
        <is>
          <t>TAVERNITI JEAN DAMA</t>
        </is>
      </c>
      <c r="C4946" s="88" t="n">
        <v>90900</v>
      </c>
      <c r="D4946" s="153" t="n"/>
      <c r="E4946" s="153" t="n"/>
      <c r="F4946" s="153">
        <f>ROUND((C4946*G4946)/100,0)*100</f>
        <v/>
      </c>
      <c r="G4946" s="219" t="n">
        <v>1.1</v>
      </c>
      <c r="H4946" s="219" t="n"/>
      <c r="I4946" s="219" t="n"/>
      <c r="J4946" s="219" t="n"/>
      <c r="K4946" s="219" t="n"/>
      <c r="L4946" s="219" t="n"/>
      <c r="M4946" s="219" t="n"/>
      <c r="P4946" s="117" t="n"/>
      <c r="R4946" s="117" t="n"/>
      <c r="T4946" s="117" t="n"/>
    </row>
    <row r="4947">
      <c r="A4947" s="128" t="inlineStr">
        <is>
          <t>11163602</t>
        </is>
      </c>
      <c r="B4947" s="188" t="inlineStr">
        <is>
          <t>TAVERNITI JEAN DAMA</t>
        </is>
      </c>
      <c r="C4947" s="88" t="n">
        <v>90900</v>
      </c>
      <c r="D4947" s="153" t="n"/>
      <c r="E4947" s="153" t="n"/>
      <c r="F4947" s="153">
        <f>ROUND((C4947*G4947)/100,0)*100</f>
        <v/>
      </c>
      <c r="G4947" s="219" t="n">
        <v>1.1</v>
      </c>
      <c r="H4947" s="219" t="n"/>
      <c r="I4947" s="219" t="n"/>
      <c r="J4947" s="219" t="n"/>
      <c r="K4947" s="219" t="n"/>
      <c r="L4947" s="219" t="n"/>
      <c r="M4947" s="219" t="n"/>
      <c r="P4947" s="117" t="n"/>
      <c r="R4947" s="117" t="n"/>
      <c r="T4947" s="117" t="n"/>
    </row>
    <row r="4948">
      <c r="A4948" s="128" t="inlineStr">
        <is>
          <t>11221560</t>
        </is>
      </c>
      <c r="B4948" s="188" t="inlineStr">
        <is>
          <t>TAVERNITI JEAN DAMA</t>
        </is>
      </c>
      <c r="C4948" s="88" t="n">
        <v>90900</v>
      </c>
      <c r="D4948" s="153" t="n"/>
      <c r="E4948" s="153" t="n"/>
      <c r="F4948" s="153">
        <f>ROUND((C4948*G4948)/100,0)*100</f>
        <v/>
      </c>
      <c r="G4948" s="219" t="n">
        <v>1.1</v>
      </c>
      <c r="H4948" s="219" t="n"/>
      <c r="I4948" s="219" t="n"/>
      <c r="J4948" s="219" t="n"/>
      <c r="K4948" s="219" t="n"/>
      <c r="L4948" s="219" t="n"/>
      <c r="M4948" s="219" t="n"/>
      <c r="P4948" s="117" t="n"/>
      <c r="R4948" s="117" t="n"/>
      <c r="T4948" s="117" t="n"/>
    </row>
    <row r="4949">
      <c r="A4949" s="128" t="inlineStr">
        <is>
          <t>11223705</t>
        </is>
      </c>
      <c r="B4949" s="188" t="inlineStr">
        <is>
          <t>TAVERNITI JEAN DAMA</t>
        </is>
      </c>
      <c r="C4949" s="88" t="n">
        <v>90900</v>
      </c>
      <c r="D4949" s="153" t="n"/>
      <c r="E4949" s="153" t="n"/>
      <c r="F4949" s="153">
        <f>ROUND((C4949*G4949)/100,0)*100</f>
        <v/>
      </c>
      <c r="G4949" s="219" t="n">
        <v>1.1</v>
      </c>
      <c r="H4949" s="219" t="n"/>
      <c r="I4949" s="219" t="n"/>
      <c r="J4949" s="219" t="n"/>
      <c r="K4949" s="219" t="n"/>
      <c r="L4949" s="219" t="n"/>
      <c r="M4949" s="219" t="n"/>
      <c r="P4949" s="117" t="n"/>
      <c r="R4949" s="117" t="n"/>
      <c r="T4949" s="117" t="n"/>
    </row>
    <row r="4950">
      <c r="A4950" s="128" t="inlineStr">
        <is>
          <t>11229XXX</t>
        </is>
      </c>
      <c r="B4950" s="188" t="inlineStr">
        <is>
          <t>TAVERNITI JEAN DAMA</t>
        </is>
      </c>
      <c r="C4950" s="88" t="n">
        <v>90900</v>
      </c>
      <c r="D4950" s="153" t="n"/>
      <c r="E4950" s="153" t="n"/>
      <c r="F4950" s="153">
        <f>ROUND((C4950*G4950)/100,0)*100</f>
        <v/>
      </c>
      <c r="G4950" s="219" t="n">
        <v>1.1</v>
      </c>
      <c r="H4950" s="219" t="n"/>
      <c r="I4950" s="219" t="n"/>
      <c r="J4950" s="219" t="n"/>
      <c r="K4950" s="219" t="n"/>
      <c r="L4950" s="219" t="n"/>
      <c r="M4950" s="219" t="n"/>
      <c r="P4950" s="117" t="n"/>
      <c r="R4950" s="117" t="n"/>
      <c r="T4950" s="117" t="n"/>
    </row>
    <row r="4951">
      <c r="A4951" s="128" t="inlineStr">
        <is>
          <t>11317XXX</t>
        </is>
      </c>
      <c r="B4951" s="188" t="inlineStr">
        <is>
          <t>TAVERNITI JEAN DAMA</t>
        </is>
      </c>
      <c r="C4951" s="88" t="n">
        <v>12300</v>
      </c>
      <c r="D4951" s="153" t="n"/>
      <c r="E4951" s="153" t="n"/>
      <c r="F4951" s="153" t="n">
        <v>12300</v>
      </c>
      <c r="G4951" s="219" t="n">
        <v>1.1</v>
      </c>
      <c r="H4951" s="219" t="n"/>
      <c r="I4951" s="219" t="n"/>
      <c r="J4951" s="219" t="n"/>
      <c r="K4951" s="219" t="n"/>
      <c r="L4951" s="219" t="n"/>
      <c r="M4951" s="219" t="n"/>
      <c r="P4951" s="117" t="n"/>
      <c r="R4951" s="117" t="n"/>
      <c r="T4951" s="117" t="n"/>
    </row>
    <row r="4952">
      <c r="A4952" s="128" t="inlineStr">
        <is>
          <t>11325XXX</t>
        </is>
      </c>
      <c r="B4952" s="188" t="inlineStr">
        <is>
          <t>TAVERNITI JEAN DAMA</t>
        </is>
      </c>
      <c r="C4952" s="88" t="n">
        <v>90900</v>
      </c>
      <c r="D4952" s="153" t="n"/>
      <c r="E4952" s="153" t="n"/>
      <c r="F4952" s="153">
        <f>ROUND((C4952*G4952)/100,0)*100</f>
        <v/>
      </c>
      <c r="G4952" s="219" t="n">
        <v>1.1</v>
      </c>
      <c r="H4952" s="219" t="n"/>
      <c r="I4952" s="219" t="n"/>
      <c r="J4952" s="219" t="n"/>
      <c r="K4952" s="219" t="n"/>
      <c r="L4952" s="219" t="n"/>
      <c r="M4952" s="219" t="n"/>
      <c r="P4952" s="117" t="n"/>
      <c r="R4952" s="117" t="n"/>
      <c r="T4952" s="117" t="n"/>
    </row>
    <row r="4953">
      <c r="A4953" s="128" t="inlineStr">
        <is>
          <t>11327XXX</t>
        </is>
      </c>
      <c r="B4953" s="188" t="inlineStr">
        <is>
          <t>TAVERNITI JEAN DAMA</t>
        </is>
      </c>
      <c r="C4953" s="88" t="n">
        <v>90900</v>
      </c>
      <c r="D4953" s="153" t="n"/>
      <c r="E4953" s="153" t="n"/>
      <c r="F4953" s="153">
        <f>ROUND((C4953*G4953)/100,0)*100</f>
        <v/>
      </c>
      <c r="G4953" s="219" t="n">
        <v>1.1</v>
      </c>
      <c r="H4953" s="219" t="n"/>
      <c r="I4953" s="219" t="n"/>
      <c r="J4953" s="219" t="n"/>
      <c r="K4953" s="219" t="n"/>
      <c r="L4953" s="219" t="n"/>
      <c r="M4953" s="219" t="n"/>
      <c r="P4953" s="117" t="n"/>
      <c r="R4953" s="117" t="n"/>
      <c r="T4953" s="117" t="n"/>
    </row>
    <row r="4954">
      <c r="A4954" s="128" t="inlineStr">
        <is>
          <t>11329XXX</t>
        </is>
      </c>
      <c r="B4954" s="188" t="inlineStr">
        <is>
          <t>TAVERNITI JEAN DAMA</t>
        </is>
      </c>
      <c r="C4954" s="88" t="n">
        <v>90900</v>
      </c>
      <c r="D4954" s="153" t="n"/>
      <c r="E4954" s="153" t="n"/>
      <c r="F4954" s="153">
        <f>ROUND((C4954*G4954)/100,0)*100</f>
        <v/>
      </c>
      <c r="G4954" s="219" t="n">
        <v>1.1</v>
      </c>
      <c r="H4954" s="219" t="n"/>
      <c r="I4954" s="219" t="n"/>
      <c r="J4954" s="219" t="n"/>
      <c r="K4954" s="219" t="n"/>
      <c r="L4954" s="219" t="n"/>
      <c r="M4954" s="219" t="n"/>
      <c r="P4954" s="117" t="n"/>
      <c r="R4954" s="117" t="n"/>
      <c r="T4954" s="117" t="n"/>
    </row>
    <row r="4955">
      <c r="A4955" s="128" t="inlineStr">
        <is>
          <t>11331XXX</t>
        </is>
      </c>
      <c r="B4955" s="188" t="inlineStr">
        <is>
          <t>TAVERNITI JEAN DAMA</t>
        </is>
      </c>
      <c r="C4955" s="88" t="n">
        <v>90900</v>
      </c>
      <c r="D4955" s="153" t="n"/>
      <c r="E4955" s="153" t="n"/>
      <c r="F4955" s="153">
        <f>ROUND((C4955*G4955)/100,0)*100</f>
        <v/>
      </c>
      <c r="G4955" s="219" t="n">
        <v>1.1</v>
      </c>
      <c r="H4955" s="219" t="n"/>
      <c r="I4955" s="219" t="n"/>
      <c r="J4955" s="219" t="n"/>
      <c r="K4955" s="219" t="n"/>
      <c r="L4955" s="219" t="n"/>
      <c r="M4955" s="219" t="n"/>
      <c r="P4955" s="117" t="n"/>
      <c r="R4955" s="117" t="n"/>
      <c r="T4955" s="117" t="n"/>
    </row>
    <row r="4956">
      <c r="A4956" s="128" t="inlineStr">
        <is>
          <t>11333XXX</t>
        </is>
      </c>
      <c r="B4956" s="188" t="inlineStr">
        <is>
          <t>TAVERNITI JEAN DAMA</t>
        </is>
      </c>
      <c r="C4956" s="88" t="n">
        <v>90900</v>
      </c>
      <c r="D4956" s="153" t="n"/>
      <c r="E4956" s="153" t="n"/>
      <c r="F4956" s="153">
        <f>ROUND((C4956*G4956)/100,0)*100</f>
        <v/>
      </c>
      <c r="G4956" s="219" t="n">
        <v>1.1</v>
      </c>
      <c r="H4956" s="219" t="n"/>
      <c r="I4956" s="219" t="n"/>
      <c r="J4956" s="219" t="n"/>
      <c r="K4956" s="219" t="n"/>
      <c r="L4956" s="219" t="n"/>
      <c r="M4956" s="219" t="n"/>
      <c r="P4956" s="117" t="n"/>
      <c r="R4956" s="117" t="n"/>
      <c r="T4956" s="117" t="n"/>
    </row>
    <row r="4957">
      <c r="A4957" s="128" t="inlineStr">
        <is>
          <t>11341XXX</t>
        </is>
      </c>
      <c r="B4957" s="188" t="inlineStr">
        <is>
          <t>TAVERNITI JEAN DAMA</t>
        </is>
      </c>
      <c r="C4957" s="88" t="n">
        <v>90900</v>
      </c>
      <c r="D4957" s="153" t="n"/>
      <c r="E4957" s="153" t="n"/>
      <c r="F4957" s="153">
        <f>ROUND((C4957*G4957)/100,0)*100</f>
        <v/>
      </c>
      <c r="G4957" s="219" t="n">
        <v>1.1</v>
      </c>
      <c r="H4957" s="219" t="n"/>
      <c r="I4957" s="219" t="n"/>
      <c r="J4957" s="219" t="n"/>
      <c r="K4957" s="219" t="n"/>
      <c r="L4957" s="219" t="n"/>
      <c r="M4957" s="219" t="n"/>
      <c r="P4957" s="117" t="n"/>
      <c r="R4957" s="117" t="n"/>
      <c r="T4957" s="117" t="n"/>
    </row>
    <row r="4958">
      <c r="A4958" s="134" t="inlineStr">
        <is>
          <t>11343XXX</t>
        </is>
      </c>
      <c r="B4958" s="246" t="inlineStr">
        <is>
          <t>TAVERNITI JEAN DAMA</t>
        </is>
      </c>
      <c r="C4958" s="88" t="n">
        <v>108900</v>
      </c>
      <c r="D4958" s="111">
        <f>ROUND((C4958)/100,0)*100</f>
        <v/>
      </c>
      <c r="E4958" s="111">
        <f>ROUND((C4958*1.08)/100,0)*100</f>
        <v/>
      </c>
      <c r="F4958" s="111">
        <f>ROUND((C4958*G4958)/100,0)*100</f>
        <v/>
      </c>
      <c r="G4958" s="219" t="n">
        <v>1.1</v>
      </c>
      <c r="H4958" s="170" t="n"/>
      <c r="I4958" s="170" t="n"/>
      <c r="J4958" s="170" t="n"/>
      <c r="K4958" s="170" t="n"/>
      <c r="L4958" s="170" t="n"/>
      <c r="M4958" s="170" t="n"/>
      <c r="N4958" s="30" t="n"/>
      <c r="O4958" s="30" t="n"/>
      <c r="P4958" s="170" t="n"/>
      <c r="Q4958" s="30" t="n"/>
      <c r="R4958" s="170" t="n"/>
      <c r="S4958" s="30" t="n"/>
      <c r="T4958" s="170" t="n"/>
      <c r="U4958" s="30" t="n"/>
      <c r="V4958" s="30" t="n"/>
      <c r="W4958" s="30" t="n"/>
      <c r="X4958" s="30" t="n"/>
      <c r="Y4958" s="30" t="n"/>
      <c r="Z4958" s="30" t="n"/>
      <c r="AA4958" s="30" t="n"/>
      <c r="AB4958" s="30" t="n"/>
      <c r="AC4958" s="30" t="n"/>
      <c r="AD4958" s="30" t="n"/>
      <c r="AE4958" s="30" t="n"/>
      <c r="AF4958" s="30" t="n"/>
      <c r="AG4958" s="30" t="n"/>
      <c r="AH4958" s="30" t="n"/>
      <c r="AI4958" s="30" t="n"/>
      <c r="AJ4958" s="30" t="n"/>
      <c r="AK4958" s="30" t="n"/>
      <c r="AL4958" s="30" t="n"/>
      <c r="AM4958" s="30" t="n"/>
      <c r="AN4958" s="30" t="n"/>
    </row>
    <row r="4959">
      <c r="A4959" s="128" t="inlineStr">
        <is>
          <t>11347XXX</t>
        </is>
      </c>
      <c r="B4959" s="188" t="inlineStr">
        <is>
          <t>TAVERNITI JEAN DAMA</t>
        </is>
      </c>
      <c r="C4959" s="88" t="n">
        <v>90900</v>
      </c>
      <c r="D4959" s="153" t="n"/>
      <c r="E4959" s="153" t="n"/>
      <c r="F4959" s="153">
        <f>ROUND((C4959*G4959)/100,0)*100</f>
        <v/>
      </c>
      <c r="G4959" s="219" t="n">
        <v>1.1</v>
      </c>
      <c r="H4959" s="219" t="n"/>
      <c r="I4959" s="219" t="n"/>
      <c r="J4959" s="219" t="n"/>
      <c r="K4959" s="219" t="n"/>
      <c r="L4959" s="219" t="n"/>
      <c r="M4959" s="219" t="n"/>
      <c r="P4959" s="117" t="n"/>
      <c r="R4959" s="117" t="n"/>
      <c r="T4959" s="117" t="n"/>
    </row>
    <row r="4960">
      <c r="A4960" s="128" t="inlineStr">
        <is>
          <t>11349XXX</t>
        </is>
      </c>
      <c r="B4960" s="188" t="inlineStr">
        <is>
          <t>TAVERNITI JEAN DAMA</t>
        </is>
      </c>
      <c r="C4960" s="88" t="n">
        <v>90900</v>
      </c>
      <c r="D4960" s="153" t="n"/>
      <c r="E4960" s="153" t="n"/>
      <c r="F4960" s="153">
        <f>ROUND((C4960*G4960)/100,0)*100</f>
        <v/>
      </c>
      <c r="G4960" s="219" t="n">
        <v>1.1</v>
      </c>
      <c r="H4960" s="219" t="n"/>
      <c r="I4960" s="219" t="n"/>
      <c r="J4960" s="219" t="n"/>
      <c r="K4960" s="219" t="n"/>
      <c r="L4960" s="219" t="n"/>
      <c r="M4960" s="219" t="n"/>
      <c r="P4960" s="117" t="n"/>
      <c r="R4960" s="117" t="n"/>
      <c r="T4960" s="117" t="n"/>
    </row>
    <row r="4961">
      <c r="A4961" s="89" t="inlineStr">
        <is>
          <t>11351XXX</t>
        </is>
      </c>
      <c r="B4961" s="135" t="inlineStr">
        <is>
          <t>TAVERNITI JEAN DAMA</t>
        </is>
      </c>
      <c r="C4961" s="88" t="n">
        <v>90900</v>
      </c>
      <c r="D4961" s="170" t="n"/>
      <c r="E4961" s="170" t="n"/>
      <c r="F4961" s="150">
        <f>ROUND((C4961*G4961)/100,0)*100</f>
        <v/>
      </c>
      <c r="G4961" s="219" t="n">
        <v>1.1</v>
      </c>
      <c r="H4961" s="170" t="n"/>
      <c r="I4961" s="170" t="n"/>
      <c r="J4961" s="170" t="n"/>
      <c r="K4961" s="170" t="n"/>
      <c r="L4961" s="170" t="n"/>
      <c r="M4961" s="170" t="n"/>
      <c r="N4961" s="30" t="n"/>
      <c r="O4961" s="30" t="n"/>
      <c r="P4961" s="170" t="n"/>
      <c r="Q4961" s="30" t="n"/>
      <c r="R4961" s="170" t="n"/>
      <c r="S4961" s="30" t="n"/>
      <c r="T4961" s="170" t="n"/>
      <c r="U4961" s="30" t="n"/>
      <c r="V4961" s="30" t="n"/>
      <c r="W4961" s="30" t="n"/>
      <c r="X4961" s="30" t="n"/>
      <c r="Y4961" s="30" t="n"/>
      <c r="Z4961" s="30" t="n"/>
      <c r="AA4961" s="30" t="n"/>
      <c r="AB4961" s="30" t="n"/>
      <c r="AC4961" s="30" t="n"/>
      <c r="AD4961" s="30" t="n"/>
      <c r="AE4961" s="30" t="n"/>
      <c r="AF4961" s="30" t="n"/>
      <c r="AG4961" s="30" t="n"/>
      <c r="AH4961" s="30" t="n"/>
      <c r="AI4961" s="30" t="n"/>
      <c r="AJ4961" s="30" t="n"/>
      <c r="AK4961" s="30" t="n"/>
      <c r="AL4961" s="30" t="n"/>
      <c r="AM4961" s="30" t="n"/>
      <c r="AN4961" s="30" t="n"/>
      <c r="AO4961" s="30" t="n"/>
    </row>
    <row r="4962">
      <c r="A4962" s="89" t="inlineStr">
        <is>
          <t>11353XXX</t>
        </is>
      </c>
      <c r="B4962" s="135" t="inlineStr">
        <is>
          <t>TAVERNITI JEAN DAMA</t>
        </is>
      </c>
      <c r="C4962" s="88" t="n">
        <v>90900</v>
      </c>
      <c r="D4962" s="170" t="n"/>
      <c r="E4962" s="170" t="n"/>
      <c r="F4962" s="150">
        <f>ROUND((C4962*G4962)/100,0)*100</f>
        <v/>
      </c>
      <c r="G4962" s="219" t="n">
        <v>1.1</v>
      </c>
      <c r="H4962" s="170" t="n"/>
      <c r="I4962" s="170" t="n"/>
      <c r="J4962" s="170" t="n"/>
      <c r="K4962" s="170" t="n"/>
      <c r="L4962" s="170" t="n"/>
      <c r="M4962" s="170" t="n"/>
      <c r="N4962" s="30" t="n"/>
      <c r="O4962" s="30" t="n"/>
      <c r="P4962" s="170" t="n"/>
      <c r="Q4962" s="30" t="n"/>
      <c r="R4962" s="170" t="n"/>
      <c r="S4962" s="30" t="n"/>
      <c r="T4962" s="170" t="n"/>
      <c r="U4962" s="30" t="n"/>
      <c r="V4962" s="30" t="n"/>
      <c r="W4962" s="30" t="n"/>
      <c r="X4962" s="30" t="n"/>
      <c r="Y4962" s="30" t="n"/>
      <c r="Z4962" s="30" t="n"/>
      <c r="AA4962" s="30" t="n"/>
      <c r="AB4962" s="30" t="n"/>
      <c r="AC4962" s="30" t="n"/>
      <c r="AD4962" s="30" t="n"/>
      <c r="AE4962" s="30" t="n"/>
      <c r="AF4962" s="30" t="n"/>
      <c r="AG4962" s="30" t="n"/>
      <c r="AH4962" s="30" t="n"/>
      <c r="AI4962" s="30" t="n"/>
      <c r="AJ4962" s="30" t="n"/>
      <c r="AK4962" s="30" t="n"/>
      <c r="AL4962" s="30" t="n"/>
      <c r="AM4962" s="30" t="n"/>
      <c r="AN4962" s="30" t="n"/>
    </row>
    <row r="4963">
      <c r="A4963" s="134" t="inlineStr">
        <is>
          <t>11355XXX</t>
        </is>
      </c>
      <c r="B4963" s="246" t="inlineStr">
        <is>
          <t>TAVERNITI JEAN DAMA</t>
        </is>
      </c>
      <c r="C4963" s="88" t="n">
        <v>90900</v>
      </c>
      <c r="D4963" s="111" t="n"/>
      <c r="E4963" s="111" t="n"/>
      <c r="F4963" s="111">
        <f>ROUND((C4963*G4963)/100,0)*100</f>
        <v/>
      </c>
      <c r="G4963" s="219" t="n">
        <v>1.1</v>
      </c>
      <c r="H4963" s="170" t="n"/>
      <c r="I4963" s="170" t="n"/>
      <c r="J4963" s="170" t="n"/>
      <c r="K4963" s="170" t="n"/>
      <c r="L4963" s="170" t="n"/>
      <c r="M4963" s="170" t="n"/>
      <c r="N4963" s="30" t="n"/>
      <c r="O4963" s="30" t="n"/>
      <c r="P4963" s="170" t="n"/>
      <c r="Q4963" s="30" t="n"/>
      <c r="R4963" s="170" t="n"/>
      <c r="S4963" s="30" t="n"/>
      <c r="T4963" s="170" t="n"/>
      <c r="U4963" s="30" t="n"/>
      <c r="V4963" s="30" t="n"/>
      <c r="W4963" s="30" t="n"/>
      <c r="X4963" s="30" t="n"/>
      <c r="Y4963" s="30" t="n"/>
      <c r="Z4963" s="30" t="n"/>
      <c r="AA4963" s="30" t="n"/>
      <c r="AB4963" s="30" t="n"/>
      <c r="AC4963" s="30" t="n"/>
      <c r="AD4963" s="30" t="n"/>
      <c r="AE4963" s="30" t="n"/>
      <c r="AF4963" s="30" t="n"/>
      <c r="AG4963" s="30" t="n"/>
      <c r="AH4963" s="30" t="n"/>
      <c r="AI4963" s="30" t="n"/>
      <c r="AJ4963" s="30" t="n"/>
      <c r="AK4963" s="30" t="n"/>
      <c r="AL4963" s="30" t="n"/>
      <c r="AM4963" s="30" t="n"/>
      <c r="AN4963" s="30" t="n"/>
    </row>
    <row r="4964">
      <c r="A4964" s="134" t="inlineStr">
        <is>
          <t>11359XXX</t>
        </is>
      </c>
      <c r="B4964" s="246" t="inlineStr">
        <is>
          <t>TAVERNITI JEAN DAMA</t>
        </is>
      </c>
      <c r="C4964" s="88" t="n">
        <v>97900</v>
      </c>
      <c r="D4964" s="111" t="n"/>
      <c r="E4964" s="111" t="n"/>
      <c r="F4964" s="111">
        <f>ROUND((C4964*G4964)/100,0)*100</f>
        <v/>
      </c>
      <c r="G4964" s="219" t="n">
        <v>1.1</v>
      </c>
      <c r="H4964" s="170" t="n"/>
      <c r="I4964" s="170" t="n"/>
      <c r="J4964" s="170" t="n"/>
      <c r="K4964" s="170" t="n"/>
      <c r="L4964" s="170" t="n"/>
      <c r="M4964" s="170" t="n"/>
      <c r="N4964" s="30" t="n"/>
      <c r="O4964" s="30" t="n"/>
      <c r="P4964" s="170" t="n"/>
      <c r="Q4964" s="30" t="n"/>
      <c r="R4964" s="170" t="n"/>
      <c r="S4964" s="30" t="n"/>
      <c r="T4964" s="170" t="n"/>
      <c r="U4964" s="30" t="n"/>
      <c r="V4964" s="30" t="n"/>
      <c r="W4964" s="30" t="n"/>
      <c r="X4964" s="30" t="n"/>
      <c r="Y4964" s="30" t="n"/>
      <c r="Z4964" s="30" t="n"/>
      <c r="AA4964" s="30" t="n"/>
      <c r="AB4964" s="30" t="n"/>
      <c r="AC4964" s="30" t="n"/>
      <c r="AD4964" s="30" t="n"/>
      <c r="AE4964" s="30" t="n"/>
      <c r="AF4964" s="30" t="n"/>
      <c r="AG4964" s="30" t="n"/>
      <c r="AH4964" s="30" t="n"/>
      <c r="AI4964" s="30" t="n"/>
      <c r="AJ4964" s="30" t="n"/>
      <c r="AK4964" s="30" t="n"/>
      <c r="AL4964" s="30" t="n"/>
      <c r="AM4964" s="30" t="n"/>
      <c r="AN4964" s="30" t="n"/>
    </row>
    <row r="4965">
      <c r="A4965" s="89" t="inlineStr">
        <is>
          <t>11361XXX</t>
        </is>
      </c>
      <c r="B4965" s="135" t="inlineStr">
        <is>
          <t>TAVERNITI JEAN DAMA</t>
        </is>
      </c>
      <c r="C4965" s="88" t="n">
        <v>95200</v>
      </c>
      <c r="D4965" s="170" t="n"/>
      <c r="E4965" s="170" t="n"/>
      <c r="F4965" s="150">
        <f>ROUND((C4965*G4965)/100,0)*100</f>
        <v/>
      </c>
      <c r="G4965" s="219" t="n">
        <v>1.1</v>
      </c>
      <c r="H4965" s="170" t="n"/>
      <c r="I4965" s="170" t="n"/>
      <c r="J4965" s="170" t="n"/>
      <c r="K4965" s="170" t="n"/>
      <c r="L4965" s="170" t="n"/>
      <c r="M4965" s="170" t="n"/>
      <c r="N4965" s="30" t="n"/>
      <c r="O4965" s="30" t="n"/>
      <c r="P4965" s="170" t="n"/>
      <c r="Q4965" s="30" t="n"/>
      <c r="R4965" s="170" t="n"/>
      <c r="S4965" s="30" t="n"/>
      <c r="T4965" s="170" t="n"/>
      <c r="U4965" s="30" t="n"/>
      <c r="V4965" s="30" t="n"/>
      <c r="W4965" s="30" t="n"/>
      <c r="X4965" s="30" t="n"/>
      <c r="Y4965" s="30" t="n"/>
      <c r="Z4965" s="30" t="n"/>
      <c r="AA4965" s="30" t="n"/>
      <c r="AB4965" s="30" t="n"/>
      <c r="AC4965" s="30" t="n"/>
      <c r="AD4965" s="30" t="n"/>
      <c r="AE4965" s="30" t="n"/>
      <c r="AF4965" s="30" t="n"/>
      <c r="AG4965" s="30" t="n"/>
      <c r="AH4965" s="30" t="n"/>
      <c r="AI4965" s="30" t="n"/>
      <c r="AJ4965" s="30" t="n"/>
      <c r="AK4965" s="30" t="n"/>
      <c r="AL4965" s="30" t="n"/>
      <c r="AM4965" s="30" t="n"/>
      <c r="AN4965" s="30" t="n"/>
    </row>
    <row r="4966">
      <c r="A4966" s="89" t="inlineStr">
        <is>
          <t>11365XXX</t>
        </is>
      </c>
      <c r="B4966" s="135" t="inlineStr">
        <is>
          <t>TAVERNITI JEAN DAMA</t>
        </is>
      </c>
      <c r="C4966" s="88" t="n">
        <v>95200</v>
      </c>
      <c r="D4966" s="170" t="n"/>
      <c r="E4966" s="170" t="n"/>
      <c r="F4966" s="150">
        <f>ROUND((C4966*G4966)/100,0)*100</f>
        <v/>
      </c>
      <c r="G4966" s="219" t="n">
        <v>1.1</v>
      </c>
      <c r="H4966" s="170" t="n"/>
      <c r="I4966" s="170" t="n"/>
      <c r="J4966" s="170" t="n"/>
      <c r="K4966" s="170" t="n"/>
      <c r="L4966" s="170" t="n"/>
      <c r="M4966" s="170" t="n"/>
      <c r="N4966" s="30" t="n"/>
      <c r="O4966" s="30" t="n"/>
      <c r="P4966" s="170" t="n"/>
      <c r="Q4966" s="30" t="n"/>
      <c r="R4966" s="170" t="n"/>
      <c r="S4966" s="30" t="n"/>
      <c r="T4966" s="170" t="n"/>
      <c r="U4966" s="30" t="n"/>
      <c r="V4966" s="30" t="n"/>
      <c r="W4966" s="30" t="n"/>
      <c r="X4966" s="30" t="n"/>
      <c r="Y4966" s="30" t="n"/>
      <c r="Z4966" s="30" t="n"/>
      <c r="AA4966" s="30" t="n"/>
      <c r="AB4966" s="30" t="n"/>
      <c r="AC4966" s="30" t="n"/>
      <c r="AD4966" s="30" t="n"/>
      <c r="AE4966" s="30" t="n"/>
      <c r="AF4966" s="30" t="n"/>
      <c r="AG4966" s="30" t="n"/>
      <c r="AH4966" s="30" t="n"/>
      <c r="AI4966" s="30" t="n"/>
      <c r="AJ4966" s="30" t="n"/>
      <c r="AK4966" s="30" t="n"/>
      <c r="AL4966" s="30" t="n"/>
      <c r="AM4966" s="30" t="n"/>
      <c r="AN4966" s="30" t="n"/>
      <c r="AO4966" s="30" t="n"/>
    </row>
    <row r="4967">
      <c r="A4967" s="89" t="inlineStr">
        <is>
          <t>11367XXX</t>
        </is>
      </c>
      <c r="B4967" s="135" t="inlineStr">
        <is>
          <t>TAVERNITI JEAN DAMA</t>
        </is>
      </c>
      <c r="C4967" s="88" t="n">
        <v>95200</v>
      </c>
      <c r="D4967" s="170" t="n"/>
      <c r="E4967" s="170" t="n"/>
      <c r="F4967" s="150">
        <f>ROUND((C4967*G4967)/100,0)*100</f>
        <v/>
      </c>
      <c r="G4967" s="219" t="n">
        <v>1.1</v>
      </c>
      <c r="H4967" s="170" t="n"/>
      <c r="I4967" s="170" t="n"/>
      <c r="J4967" s="170" t="n"/>
      <c r="K4967" s="170" t="n"/>
      <c r="L4967" s="170" t="n"/>
      <c r="M4967" s="170" t="n"/>
      <c r="N4967" s="30" t="n"/>
      <c r="O4967" s="30" t="n"/>
      <c r="P4967" s="170" t="n"/>
      <c r="Q4967" s="30" t="n"/>
      <c r="R4967" s="170" t="n"/>
      <c r="S4967" s="30" t="n"/>
      <c r="T4967" s="170" t="n"/>
      <c r="U4967" s="30" t="n"/>
      <c r="V4967" s="30" t="n"/>
      <c r="W4967" s="30" t="n"/>
      <c r="X4967" s="30" t="n"/>
      <c r="Y4967" s="30" t="n"/>
      <c r="Z4967" s="30" t="n"/>
      <c r="AA4967" s="30" t="n"/>
      <c r="AB4967" s="30" t="n"/>
      <c r="AC4967" s="30" t="n"/>
      <c r="AD4967" s="30" t="n"/>
      <c r="AE4967" s="30" t="n"/>
      <c r="AF4967" s="30" t="n"/>
      <c r="AG4967" s="30" t="n"/>
      <c r="AH4967" s="30" t="n"/>
      <c r="AI4967" s="30" t="n"/>
      <c r="AJ4967" s="30" t="n"/>
      <c r="AK4967" s="30" t="n"/>
      <c r="AL4967" s="30" t="n"/>
      <c r="AM4967" s="30" t="n"/>
      <c r="AN4967" s="30" t="n"/>
    </row>
    <row r="4968">
      <c r="A4968" s="89" t="inlineStr">
        <is>
          <t>11371XXX</t>
        </is>
      </c>
      <c r="B4968" s="135" t="inlineStr">
        <is>
          <t>TAVERNITI JEAN DAMA</t>
        </is>
      </c>
      <c r="C4968" s="88" t="n">
        <v>95200</v>
      </c>
      <c r="D4968" s="170" t="n"/>
      <c r="E4968" s="170" t="n"/>
      <c r="F4968" s="150">
        <f>ROUND((C4968*G4968)/100,0)*100</f>
        <v/>
      </c>
      <c r="G4968" s="219" t="n">
        <v>1.1</v>
      </c>
      <c r="H4968" s="170" t="n"/>
      <c r="I4968" s="170" t="n"/>
      <c r="J4968" s="170" t="n"/>
      <c r="K4968" s="170" t="n"/>
      <c r="L4968" s="170" t="n"/>
      <c r="M4968" s="170" t="n"/>
      <c r="N4968" s="30" t="n"/>
      <c r="O4968" s="30" t="n"/>
      <c r="P4968" s="170" t="n"/>
      <c r="Q4968" s="30" t="n"/>
      <c r="R4968" s="170" t="n"/>
      <c r="S4968" s="30" t="n"/>
      <c r="T4968" s="170" t="n"/>
      <c r="U4968" s="30" t="n"/>
      <c r="V4968" s="30" t="n"/>
      <c r="W4968" s="30" t="n"/>
      <c r="X4968" s="30" t="n"/>
      <c r="Y4968" s="30" t="n"/>
      <c r="Z4968" s="30" t="n"/>
      <c r="AA4968" s="30" t="n"/>
      <c r="AB4968" s="30" t="n"/>
      <c r="AC4968" s="30" t="n"/>
      <c r="AD4968" s="30" t="n"/>
      <c r="AE4968" s="30" t="n"/>
      <c r="AF4968" s="30" t="n"/>
      <c r="AG4968" s="30" t="n"/>
      <c r="AH4968" s="30" t="n"/>
      <c r="AI4968" s="30" t="n"/>
      <c r="AJ4968" s="30" t="n"/>
      <c r="AK4968" s="30" t="n"/>
      <c r="AL4968" s="30" t="n"/>
      <c r="AM4968" s="30" t="n"/>
      <c r="AN4968" s="30" t="n"/>
    </row>
    <row r="4969">
      <c r="A4969" s="89" t="inlineStr">
        <is>
          <t>11373XXX</t>
        </is>
      </c>
      <c r="B4969" s="135" t="inlineStr">
        <is>
          <t>TAVERNITI JEAN DAMA</t>
        </is>
      </c>
      <c r="C4969" s="88" t="n">
        <v>95200</v>
      </c>
      <c r="D4969" s="170" t="n"/>
      <c r="E4969" s="170" t="n"/>
      <c r="F4969" s="150">
        <f>ROUND((C4969*G4969)/100,0)*100</f>
        <v/>
      </c>
      <c r="G4969" s="219" t="n">
        <v>1.1</v>
      </c>
      <c r="H4969" s="170" t="n"/>
      <c r="I4969" s="170" t="n"/>
      <c r="J4969" s="170" t="n"/>
      <c r="K4969" s="170" t="n"/>
      <c r="L4969" s="170" t="n"/>
      <c r="M4969" s="170" t="n"/>
      <c r="N4969" s="30" t="n"/>
      <c r="O4969" s="30" t="n"/>
      <c r="P4969" s="170" t="n"/>
      <c r="Q4969" s="30" t="n"/>
      <c r="R4969" s="170" t="n"/>
      <c r="S4969" s="30" t="n"/>
      <c r="T4969" s="170" t="n"/>
      <c r="U4969" s="30" t="n"/>
      <c r="V4969" s="30" t="n"/>
      <c r="W4969" s="30" t="n"/>
      <c r="X4969" s="30" t="n"/>
      <c r="Y4969" s="30" t="n"/>
      <c r="Z4969" s="30" t="n"/>
      <c r="AA4969" s="30" t="n"/>
      <c r="AB4969" s="30" t="n"/>
      <c r="AC4969" s="30" t="n"/>
      <c r="AD4969" s="30" t="n"/>
      <c r="AE4969" s="30" t="n"/>
      <c r="AF4969" s="30" t="n"/>
      <c r="AG4969" s="30" t="n"/>
      <c r="AH4969" s="30" t="n"/>
      <c r="AI4969" s="30" t="n"/>
      <c r="AJ4969" s="30" t="n"/>
      <c r="AK4969" s="30" t="n"/>
      <c r="AL4969" s="30" t="n"/>
      <c r="AM4969" s="30" t="n"/>
      <c r="AN4969" s="30" t="n"/>
      <c r="AO4969" s="30" t="n"/>
    </row>
    <row r="4970">
      <c r="A4970" s="89" t="inlineStr">
        <is>
          <t>11375XXX</t>
        </is>
      </c>
      <c r="B4970" s="135" t="inlineStr">
        <is>
          <t>TAVERNITI JEAN DAMA</t>
        </is>
      </c>
      <c r="C4970" s="88" t="n">
        <v>95200</v>
      </c>
      <c r="D4970" s="170" t="n"/>
      <c r="E4970" s="170" t="n"/>
      <c r="F4970" s="150">
        <f>ROUND((C4970*G4970)/100,0)*100</f>
        <v/>
      </c>
      <c r="G4970" s="219" t="n">
        <v>1.1</v>
      </c>
      <c r="H4970" s="170" t="n"/>
      <c r="I4970" s="170" t="n"/>
      <c r="J4970" s="170" t="n"/>
      <c r="K4970" s="170" t="n"/>
      <c r="L4970" s="170" t="n"/>
      <c r="M4970" s="170" t="n"/>
      <c r="N4970" s="30" t="n"/>
      <c r="O4970" s="30" t="n"/>
      <c r="P4970" s="170" t="n"/>
      <c r="Q4970" s="30" t="n"/>
      <c r="R4970" s="170" t="n"/>
      <c r="S4970" s="30" t="n"/>
      <c r="T4970" s="170" t="n"/>
      <c r="U4970" s="30" t="n"/>
      <c r="V4970" s="30" t="n"/>
      <c r="W4970" s="30" t="n"/>
      <c r="X4970" s="30" t="n"/>
      <c r="Y4970" s="30" t="n"/>
      <c r="Z4970" s="30" t="n"/>
      <c r="AA4970" s="30" t="n"/>
      <c r="AB4970" s="30" t="n"/>
      <c r="AC4970" s="30" t="n"/>
      <c r="AD4970" s="30" t="n"/>
      <c r="AE4970" s="30" t="n"/>
      <c r="AF4970" s="30" t="n"/>
      <c r="AG4970" s="30" t="n"/>
      <c r="AH4970" s="30" t="n"/>
      <c r="AI4970" s="30" t="n"/>
      <c r="AJ4970" s="30" t="n"/>
      <c r="AK4970" s="30" t="n"/>
      <c r="AL4970" s="30" t="n"/>
      <c r="AM4970" s="30" t="n"/>
      <c r="AN4970" s="30" t="n"/>
    </row>
    <row r="4971">
      <c r="A4971" s="134" t="inlineStr">
        <is>
          <t>11377XXX</t>
        </is>
      </c>
      <c r="B4971" s="246" t="inlineStr">
        <is>
          <t>TAVERNITI JEAN DAMA</t>
        </is>
      </c>
      <c r="C4971" s="88" t="n">
        <v>95200</v>
      </c>
      <c r="D4971" s="111" t="n"/>
      <c r="E4971" s="111" t="n"/>
      <c r="F4971" s="111">
        <f>ROUND((C4971*G4971)/100,0)*100</f>
        <v/>
      </c>
      <c r="G4971" s="219" t="n">
        <v>1.1</v>
      </c>
      <c r="H4971" s="170" t="n"/>
      <c r="I4971" s="170" t="n"/>
      <c r="J4971" s="170" t="n"/>
      <c r="K4971" s="170" t="n"/>
      <c r="L4971" s="170" t="n"/>
      <c r="M4971" s="170" t="n"/>
      <c r="N4971" s="30" t="n"/>
      <c r="O4971" s="30" t="n"/>
      <c r="P4971" s="170" t="n"/>
      <c r="Q4971" s="30" t="n"/>
      <c r="R4971" s="170" t="n"/>
      <c r="S4971" s="30" t="n"/>
      <c r="T4971" s="170" t="n"/>
      <c r="U4971" s="30" t="n"/>
      <c r="V4971" s="30" t="n"/>
      <c r="W4971" s="30" t="n"/>
      <c r="X4971" s="30" t="n"/>
      <c r="Y4971" s="30" t="n"/>
      <c r="Z4971" s="30" t="n"/>
      <c r="AA4971" s="30" t="n"/>
      <c r="AB4971" s="30" t="n"/>
      <c r="AC4971" s="30" t="n"/>
      <c r="AD4971" s="30" t="n"/>
      <c r="AE4971" s="30" t="n"/>
      <c r="AF4971" s="30" t="n"/>
      <c r="AG4971" s="30" t="n"/>
      <c r="AH4971" s="30" t="n"/>
      <c r="AI4971" s="30" t="n"/>
      <c r="AJ4971" s="30" t="n"/>
      <c r="AK4971" s="30" t="n"/>
      <c r="AL4971" s="30" t="n"/>
      <c r="AM4971" s="30" t="n"/>
      <c r="AN4971" s="30" t="n"/>
    </row>
    <row r="4972">
      <c r="A4972" s="134" t="inlineStr">
        <is>
          <t>11381XXX</t>
        </is>
      </c>
      <c r="B4972" s="246" t="inlineStr">
        <is>
          <t>TAVERNITI JEAN DAMA</t>
        </is>
      </c>
      <c r="C4972" s="88" t="n">
        <v>95200</v>
      </c>
      <c r="D4972" s="111" t="n"/>
      <c r="E4972" s="111" t="n"/>
      <c r="F4972" s="111">
        <f>ROUND((C4972*G4972)/100,0)*100</f>
        <v/>
      </c>
      <c r="G4972" s="219" t="n">
        <v>1.1</v>
      </c>
      <c r="H4972" s="170" t="n"/>
      <c r="I4972" s="170" t="n"/>
      <c r="J4972" s="170" t="n"/>
      <c r="K4972" s="170" t="n"/>
      <c r="L4972" s="170" t="n"/>
      <c r="M4972" s="170" t="n"/>
      <c r="N4972" s="30" t="n"/>
      <c r="O4972" s="30" t="n"/>
      <c r="P4972" s="170" t="n"/>
      <c r="Q4972" s="30" t="n"/>
      <c r="R4972" s="170" t="n"/>
      <c r="S4972" s="30" t="n"/>
      <c r="T4972" s="170" t="n"/>
      <c r="U4972" s="30" t="n"/>
      <c r="V4972" s="30" t="n"/>
      <c r="W4972" s="30" t="n"/>
      <c r="X4972" s="30" t="n"/>
      <c r="Y4972" s="30" t="n"/>
      <c r="Z4972" s="30" t="n"/>
      <c r="AA4972" s="30" t="n"/>
      <c r="AB4972" s="30" t="n"/>
      <c r="AC4972" s="30" t="n"/>
      <c r="AD4972" s="30" t="n"/>
      <c r="AE4972" s="30" t="n"/>
      <c r="AF4972" s="30" t="n"/>
      <c r="AG4972" s="30" t="n"/>
      <c r="AH4972" s="30" t="n"/>
      <c r="AI4972" s="30" t="n"/>
      <c r="AJ4972" s="30" t="n"/>
      <c r="AK4972" s="30" t="n"/>
      <c r="AL4972" s="30" t="n"/>
      <c r="AM4972" s="30" t="n"/>
      <c r="AN4972" s="30" t="n"/>
    </row>
    <row r="4973">
      <c r="A4973" s="134" t="inlineStr">
        <is>
          <t>11383XXX</t>
        </is>
      </c>
      <c r="B4973" s="246" t="inlineStr">
        <is>
          <t>TAVERNITI JEAN DAMA</t>
        </is>
      </c>
      <c r="C4973" s="88" t="n">
        <v>90900</v>
      </c>
      <c r="D4973" s="111" t="n"/>
      <c r="E4973" s="111" t="n"/>
      <c r="F4973" s="111">
        <f>ROUND((C4973*G4973)/100,0)*100</f>
        <v/>
      </c>
      <c r="G4973" s="219" t="n">
        <v>1.1</v>
      </c>
      <c r="H4973" s="170" t="n"/>
      <c r="I4973" s="170" t="n"/>
      <c r="J4973" s="170" t="n"/>
      <c r="K4973" s="170" t="n"/>
      <c r="L4973" s="170" t="n"/>
      <c r="M4973" s="170" t="n"/>
      <c r="N4973" s="30" t="n"/>
      <c r="O4973" s="30" t="n"/>
      <c r="P4973" s="170" t="n"/>
      <c r="Q4973" s="30" t="n"/>
      <c r="R4973" s="170" t="n"/>
      <c r="S4973" s="30" t="n"/>
      <c r="T4973" s="170" t="n"/>
      <c r="U4973" s="30" t="n"/>
      <c r="V4973" s="30" t="n"/>
      <c r="W4973" s="30" t="n"/>
      <c r="X4973" s="30" t="n"/>
      <c r="Y4973" s="30" t="n"/>
      <c r="Z4973" s="30" t="n"/>
      <c r="AA4973" s="30" t="n"/>
      <c r="AB4973" s="30" t="n"/>
      <c r="AC4973" s="30" t="n"/>
      <c r="AD4973" s="30" t="n"/>
      <c r="AE4973" s="30" t="n"/>
      <c r="AF4973" s="30" t="n"/>
      <c r="AG4973" s="30" t="n"/>
      <c r="AH4973" s="30" t="n"/>
      <c r="AI4973" s="30" t="n"/>
      <c r="AJ4973" s="30" t="n"/>
      <c r="AK4973" s="30" t="n"/>
      <c r="AL4973" s="30" t="n"/>
      <c r="AM4973" s="30" t="n"/>
      <c r="AN4973" s="30" t="n"/>
    </row>
    <row r="4974">
      <c r="A4974" s="134" t="inlineStr">
        <is>
          <t>11385XXX</t>
        </is>
      </c>
      <c r="B4974" s="246" t="inlineStr">
        <is>
          <t>TAVERNITI JEAN DAMA</t>
        </is>
      </c>
      <c r="C4974" s="88" t="n">
        <v>90900</v>
      </c>
      <c r="D4974" s="111" t="n"/>
      <c r="E4974" s="111" t="n"/>
      <c r="F4974" s="111">
        <f>ROUND((C4974*G4974)/100,0)*100</f>
        <v/>
      </c>
      <c r="G4974" s="219" t="n">
        <v>1.1</v>
      </c>
      <c r="H4974" s="170" t="n"/>
      <c r="I4974" s="170" t="n"/>
      <c r="J4974" s="170" t="n"/>
      <c r="K4974" s="170" t="n"/>
      <c r="L4974" s="170" t="n"/>
      <c r="M4974" s="170" t="n"/>
      <c r="N4974" s="30" t="n"/>
      <c r="O4974" s="30" t="n"/>
      <c r="P4974" s="170" t="n"/>
      <c r="Q4974" s="30" t="n"/>
      <c r="R4974" s="170" t="n"/>
      <c r="S4974" s="30" t="n"/>
      <c r="T4974" s="170" t="n"/>
      <c r="U4974" s="30" t="n"/>
      <c r="V4974" s="30" t="n"/>
      <c r="W4974" s="30" t="n"/>
      <c r="X4974" s="30" t="n"/>
      <c r="Y4974" s="30" t="n"/>
      <c r="Z4974" s="30" t="n"/>
      <c r="AA4974" s="30" t="n"/>
      <c r="AB4974" s="30" t="n"/>
      <c r="AC4974" s="30" t="n"/>
      <c r="AD4974" s="30" t="n"/>
      <c r="AE4974" s="30" t="n"/>
      <c r="AF4974" s="30" t="n"/>
      <c r="AG4974" s="30" t="n"/>
      <c r="AH4974" s="30" t="n"/>
      <c r="AI4974" s="30" t="n"/>
      <c r="AJ4974" s="30" t="n"/>
      <c r="AK4974" s="30" t="n"/>
      <c r="AL4974" s="30" t="n"/>
      <c r="AM4974" s="30" t="n"/>
      <c r="AN4974" s="30" t="n"/>
    </row>
    <row r="4975">
      <c r="A4975" s="134" t="inlineStr">
        <is>
          <t>11397XXX</t>
        </is>
      </c>
      <c r="B4975" s="246" t="inlineStr">
        <is>
          <t>TAVERNITI JEAN DAMA</t>
        </is>
      </c>
      <c r="C4975" s="88" t="n">
        <v>90900</v>
      </c>
      <c r="D4975" s="111" t="n"/>
      <c r="E4975" s="111" t="n"/>
      <c r="F4975" s="111">
        <f>ROUND((C4975*G4975)/100,0)*100</f>
        <v/>
      </c>
      <c r="G4975" s="219" t="n">
        <v>1.1</v>
      </c>
      <c r="H4975" s="170" t="n"/>
      <c r="I4975" s="170" t="n"/>
      <c r="J4975" s="170" t="n"/>
      <c r="K4975" s="170" t="n"/>
      <c r="L4975" s="170" t="n"/>
      <c r="M4975" s="170" t="n"/>
      <c r="N4975" s="30" t="n"/>
      <c r="O4975" s="30" t="n"/>
      <c r="P4975" s="170" t="n"/>
      <c r="Q4975" s="30" t="n"/>
      <c r="R4975" s="170" t="n"/>
      <c r="S4975" s="30" t="n"/>
      <c r="T4975" s="170" t="n"/>
      <c r="U4975" s="30" t="n"/>
      <c r="V4975" s="30" t="n"/>
      <c r="W4975" s="30" t="n"/>
      <c r="X4975" s="30" t="n"/>
      <c r="Y4975" s="30" t="n"/>
      <c r="Z4975" s="30" t="n"/>
      <c r="AA4975" s="30" t="n"/>
      <c r="AB4975" s="30" t="n"/>
      <c r="AC4975" s="30" t="n"/>
      <c r="AD4975" s="30" t="n"/>
      <c r="AE4975" s="30" t="n"/>
      <c r="AF4975" s="30" t="n"/>
      <c r="AG4975" s="30" t="n"/>
      <c r="AH4975" s="30" t="n"/>
      <c r="AI4975" s="30" t="n"/>
      <c r="AJ4975" s="30" t="n"/>
      <c r="AK4975" s="30" t="n"/>
      <c r="AL4975" s="30" t="n"/>
      <c r="AM4975" s="30" t="n"/>
      <c r="AN4975" s="30" t="n"/>
    </row>
    <row r="4976">
      <c r="A4976" s="128" t="inlineStr">
        <is>
          <t>11399XXX</t>
        </is>
      </c>
      <c r="B4976" s="188" t="inlineStr">
        <is>
          <t>TAVERNITI JEAN DAMA</t>
        </is>
      </c>
      <c r="C4976" s="88" t="n">
        <v>90900</v>
      </c>
      <c r="D4976" s="153" t="n"/>
      <c r="E4976" s="153" t="n"/>
      <c r="F4976" s="153">
        <f>ROUND((C4976*G4976)/100,0)*100</f>
        <v/>
      </c>
      <c r="G4976" s="219" t="n">
        <v>1.1</v>
      </c>
      <c r="H4976" s="219" t="n"/>
      <c r="I4976" s="219" t="n"/>
      <c r="J4976" s="219" t="n"/>
      <c r="K4976" s="219" t="n"/>
      <c r="L4976" s="219" t="n"/>
      <c r="M4976" s="219" t="n"/>
      <c r="P4976" s="117" t="n"/>
      <c r="R4976" s="117" t="n"/>
      <c r="T4976" s="117" t="n"/>
    </row>
    <row r="4977">
      <c r="A4977" s="128" t="inlineStr">
        <is>
          <t>11409XXX</t>
        </is>
      </c>
      <c r="B4977" s="188" t="inlineStr">
        <is>
          <t>TAVERNITI JEAN DAMA</t>
        </is>
      </c>
      <c r="C4977" s="88" t="n">
        <v>90900</v>
      </c>
      <c r="D4977" s="153" t="n"/>
      <c r="E4977" s="153" t="n"/>
      <c r="F4977" s="153">
        <f>ROUND((C4977*G4977)/100,0)*100</f>
        <v/>
      </c>
      <c r="G4977" s="219" t="n">
        <v>1.1</v>
      </c>
      <c r="H4977" s="219" t="n"/>
      <c r="I4977" s="219" t="n"/>
      <c r="J4977" s="219" t="n"/>
      <c r="K4977" s="219" t="n"/>
      <c r="L4977" s="219" t="n"/>
      <c r="M4977" s="219" t="n"/>
      <c r="P4977" s="117" t="n"/>
      <c r="R4977" s="117" t="n"/>
      <c r="T4977" s="117" t="n"/>
    </row>
    <row r="4978">
      <c r="A4978" s="128" t="inlineStr">
        <is>
          <t>11411XXX</t>
        </is>
      </c>
      <c r="B4978" s="188" t="inlineStr">
        <is>
          <t>TAVERNITI JEAN DAMA</t>
        </is>
      </c>
      <c r="C4978" s="88" t="n">
        <v>90900</v>
      </c>
      <c r="D4978" s="153" t="n"/>
      <c r="E4978" s="153" t="n"/>
      <c r="F4978" s="153">
        <f>ROUND((C4978*G4978)/100,0)*100</f>
        <v/>
      </c>
      <c r="G4978" s="219" t="n">
        <v>1.1</v>
      </c>
      <c r="H4978" s="219" t="n"/>
      <c r="I4978" s="219" t="n"/>
      <c r="J4978" s="219" t="n"/>
      <c r="K4978" s="219" t="n"/>
      <c r="L4978" s="219" t="n"/>
      <c r="M4978" s="219" t="n"/>
      <c r="P4978" s="117" t="n"/>
      <c r="R4978" s="117" t="n"/>
      <c r="T4978" s="117" t="n"/>
    </row>
    <row r="4979">
      <c r="A4979" s="128" t="inlineStr">
        <is>
          <t>11415XXX</t>
        </is>
      </c>
      <c r="B4979" s="188" t="inlineStr">
        <is>
          <t>TAVERNITI JEAN DAMA</t>
        </is>
      </c>
      <c r="C4979" s="88" t="n">
        <v>90900</v>
      </c>
      <c r="D4979" s="153" t="n"/>
      <c r="E4979" s="153" t="n"/>
      <c r="F4979" s="153">
        <f>ROUND((C4979*G4979)/100,0)*100</f>
        <v/>
      </c>
      <c r="G4979" s="219" t="n">
        <v>1.1</v>
      </c>
      <c r="H4979" s="219" t="n"/>
      <c r="I4979" s="219" t="n"/>
      <c r="J4979" s="219" t="n"/>
      <c r="K4979" s="219" t="n"/>
      <c r="L4979" s="219" t="n"/>
      <c r="M4979" s="219" t="n"/>
      <c r="P4979" s="117" t="n"/>
      <c r="R4979" s="117" t="n"/>
      <c r="T4979" s="117" t="n"/>
    </row>
    <row r="4980">
      <c r="A4980" s="89" t="inlineStr">
        <is>
          <t>11421XXX</t>
        </is>
      </c>
      <c r="B4980" s="135" t="inlineStr">
        <is>
          <t>TAVERNITI JEAN DAMA</t>
        </is>
      </c>
      <c r="C4980" s="88" t="n">
        <v>90900</v>
      </c>
      <c r="D4980" s="170" t="n"/>
      <c r="E4980" s="170" t="n"/>
      <c r="F4980" s="150">
        <f>ROUND((C4980*G4980)/100,0)*100</f>
        <v/>
      </c>
      <c r="G4980" s="219" t="n">
        <v>1.1</v>
      </c>
      <c r="H4980" s="170" t="n"/>
      <c r="I4980" s="170" t="n"/>
      <c r="J4980" s="170" t="n"/>
      <c r="K4980" s="170" t="n"/>
      <c r="L4980" s="170" t="n"/>
      <c r="M4980" s="170" t="n"/>
      <c r="N4980" s="30" t="n"/>
      <c r="O4980" s="30" t="n"/>
      <c r="P4980" s="170" t="n"/>
      <c r="Q4980" s="30" t="n"/>
      <c r="R4980" s="170" t="n"/>
      <c r="S4980" s="30" t="n"/>
      <c r="T4980" s="170" t="n"/>
      <c r="U4980" s="30" t="n"/>
      <c r="V4980" s="30" t="n"/>
      <c r="W4980" s="30" t="n"/>
      <c r="X4980" s="30" t="n"/>
      <c r="Y4980" s="30" t="n"/>
      <c r="Z4980" s="30" t="n"/>
      <c r="AA4980" s="30" t="n"/>
      <c r="AB4980" s="30" t="n"/>
      <c r="AC4980" s="30" t="n"/>
      <c r="AD4980" s="30" t="n"/>
      <c r="AE4980" s="30" t="n"/>
      <c r="AF4980" s="30" t="n"/>
      <c r="AG4980" s="30" t="n"/>
      <c r="AH4980" s="30" t="n"/>
      <c r="AI4980" s="30" t="n"/>
      <c r="AJ4980" s="30" t="n"/>
      <c r="AK4980" s="30" t="n"/>
      <c r="AL4980" s="30" t="n"/>
      <c r="AM4980" s="30" t="n"/>
      <c r="AN4980" s="30" t="n"/>
      <c r="AO4980" s="30" t="n"/>
    </row>
    <row r="4981">
      <c r="A4981" s="134" t="inlineStr">
        <is>
          <t>11423XXX</t>
        </is>
      </c>
      <c r="B4981" s="246" t="inlineStr">
        <is>
          <t>TAVERNITI JEAN DAMA</t>
        </is>
      </c>
      <c r="C4981" s="88" t="n">
        <v>90900</v>
      </c>
      <c r="D4981" s="111" t="n"/>
      <c r="E4981" s="111" t="n"/>
      <c r="F4981" s="111">
        <f>ROUND((C4981*G4981)/100,0)*100</f>
        <v/>
      </c>
      <c r="G4981" s="219" t="n">
        <v>1.1</v>
      </c>
      <c r="H4981" s="170" t="n"/>
      <c r="I4981" s="170" t="n"/>
      <c r="J4981" s="170" t="n"/>
      <c r="K4981" s="170" t="n"/>
      <c r="L4981" s="170" t="n"/>
      <c r="M4981" s="170" t="n"/>
      <c r="N4981" s="30" t="n"/>
      <c r="O4981" s="30" t="n"/>
      <c r="P4981" s="170" t="n"/>
      <c r="Q4981" s="30" t="n"/>
      <c r="R4981" s="170" t="n"/>
      <c r="S4981" s="30" t="n"/>
      <c r="T4981" s="170" t="n"/>
      <c r="U4981" s="30" t="n"/>
      <c r="V4981" s="30" t="n"/>
      <c r="W4981" s="30" t="n"/>
      <c r="X4981" s="30" t="n"/>
      <c r="Y4981" s="30" t="n"/>
      <c r="Z4981" s="30" t="n"/>
      <c r="AA4981" s="30" t="n"/>
      <c r="AB4981" s="30" t="n"/>
      <c r="AC4981" s="30" t="n"/>
      <c r="AD4981" s="30" t="n"/>
      <c r="AE4981" s="30" t="n"/>
      <c r="AF4981" s="30" t="n"/>
      <c r="AG4981" s="30" t="n"/>
      <c r="AH4981" s="30" t="n"/>
      <c r="AI4981" s="30" t="n"/>
      <c r="AJ4981" s="30" t="n"/>
      <c r="AK4981" s="30" t="n"/>
      <c r="AL4981" s="30" t="n"/>
      <c r="AM4981" s="30" t="n"/>
      <c r="AN4981" s="30" t="n"/>
    </row>
    <row r="4982">
      <c r="A4982" s="134" t="inlineStr">
        <is>
          <t>11425XXX</t>
        </is>
      </c>
      <c r="B4982" s="246" t="inlineStr">
        <is>
          <t>TAVERNITI JEAN DAMA</t>
        </is>
      </c>
      <c r="C4982" s="88" t="n">
        <v>90900</v>
      </c>
      <c r="D4982" s="111" t="n"/>
      <c r="E4982" s="111" t="n"/>
      <c r="F4982" s="111">
        <f>ROUND((C4982*G4982)/100,0)*100</f>
        <v/>
      </c>
      <c r="G4982" s="219" t="n">
        <v>1.1</v>
      </c>
      <c r="H4982" s="170" t="n"/>
      <c r="I4982" s="170" t="n"/>
      <c r="J4982" s="170" t="n"/>
      <c r="K4982" s="170" t="n"/>
      <c r="L4982" s="170" t="n"/>
      <c r="M4982" s="170" t="n"/>
      <c r="N4982" s="30" t="n"/>
      <c r="O4982" s="30" t="n"/>
      <c r="P4982" s="170" t="n"/>
      <c r="Q4982" s="30" t="n"/>
      <c r="R4982" s="170" t="n"/>
      <c r="S4982" s="30" t="n"/>
      <c r="T4982" s="170" t="n"/>
      <c r="U4982" s="30" t="n"/>
      <c r="V4982" s="30" t="n"/>
      <c r="W4982" s="30" t="n"/>
      <c r="X4982" s="30" t="n"/>
      <c r="Y4982" s="30" t="n"/>
      <c r="Z4982" s="30" t="n"/>
      <c r="AA4982" s="30" t="n"/>
      <c r="AB4982" s="30" t="n"/>
      <c r="AC4982" s="30" t="n"/>
      <c r="AD4982" s="30" t="n"/>
      <c r="AE4982" s="30" t="n"/>
      <c r="AF4982" s="30" t="n"/>
      <c r="AG4982" s="30" t="n"/>
      <c r="AH4982" s="30" t="n"/>
      <c r="AI4982" s="30" t="n"/>
      <c r="AJ4982" s="30" t="n"/>
      <c r="AK4982" s="30" t="n"/>
      <c r="AL4982" s="30" t="n"/>
      <c r="AM4982" s="30" t="n"/>
      <c r="AN4982" s="30" t="n"/>
    </row>
    <row r="4983">
      <c r="A4983" s="134" t="inlineStr">
        <is>
          <t>11427XXX</t>
        </is>
      </c>
      <c r="B4983" s="246" t="inlineStr">
        <is>
          <t>TAVERNITI JEAN DAMA</t>
        </is>
      </c>
      <c r="C4983" s="88" t="n">
        <v>90900</v>
      </c>
      <c r="D4983" s="111" t="n"/>
      <c r="E4983" s="111" t="n"/>
      <c r="F4983" s="111">
        <f>ROUND((C4983*G4983)/100,0)*100</f>
        <v/>
      </c>
      <c r="G4983" s="219" t="n">
        <v>1.1</v>
      </c>
      <c r="H4983" s="170" t="n"/>
      <c r="I4983" s="170" t="n"/>
      <c r="J4983" s="170" t="n"/>
      <c r="K4983" s="170" t="n"/>
      <c r="L4983" s="170" t="n"/>
      <c r="M4983" s="170" t="n"/>
      <c r="N4983" s="30" t="n"/>
      <c r="O4983" s="30" t="n"/>
      <c r="P4983" s="170" t="n"/>
      <c r="Q4983" s="30" t="n"/>
      <c r="R4983" s="170" t="n"/>
      <c r="S4983" s="30" t="n"/>
      <c r="T4983" s="170" t="n"/>
      <c r="U4983" s="30" t="n"/>
      <c r="V4983" s="30" t="n"/>
      <c r="W4983" s="30" t="n"/>
      <c r="X4983" s="30" t="n"/>
      <c r="Y4983" s="30" t="n"/>
      <c r="Z4983" s="30" t="n"/>
      <c r="AA4983" s="30" t="n"/>
      <c r="AB4983" s="30" t="n"/>
      <c r="AC4983" s="30" t="n"/>
      <c r="AD4983" s="30" t="n"/>
      <c r="AE4983" s="30" t="n"/>
      <c r="AF4983" s="30" t="n"/>
      <c r="AG4983" s="30" t="n"/>
      <c r="AH4983" s="30" t="n"/>
      <c r="AI4983" s="30" t="n"/>
      <c r="AJ4983" s="30" t="n"/>
      <c r="AK4983" s="30" t="n"/>
      <c r="AL4983" s="30" t="n"/>
      <c r="AM4983" s="30" t="n"/>
      <c r="AN4983" s="30" t="n"/>
    </row>
    <row r="4984">
      <c r="A4984" s="134" t="inlineStr">
        <is>
          <t>11431XXX</t>
        </is>
      </c>
      <c r="B4984" s="246" t="inlineStr">
        <is>
          <t>TAVERNITI JEAN DAMA</t>
        </is>
      </c>
      <c r="C4984" s="88" t="n">
        <v>90900</v>
      </c>
      <c r="D4984" s="111" t="n"/>
      <c r="E4984" s="111" t="n"/>
      <c r="F4984" s="111">
        <f>ROUND((C4984*G4984)/100,0)*100</f>
        <v/>
      </c>
      <c r="G4984" s="219" t="n">
        <v>1.1</v>
      </c>
      <c r="H4984" s="170" t="n"/>
      <c r="I4984" s="170" t="n"/>
      <c r="J4984" s="170" t="n"/>
      <c r="K4984" s="170" t="n"/>
      <c r="L4984" s="170" t="n"/>
      <c r="M4984" s="170" t="n"/>
      <c r="N4984" s="30" t="n"/>
      <c r="O4984" s="30" t="n"/>
      <c r="P4984" s="170" t="n"/>
      <c r="Q4984" s="30" t="n"/>
      <c r="R4984" s="170" t="n"/>
      <c r="S4984" s="30" t="n"/>
      <c r="T4984" s="170" t="n"/>
      <c r="U4984" s="30" t="n"/>
      <c r="V4984" s="30" t="n"/>
      <c r="W4984" s="30" t="n"/>
      <c r="X4984" s="30" t="n"/>
      <c r="Y4984" s="30" t="n"/>
      <c r="Z4984" s="30" t="n"/>
      <c r="AA4984" s="30" t="n"/>
      <c r="AB4984" s="30" t="n"/>
      <c r="AC4984" s="30" t="n"/>
      <c r="AD4984" s="30" t="n"/>
      <c r="AE4984" s="30" t="n"/>
      <c r="AF4984" s="30" t="n"/>
      <c r="AG4984" s="30" t="n"/>
      <c r="AH4984" s="30" t="n"/>
      <c r="AI4984" s="30" t="n"/>
      <c r="AJ4984" s="30" t="n"/>
      <c r="AK4984" s="30" t="n"/>
      <c r="AL4984" s="30" t="n"/>
      <c r="AM4984" s="30" t="n"/>
      <c r="AN4984" s="30" t="n"/>
      <c r="AO4984" s="30" t="n"/>
    </row>
    <row r="4985">
      <c r="A4985" s="128" t="inlineStr">
        <is>
          <t>11433XXX</t>
        </is>
      </c>
      <c r="B4985" s="188" t="inlineStr">
        <is>
          <t>TAVERNITI JEAN DAMA</t>
        </is>
      </c>
      <c r="C4985" s="88" t="n">
        <v>90900</v>
      </c>
      <c r="D4985" s="153" t="n"/>
      <c r="E4985" s="153" t="n"/>
      <c r="F4985" s="153">
        <f>ROUND((C4985*G4985)/100,0)*100</f>
        <v/>
      </c>
      <c r="G4985" s="219" t="n">
        <v>1.1</v>
      </c>
      <c r="H4985" s="219" t="n"/>
      <c r="I4985" s="219" t="n"/>
      <c r="J4985" s="219" t="n"/>
      <c r="K4985" s="219" t="n"/>
      <c r="L4985" s="219" t="n"/>
      <c r="M4985" s="219" t="n"/>
      <c r="P4985" s="117" t="n"/>
      <c r="R4985" s="117" t="n"/>
      <c r="T4985" s="117" t="n"/>
    </row>
    <row r="4986">
      <c r="A4986" s="134" t="inlineStr">
        <is>
          <t>11441XXX</t>
        </is>
      </c>
      <c r="B4986" s="246" t="inlineStr">
        <is>
          <t>TAVERNITI JEAN DAMA</t>
        </is>
      </c>
      <c r="C4986" s="88" t="n">
        <v>90900</v>
      </c>
      <c r="D4986" s="111" t="n"/>
      <c r="E4986" s="111" t="n"/>
      <c r="F4986" s="219">
        <f>ROUND((C4986*G4986)/100,0)*100</f>
        <v/>
      </c>
      <c r="G4986" s="219" t="n">
        <v>1.1</v>
      </c>
      <c r="H4986" s="170" t="n"/>
      <c r="I4986" s="170" t="n"/>
      <c r="J4986" s="170" t="n"/>
      <c r="K4986" s="170" t="n"/>
      <c r="L4986" s="170" t="n"/>
      <c r="M4986" s="170" t="n"/>
      <c r="N4986" s="30" t="n"/>
      <c r="O4986" s="30" t="n"/>
      <c r="P4986" s="170" t="n"/>
      <c r="Q4986" s="30" t="n"/>
      <c r="R4986" s="170" t="n"/>
      <c r="S4986" s="30" t="n"/>
      <c r="T4986" s="170" t="n"/>
      <c r="U4986" s="30" t="n"/>
      <c r="V4986" s="30" t="n"/>
      <c r="W4986" s="30" t="n"/>
      <c r="X4986" s="30" t="n"/>
      <c r="Y4986" s="30" t="n"/>
      <c r="Z4986" s="30" t="n"/>
      <c r="AA4986" s="30" t="n"/>
      <c r="AB4986" s="30" t="n"/>
      <c r="AC4986" s="30" t="n"/>
      <c r="AD4986" s="30" t="n"/>
      <c r="AE4986" s="30" t="n"/>
      <c r="AF4986" s="30" t="n"/>
      <c r="AG4986" s="30" t="n"/>
      <c r="AH4986" s="30" t="n"/>
      <c r="AI4986" s="30" t="n"/>
      <c r="AJ4986" s="30" t="n"/>
      <c r="AK4986" s="30" t="n"/>
      <c r="AL4986" s="30" t="n"/>
      <c r="AM4986" s="30" t="n"/>
      <c r="AN4986" s="30" t="n"/>
      <c r="AO4986" s="30" t="n"/>
    </row>
    <row r="4987">
      <c r="A4987" s="128" t="inlineStr">
        <is>
          <t>11445XXX</t>
        </is>
      </c>
      <c r="B4987" s="188" t="inlineStr">
        <is>
          <t>TAVERNITI JEAN DAMA</t>
        </is>
      </c>
      <c r="C4987" s="88" t="n">
        <v>90900</v>
      </c>
      <c r="D4987" s="153" t="n"/>
      <c r="E4987" s="153" t="n"/>
      <c r="F4987" s="153">
        <f>ROUND((C4987*G4987)/100,0)*100</f>
        <v/>
      </c>
      <c r="G4987" s="219" t="n">
        <v>1.1</v>
      </c>
      <c r="H4987" s="219" t="n"/>
      <c r="I4987" s="219" t="n"/>
      <c r="J4987" s="219" t="n"/>
      <c r="K4987" s="219" t="n"/>
      <c r="L4987" s="219" t="n"/>
      <c r="M4987" s="219" t="n"/>
      <c r="P4987" s="117" t="n"/>
      <c r="R4987" s="117" t="n"/>
      <c r="T4987" s="117" t="n"/>
    </row>
    <row r="4988">
      <c r="A4988" s="128" t="inlineStr">
        <is>
          <t>11447XXX</t>
        </is>
      </c>
      <c r="B4988" s="188" t="inlineStr">
        <is>
          <t>TAVERNITI JEAN DAMA</t>
        </is>
      </c>
      <c r="C4988" s="88" t="n">
        <v>90900</v>
      </c>
      <c r="D4988" s="153" t="n"/>
      <c r="E4988" s="153" t="n"/>
      <c r="F4988" s="153">
        <f>ROUND((C4988*G4988)/100,0)*100</f>
        <v/>
      </c>
      <c r="G4988" s="219" t="n">
        <v>1.1</v>
      </c>
      <c r="H4988" s="219" t="n"/>
      <c r="I4988" s="219" t="n"/>
      <c r="J4988" s="219" t="n"/>
      <c r="K4988" s="219" t="n"/>
      <c r="L4988" s="219" t="n"/>
      <c r="M4988" s="219" t="n"/>
      <c r="P4988" s="117" t="n"/>
      <c r="R4988" s="117" t="n"/>
      <c r="T4988" s="117" t="n"/>
    </row>
    <row r="4989">
      <c r="A4989" s="128" t="inlineStr">
        <is>
          <t>11451XXX</t>
        </is>
      </c>
      <c r="B4989" s="188" t="inlineStr">
        <is>
          <t>TAVERNITI JEAN DAMA</t>
        </is>
      </c>
      <c r="C4989" s="88" t="n">
        <v>90900</v>
      </c>
      <c r="D4989" s="153" t="n"/>
      <c r="E4989" s="153" t="n"/>
      <c r="F4989" s="153">
        <f>ROUND((C4989*G4989)/100,0)*100</f>
        <v/>
      </c>
      <c r="G4989" s="219" t="n">
        <v>1.1</v>
      </c>
      <c r="H4989" s="219" t="n"/>
      <c r="I4989" s="219" t="n"/>
      <c r="J4989" s="219" t="n"/>
      <c r="K4989" s="219" t="n"/>
      <c r="L4989" s="219" t="n"/>
      <c r="M4989" s="219" t="n"/>
      <c r="P4989" s="117" t="n"/>
      <c r="R4989" s="117" t="n"/>
      <c r="T4989" s="117" t="n"/>
    </row>
    <row r="4990">
      <c r="A4990" s="134" t="inlineStr">
        <is>
          <t>11453XXX</t>
        </is>
      </c>
      <c r="B4990" s="246" t="inlineStr">
        <is>
          <t>TAVERNITI JEAN DAMA</t>
        </is>
      </c>
      <c r="C4990" s="88" t="n">
        <v>90900</v>
      </c>
      <c r="D4990" s="111" t="n"/>
      <c r="E4990" s="111" t="n"/>
      <c r="F4990" s="111">
        <f>ROUND((C4990*G4990)/100,0)*100</f>
        <v/>
      </c>
      <c r="G4990" s="219" t="n">
        <v>1.1</v>
      </c>
      <c r="H4990" s="170" t="n"/>
      <c r="I4990" s="170" t="n"/>
      <c r="J4990" s="170" t="n"/>
      <c r="K4990" s="170" t="n"/>
      <c r="L4990" s="170" t="n"/>
      <c r="M4990" s="170" t="n"/>
      <c r="N4990" s="30" t="n"/>
      <c r="O4990" s="30" t="n"/>
      <c r="P4990" s="170" t="n"/>
      <c r="Q4990" s="30" t="n"/>
      <c r="R4990" s="170" t="n"/>
      <c r="S4990" s="30" t="n"/>
      <c r="T4990" s="170" t="n"/>
      <c r="U4990" s="30" t="n"/>
      <c r="V4990" s="30" t="n"/>
      <c r="W4990" s="30" t="n"/>
      <c r="X4990" s="30" t="n"/>
      <c r="Y4990" s="30" t="n"/>
      <c r="Z4990" s="30" t="n"/>
      <c r="AA4990" s="30" t="n"/>
      <c r="AB4990" s="30" t="n"/>
      <c r="AC4990" s="30" t="n"/>
      <c r="AD4990" s="30" t="n"/>
      <c r="AE4990" s="30" t="n"/>
      <c r="AF4990" s="30" t="n"/>
      <c r="AG4990" s="30" t="n"/>
      <c r="AH4990" s="30" t="n"/>
      <c r="AI4990" s="30" t="n"/>
      <c r="AJ4990" s="30" t="n"/>
      <c r="AK4990" s="30" t="n"/>
      <c r="AL4990" s="30" t="n"/>
      <c r="AM4990" s="30" t="n"/>
      <c r="AN4990" s="30" t="n"/>
      <c r="AO4990" s="30" t="n"/>
    </row>
    <row r="4991">
      <c r="A4991" s="128" t="inlineStr">
        <is>
          <t>11463XXX</t>
        </is>
      </c>
      <c r="B4991" s="188" t="inlineStr">
        <is>
          <t>TAVERNITI JEAN DAMA</t>
        </is>
      </c>
      <c r="C4991" s="88" t="n">
        <v>90900</v>
      </c>
      <c r="D4991" s="153" t="n"/>
      <c r="E4991" s="153" t="n"/>
      <c r="F4991" s="153">
        <f>ROUND((C4991*G4991)/100,0)*100</f>
        <v/>
      </c>
      <c r="G4991" s="219" t="n">
        <v>1.1</v>
      </c>
      <c r="H4991" s="219" t="n"/>
      <c r="I4991" s="219" t="n"/>
      <c r="J4991" s="219" t="n"/>
      <c r="K4991" s="219" t="n"/>
      <c r="L4991" s="219" t="n"/>
      <c r="M4991" s="219" t="n"/>
      <c r="P4991" s="117" t="n"/>
      <c r="R4991" s="117" t="n"/>
      <c r="T4991" s="117" t="n"/>
    </row>
    <row r="4992">
      <c r="A4992" s="128" t="inlineStr">
        <is>
          <t>11465XXX</t>
        </is>
      </c>
      <c r="B4992" s="188" t="inlineStr">
        <is>
          <t>TAVERNITI JEAN DAMA</t>
        </is>
      </c>
      <c r="C4992" s="88" t="n">
        <v>97900</v>
      </c>
      <c r="D4992" s="153" t="n"/>
      <c r="E4992" s="153" t="n"/>
      <c r="F4992" s="153">
        <f>ROUND((C4992*G4992)/100,0)*100</f>
        <v/>
      </c>
      <c r="G4992" s="219" t="n">
        <v>1.1</v>
      </c>
      <c r="H4992" s="219" t="n"/>
      <c r="I4992" s="219" t="n"/>
      <c r="J4992" s="219" t="n"/>
      <c r="K4992" s="219" t="n"/>
      <c r="L4992" s="219" t="n"/>
      <c r="M4992" s="219" t="n"/>
      <c r="P4992" s="117" t="n"/>
      <c r="R4992" s="117" t="n"/>
      <c r="T4992" s="117" t="n"/>
    </row>
    <row r="4993">
      <c r="A4993" s="128" t="inlineStr">
        <is>
          <t>11471XXX</t>
        </is>
      </c>
      <c r="B4993" s="188" t="inlineStr">
        <is>
          <t>TAVERNITI JEAN DAMA</t>
        </is>
      </c>
      <c r="C4993" s="88" t="n">
        <v>90900</v>
      </c>
      <c r="D4993" s="153" t="n"/>
      <c r="E4993" s="153" t="n"/>
      <c r="F4993" s="153">
        <f>ROUND((C4993*G4993)/100,0)*100</f>
        <v/>
      </c>
      <c r="G4993" s="219" t="n">
        <v>1.1</v>
      </c>
      <c r="H4993" s="219" t="n"/>
      <c r="I4993" s="219" t="n"/>
      <c r="J4993" s="219" t="n"/>
      <c r="K4993" s="219" t="n"/>
      <c r="L4993" s="219" t="n"/>
      <c r="M4993" s="219" t="n"/>
      <c r="P4993" s="117" t="n"/>
      <c r="R4993" s="117" t="n"/>
      <c r="T4993" s="117" t="n"/>
    </row>
    <row r="4994">
      <c r="A4994" s="128" t="inlineStr">
        <is>
          <t>11477XXX</t>
        </is>
      </c>
      <c r="B4994" s="188" t="inlineStr">
        <is>
          <t>TAVERNITI JEAN DAMA</t>
        </is>
      </c>
      <c r="C4994" s="88" t="n">
        <v>95200</v>
      </c>
      <c r="D4994" s="153" t="n"/>
      <c r="E4994" s="153" t="n"/>
      <c r="F4994" s="153">
        <f>ROUND((C4994*G4994)/100,0)*100</f>
        <v/>
      </c>
      <c r="G4994" s="219" t="n">
        <v>1.1</v>
      </c>
      <c r="H4994" s="219" t="n"/>
      <c r="I4994" s="219" t="n"/>
      <c r="J4994" s="219" t="n"/>
      <c r="K4994" s="219" t="n"/>
      <c r="L4994" s="219" t="n"/>
      <c r="M4994" s="219" t="n"/>
      <c r="P4994" s="117" t="n"/>
      <c r="R4994" s="117" t="n"/>
      <c r="T4994" s="117" t="n"/>
    </row>
    <row r="4995">
      <c r="A4995" s="128" t="inlineStr">
        <is>
          <t>11479XXX</t>
        </is>
      </c>
      <c r="B4995" s="188" t="inlineStr">
        <is>
          <t>TAVERNITI JEAN DAMA</t>
        </is>
      </c>
      <c r="C4995" s="88" t="n">
        <v>86900</v>
      </c>
      <c r="D4995" s="153" t="n"/>
      <c r="E4995" s="153" t="n"/>
      <c r="F4995" s="153">
        <f>ROUND((C4995*G4995)/100,0)*100</f>
        <v/>
      </c>
      <c r="G4995" s="219" t="n">
        <v>1.1</v>
      </c>
      <c r="H4995" s="219" t="n"/>
      <c r="I4995" s="219" t="n"/>
      <c r="J4995" s="219" t="n"/>
      <c r="K4995" s="219" t="n"/>
      <c r="L4995" s="219" t="n"/>
      <c r="M4995" s="219" t="n"/>
      <c r="P4995" s="117" t="n"/>
      <c r="R4995" s="117" t="n"/>
      <c r="T4995" s="117" t="n"/>
    </row>
    <row r="4996">
      <c r="A4996" s="128" t="inlineStr">
        <is>
          <t>11495XXX</t>
        </is>
      </c>
      <c r="B4996" s="188" t="inlineStr">
        <is>
          <t>TAVERNITI JEAN DAMA</t>
        </is>
      </c>
      <c r="C4996" s="88" t="n">
        <v>92000</v>
      </c>
      <c r="D4996" s="153" t="n"/>
      <c r="E4996" s="153" t="n"/>
      <c r="F4996" s="153">
        <f>ROUND((C4996*G4996)/100,0)*100</f>
        <v/>
      </c>
      <c r="G4996" s="219" t="n">
        <v>1.1</v>
      </c>
      <c r="H4996" s="219" t="n"/>
      <c r="I4996" s="219" t="n"/>
      <c r="J4996" s="219" t="n"/>
      <c r="K4996" s="219" t="n"/>
      <c r="L4996" s="219" t="n"/>
      <c r="M4996" s="219" t="n"/>
      <c r="P4996" s="117" t="n"/>
      <c r="R4996" s="117" t="n"/>
      <c r="T4996" s="117" t="n"/>
    </row>
    <row r="4997">
      <c r="A4997" s="128" t="inlineStr">
        <is>
          <t>11505XXX</t>
        </is>
      </c>
      <c r="B4997" s="188" t="inlineStr">
        <is>
          <t>TAVERNITI JEAN DAMA</t>
        </is>
      </c>
      <c r="C4997" s="88" t="n">
        <v>90900</v>
      </c>
      <c r="D4997" s="153" t="n"/>
      <c r="E4997" s="153" t="n"/>
      <c r="F4997" s="153">
        <f>ROUND((C4997*G4997)/100,0)*100</f>
        <v/>
      </c>
      <c r="G4997" s="219" t="n">
        <v>1.1</v>
      </c>
      <c r="H4997" s="219" t="n"/>
      <c r="I4997" s="219" t="n"/>
      <c r="J4997" s="219" t="n"/>
      <c r="K4997" s="219" t="n"/>
      <c r="L4997" s="219" t="n"/>
      <c r="M4997" s="219" t="n"/>
      <c r="P4997" s="117" t="n"/>
      <c r="R4997" s="117" t="n"/>
      <c r="T4997" s="117" t="n"/>
    </row>
    <row r="4998">
      <c r="A4998" s="134" t="inlineStr">
        <is>
          <t>11513XXX</t>
        </is>
      </c>
      <c r="B4998" s="246" t="inlineStr">
        <is>
          <t>TAVERNITI JEAN DAMA</t>
        </is>
      </c>
      <c r="C4998" s="88" t="n">
        <v>91900</v>
      </c>
      <c r="D4998" s="111" t="n"/>
      <c r="E4998" s="111" t="n"/>
      <c r="F4998" s="219">
        <f>ROUND((C4998*G4998)/100,0)*100</f>
        <v/>
      </c>
      <c r="G4998" s="219" t="n">
        <v>1.1</v>
      </c>
      <c r="H4998" s="170" t="n"/>
      <c r="I4998" s="170" t="n"/>
      <c r="J4998" s="170" t="n"/>
      <c r="K4998" s="170" t="n"/>
      <c r="L4998" s="170" t="n"/>
      <c r="M4998" s="170" t="n"/>
      <c r="N4998" s="30" t="n"/>
      <c r="O4998" s="30" t="n"/>
      <c r="P4998" s="170" t="n"/>
      <c r="Q4998" s="30" t="n"/>
      <c r="R4998" s="170" t="n"/>
      <c r="S4998" s="30" t="n"/>
      <c r="T4998" s="170" t="n"/>
      <c r="U4998" s="30" t="n"/>
      <c r="V4998" s="30" t="n"/>
      <c r="W4998" s="30" t="n"/>
      <c r="X4998" s="30" t="n"/>
      <c r="Y4998" s="30" t="n"/>
      <c r="Z4998" s="30" t="n"/>
      <c r="AA4998" s="30" t="n"/>
      <c r="AB4998" s="30" t="n"/>
      <c r="AC4998" s="30" t="n"/>
      <c r="AD4998" s="30" t="n"/>
      <c r="AE4998" s="30" t="n"/>
      <c r="AF4998" s="30" t="n"/>
      <c r="AG4998" s="30" t="n"/>
      <c r="AH4998" s="30" t="n"/>
      <c r="AI4998" s="30" t="n"/>
      <c r="AJ4998" s="30" t="n"/>
      <c r="AK4998" s="30" t="n"/>
      <c r="AL4998" s="30" t="n"/>
      <c r="AM4998" s="30" t="n"/>
      <c r="AN4998" s="30" t="n"/>
      <c r="AO4998" s="30" t="n"/>
    </row>
    <row r="4999">
      <c r="A4999" s="128" t="inlineStr">
        <is>
          <t>11515XXX</t>
        </is>
      </c>
      <c r="B4999" s="188" t="inlineStr">
        <is>
          <t>TAVERNITI JEAN DAMA</t>
        </is>
      </c>
      <c r="C4999" s="88" t="n">
        <v>90900</v>
      </c>
      <c r="D4999" s="153" t="n"/>
      <c r="E4999" s="153" t="n"/>
      <c r="F4999" s="153">
        <f>ROUND((C4999*G4999)/100,0)*100</f>
        <v/>
      </c>
      <c r="G4999" s="219" t="n">
        <v>1.1</v>
      </c>
      <c r="H4999" s="219" t="n"/>
      <c r="I4999" s="219" t="n"/>
      <c r="J4999" s="219" t="n"/>
      <c r="K4999" s="219" t="n"/>
      <c r="L4999" s="219" t="n"/>
      <c r="M4999" s="219" t="n"/>
      <c r="P4999" s="117" t="n"/>
      <c r="R4999" s="117" t="n"/>
      <c r="T4999" s="117" t="n"/>
    </row>
    <row r="5000">
      <c r="A5000" s="134" t="inlineStr">
        <is>
          <t>11517XXX</t>
        </is>
      </c>
      <c r="B5000" s="246" t="inlineStr">
        <is>
          <t>TAVERNITI JEAN DAMA</t>
        </is>
      </c>
      <c r="C5000" s="88" t="n">
        <v>90900</v>
      </c>
      <c r="D5000" s="111" t="n"/>
      <c r="E5000" s="111" t="n"/>
      <c r="F5000" s="111">
        <f>ROUND((C5000*G5000)/100,0)*100</f>
        <v/>
      </c>
      <c r="G5000" s="219" t="n">
        <v>1.1</v>
      </c>
      <c r="H5000" s="170" t="n"/>
      <c r="I5000" s="170" t="n"/>
      <c r="J5000" s="170" t="n"/>
      <c r="K5000" s="170" t="n"/>
      <c r="L5000" s="170" t="n"/>
      <c r="M5000" s="170" t="n"/>
      <c r="N5000" s="30" t="n"/>
      <c r="O5000" s="30" t="n"/>
      <c r="P5000" s="170" t="n"/>
      <c r="Q5000" s="30" t="n"/>
      <c r="R5000" s="170" t="n"/>
      <c r="S5000" s="30" t="n"/>
      <c r="T5000" s="170" t="n"/>
      <c r="U5000" s="30" t="n"/>
      <c r="V5000" s="30" t="n"/>
      <c r="W5000" s="30" t="n"/>
      <c r="X5000" s="30" t="n"/>
      <c r="Y5000" s="30" t="n"/>
      <c r="Z5000" s="30" t="n"/>
      <c r="AA5000" s="30" t="n"/>
      <c r="AB5000" s="30" t="n"/>
      <c r="AC5000" s="30" t="n"/>
      <c r="AD5000" s="30" t="n"/>
      <c r="AE5000" s="30" t="n"/>
      <c r="AF5000" s="30" t="n"/>
      <c r="AG5000" s="30" t="n"/>
      <c r="AH5000" s="30" t="n"/>
      <c r="AI5000" s="30" t="n"/>
      <c r="AJ5000" s="30" t="n"/>
      <c r="AK5000" s="30" t="n"/>
      <c r="AL5000" s="30" t="n"/>
      <c r="AM5000" s="30" t="n"/>
      <c r="AN5000" s="30" t="n"/>
    </row>
    <row r="5001">
      <c r="A5001" s="134" t="inlineStr">
        <is>
          <t>11521XXX</t>
        </is>
      </c>
      <c r="B5001" s="246" t="inlineStr">
        <is>
          <t>TAVERNITI JEAN DAMA</t>
        </is>
      </c>
      <c r="C5001" s="88" t="n">
        <v>90900</v>
      </c>
      <c r="D5001" s="111" t="n"/>
      <c r="E5001" s="111" t="n"/>
      <c r="F5001" s="219">
        <f>ROUND((C5001*G5001)/100,0)*100</f>
        <v/>
      </c>
      <c r="G5001" s="219" t="n">
        <v>1.1</v>
      </c>
      <c r="H5001" s="170" t="n"/>
      <c r="I5001" s="170" t="n"/>
      <c r="J5001" s="170" t="n"/>
      <c r="K5001" s="170" t="n"/>
      <c r="L5001" s="170" t="n"/>
      <c r="M5001" s="170" t="n"/>
      <c r="N5001" s="30" t="n"/>
      <c r="O5001" s="30" t="n"/>
      <c r="P5001" s="170" t="n"/>
      <c r="Q5001" s="30" t="n"/>
      <c r="R5001" s="170" t="n"/>
      <c r="S5001" s="30" t="n"/>
      <c r="T5001" s="170" t="n"/>
      <c r="U5001" s="30" t="n"/>
      <c r="V5001" s="30" t="n"/>
      <c r="W5001" s="30" t="n"/>
      <c r="X5001" s="30" t="n"/>
      <c r="Y5001" s="30" t="n"/>
      <c r="Z5001" s="30" t="n"/>
      <c r="AA5001" s="30" t="n"/>
      <c r="AB5001" s="30" t="n"/>
      <c r="AC5001" s="30" t="n"/>
      <c r="AD5001" s="30" t="n"/>
      <c r="AE5001" s="30" t="n"/>
      <c r="AF5001" s="30" t="n"/>
      <c r="AG5001" s="30" t="n"/>
      <c r="AH5001" s="30" t="n"/>
      <c r="AI5001" s="30" t="n"/>
      <c r="AJ5001" s="30" t="n"/>
      <c r="AK5001" s="30" t="n"/>
      <c r="AL5001" s="30" t="n"/>
      <c r="AM5001" s="30" t="n"/>
      <c r="AN5001" s="30" t="n"/>
      <c r="AO5001" s="30" t="n"/>
    </row>
    <row r="5002">
      <c r="A5002" s="134" t="inlineStr">
        <is>
          <t>11527XXX</t>
        </is>
      </c>
      <c r="B5002" s="246" t="inlineStr">
        <is>
          <t>TAVERNITI JEAN DAMA</t>
        </is>
      </c>
      <c r="C5002" s="88" t="n">
        <v>90900</v>
      </c>
      <c r="D5002" s="111" t="n"/>
      <c r="E5002" s="111" t="n"/>
      <c r="F5002" s="219">
        <f>ROUND((C5002*G5002)/100,0)*100</f>
        <v/>
      </c>
      <c r="G5002" s="219" t="n">
        <v>1.1</v>
      </c>
      <c r="H5002" s="170" t="n"/>
      <c r="I5002" s="170" t="n"/>
      <c r="J5002" s="170" t="n"/>
      <c r="K5002" s="170" t="n"/>
      <c r="L5002" s="170" t="n"/>
      <c r="M5002" s="170" t="n"/>
      <c r="N5002" s="30" t="n"/>
      <c r="O5002" s="30" t="n"/>
      <c r="P5002" s="170" t="n"/>
      <c r="Q5002" s="30" t="n"/>
      <c r="R5002" s="170" t="n"/>
      <c r="S5002" s="30" t="n"/>
      <c r="T5002" s="170" t="n"/>
      <c r="U5002" s="30" t="n"/>
      <c r="V5002" s="30" t="n"/>
      <c r="W5002" s="30" t="n"/>
      <c r="X5002" s="30" t="n"/>
      <c r="Y5002" s="30" t="n"/>
      <c r="Z5002" s="30" t="n"/>
      <c r="AA5002" s="30" t="n"/>
      <c r="AB5002" s="30" t="n"/>
      <c r="AC5002" s="30" t="n"/>
      <c r="AD5002" s="30" t="n"/>
      <c r="AE5002" s="30" t="n"/>
      <c r="AF5002" s="30" t="n"/>
      <c r="AG5002" s="30" t="n"/>
      <c r="AH5002" s="30" t="n"/>
      <c r="AI5002" s="30" t="n"/>
      <c r="AJ5002" s="30" t="n"/>
      <c r="AK5002" s="30" t="n"/>
      <c r="AL5002" s="30" t="n"/>
      <c r="AM5002" s="30" t="n"/>
      <c r="AN5002" s="30" t="n"/>
      <c r="AO5002" s="30" t="n"/>
    </row>
    <row r="5003">
      <c r="A5003" s="89" t="inlineStr">
        <is>
          <t>11533XXX</t>
        </is>
      </c>
      <c r="B5003" s="135" t="inlineStr">
        <is>
          <t>TAVERNITI JEAN DAMA</t>
        </is>
      </c>
      <c r="C5003" s="88" t="n">
        <v>90900</v>
      </c>
      <c r="D5003" s="170" t="n"/>
      <c r="E5003" s="170" t="n"/>
      <c r="F5003" s="88">
        <f>ROUND((C5003*G5003)/100,0)*100</f>
        <v/>
      </c>
      <c r="G5003" s="219" t="n">
        <v>1.1</v>
      </c>
      <c r="H5003" s="170" t="n"/>
      <c r="I5003" s="170" t="n"/>
      <c r="J5003" s="170" t="n"/>
      <c r="K5003" s="170" t="n"/>
      <c r="L5003" s="170" t="n"/>
      <c r="M5003" s="170" t="n"/>
      <c r="N5003" s="30" t="n"/>
      <c r="O5003" s="30" t="n"/>
      <c r="P5003" s="170" t="n"/>
      <c r="Q5003" s="30" t="n"/>
      <c r="R5003" s="170" t="n"/>
      <c r="S5003" s="30" t="n"/>
      <c r="T5003" s="170" t="n"/>
      <c r="U5003" s="30" t="n"/>
      <c r="V5003" s="30" t="n"/>
      <c r="W5003" s="30" t="n"/>
      <c r="X5003" s="30" t="n"/>
      <c r="Y5003" s="30" t="n"/>
      <c r="Z5003" s="30" t="n"/>
      <c r="AA5003" s="30" t="n"/>
      <c r="AB5003" s="30" t="n"/>
      <c r="AC5003" s="30" t="n"/>
      <c r="AD5003" s="30" t="n"/>
      <c r="AE5003" s="30" t="n"/>
      <c r="AF5003" s="30" t="n"/>
      <c r="AG5003" s="30" t="n"/>
      <c r="AH5003" s="30" t="n"/>
      <c r="AI5003" s="30" t="n"/>
      <c r="AJ5003" s="30" t="n"/>
      <c r="AK5003" s="30" t="n"/>
      <c r="AL5003" s="30" t="n"/>
      <c r="AM5003" s="30" t="n"/>
      <c r="AN5003" s="30" t="n"/>
      <c r="AO5003" s="30" t="n"/>
    </row>
    <row r="5004">
      <c r="A5004" s="134" t="inlineStr">
        <is>
          <t>11535XXX</t>
        </is>
      </c>
      <c r="B5004" s="246" t="inlineStr">
        <is>
          <t>TAVERNITI JEAN DAMA</t>
        </is>
      </c>
      <c r="C5004" s="88" t="n">
        <v>90900</v>
      </c>
      <c r="D5004" s="111" t="n"/>
      <c r="E5004" s="111" t="n"/>
      <c r="F5004" s="219">
        <f>ROUND((C5004*G5004)/100,0)*100</f>
        <v/>
      </c>
      <c r="G5004" s="219" t="n">
        <v>1.1</v>
      </c>
      <c r="H5004" s="170" t="n"/>
      <c r="I5004" s="170" t="n"/>
      <c r="J5004" s="170" t="n"/>
      <c r="K5004" s="170" t="n"/>
      <c r="L5004" s="170" t="n"/>
      <c r="M5004" s="170" t="n"/>
      <c r="N5004" s="30" t="n"/>
      <c r="O5004" s="30" t="n"/>
      <c r="P5004" s="170" t="n"/>
      <c r="Q5004" s="30" t="n"/>
      <c r="R5004" s="170" t="n"/>
      <c r="S5004" s="30" t="n"/>
      <c r="T5004" s="170" t="n"/>
      <c r="U5004" s="30" t="n"/>
      <c r="V5004" s="30" t="n"/>
      <c r="W5004" s="30" t="n"/>
      <c r="X5004" s="30" t="n"/>
      <c r="Y5004" s="30" t="n"/>
      <c r="Z5004" s="30" t="n"/>
      <c r="AA5004" s="30" t="n"/>
      <c r="AB5004" s="30" t="n"/>
      <c r="AC5004" s="30" t="n"/>
      <c r="AD5004" s="30" t="n"/>
      <c r="AE5004" s="30" t="n"/>
      <c r="AF5004" s="30" t="n"/>
      <c r="AG5004" s="30" t="n"/>
      <c r="AH5004" s="30" t="n"/>
      <c r="AI5004" s="30" t="n"/>
      <c r="AJ5004" s="30" t="n"/>
      <c r="AK5004" s="30" t="n"/>
      <c r="AL5004" s="30" t="n"/>
      <c r="AM5004" s="30" t="n"/>
      <c r="AN5004" s="30" t="n"/>
      <c r="AO5004" s="30" t="n"/>
    </row>
    <row r="5005">
      <c r="A5005" s="128" t="inlineStr">
        <is>
          <t>11539XXX</t>
        </is>
      </c>
      <c r="B5005" s="188" t="inlineStr">
        <is>
          <t>TAVERNITI JEAN DAMA</t>
        </is>
      </c>
      <c r="C5005" s="88" t="n">
        <v>90900</v>
      </c>
      <c r="D5005" s="153" t="n"/>
      <c r="E5005" s="153" t="n"/>
      <c r="F5005" s="153">
        <f>ROUND((C5005*G5005)/100,0)*100</f>
        <v/>
      </c>
      <c r="G5005" s="219" t="n">
        <v>1.1</v>
      </c>
      <c r="H5005" s="219" t="n"/>
      <c r="I5005" s="219" t="n"/>
      <c r="J5005" s="219" t="n"/>
      <c r="K5005" s="219" t="n"/>
      <c r="L5005" s="219" t="n"/>
      <c r="M5005" s="219" t="n"/>
      <c r="P5005" s="117" t="n"/>
      <c r="R5005" s="117" t="n"/>
      <c r="T5005" s="117" t="n"/>
    </row>
    <row r="5006">
      <c r="A5006" s="89" t="inlineStr">
        <is>
          <t>11543XXX</t>
        </is>
      </c>
      <c r="B5006" s="135" t="inlineStr">
        <is>
          <t>TAVERNITI JEAN DAMA</t>
        </is>
      </c>
      <c r="C5006" s="88" t="n">
        <v>92600</v>
      </c>
      <c r="D5006" s="170" t="n"/>
      <c r="E5006" s="170" t="n"/>
      <c r="F5006" s="88">
        <f>ROUND((C5006*G5006)/100,0)*100</f>
        <v/>
      </c>
      <c r="G5006" s="219" t="n">
        <v>1.1</v>
      </c>
      <c r="H5006" s="170" t="n"/>
      <c r="I5006" s="170" t="n"/>
      <c r="J5006" s="170" t="n"/>
      <c r="K5006" s="170" t="n"/>
      <c r="L5006" s="170" t="n"/>
      <c r="M5006" s="170" t="n"/>
      <c r="N5006" s="30" t="n"/>
      <c r="O5006" s="30" t="n"/>
      <c r="P5006" s="170" t="n"/>
      <c r="Q5006" s="30" t="n"/>
      <c r="R5006" s="170" t="n"/>
      <c r="S5006" s="30" t="n"/>
      <c r="T5006" s="170" t="n"/>
      <c r="U5006" s="30" t="n"/>
      <c r="V5006" s="30" t="n"/>
      <c r="W5006" s="30" t="n"/>
      <c r="X5006" s="30" t="n"/>
      <c r="Y5006" s="30" t="n"/>
      <c r="Z5006" s="30" t="n"/>
      <c r="AA5006" s="30" t="n"/>
      <c r="AB5006" s="30" t="n"/>
      <c r="AC5006" s="30" t="n"/>
      <c r="AD5006" s="30" t="n"/>
      <c r="AE5006" s="30" t="n"/>
      <c r="AF5006" s="30" t="n"/>
      <c r="AG5006" s="30" t="n"/>
      <c r="AH5006" s="30" t="n"/>
      <c r="AI5006" s="30" t="n"/>
      <c r="AJ5006" s="30" t="n"/>
      <c r="AK5006" s="30" t="n"/>
      <c r="AL5006" s="30" t="n"/>
      <c r="AM5006" s="30" t="n"/>
      <c r="AN5006" s="30" t="n"/>
      <c r="AO5006" s="30" t="n"/>
    </row>
    <row r="5007">
      <c r="A5007" s="89" t="inlineStr">
        <is>
          <t>11547XXX</t>
        </is>
      </c>
      <c r="B5007" s="135" t="inlineStr">
        <is>
          <t>TAVERNITI JEAN DAMA</t>
        </is>
      </c>
      <c r="C5007" s="88" t="n">
        <v>102300</v>
      </c>
      <c r="D5007" s="170" t="n"/>
      <c r="E5007" s="170" t="n"/>
      <c r="F5007" s="88">
        <f>ROUND((C5007*G5007)/100,0)*100</f>
        <v/>
      </c>
      <c r="G5007" s="219" t="n">
        <v>1.1</v>
      </c>
      <c r="H5007" s="170" t="n"/>
      <c r="I5007" s="170" t="n"/>
      <c r="J5007" s="170" t="n"/>
      <c r="K5007" s="170" t="n"/>
      <c r="L5007" s="170" t="n"/>
      <c r="M5007" s="170" t="n"/>
      <c r="N5007" s="30" t="n"/>
      <c r="O5007" s="30" t="n"/>
      <c r="P5007" s="170" t="n"/>
      <c r="Q5007" s="30" t="n"/>
      <c r="R5007" s="170" t="n"/>
      <c r="S5007" s="30" t="n"/>
      <c r="T5007" s="170" t="n"/>
      <c r="U5007" s="30" t="n"/>
      <c r="V5007" s="30" t="n"/>
      <c r="W5007" s="30" t="n"/>
      <c r="X5007" s="30" t="n"/>
      <c r="Y5007" s="30" t="n"/>
      <c r="Z5007" s="30" t="n"/>
      <c r="AA5007" s="30" t="n"/>
      <c r="AB5007" s="30" t="n"/>
      <c r="AC5007" s="30" t="n"/>
      <c r="AD5007" s="30" t="n"/>
      <c r="AE5007" s="30" t="n"/>
      <c r="AF5007" s="30" t="n"/>
      <c r="AG5007" s="30" t="n"/>
      <c r="AH5007" s="30" t="n"/>
      <c r="AI5007" s="30" t="n"/>
      <c r="AJ5007" s="30" t="n"/>
      <c r="AK5007" s="30" t="n"/>
      <c r="AL5007" s="30" t="n"/>
      <c r="AM5007" s="30" t="n"/>
      <c r="AN5007" s="30" t="n"/>
      <c r="AO5007" s="30" t="n"/>
    </row>
    <row r="5008">
      <c r="A5008" s="89" t="inlineStr">
        <is>
          <t>11555XXX</t>
        </is>
      </c>
      <c r="B5008" s="135" t="inlineStr">
        <is>
          <t>TAVERNITI JEAN DAMA</t>
        </is>
      </c>
      <c r="C5008" s="88" t="n">
        <v>91900</v>
      </c>
      <c r="D5008" s="170" t="n"/>
      <c r="E5008" s="170" t="n"/>
      <c r="F5008" s="88">
        <f>ROUND((C5008*G5008)/100,0)*100</f>
        <v/>
      </c>
      <c r="G5008" s="219" t="n">
        <v>1.1</v>
      </c>
      <c r="H5008" s="170" t="n"/>
      <c r="I5008" s="170" t="n"/>
      <c r="J5008" s="170" t="n"/>
      <c r="K5008" s="170" t="n"/>
      <c r="L5008" s="170" t="n"/>
      <c r="M5008" s="170" t="n"/>
      <c r="N5008" s="30" t="n"/>
      <c r="O5008" s="30" t="n"/>
      <c r="P5008" s="170" t="n"/>
      <c r="Q5008" s="30" t="n"/>
      <c r="R5008" s="170" t="n"/>
      <c r="S5008" s="30" t="n"/>
      <c r="T5008" s="170" t="n"/>
      <c r="U5008" s="30" t="n"/>
      <c r="V5008" s="30" t="n"/>
      <c r="W5008" s="30" t="n"/>
      <c r="X5008" s="30" t="n"/>
      <c r="Y5008" s="30" t="n"/>
      <c r="Z5008" s="30" t="n"/>
      <c r="AA5008" s="30" t="n"/>
      <c r="AB5008" s="30" t="n"/>
      <c r="AC5008" s="30" t="n"/>
      <c r="AD5008" s="30" t="n"/>
      <c r="AE5008" s="30" t="n"/>
      <c r="AF5008" s="30" t="n"/>
      <c r="AG5008" s="30" t="n"/>
      <c r="AH5008" s="30" t="n"/>
      <c r="AI5008" s="30" t="n"/>
      <c r="AJ5008" s="30" t="n"/>
      <c r="AK5008" s="30" t="n"/>
      <c r="AL5008" s="30" t="n"/>
      <c r="AM5008" s="30" t="n"/>
      <c r="AN5008" s="30" t="n"/>
      <c r="AO5008" s="30" t="n"/>
    </row>
    <row r="5009">
      <c r="A5009" s="89" t="inlineStr">
        <is>
          <t>11559XXX</t>
        </is>
      </c>
      <c r="B5009" s="135" t="inlineStr">
        <is>
          <t>TAVERNITI JEAN DAMA</t>
        </is>
      </c>
      <c r="C5009" s="88" t="n">
        <v>86900</v>
      </c>
      <c r="D5009" s="170" t="n"/>
      <c r="E5009" s="170" t="n"/>
      <c r="F5009" s="88">
        <f>ROUND((C5009*G5009)/100,0)*100</f>
        <v/>
      </c>
      <c r="G5009" s="219" t="n">
        <v>1.1</v>
      </c>
      <c r="H5009" s="170" t="n"/>
      <c r="I5009" s="170" t="n"/>
      <c r="J5009" s="170" t="n"/>
      <c r="K5009" s="170" t="n"/>
      <c r="L5009" s="170" t="n"/>
      <c r="M5009" s="170" t="n"/>
      <c r="N5009" s="30" t="n"/>
      <c r="O5009" s="30" t="n"/>
      <c r="P5009" s="170" t="n"/>
      <c r="Q5009" s="30" t="n"/>
      <c r="R5009" s="170" t="n"/>
      <c r="S5009" s="30" t="n"/>
      <c r="T5009" s="170" t="n"/>
      <c r="U5009" s="30" t="n"/>
      <c r="V5009" s="30" t="n"/>
      <c r="W5009" s="30" t="n"/>
      <c r="X5009" s="30" t="n"/>
      <c r="Y5009" s="30" t="n"/>
      <c r="Z5009" s="30" t="n"/>
      <c r="AA5009" s="30" t="n"/>
      <c r="AB5009" s="30" t="n"/>
      <c r="AC5009" s="30" t="n"/>
      <c r="AD5009" s="30" t="n"/>
      <c r="AE5009" s="30" t="n"/>
      <c r="AF5009" s="30" t="n"/>
      <c r="AG5009" s="30" t="n"/>
      <c r="AH5009" s="30" t="n"/>
      <c r="AI5009" s="30" t="n"/>
      <c r="AJ5009" s="30" t="n"/>
      <c r="AK5009" s="30" t="n"/>
      <c r="AL5009" s="30" t="n"/>
      <c r="AM5009" s="30" t="n"/>
      <c r="AN5009" s="30" t="n"/>
      <c r="AO5009" s="30" t="n"/>
    </row>
    <row r="5010">
      <c r="A5010" s="134" t="inlineStr">
        <is>
          <t>11565XXX</t>
        </is>
      </c>
      <c r="B5010" s="246" t="inlineStr">
        <is>
          <t>TAVERNITI JEAN DAMA</t>
        </is>
      </c>
      <c r="C5010" s="88" t="n">
        <v>88800</v>
      </c>
      <c r="D5010" s="111" t="n"/>
      <c r="E5010" s="111" t="n"/>
      <c r="F5010" s="219">
        <f>ROUND((C5010*G5010)/100,0)*100</f>
        <v/>
      </c>
      <c r="G5010" s="219" t="n">
        <v>1.1</v>
      </c>
      <c r="H5010" s="170" t="n"/>
      <c r="I5010" s="170" t="n"/>
      <c r="J5010" s="170" t="n"/>
      <c r="K5010" s="170" t="n"/>
      <c r="L5010" s="170" t="n"/>
      <c r="M5010" s="170" t="n"/>
      <c r="N5010" s="30" t="n"/>
      <c r="O5010" s="30" t="n"/>
      <c r="P5010" s="170" t="n"/>
      <c r="Q5010" s="30" t="n"/>
      <c r="R5010" s="170" t="n"/>
      <c r="S5010" s="30" t="n"/>
      <c r="T5010" s="170" t="n"/>
      <c r="U5010" s="30" t="n"/>
      <c r="V5010" s="30" t="n"/>
      <c r="W5010" s="30" t="n"/>
      <c r="X5010" s="30" t="n"/>
      <c r="Y5010" s="30" t="n"/>
      <c r="Z5010" s="30" t="n"/>
      <c r="AA5010" s="30" t="n"/>
      <c r="AB5010" s="30" t="n"/>
      <c r="AC5010" s="30" t="n"/>
      <c r="AD5010" s="30" t="n"/>
      <c r="AE5010" s="30" t="n"/>
      <c r="AF5010" s="30" t="n"/>
      <c r="AG5010" s="30" t="n"/>
      <c r="AH5010" s="30" t="n"/>
      <c r="AI5010" s="30" t="n"/>
      <c r="AJ5010" s="30" t="n"/>
      <c r="AK5010" s="30" t="n"/>
      <c r="AL5010" s="30" t="n"/>
      <c r="AM5010" s="30" t="n"/>
      <c r="AN5010" s="30" t="n"/>
      <c r="AO5010" s="30" t="n"/>
    </row>
    <row r="5011">
      <c r="A5011" s="89" t="inlineStr">
        <is>
          <t>11569XXX</t>
        </is>
      </c>
      <c r="B5011" s="135" t="inlineStr">
        <is>
          <t>TAVERNITI JEAN DAMA</t>
        </is>
      </c>
      <c r="C5011" s="88" t="n">
        <v>95200</v>
      </c>
      <c r="D5011" s="170" t="n"/>
      <c r="E5011" s="170" t="n"/>
      <c r="F5011" s="88">
        <f>ROUND((C5011*G5011)/100,0)*100</f>
        <v/>
      </c>
      <c r="G5011" s="219" t="n">
        <v>1.1</v>
      </c>
      <c r="H5011" s="170" t="n"/>
      <c r="I5011" s="170" t="n"/>
      <c r="J5011" s="170" t="n"/>
      <c r="K5011" s="170" t="n"/>
      <c r="L5011" s="170" t="n"/>
      <c r="M5011" s="170" t="n"/>
      <c r="N5011" s="30" t="n"/>
      <c r="O5011" s="30" t="n"/>
      <c r="P5011" s="170" t="n"/>
      <c r="Q5011" s="30" t="n"/>
      <c r="R5011" s="170" t="n"/>
      <c r="S5011" s="30" t="n"/>
      <c r="T5011" s="170" t="n"/>
      <c r="U5011" s="30" t="n"/>
      <c r="V5011" s="30" t="n"/>
      <c r="W5011" s="30" t="n"/>
      <c r="X5011" s="30" t="n"/>
      <c r="Y5011" s="30" t="n"/>
      <c r="Z5011" s="30" t="n"/>
      <c r="AA5011" s="30" t="n"/>
      <c r="AB5011" s="30" t="n"/>
      <c r="AC5011" s="30" t="n"/>
      <c r="AD5011" s="30" t="n"/>
      <c r="AE5011" s="30" t="n"/>
      <c r="AF5011" s="30" t="n"/>
      <c r="AG5011" s="30" t="n"/>
      <c r="AH5011" s="30" t="n"/>
      <c r="AI5011" s="30" t="n"/>
      <c r="AJ5011" s="30" t="n"/>
      <c r="AK5011" s="30" t="n"/>
      <c r="AL5011" s="30" t="n"/>
      <c r="AM5011" s="30" t="n"/>
      <c r="AN5011" s="30" t="n"/>
      <c r="AO5011" s="30" t="n"/>
    </row>
    <row r="5012">
      <c r="A5012" s="134" t="inlineStr">
        <is>
          <t>11583XXX</t>
        </is>
      </c>
      <c r="B5012" s="246" t="inlineStr">
        <is>
          <t>TAVERNITI JEAN DAMA</t>
        </is>
      </c>
      <c r="C5012" s="88" t="n">
        <v>95200</v>
      </c>
      <c r="D5012" s="111" t="n"/>
      <c r="E5012" s="111" t="n"/>
      <c r="F5012" s="219">
        <f>ROUND((C5012*G5012)/100,0)*100</f>
        <v/>
      </c>
      <c r="G5012" s="219" t="n">
        <v>1.1</v>
      </c>
      <c r="H5012" s="170" t="n"/>
      <c r="I5012" s="170" t="n"/>
      <c r="J5012" s="170" t="n"/>
      <c r="K5012" s="170" t="n"/>
      <c r="L5012" s="170" t="n"/>
      <c r="M5012" s="170" t="n"/>
      <c r="N5012" s="30" t="n"/>
      <c r="O5012" s="30" t="n"/>
      <c r="P5012" s="170" t="n"/>
      <c r="Q5012" s="30" t="n"/>
      <c r="R5012" s="170" t="n"/>
      <c r="S5012" s="30" t="n"/>
      <c r="T5012" s="170" t="n"/>
      <c r="U5012" s="30" t="n"/>
      <c r="V5012" s="30" t="n"/>
      <c r="W5012" s="30" t="n"/>
      <c r="X5012" s="30" t="n"/>
      <c r="Y5012" s="30" t="n"/>
      <c r="Z5012" s="30" t="n"/>
      <c r="AA5012" s="30" t="n"/>
      <c r="AB5012" s="30" t="n"/>
      <c r="AC5012" s="30" t="n"/>
      <c r="AD5012" s="30" t="n"/>
      <c r="AE5012" s="30" t="n"/>
      <c r="AF5012" s="30" t="n"/>
      <c r="AG5012" s="30" t="n"/>
      <c r="AH5012" s="30" t="n"/>
      <c r="AI5012" s="30" t="n"/>
      <c r="AJ5012" s="30" t="n"/>
      <c r="AK5012" s="30" t="n"/>
      <c r="AL5012" s="30" t="n"/>
      <c r="AM5012" s="30" t="n"/>
      <c r="AN5012" s="30" t="n"/>
      <c r="AO5012" s="30" t="n"/>
    </row>
    <row r="5013">
      <c r="A5013" s="128" t="inlineStr">
        <is>
          <t>11585XXX</t>
        </is>
      </c>
      <c r="B5013" s="188" t="inlineStr">
        <is>
          <t>TAVERNITI JEAN DAMA</t>
        </is>
      </c>
      <c r="C5013" s="88" t="n">
        <v>95200</v>
      </c>
      <c r="D5013" s="153" t="n"/>
      <c r="E5013" s="153" t="n"/>
      <c r="F5013" s="153">
        <f>ROUND((C5013*G5013)/100,0)*100</f>
        <v/>
      </c>
      <c r="G5013" s="219" t="n">
        <v>1.1</v>
      </c>
      <c r="H5013" s="219" t="n"/>
      <c r="I5013" s="219" t="n"/>
      <c r="J5013" s="219" t="n"/>
      <c r="K5013" s="219" t="n"/>
      <c r="L5013" s="219" t="n"/>
      <c r="M5013" s="219" t="n"/>
      <c r="P5013" s="117" t="n"/>
      <c r="R5013" s="117" t="n"/>
      <c r="T5013" s="117" t="n"/>
    </row>
    <row r="5014">
      <c r="A5014" s="128" t="inlineStr">
        <is>
          <t>11595XXX</t>
        </is>
      </c>
      <c r="B5014" s="188" t="inlineStr">
        <is>
          <t>TAVERNITI JEAN DAMA</t>
        </is>
      </c>
      <c r="C5014" s="88" t="n">
        <v>95200</v>
      </c>
      <c r="D5014" s="153" t="n"/>
      <c r="E5014" s="153" t="n"/>
      <c r="F5014" s="153">
        <f>ROUND((C5014*G5014)/100,0)*100</f>
        <v/>
      </c>
      <c r="G5014" s="219" t="n">
        <v>1.1</v>
      </c>
      <c r="H5014" s="219" t="n"/>
      <c r="I5014" s="219" t="n"/>
      <c r="J5014" s="219" t="n"/>
      <c r="K5014" s="219" t="n"/>
      <c r="L5014" s="219" t="n"/>
      <c r="M5014" s="219" t="n"/>
      <c r="P5014" s="117" t="n"/>
      <c r="R5014" s="117" t="n"/>
      <c r="T5014" s="117" t="n"/>
    </row>
    <row r="5015">
      <c r="A5015" s="134" t="inlineStr">
        <is>
          <t>11597XXX</t>
        </is>
      </c>
      <c r="B5015" s="246" t="inlineStr">
        <is>
          <t>TAVERNITI JEAN DAMA</t>
        </is>
      </c>
      <c r="C5015" s="88" t="n">
        <v>95200</v>
      </c>
      <c r="D5015" s="111" t="n"/>
      <c r="E5015" s="111" t="n"/>
      <c r="F5015" s="219">
        <f>ROUND((C5015*G5015)/100,0)*100</f>
        <v/>
      </c>
      <c r="G5015" s="88" t="n">
        <v>1.1</v>
      </c>
      <c r="H5015" s="170" t="n"/>
      <c r="I5015" s="170" t="n"/>
      <c r="J5015" s="170" t="n"/>
      <c r="K5015" s="170" t="n"/>
      <c r="L5015" s="170" t="n"/>
      <c r="M5015" s="170" t="n"/>
      <c r="N5015" s="30" t="n"/>
      <c r="O5015" s="30" t="n"/>
      <c r="P5015" s="170" t="n"/>
      <c r="Q5015" s="30" t="n"/>
      <c r="R5015" s="170" t="n"/>
      <c r="S5015" s="30" t="n"/>
      <c r="T5015" s="170" t="n"/>
      <c r="U5015" s="30" t="n"/>
      <c r="V5015" s="30" t="n"/>
      <c r="W5015" s="30" t="n"/>
      <c r="X5015" s="30" t="n"/>
      <c r="Y5015" s="30" t="n"/>
      <c r="Z5015" s="30" t="n"/>
      <c r="AA5015" s="30" t="n"/>
      <c r="AB5015" s="30" t="n"/>
      <c r="AC5015" s="30" t="n"/>
      <c r="AD5015" s="30" t="n"/>
      <c r="AE5015" s="30" t="n"/>
      <c r="AF5015" s="30" t="n"/>
      <c r="AG5015" s="30" t="n"/>
      <c r="AH5015" s="30" t="n"/>
      <c r="AI5015" s="30" t="n"/>
      <c r="AJ5015" s="30" t="n"/>
      <c r="AK5015" s="30" t="n"/>
      <c r="AL5015" s="30" t="n"/>
      <c r="AM5015" s="30" t="n"/>
      <c r="AN5015" s="30" t="n"/>
      <c r="AO5015" s="30" t="n"/>
    </row>
    <row r="5016">
      <c r="A5016" s="134" t="inlineStr">
        <is>
          <t>11599XXX</t>
        </is>
      </c>
      <c r="B5016" s="246" t="inlineStr">
        <is>
          <t>TAVERNITI JEAN DAMA</t>
        </is>
      </c>
      <c r="C5016" s="88" t="n">
        <v>101300</v>
      </c>
      <c r="D5016" s="111" t="n"/>
      <c r="E5016" s="111" t="n"/>
      <c r="F5016" s="219">
        <f>ROUND((C5016*G5016)/100,0)*100</f>
        <v/>
      </c>
      <c r="G5016" s="88" t="n">
        <v>1.1</v>
      </c>
      <c r="H5016" s="170" t="n"/>
      <c r="I5016" s="170" t="n"/>
      <c r="J5016" s="170" t="n"/>
      <c r="K5016" s="170" t="n"/>
      <c r="L5016" s="170" t="n"/>
      <c r="M5016" s="170" t="n"/>
      <c r="N5016" s="30" t="n"/>
      <c r="O5016" s="30" t="n"/>
      <c r="P5016" s="170" t="n"/>
      <c r="Q5016" s="30" t="n"/>
      <c r="R5016" s="170" t="n"/>
      <c r="S5016" s="30" t="n"/>
      <c r="T5016" s="170" t="n"/>
      <c r="U5016" s="30" t="n"/>
      <c r="V5016" s="30" t="n"/>
      <c r="W5016" s="30" t="n"/>
      <c r="X5016" s="30" t="n"/>
      <c r="Y5016" s="30" t="n"/>
      <c r="Z5016" s="30" t="n"/>
      <c r="AA5016" s="30" t="n"/>
      <c r="AB5016" s="30" t="n"/>
      <c r="AC5016" s="30" t="n"/>
      <c r="AD5016" s="30" t="n"/>
      <c r="AE5016" s="30" t="n"/>
      <c r="AF5016" s="30" t="n"/>
      <c r="AG5016" s="30" t="n"/>
      <c r="AH5016" s="30" t="n"/>
      <c r="AI5016" s="30" t="n"/>
      <c r="AJ5016" s="30" t="n"/>
      <c r="AK5016" s="30" t="n"/>
      <c r="AL5016" s="30" t="n"/>
      <c r="AM5016" s="30" t="n"/>
      <c r="AN5016" s="30" t="n"/>
      <c r="AO5016" s="30" t="n"/>
    </row>
    <row r="5017">
      <c r="A5017" s="134" t="inlineStr">
        <is>
          <t>11611XXX</t>
        </is>
      </c>
      <c r="B5017" s="246" t="inlineStr">
        <is>
          <t>TAVERNITI JEAN DAMA</t>
        </is>
      </c>
      <c r="C5017" s="88" t="n">
        <v>102700</v>
      </c>
      <c r="D5017" s="111" t="n"/>
      <c r="E5017" s="111" t="n"/>
      <c r="F5017" s="111">
        <f>ROUND((C5017*G5017)/100,0)*100</f>
        <v/>
      </c>
      <c r="G5017" s="219" t="n">
        <v>1.1</v>
      </c>
      <c r="H5017" s="170" t="n"/>
      <c r="I5017" s="170" t="n"/>
      <c r="J5017" s="170" t="n"/>
      <c r="K5017" s="170" t="n"/>
      <c r="L5017" s="170" t="n"/>
      <c r="M5017" s="170" t="n"/>
      <c r="N5017" s="30" t="n"/>
      <c r="O5017" s="30" t="n"/>
      <c r="P5017" s="170" t="n"/>
      <c r="Q5017" s="30" t="n"/>
      <c r="R5017" s="170" t="n"/>
      <c r="S5017" s="30" t="n"/>
      <c r="T5017" s="170" t="n"/>
      <c r="U5017" s="30" t="n"/>
      <c r="V5017" s="30" t="n"/>
      <c r="W5017" s="30" t="n"/>
      <c r="X5017" s="30" t="n"/>
      <c r="Y5017" s="30" t="n"/>
      <c r="Z5017" s="30" t="n"/>
      <c r="AA5017" s="30" t="n"/>
      <c r="AB5017" s="30" t="n"/>
      <c r="AC5017" s="30" t="n"/>
      <c r="AD5017" s="30" t="n"/>
      <c r="AE5017" s="30" t="n"/>
      <c r="AF5017" s="30" t="n"/>
      <c r="AG5017" s="30" t="n"/>
      <c r="AH5017" s="30" t="n"/>
      <c r="AI5017" s="30" t="n"/>
      <c r="AJ5017" s="30" t="n"/>
      <c r="AK5017" s="30" t="n"/>
      <c r="AL5017" s="30" t="n"/>
      <c r="AM5017" s="30" t="n"/>
      <c r="AN5017" s="30" t="n"/>
    </row>
    <row r="5018">
      <c r="A5018" s="134" t="inlineStr">
        <is>
          <t>11613XXX</t>
        </is>
      </c>
      <c r="B5018" s="246" t="inlineStr">
        <is>
          <t>TAVERNITI JEAN DAMA</t>
        </is>
      </c>
      <c r="C5018" s="88" t="n">
        <v>99000</v>
      </c>
      <c r="D5018" s="111" t="n"/>
      <c r="E5018" s="111" t="n"/>
      <c r="F5018" s="111">
        <f>ROUND((C5018*G5018)/100,0)*100</f>
        <v/>
      </c>
      <c r="G5018" s="219" t="n">
        <v>1.1</v>
      </c>
      <c r="H5018" s="170" t="n"/>
      <c r="I5018" s="170" t="n"/>
      <c r="J5018" s="170" t="n"/>
      <c r="K5018" s="170" t="n"/>
      <c r="L5018" s="170" t="n"/>
      <c r="M5018" s="170" t="n"/>
      <c r="N5018" s="30" t="n"/>
      <c r="O5018" s="30" t="n"/>
      <c r="P5018" s="170" t="n"/>
      <c r="Q5018" s="30" t="n"/>
      <c r="R5018" s="170" t="n"/>
      <c r="S5018" s="30" t="n"/>
      <c r="T5018" s="170" t="n"/>
      <c r="U5018" s="30" t="n"/>
      <c r="V5018" s="30" t="n"/>
      <c r="W5018" s="30" t="n"/>
      <c r="X5018" s="30" t="n"/>
      <c r="Y5018" s="30" t="n"/>
      <c r="Z5018" s="30" t="n"/>
      <c r="AA5018" s="30" t="n"/>
      <c r="AB5018" s="30" t="n"/>
      <c r="AC5018" s="30" t="n"/>
      <c r="AD5018" s="30" t="n"/>
      <c r="AE5018" s="30" t="n"/>
      <c r="AF5018" s="30" t="n"/>
      <c r="AG5018" s="30" t="n"/>
      <c r="AH5018" s="30" t="n"/>
      <c r="AI5018" s="30" t="n"/>
      <c r="AJ5018" s="30" t="n"/>
      <c r="AK5018" s="30" t="n"/>
      <c r="AL5018" s="30" t="n"/>
      <c r="AM5018" s="30" t="n"/>
      <c r="AN5018" s="30" t="n"/>
    </row>
    <row r="5019">
      <c r="A5019" s="128" t="inlineStr">
        <is>
          <t>11615XXX</t>
        </is>
      </c>
      <c r="B5019" s="188" t="inlineStr">
        <is>
          <t>TAVERNITI JEAN DAMA</t>
        </is>
      </c>
      <c r="C5019" s="88" t="n">
        <v>88600</v>
      </c>
      <c r="D5019" s="153" t="n"/>
      <c r="E5019" s="153" t="n"/>
      <c r="F5019" s="153" t="n">
        <v>88600</v>
      </c>
      <c r="G5019" s="219" t="n">
        <v>1.1</v>
      </c>
      <c r="H5019" s="219" t="n"/>
      <c r="I5019" s="219" t="n"/>
      <c r="J5019" s="219" t="n"/>
      <c r="K5019" s="219" t="n"/>
      <c r="L5019" s="219" t="n"/>
      <c r="M5019" s="219" t="n"/>
      <c r="P5019" s="117" t="n"/>
      <c r="R5019" s="117" t="n"/>
      <c r="T5019" s="117" t="n"/>
    </row>
    <row r="5020">
      <c r="A5020" s="134" t="inlineStr">
        <is>
          <t>11637XXX</t>
        </is>
      </c>
      <c r="B5020" s="246" t="inlineStr">
        <is>
          <t>TAVERNITI PANTALON DAMA</t>
        </is>
      </c>
      <c r="C5020" s="88" t="n">
        <v>104200</v>
      </c>
      <c r="D5020" s="111" t="n"/>
      <c r="E5020" s="111" t="n"/>
      <c r="F5020" s="219">
        <f>ROUND((C5020*G5020)/100,0)*100</f>
        <v/>
      </c>
      <c r="G5020" s="219" t="n">
        <v>1.1</v>
      </c>
      <c r="H5020" s="170" t="n"/>
      <c r="I5020" s="170" t="n"/>
      <c r="J5020" s="170" t="n"/>
      <c r="K5020" s="170" t="n"/>
      <c r="L5020" s="170" t="n"/>
      <c r="M5020" s="170" t="n"/>
      <c r="N5020" s="30" t="n"/>
      <c r="O5020" s="30" t="n"/>
      <c r="P5020" s="170" t="n"/>
      <c r="Q5020" s="30" t="n"/>
      <c r="R5020" s="170" t="n"/>
      <c r="S5020" s="30" t="n"/>
      <c r="T5020" s="170" t="n"/>
      <c r="U5020" s="30" t="n"/>
      <c r="V5020" s="30" t="n"/>
      <c r="W5020" s="30" t="n"/>
      <c r="X5020" s="30" t="n"/>
      <c r="Y5020" s="30" t="n"/>
      <c r="Z5020" s="30" t="n"/>
      <c r="AA5020" s="30" t="n"/>
      <c r="AB5020" s="30" t="n"/>
      <c r="AC5020" s="30" t="n"/>
      <c r="AD5020" s="30" t="n"/>
      <c r="AE5020" s="30" t="n"/>
      <c r="AF5020" s="30" t="n"/>
      <c r="AG5020" s="30" t="n"/>
      <c r="AH5020" s="30" t="n"/>
      <c r="AI5020" s="30" t="n"/>
      <c r="AJ5020" s="30" t="n"/>
      <c r="AK5020" s="30" t="n"/>
      <c r="AL5020" s="30" t="n"/>
      <c r="AM5020" s="30" t="n"/>
      <c r="AN5020" s="30" t="n"/>
      <c r="AO5020" s="30" t="n"/>
    </row>
    <row r="5021">
      <c r="A5021" s="128" t="inlineStr">
        <is>
          <t>11641XXX</t>
        </is>
      </c>
      <c r="B5021" s="188" t="inlineStr">
        <is>
          <t>TAVERNITI PANTALON DAMA</t>
        </is>
      </c>
      <c r="C5021" s="88" t="n">
        <v>108500</v>
      </c>
      <c r="D5021" s="153" t="n"/>
      <c r="E5021" s="153" t="n"/>
      <c r="F5021" s="153">
        <f>ROUND((C5021*G5021)/100,0)*100</f>
        <v/>
      </c>
      <c r="G5021" s="219" t="n">
        <v>1.1</v>
      </c>
      <c r="H5021" s="219" t="n"/>
      <c r="I5021" s="219" t="n"/>
      <c r="J5021" s="219" t="n"/>
      <c r="K5021" s="219" t="n"/>
      <c r="L5021" s="219" t="n"/>
      <c r="M5021" s="219" t="n"/>
      <c r="P5021" s="117" t="n"/>
      <c r="R5021" s="117" t="n"/>
      <c r="T5021" s="117" t="n"/>
    </row>
    <row r="5022">
      <c r="A5022" s="128" t="inlineStr">
        <is>
          <t>11651XXX</t>
        </is>
      </c>
      <c r="B5022" s="188" t="inlineStr">
        <is>
          <t>TAVERNITI PANTALON DAMA</t>
        </is>
      </c>
      <c r="C5022" s="88" t="n">
        <v>108500</v>
      </c>
      <c r="D5022" s="153" t="n"/>
      <c r="E5022" s="153" t="n"/>
      <c r="F5022" s="153">
        <f>ROUND((C5022*G5022)/100,0)*100</f>
        <v/>
      </c>
      <c r="G5022" s="219" t="n">
        <v>1.1</v>
      </c>
      <c r="H5022" s="219" t="n"/>
      <c r="I5022" s="219" t="n"/>
      <c r="J5022" s="219" t="n"/>
      <c r="K5022" s="219" t="n"/>
      <c r="L5022" s="219" t="n"/>
      <c r="M5022" s="219" t="n"/>
      <c r="P5022" s="117" t="n"/>
      <c r="R5022" s="117" t="n"/>
      <c r="T5022" s="117" t="n"/>
    </row>
    <row r="5023">
      <c r="A5023" s="128" t="inlineStr">
        <is>
          <t>11661XXX</t>
        </is>
      </c>
      <c r="B5023" s="188" t="inlineStr">
        <is>
          <t>TAVERNITI PANTALON DAMA</t>
        </is>
      </c>
      <c r="C5023" s="88" t="n">
        <v>108500</v>
      </c>
      <c r="D5023" s="153" t="n"/>
      <c r="E5023" s="153" t="n"/>
      <c r="F5023" s="153">
        <f>ROUND((C5023*G5023)/100,0)*100</f>
        <v/>
      </c>
      <c r="G5023" s="219" t="n">
        <v>1.1</v>
      </c>
      <c r="H5023" s="219" t="n"/>
      <c r="I5023" s="219" t="n"/>
      <c r="J5023" s="219" t="n"/>
      <c r="K5023" s="219" t="n"/>
      <c r="L5023" s="219" t="n"/>
      <c r="M5023" s="219" t="n"/>
      <c r="P5023" s="117" t="n"/>
      <c r="R5023" s="117" t="n"/>
      <c r="T5023" s="117" t="n"/>
    </row>
    <row r="5024">
      <c r="A5024" s="128" t="inlineStr">
        <is>
          <t>11681XXX</t>
        </is>
      </c>
      <c r="B5024" s="188" t="inlineStr">
        <is>
          <t>TAVERNITI PANTALON DAMA</t>
        </is>
      </c>
      <c r="C5024" s="88" t="n">
        <v>104500</v>
      </c>
      <c r="D5024" s="153" t="n"/>
      <c r="E5024" s="153" t="n"/>
      <c r="F5024" s="153">
        <f>ROUND((C5024*G5024)/100,0)*100</f>
        <v/>
      </c>
      <c r="G5024" s="219" t="n">
        <v>1.1</v>
      </c>
      <c r="H5024" s="219" t="n"/>
      <c r="I5024" s="219" t="n"/>
      <c r="J5024" s="219" t="n"/>
      <c r="K5024" s="219" t="n"/>
      <c r="L5024" s="219" t="n"/>
      <c r="M5024" s="219" t="n"/>
      <c r="P5024" s="117" t="n"/>
      <c r="R5024" s="117" t="n"/>
      <c r="T5024" s="117" t="n"/>
    </row>
    <row r="5025">
      <c r="A5025" s="128" t="inlineStr">
        <is>
          <t>11687XXX</t>
        </is>
      </c>
      <c r="B5025" s="188" t="inlineStr">
        <is>
          <t>TAVERNITI PANTALON DAMA</t>
        </is>
      </c>
      <c r="C5025" s="88" t="n">
        <v>97900</v>
      </c>
      <c r="D5025" s="153" t="n"/>
      <c r="E5025" s="153" t="n"/>
      <c r="F5025" s="153">
        <f>ROUND((C5025*G5025)/100,0)*100</f>
        <v/>
      </c>
      <c r="G5025" s="219" t="n">
        <v>1.1</v>
      </c>
      <c r="H5025" s="219" t="n"/>
      <c r="I5025" s="219" t="n"/>
      <c r="J5025" s="219" t="n"/>
      <c r="K5025" s="219" t="n"/>
      <c r="L5025" s="219" t="n"/>
      <c r="M5025" s="219" t="n"/>
      <c r="P5025" s="117" t="n"/>
      <c r="R5025" s="117" t="n"/>
      <c r="T5025" s="117" t="n"/>
    </row>
    <row r="5026">
      <c r="A5026" s="128" t="inlineStr">
        <is>
          <t>11719XXX</t>
        </is>
      </c>
      <c r="B5026" s="188" t="inlineStr">
        <is>
          <t>TAVERNITI PANTALON DAMA</t>
        </is>
      </c>
      <c r="C5026" s="88" t="n">
        <v>97000</v>
      </c>
      <c r="D5026" s="153" t="n"/>
      <c r="E5026" s="153" t="n"/>
      <c r="F5026" s="153" t="n">
        <v>96900</v>
      </c>
      <c r="G5026" s="219" t="n">
        <v>1.1</v>
      </c>
      <c r="H5026" s="219" t="n"/>
      <c r="I5026" s="219" t="n"/>
      <c r="J5026" s="219" t="n"/>
      <c r="K5026" s="219" t="n"/>
      <c r="L5026" s="219" t="n"/>
      <c r="M5026" s="219" t="n"/>
      <c r="P5026" s="117" t="n"/>
      <c r="R5026" s="117" t="n"/>
      <c r="T5026" s="117" t="n"/>
    </row>
    <row r="5027">
      <c r="A5027" s="128" t="inlineStr">
        <is>
          <t>11721XXX</t>
        </is>
      </c>
      <c r="B5027" s="188" t="inlineStr">
        <is>
          <t>TAVERNITI PANTALON DAMA</t>
        </is>
      </c>
      <c r="C5027" s="88" t="n">
        <v>86900</v>
      </c>
      <c r="D5027" s="153" t="n"/>
      <c r="E5027" s="153" t="n"/>
      <c r="F5027" s="153" t="n">
        <v>106600</v>
      </c>
      <c r="G5027" s="219" t="n">
        <v>1.1</v>
      </c>
      <c r="H5027" s="219" t="n"/>
      <c r="I5027" s="219" t="n"/>
      <c r="J5027" s="219" t="n"/>
      <c r="K5027" s="219" t="n"/>
      <c r="L5027" s="219" t="n"/>
      <c r="M5027" s="219" t="n"/>
      <c r="P5027" s="117" t="n"/>
      <c r="R5027" s="117" t="n"/>
      <c r="T5027" s="117" t="n"/>
    </row>
    <row r="5028">
      <c r="A5028" s="128" t="inlineStr">
        <is>
          <t>11725XXX</t>
        </is>
      </c>
      <c r="B5028" s="188" t="inlineStr">
        <is>
          <t>TAVERNITI PANTALON DAMA</t>
        </is>
      </c>
      <c r="C5028" s="88" t="n">
        <v>86900</v>
      </c>
      <c r="D5028" s="153" t="n"/>
      <c r="E5028" s="153" t="n"/>
      <c r="F5028" s="153" t="n">
        <v>106600</v>
      </c>
      <c r="G5028" s="219" t="n">
        <v>1.1</v>
      </c>
      <c r="H5028" s="219" t="n"/>
      <c r="I5028" s="219" t="n"/>
      <c r="J5028" s="219" t="n"/>
      <c r="K5028" s="219" t="n"/>
      <c r="L5028" s="219" t="n"/>
      <c r="M5028" s="219" t="n"/>
      <c r="P5028" s="117" t="n"/>
      <c r="R5028" s="117" t="n"/>
      <c r="T5028" s="117" t="n"/>
    </row>
    <row r="5029">
      <c r="A5029" s="128" t="inlineStr">
        <is>
          <t>11727XXX</t>
        </is>
      </c>
      <c r="B5029" s="188" t="inlineStr">
        <is>
          <t>TAVERNITI PANTALON DAMA</t>
        </is>
      </c>
      <c r="C5029" s="88" t="n">
        <v>86900</v>
      </c>
      <c r="D5029" s="153" t="n"/>
      <c r="E5029" s="153" t="n"/>
      <c r="F5029" s="153" t="n">
        <v>106600</v>
      </c>
      <c r="G5029" s="219" t="n">
        <v>1.1</v>
      </c>
      <c r="H5029" s="219" t="n"/>
      <c r="I5029" s="219" t="n"/>
      <c r="J5029" s="219" t="n"/>
      <c r="K5029" s="219" t="n"/>
      <c r="L5029" s="219" t="n"/>
      <c r="M5029" s="219" t="n"/>
      <c r="P5029" s="117" t="n"/>
      <c r="R5029" s="117" t="n"/>
      <c r="T5029" s="117" t="n"/>
    </row>
    <row r="5030">
      <c r="A5030" s="128" t="inlineStr">
        <is>
          <t>11761XXX</t>
        </is>
      </c>
      <c r="B5030" s="188" t="inlineStr">
        <is>
          <t>TAVERNITI PANTALON DAMA</t>
        </is>
      </c>
      <c r="C5030" s="88" t="n">
        <v>104500</v>
      </c>
      <c r="D5030" s="153" t="n"/>
      <c r="E5030" s="153" t="n"/>
      <c r="F5030" s="153" t="n">
        <v>106600</v>
      </c>
      <c r="G5030" s="219" t="n">
        <v>1.1</v>
      </c>
      <c r="H5030" s="219" t="n"/>
      <c r="I5030" s="219" t="n"/>
      <c r="J5030" s="219" t="n"/>
      <c r="K5030" s="219" t="n"/>
      <c r="L5030" s="219" t="n"/>
      <c r="M5030" s="219" t="n"/>
      <c r="P5030" s="117" t="n"/>
      <c r="R5030" s="117" t="n"/>
      <c r="T5030" s="117" t="n"/>
    </row>
    <row r="5031">
      <c r="A5031" s="128" t="inlineStr">
        <is>
          <t>11767XXX</t>
        </is>
      </c>
      <c r="B5031" s="188" t="inlineStr">
        <is>
          <t>TAVERNITI PANTALON DAMA</t>
        </is>
      </c>
      <c r="C5031" s="88" t="n">
        <v>114300</v>
      </c>
      <c r="D5031" s="153" t="n"/>
      <c r="E5031" s="153" t="n"/>
      <c r="F5031" s="153" t="n">
        <v>106600</v>
      </c>
      <c r="G5031" s="219" t="n">
        <v>1.1</v>
      </c>
      <c r="H5031" s="219" t="n"/>
      <c r="I5031" s="219" t="n"/>
      <c r="J5031" s="219" t="n"/>
      <c r="K5031" s="219" t="n"/>
      <c r="L5031" s="219" t="n"/>
      <c r="M5031" s="219" t="n"/>
      <c r="P5031" s="117" t="n"/>
      <c r="R5031" s="117" t="n"/>
      <c r="T5031" s="117" t="n"/>
    </row>
    <row r="5032">
      <c r="A5032" s="128" t="inlineStr">
        <is>
          <t>11851XXX</t>
        </is>
      </c>
      <c r="B5032" s="188" t="inlineStr">
        <is>
          <t>TAVERNITI PANTALON DAMA</t>
        </is>
      </c>
      <c r="C5032" s="88" t="n">
        <v>106600</v>
      </c>
      <c r="D5032" s="153" t="n"/>
      <c r="E5032" s="153" t="n"/>
      <c r="F5032" s="153">
        <f>ROUND((C5032*G5032)/100,0)*100</f>
        <v/>
      </c>
      <c r="G5032" s="219" t="n">
        <v>1.1</v>
      </c>
      <c r="H5032" s="219" t="n"/>
      <c r="I5032" s="219" t="n"/>
      <c r="J5032" s="219" t="n"/>
      <c r="K5032" s="219" t="n"/>
      <c r="L5032" s="219" t="n"/>
      <c r="M5032" s="219" t="n"/>
      <c r="P5032" s="117" t="n"/>
      <c r="R5032" s="117" t="n"/>
      <c r="T5032" s="117" t="n"/>
    </row>
    <row r="5033">
      <c r="A5033" s="128" t="inlineStr">
        <is>
          <t>14762XXX</t>
        </is>
      </c>
      <c r="B5033" s="188" t="inlineStr">
        <is>
          <t>TAVERNITI JEAN DAMA</t>
        </is>
      </c>
      <c r="C5033" s="88" t="n">
        <v>90900</v>
      </c>
      <c r="D5033" s="153" t="n"/>
      <c r="E5033" s="153" t="n"/>
      <c r="F5033" s="153">
        <f>ROUND((C5033*G5033)/100,0)*100</f>
        <v/>
      </c>
      <c r="G5033" s="219" t="n">
        <v>1.1</v>
      </c>
      <c r="H5033" s="219" t="n"/>
      <c r="I5033" s="219" t="n"/>
      <c r="J5033" s="219" t="n"/>
      <c r="K5033" s="219" t="n"/>
      <c r="L5033" s="219" t="n"/>
      <c r="M5033" s="219" t="n"/>
      <c r="P5033" s="117" t="n"/>
      <c r="R5033" s="117" t="n"/>
      <c r="T5033" s="117" t="n"/>
    </row>
    <row r="5034">
      <c r="A5034" s="128" t="inlineStr">
        <is>
          <t>14797XXX</t>
        </is>
      </c>
      <c r="B5034" s="188" t="inlineStr">
        <is>
          <t>TAVERNITI JEAN DAMA</t>
        </is>
      </c>
      <c r="C5034" s="88" t="n">
        <v>90900</v>
      </c>
      <c r="D5034" s="153" t="n"/>
      <c r="E5034" s="153" t="n"/>
      <c r="F5034" s="153">
        <f>ROUND((C5034*G5034)/100,0)*100</f>
        <v/>
      </c>
      <c r="G5034" s="219" t="n">
        <v>1.1</v>
      </c>
      <c r="H5034" s="219" t="n"/>
      <c r="I5034" s="219" t="n"/>
      <c r="J5034" s="219" t="n"/>
      <c r="K5034" s="219" t="n"/>
      <c r="L5034" s="219" t="n"/>
      <c r="M5034" s="219" t="n"/>
      <c r="P5034" s="117" t="n"/>
      <c r="R5034" s="117" t="n"/>
      <c r="T5034" s="117" t="n"/>
    </row>
    <row r="5035">
      <c r="A5035" s="128" t="n"/>
      <c r="B5035" s="188" t="n"/>
      <c r="C5035" s="153" t="n"/>
      <c r="D5035" s="153" t="n"/>
      <c r="E5035" s="153" t="n"/>
      <c r="F5035" s="153" t="n"/>
      <c r="G5035" s="219" t="n"/>
      <c r="H5035" s="219" t="n"/>
      <c r="I5035" s="219" t="n"/>
      <c r="J5035" s="219" t="n"/>
      <c r="K5035" s="219" t="n"/>
      <c r="L5035" s="219" t="n"/>
      <c r="M5035" s="219" t="n"/>
      <c r="P5035" s="117" t="n"/>
      <c r="R5035" s="117" t="n"/>
      <c r="T5035" s="117" t="n"/>
    </row>
    <row r="5036">
      <c r="A5036" s="134" t="n"/>
      <c r="B5036" s="246" t="n"/>
      <c r="C5036" s="219" t="n"/>
      <c r="D5036" s="219" t="n"/>
      <c r="E5036" s="219" t="n"/>
      <c r="F5036" s="219" t="n"/>
      <c r="G5036" s="219" t="n"/>
      <c r="H5036" s="219" t="n"/>
      <c r="I5036" s="219" t="n"/>
      <c r="J5036" s="219" t="n"/>
      <c r="K5036" s="219" t="n"/>
      <c r="L5036" s="219" t="n"/>
      <c r="M5036" s="219" t="n"/>
      <c r="P5036" s="117" t="n"/>
      <c r="R5036" s="117" t="n"/>
      <c r="T5036" s="117" t="n"/>
    </row>
    <row r="5037">
      <c r="A5037" s="148" t="n"/>
      <c r="B5037" s="252" t="inlineStr">
        <is>
          <t>CARTERAS/MORRALES/BANDOLERAS/MOCHILAS</t>
        </is>
      </c>
      <c r="C5037" s="42" t="n"/>
      <c r="D5037" s="153" t="n"/>
      <c r="E5037" s="153" t="n"/>
      <c r="F5037" s="153" t="n"/>
      <c r="G5037" s="148" t="inlineStr">
        <is>
          <t>03/24</t>
        </is>
      </c>
      <c r="H5037" s="219" t="n"/>
      <c r="I5037" s="219" t="n"/>
      <c r="J5037" s="219" t="n"/>
      <c r="K5037" s="219" t="n"/>
      <c r="L5037" s="219" t="n"/>
      <c r="M5037" s="219" t="n"/>
      <c r="P5037" s="117" t="n"/>
      <c r="R5037" s="117" t="n"/>
      <c r="T5037" s="117" t="n"/>
    </row>
    <row r="5038">
      <c r="A5038" s="134" t="inlineStr">
        <is>
          <t>17550</t>
        </is>
      </c>
      <c r="B5038" s="188" t="inlineStr">
        <is>
          <t>CARTERAS CHICAS 100% cuero</t>
        </is>
      </c>
      <c r="C5038" s="153" t="n">
        <v>13000</v>
      </c>
      <c r="D5038" s="153" t="n"/>
      <c r="E5038" s="153" t="n"/>
      <c r="F5038" s="153" t="n"/>
      <c r="G5038" s="219" t="n"/>
      <c r="H5038" s="219">
        <f>ROUND((I5038*C5038)/100,0)*100</f>
        <v/>
      </c>
      <c r="I5038" s="219" t="n">
        <v>1.4</v>
      </c>
      <c r="J5038" s="219" t="n"/>
      <c r="L5038" s="219" t="n"/>
      <c r="M5038" s="219" t="n"/>
      <c r="P5038" s="117" t="n"/>
      <c r="R5038" s="117" t="n"/>
      <c r="T5038" s="117" t="n"/>
    </row>
    <row r="5039">
      <c r="A5039" s="134" t="inlineStr">
        <is>
          <t>17551</t>
        </is>
      </c>
      <c r="B5039" s="188" t="inlineStr">
        <is>
          <t>CARTERAS 100% cuero</t>
        </is>
      </c>
      <c r="C5039" s="153" t="n">
        <v>15600</v>
      </c>
      <c r="D5039" s="153" t="n"/>
      <c r="E5039" s="153" t="n"/>
      <c r="F5039" s="153" t="n"/>
      <c r="G5039" s="219" t="n"/>
      <c r="H5039" s="219">
        <f>ROUND((I5039*C5039)/100,0)*100</f>
        <v/>
      </c>
      <c r="I5039" s="219" t="n">
        <v>1.4</v>
      </c>
      <c r="J5039" s="219" t="n"/>
      <c r="K5039" s="219" t="n"/>
      <c r="L5039" s="219" t="n"/>
      <c r="M5039" s="219" t="n"/>
      <c r="P5039" s="117" t="n"/>
      <c r="R5039" s="117" t="n"/>
      <c r="T5039" s="117" t="n"/>
    </row>
    <row r="5040">
      <c r="A5040" s="134" t="inlineStr">
        <is>
          <t>17552</t>
        </is>
      </c>
      <c r="B5040" s="188" t="inlineStr">
        <is>
          <t>PLAYERO 100% cuero</t>
        </is>
      </c>
      <c r="C5040" s="153" t="n">
        <v>15600</v>
      </c>
      <c r="D5040" s="153" t="n"/>
      <c r="E5040" s="153" t="n"/>
      <c r="F5040" s="153" t="n"/>
      <c r="G5040" s="219" t="n"/>
      <c r="H5040" s="219">
        <f>ROUND((I5040*C5040)/100,0)*100</f>
        <v/>
      </c>
      <c r="I5040" s="219" t="n">
        <v>1.4</v>
      </c>
      <c r="J5040" s="219" t="n"/>
      <c r="K5040" s="219" t="n"/>
      <c r="L5040" s="219" t="n"/>
      <c r="M5040" s="219" t="n"/>
      <c r="P5040" s="117" t="n"/>
      <c r="R5040" s="117" t="n"/>
      <c r="T5040" s="117" t="n"/>
    </row>
    <row r="5041">
      <c r="A5041" s="134" t="inlineStr">
        <is>
          <t>17552</t>
        </is>
      </c>
      <c r="B5041" s="188" t="inlineStr">
        <is>
          <t>MOCHILA</t>
        </is>
      </c>
      <c r="C5041" s="153" t="n">
        <v>18700</v>
      </c>
      <c r="D5041" s="153" t="n"/>
      <c r="E5041" s="153" t="n"/>
      <c r="F5041" s="153" t="n"/>
      <c r="G5041" s="219" t="n"/>
      <c r="H5041" s="219">
        <f>ROUND((I5041*C5041)/100,0)*100</f>
        <v/>
      </c>
      <c r="I5041" s="219" t="n">
        <v>1.4</v>
      </c>
      <c r="J5041" s="219" t="n"/>
      <c r="K5041" s="219" t="n"/>
      <c r="L5041" s="219" t="n"/>
      <c r="M5041" s="219" t="n"/>
      <c r="P5041" s="117" t="n"/>
      <c r="R5041" s="117" t="n"/>
      <c r="T5041" s="117" t="n"/>
    </row>
    <row r="5042">
      <c r="A5042" s="134" t="inlineStr">
        <is>
          <t>17553</t>
        </is>
      </c>
      <c r="B5042" s="188" t="inlineStr">
        <is>
          <t>MOCHILA</t>
        </is>
      </c>
      <c r="C5042" s="153" t="n">
        <v>19300</v>
      </c>
      <c r="D5042" s="153" t="n"/>
      <c r="E5042" s="153" t="n"/>
      <c r="F5042" s="153" t="n"/>
      <c r="G5042" s="219" t="n"/>
      <c r="H5042" s="219">
        <f>ROUND((I5042*C5042)/100,0)*100</f>
        <v/>
      </c>
      <c r="I5042" s="219" t="n">
        <v>1.4</v>
      </c>
      <c r="J5042" s="219" t="n"/>
      <c r="K5042" s="219" t="n"/>
      <c r="L5042" s="219" t="n"/>
      <c r="M5042" s="219" t="n"/>
      <c r="P5042" s="117" t="n"/>
      <c r="R5042" s="117" t="n"/>
      <c r="T5042" s="117" t="n"/>
    </row>
    <row r="5043">
      <c r="A5043" s="134" t="inlineStr">
        <is>
          <t>17554</t>
        </is>
      </c>
      <c r="B5043" s="188" t="inlineStr">
        <is>
          <t>BOLSO</t>
        </is>
      </c>
      <c r="C5043" s="153" t="n">
        <v>22600</v>
      </c>
      <c r="D5043" s="153" t="n"/>
      <c r="E5043" s="153" t="n"/>
      <c r="F5043" s="153" t="n"/>
      <c r="G5043" s="219" t="n"/>
      <c r="H5043" s="219">
        <f>ROUND((I5043*C5043)/100,0)*100</f>
        <v/>
      </c>
      <c r="I5043" s="219" t="n">
        <v>1.4</v>
      </c>
      <c r="J5043" s="219" t="n"/>
      <c r="K5043" s="219" t="n"/>
      <c r="L5043" s="219" t="n"/>
      <c r="M5043" s="219" t="n"/>
      <c r="P5043" s="117" t="n"/>
      <c r="R5043" s="117" t="n"/>
      <c r="T5043" s="117" t="n"/>
    </row>
    <row r="5044">
      <c r="A5044" s="134" t="inlineStr">
        <is>
          <t>17555</t>
        </is>
      </c>
      <c r="B5044" s="188" t="inlineStr">
        <is>
          <t>BOLSO VIAJE</t>
        </is>
      </c>
      <c r="C5044" s="153" t="n">
        <v>16900</v>
      </c>
      <c r="D5044" s="153" t="n"/>
      <c r="E5044" s="153" t="n"/>
      <c r="F5044" s="153" t="n"/>
      <c r="G5044" s="219" t="n"/>
      <c r="H5044" s="219">
        <f>ROUND((I5044*C5044)/100,0)*100</f>
        <v/>
      </c>
      <c r="I5044" s="219" t="n">
        <v>1.4</v>
      </c>
      <c r="J5044" s="219" t="n"/>
      <c r="K5044" s="219" t="n"/>
      <c r="L5044" s="219" t="n"/>
      <c r="M5044" s="219" t="n"/>
      <c r="P5044" s="117" t="n"/>
      <c r="R5044" s="117" t="n"/>
      <c r="T5044" s="117" t="n"/>
    </row>
    <row r="5045">
      <c r="A5045" s="134" t="inlineStr">
        <is>
          <t>17556</t>
        </is>
      </c>
      <c r="B5045" s="188" t="inlineStr">
        <is>
          <t>BOLSO VIAJE</t>
        </is>
      </c>
      <c r="C5045" s="153" t="n">
        <v>21300</v>
      </c>
      <c r="D5045" s="153" t="n"/>
      <c r="E5045" s="153" t="n"/>
      <c r="F5045" s="153" t="n"/>
      <c r="G5045" s="219" t="n"/>
      <c r="H5045" s="219">
        <f>ROUND((I5045*C5045)/100,0)*100</f>
        <v/>
      </c>
      <c r="I5045" s="219" t="n">
        <v>1.4</v>
      </c>
      <c r="J5045" s="219" t="n"/>
      <c r="K5045" s="219" t="n"/>
      <c r="L5045" s="219" t="n"/>
      <c r="M5045" s="219" t="n"/>
      <c r="P5045" s="117" t="n"/>
      <c r="R5045" s="117" t="n"/>
      <c r="T5045" s="117" t="n"/>
    </row>
    <row r="5046">
      <c r="A5046" s="134" t="inlineStr">
        <is>
          <t>17557</t>
        </is>
      </c>
      <c r="B5046" s="188" t="inlineStr">
        <is>
          <t>BOLSO VIAJE</t>
        </is>
      </c>
      <c r="C5046" s="153" t="n">
        <v>19100</v>
      </c>
      <c r="D5046" s="153" t="n"/>
      <c r="E5046" s="153" t="n"/>
      <c r="F5046" s="153" t="n"/>
      <c r="G5046" s="219" t="n"/>
      <c r="H5046" s="219">
        <f>ROUND((I5046*C5046)/100,0)*100</f>
        <v/>
      </c>
      <c r="I5046" s="219" t="n">
        <v>1.4</v>
      </c>
      <c r="J5046" s="219" t="n"/>
      <c r="K5046" s="219" t="n"/>
      <c r="L5046" s="219" t="n"/>
      <c r="M5046" s="219" t="n"/>
      <c r="P5046" s="117" t="n"/>
      <c r="R5046" s="117" t="n"/>
      <c r="T5046" s="117" t="n"/>
    </row>
    <row r="5047">
      <c r="A5047" s="134" t="inlineStr">
        <is>
          <t>17557</t>
        </is>
      </c>
      <c r="B5047" s="188" t="inlineStr">
        <is>
          <t>BOLSO VIAJE</t>
        </is>
      </c>
      <c r="C5047" s="153" t="n">
        <v>19100</v>
      </c>
      <c r="D5047" s="153" t="n"/>
      <c r="E5047" s="153" t="n"/>
      <c r="F5047" s="153" t="n"/>
      <c r="G5047" s="219" t="n"/>
      <c r="H5047" s="219">
        <f>ROUND((I5047*C5047)/100,0)*100</f>
        <v/>
      </c>
      <c r="I5047" s="219" t="n">
        <v>1.4</v>
      </c>
      <c r="J5047" s="219" t="n"/>
      <c r="K5047" s="219" t="n"/>
      <c r="L5047" s="219" t="n"/>
      <c r="M5047" s="219" t="n"/>
      <c r="P5047" s="117" t="n"/>
      <c r="R5047" s="117" t="n"/>
      <c r="T5047" s="117" t="n"/>
    </row>
    <row r="5048">
      <c r="A5048" s="134" t="inlineStr">
        <is>
          <t>17558</t>
        </is>
      </c>
      <c r="B5048" s="188" t="inlineStr">
        <is>
          <t>CARTERA/ BANDOLERA</t>
        </is>
      </c>
      <c r="C5048" s="153" t="n">
        <v>15000</v>
      </c>
      <c r="D5048" s="153" t="n"/>
      <c r="E5048" s="153" t="n"/>
      <c r="F5048" s="153" t="n"/>
      <c r="G5048" s="219" t="n"/>
      <c r="H5048" s="219">
        <f>ROUND((I5048*C5048)/100,0)*100</f>
        <v/>
      </c>
      <c r="I5048" s="219" t="n">
        <v>1.4</v>
      </c>
      <c r="J5048" s="219" t="n"/>
      <c r="K5048" s="219" t="n"/>
      <c r="L5048" s="219" t="n"/>
      <c r="M5048" s="219" t="n"/>
      <c r="P5048" s="117" t="n"/>
      <c r="R5048" s="117" t="n"/>
      <c r="T5048" s="117" t="n"/>
    </row>
    <row r="5049">
      <c r="A5049" s="134" t="inlineStr">
        <is>
          <t>17559</t>
        </is>
      </c>
      <c r="B5049" s="188" t="inlineStr">
        <is>
          <t>CARTERAS IMPORTADAS</t>
        </is>
      </c>
      <c r="C5049" s="153" t="n">
        <v>20500</v>
      </c>
      <c r="D5049" s="153" t="n"/>
      <c r="E5049" s="153" t="n"/>
      <c r="F5049" s="153" t="n"/>
      <c r="G5049" s="219" t="n"/>
      <c r="H5049" s="219">
        <f>ROUND((I5049*C5049)/100,0)*100</f>
        <v/>
      </c>
      <c r="I5049" s="219" t="n">
        <v>1.4</v>
      </c>
      <c r="J5049" s="219" t="n"/>
      <c r="K5049" s="219" t="n"/>
      <c r="L5049" s="219" t="n"/>
      <c r="M5049" s="219" t="n"/>
      <c r="P5049" s="117" t="n"/>
      <c r="R5049" s="117" t="n"/>
      <c r="T5049" s="117" t="n"/>
    </row>
    <row r="5050">
      <c r="A5050" s="134" t="inlineStr">
        <is>
          <t>17560</t>
        </is>
      </c>
      <c r="B5050" s="188" t="inlineStr">
        <is>
          <t>CARTERAS IMPORTADAS</t>
        </is>
      </c>
      <c r="C5050" s="153" t="n">
        <v>22700</v>
      </c>
      <c r="D5050" s="153" t="n"/>
      <c r="E5050" s="153" t="n"/>
      <c r="F5050" s="153" t="n"/>
      <c r="G5050" s="219" t="n"/>
      <c r="H5050" s="219">
        <f>ROUND((I5050*C5050)/100,0)*100</f>
        <v/>
      </c>
      <c r="I5050" s="219" t="n">
        <v>1.4</v>
      </c>
      <c r="J5050" s="219" t="n"/>
      <c r="K5050" s="219" t="n"/>
      <c r="L5050" s="219" t="n"/>
      <c r="M5050" s="219" t="n"/>
      <c r="P5050" s="117" t="n"/>
      <c r="R5050" s="117" t="n"/>
      <c r="T5050" s="117" t="n"/>
    </row>
    <row r="5051">
      <c r="A5051" s="134" t="inlineStr">
        <is>
          <t>17561</t>
        </is>
      </c>
      <c r="B5051" s="188" t="inlineStr">
        <is>
          <t xml:space="preserve">MOCHILAS </t>
        </is>
      </c>
      <c r="C5051" s="153" t="n">
        <v>25100</v>
      </c>
      <c r="D5051" s="153" t="n"/>
      <c r="E5051" s="153" t="n"/>
      <c r="F5051" s="153" t="n"/>
      <c r="G5051" s="219" t="n"/>
      <c r="H5051" s="219">
        <f>ROUND((I5051*C5051)/100,0)*100</f>
        <v/>
      </c>
      <c r="I5051" s="219" t="n">
        <v>1.4</v>
      </c>
      <c r="J5051" s="219" t="n"/>
      <c r="K5051" s="219" t="n"/>
      <c r="L5051" s="219" t="n"/>
      <c r="M5051" s="219" t="n"/>
      <c r="P5051" s="117" t="n"/>
      <c r="R5051" s="117" t="n"/>
      <c r="T5051" s="117" t="n"/>
    </row>
    <row r="5052">
      <c r="A5052" s="134" t="inlineStr">
        <is>
          <t>17562</t>
        </is>
      </c>
      <c r="B5052" s="188" t="inlineStr">
        <is>
          <t>CARTERAS CIERRE</t>
        </is>
      </c>
      <c r="C5052" s="153" t="n">
        <v>9800</v>
      </c>
      <c r="D5052" s="153" t="n"/>
      <c r="E5052" s="153" t="n"/>
      <c r="F5052" s="153" t="n"/>
      <c r="G5052" s="219" t="n"/>
      <c r="H5052" s="219">
        <f>ROUND((I5052*C5052)/100,0)*100</f>
        <v/>
      </c>
      <c r="I5052" s="219" t="n">
        <v>1.4</v>
      </c>
      <c r="J5052" s="219" t="n"/>
      <c r="K5052" s="219" t="n"/>
      <c r="L5052" s="219" t="n"/>
      <c r="M5052" s="219" t="n"/>
      <c r="P5052" s="117" t="n"/>
      <c r="R5052" s="117" t="n"/>
      <c r="T5052" s="117" t="n"/>
    </row>
    <row r="5053">
      <c r="A5053" s="134" t="inlineStr">
        <is>
          <t>17563</t>
        </is>
      </c>
      <c r="B5053" s="188" t="inlineStr">
        <is>
          <t>CARTERAS IMPORTADAS</t>
        </is>
      </c>
      <c r="C5053" s="153" t="n">
        <v>21900</v>
      </c>
      <c r="D5053" s="153" t="n"/>
      <c r="E5053" s="153" t="n"/>
      <c r="F5053" s="153" t="n"/>
      <c r="G5053" s="219" t="n"/>
      <c r="H5053" s="219">
        <f>ROUND((I5053*C5053)/100,0)*100</f>
        <v/>
      </c>
      <c r="I5053" s="219" t="n">
        <v>1.4</v>
      </c>
      <c r="J5053" s="219" t="n"/>
      <c r="K5053" s="219" t="n"/>
      <c r="L5053" s="219" t="n"/>
      <c r="M5053" s="219" t="n"/>
      <c r="P5053" s="117" t="n"/>
      <c r="R5053" s="117" t="n"/>
      <c r="T5053" s="117" t="n"/>
    </row>
    <row r="5054">
      <c r="A5054" s="134" t="inlineStr">
        <is>
          <t>17564</t>
        </is>
      </c>
      <c r="B5054" s="188" t="inlineStr">
        <is>
          <t>BANDOLERA CARTERA</t>
        </is>
      </c>
      <c r="C5054" s="153" t="n">
        <v>10500</v>
      </c>
      <c r="D5054" s="153" t="n"/>
      <c r="E5054" s="153" t="n"/>
      <c r="F5054" s="153" t="n"/>
      <c r="G5054" s="219" t="n"/>
      <c r="H5054" s="219">
        <f>ROUND((I5054*C5054)/100,0)*100</f>
        <v/>
      </c>
      <c r="I5054" s="219" t="n">
        <v>1.4</v>
      </c>
      <c r="J5054" s="219" t="n"/>
      <c r="K5054" s="219" t="n"/>
      <c r="L5054" s="219" t="n"/>
      <c r="M5054" s="219" t="n"/>
      <c r="P5054" s="117" t="n"/>
      <c r="R5054" s="117" t="n"/>
      <c r="T5054" s="117" t="n"/>
    </row>
    <row r="5055">
      <c r="A5055" s="134" t="n"/>
      <c r="B5055" s="188" t="inlineStr">
        <is>
          <t>CARTERAS 4 COLORES</t>
        </is>
      </c>
      <c r="C5055" s="153" t="n">
        <v>20700</v>
      </c>
      <c r="D5055" s="153" t="n"/>
      <c r="E5055" s="153" t="n"/>
      <c r="F5055" s="153" t="n"/>
      <c r="G5055" s="219" t="n"/>
      <c r="H5055" s="219">
        <f>ROUND((I5055*C5055)/100,0)*100</f>
        <v/>
      </c>
      <c r="I5055" s="219" t="n">
        <v>1.4</v>
      </c>
      <c r="J5055" s="219" t="n"/>
      <c r="K5055" s="219" t="n"/>
      <c r="L5055" s="219" t="n"/>
      <c r="M5055" s="219" t="n"/>
      <c r="P5055" s="117" t="n"/>
      <c r="R5055" s="117" t="n"/>
      <c r="T5055" s="117" t="n"/>
    </row>
    <row r="5056">
      <c r="A5056" s="134" t="inlineStr">
        <is>
          <t>17565</t>
        </is>
      </c>
      <c r="B5056" s="188" t="inlineStr">
        <is>
          <t>BANDOLERAS CORREA</t>
        </is>
      </c>
      <c r="C5056" s="153" t="n">
        <v>9100</v>
      </c>
      <c r="D5056" s="153" t="n"/>
      <c r="E5056" s="153" t="n"/>
      <c r="F5056" s="153" t="n"/>
      <c r="G5056" s="219" t="n"/>
      <c r="H5056" s="219">
        <f>ROUND((I5056*C5056)/100,0)*100</f>
        <v/>
      </c>
      <c r="I5056" s="219" t="n">
        <v>1.4</v>
      </c>
      <c r="J5056" s="219" t="n"/>
      <c r="K5056" s="219" t="n"/>
      <c r="L5056" s="219" t="n"/>
      <c r="M5056" s="219" t="n"/>
      <c r="P5056" s="117" t="n"/>
      <c r="R5056" s="117" t="n"/>
      <c r="T5056" s="117" t="n"/>
    </row>
    <row r="5057">
      <c r="A5057" s="134" t="n"/>
      <c r="B5057" s="188" t="inlineStr">
        <is>
          <t>BANDOLERAS MUY CHICAS</t>
        </is>
      </c>
      <c r="C5057" s="153" t="n">
        <v>11600</v>
      </c>
      <c r="D5057" s="153" t="n"/>
      <c r="E5057" s="153" t="n"/>
      <c r="F5057" s="153" t="n"/>
      <c r="G5057" s="219" t="n"/>
      <c r="H5057" s="219">
        <f>ROUND((I5057*C5057)/100,0)*100</f>
        <v/>
      </c>
      <c r="I5057" s="219" t="n">
        <v>1.4</v>
      </c>
      <c r="J5057" s="219" t="n"/>
      <c r="K5057" s="219" t="n"/>
      <c r="L5057" s="219" t="n"/>
      <c r="M5057" s="219" t="n"/>
      <c r="P5057" s="117" t="n"/>
      <c r="R5057" s="117" t="n"/>
      <c r="T5057" s="117" t="n"/>
    </row>
    <row r="5058">
      <c r="A5058" s="134" t="n"/>
      <c r="B5058" s="188" t="inlineStr">
        <is>
          <t>BANDOLERAS</t>
        </is>
      </c>
      <c r="C5058" s="153" t="n">
        <v>14200</v>
      </c>
      <c r="D5058" s="153" t="n"/>
      <c r="E5058" s="153" t="n"/>
      <c r="F5058" s="153" t="n"/>
      <c r="G5058" s="219" t="n"/>
      <c r="H5058" s="219">
        <f>ROUND((I5058*C5058)/100,0)*100</f>
        <v/>
      </c>
      <c r="I5058" s="219" t="n">
        <v>1.4</v>
      </c>
      <c r="J5058" s="219" t="n"/>
      <c r="K5058" s="219" t="n"/>
      <c r="L5058" s="219" t="n"/>
      <c r="M5058" s="219" t="n"/>
      <c r="P5058" s="117" t="n"/>
      <c r="R5058" s="117" t="n"/>
      <c r="T5058" s="117" t="n"/>
    </row>
    <row r="5059">
      <c r="A5059" s="134" t="inlineStr">
        <is>
          <t>L62</t>
        </is>
      </c>
      <c r="B5059" s="188" t="inlineStr">
        <is>
          <t>LEXICO</t>
        </is>
      </c>
      <c r="C5059" s="88" t="n">
        <v>14800</v>
      </c>
      <c r="D5059" s="153" t="n"/>
      <c r="E5059" s="153" t="n"/>
      <c r="F5059" s="153" t="n"/>
      <c r="G5059" s="219" t="n"/>
      <c r="H5059" s="219">
        <f>ROUND((I5059*C5059)/100,0)*100</f>
        <v/>
      </c>
      <c r="I5059" s="219" t="n">
        <v>1.4</v>
      </c>
      <c r="J5059" s="219" t="n"/>
      <c r="K5059" s="219" t="n"/>
      <c r="L5059" s="219" t="n"/>
      <c r="M5059" s="219" t="n"/>
      <c r="P5059" s="117" t="n"/>
      <c r="R5059" s="117" t="n"/>
      <c r="T5059" s="117" t="n"/>
    </row>
    <row r="5060">
      <c r="A5060" s="134" t="inlineStr">
        <is>
          <t>L63</t>
        </is>
      </c>
      <c r="B5060" s="188" t="inlineStr">
        <is>
          <t>LEXICO</t>
        </is>
      </c>
      <c r="C5060" s="88" t="n">
        <v>17700</v>
      </c>
      <c r="D5060" s="153" t="n"/>
      <c r="E5060" s="153" t="n"/>
      <c r="F5060" s="153" t="n"/>
      <c r="G5060" s="219" t="n"/>
      <c r="H5060" s="219">
        <f>ROUND((I5060*C5060)/100,0)*100</f>
        <v/>
      </c>
      <c r="I5060" s="219" t="n">
        <v>1.4</v>
      </c>
      <c r="J5060" s="219" t="n"/>
      <c r="K5060" s="219" t="n"/>
      <c r="L5060" s="219" t="n"/>
      <c r="M5060" s="219" t="n"/>
      <c r="P5060" s="117" t="n"/>
      <c r="R5060" s="117" t="n"/>
      <c r="T5060" s="117" t="n"/>
    </row>
    <row r="5061">
      <c r="A5061" s="134" t="inlineStr">
        <is>
          <t>L67</t>
        </is>
      </c>
      <c r="B5061" s="188" t="inlineStr">
        <is>
          <t>LEXICO</t>
        </is>
      </c>
      <c r="C5061" s="88" t="n">
        <v>21600</v>
      </c>
      <c r="D5061" s="153" t="n"/>
      <c r="E5061" s="153" t="n"/>
      <c r="F5061" s="153" t="n"/>
      <c r="G5061" s="219" t="n"/>
      <c r="H5061" s="219">
        <f>ROUND((I5061*C5061)/100,0)*100</f>
        <v/>
      </c>
      <c r="I5061" s="219" t="n">
        <v>1.4</v>
      </c>
      <c r="J5061" s="219" t="n"/>
      <c r="K5061" s="219" t="n"/>
      <c r="L5061" s="219" t="n"/>
      <c r="M5061" s="219" t="n"/>
      <c r="P5061" s="117" t="n"/>
      <c r="R5061" s="117" t="n"/>
      <c r="T5061" s="117" t="n"/>
    </row>
    <row r="5062">
      <c r="A5062" s="134" t="inlineStr">
        <is>
          <t>L68</t>
        </is>
      </c>
      <c r="B5062" s="188" t="inlineStr">
        <is>
          <t>LEXICO</t>
        </is>
      </c>
      <c r="C5062" s="88" t="n">
        <v>20900</v>
      </c>
      <c r="D5062" s="153" t="n"/>
      <c r="E5062" s="153" t="n"/>
      <c r="F5062" s="153" t="n"/>
      <c r="G5062" s="219" t="n"/>
      <c r="H5062" s="219">
        <f>ROUND((I5062*C5062)/100,0)*100</f>
        <v/>
      </c>
      <c r="I5062" s="219" t="n">
        <v>1.4</v>
      </c>
      <c r="J5062" s="219" t="n"/>
      <c r="K5062" s="219" t="n"/>
      <c r="L5062" s="219" t="n"/>
      <c r="M5062" s="219" t="n"/>
      <c r="P5062" s="117" t="n"/>
      <c r="R5062" s="117" t="n"/>
      <c r="T5062" s="117" t="n"/>
    </row>
    <row r="5063">
      <c r="A5063" s="134" t="inlineStr">
        <is>
          <t>L70</t>
        </is>
      </c>
      <c r="B5063" s="188" t="inlineStr">
        <is>
          <t>LEXICO</t>
        </is>
      </c>
      <c r="C5063" s="88" t="n">
        <v>16600</v>
      </c>
      <c r="D5063" s="153" t="n"/>
      <c r="E5063" s="153" t="n"/>
      <c r="F5063" s="153" t="n"/>
      <c r="G5063" s="219" t="n"/>
      <c r="H5063" s="219">
        <f>ROUND((I5063*C5063)/100,0)*100</f>
        <v/>
      </c>
      <c r="I5063" s="219" t="n">
        <v>1.4</v>
      </c>
      <c r="J5063" s="219" t="n"/>
      <c r="K5063" s="219" t="n"/>
      <c r="L5063" s="219" t="n"/>
      <c r="M5063" s="219" t="n"/>
      <c r="P5063" s="117" t="n"/>
      <c r="R5063" s="117" t="n"/>
      <c r="T5063" s="117" t="n"/>
    </row>
    <row r="5064">
      <c r="A5064" s="134" t="inlineStr">
        <is>
          <t>L72</t>
        </is>
      </c>
      <c r="B5064" s="188" t="inlineStr">
        <is>
          <t>LEXICO</t>
        </is>
      </c>
      <c r="C5064" s="88" t="n">
        <v>22700</v>
      </c>
      <c r="D5064" s="153" t="n"/>
      <c r="E5064" s="153" t="n"/>
      <c r="F5064" s="153" t="n"/>
      <c r="G5064" s="219" t="n"/>
      <c r="H5064" s="219">
        <f>ROUND((I5064*C5064)/100,0)*100</f>
        <v/>
      </c>
      <c r="I5064" s="219" t="n">
        <v>1.4</v>
      </c>
      <c r="J5064" s="219" t="n"/>
      <c r="K5064" s="219" t="n"/>
      <c r="L5064" s="219" t="n"/>
      <c r="M5064" s="219" t="n"/>
      <c r="P5064" s="117" t="n"/>
      <c r="R5064" s="117" t="n"/>
      <c r="T5064" s="117" t="n"/>
    </row>
    <row r="5065">
      <c r="A5065" s="134" t="inlineStr">
        <is>
          <t>L75</t>
        </is>
      </c>
      <c r="B5065" s="188" t="inlineStr">
        <is>
          <t>LEXICO</t>
        </is>
      </c>
      <c r="C5065" s="88" t="n">
        <v>23400</v>
      </c>
      <c r="D5065" s="153" t="n"/>
      <c r="E5065" s="153" t="n"/>
      <c r="F5065" s="153" t="n"/>
      <c r="G5065" s="219" t="n"/>
      <c r="H5065" s="219">
        <f>ROUND((I5065*C5065)/100,0)*100</f>
        <v/>
      </c>
      <c r="I5065" s="219" t="n">
        <v>1.4</v>
      </c>
      <c r="J5065" s="219" t="n"/>
      <c r="K5065" s="219" t="n"/>
      <c r="L5065" s="219" t="n"/>
      <c r="M5065" s="219" t="n"/>
      <c r="P5065" s="117" t="n"/>
      <c r="R5065" s="117" t="n"/>
      <c r="T5065" s="117" t="n"/>
    </row>
    <row r="5066">
      <c r="A5066" s="134" t="inlineStr">
        <is>
          <t>L76</t>
        </is>
      </c>
      <c r="B5066" s="188" t="inlineStr">
        <is>
          <t>LEXICO</t>
        </is>
      </c>
      <c r="C5066" s="88" t="n">
        <v>28200</v>
      </c>
      <c r="D5066" s="153" t="n"/>
      <c r="E5066" s="153" t="n"/>
      <c r="F5066" s="153" t="n"/>
      <c r="G5066" s="219" t="n"/>
      <c r="H5066" s="219">
        <f>ROUND((I5066*C5066)/100,0)*100</f>
        <v/>
      </c>
      <c r="I5066" s="219" t="n">
        <v>1.4</v>
      </c>
      <c r="J5066" s="219" t="n"/>
      <c r="K5066" s="219" t="n"/>
      <c r="L5066" s="219" t="n"/>
      <c r="M5066" s="219" t="n"/>
      <c r="P5066" s="117" t="n"/>
      <c r="R5066" s="117" t="n"/>
      <c r="T5066" s="117" t="n"/>
    </row>
    <row r="5067">
      <c r="A5067" s="134" t="inlineStr">
        <is>
          <t>L77</t>
        </is>
      </c>
      <c r="B5067" s="188" t="inlineStr">
        <is>
          <t>LEXICO</t>
        </is>
      </c>
      <c r="C5067" s="88" t="n">
        <v>24200</v>
      </c>
      <c r="D5067" s="153" t="n"/>
      <c r="E5067" s="153" t="n"/>
      <c r="F5067" s="153" t="n"/>
      <c r="G5067" s="219" t="n"/>
      <c r="H5067" s="219">
        <f>ROUND((I5067*C5067)/100,0)*100</f>
        <v/>
      </c>
      <c r="I5067" s="219" t="n">
        <v>1.4</v>
      </c>
      <c r="J5067" s="219" t="n"/>
      <c r="K5067" s="219" t="n"/>
      <c r="L5067" s="219" t="n"/>
      <c r="M5067" s="219" t="n"/>
      <c r="P5067" s="117" t="n"/>
      <c r="R5067" s="117" t="n"/>
      <c r="T5067" s="117" t="n"/>
    </row>
    <row r="5068">
      <c r="A5068" s="134" t="inlineStr">
        <is>
          <t>L81</t>
        </is>
      </c>
      <c r="B5068" s="188" t="inlineStr">
        <is>
          <t>LEXICO</t>
        </is>
      </c>
      <c r="C5068" s="88" t="n">
        <v>28900</v>
      </c>
      <c r="D5068" s="153" t="n"/>
      <c r="E5068" s="153" t="n"/>
      <c r="F5068" s="153" t="n"/>
      <c r="G5068" s="219" t="n"/>
      <c r="H5068" s="219">
        <f>ROUND((I5068*C5068)/100,0)*100</f>
        <v/>
      </c>
      <c r="I5068" s="219" t="n">
        <v>1.4</v>
      </c>
      <c r="J5068" s="219" t="n"/>
      <c r="K5068" s="219" t="n"/>
      <c r="L5068" s="219" t="n"/>
      <c r="M5068" s="219" t="n"/>
      <c r="P5068" s="117" t="n"/>
      <c r="R5068" s="117" t="n"/>
      <c r="T5068" s="117" t="n"/>
    </row>
    <row r="5069">
      <c r="A5069" s="134" t="inlineStr">
        <is>
          <t>L82</t>
        </is>
      </c>
      <c r="B5069" s="188" t="inlineStr">
        <is>
          <t>LEXICO</t>
        </is>
      </c>
      <c r="C5069" s="88" t="n">
        <v>17600</v>
      </c>
      <c r="D5069" s="153" t="n"/>
      <c r="E5069" s="153" t="n"/>
      <c r="F5069" s="153" t="n"/>
      <c r="G5069" s="219" t="n"/>
      <c r="H5069" s="219">
        <f>ROUND((I5069*C5069)/100,0)*100</f>
        <v/>
      </c>
      <c r="I5069" s="219" t="n">
        <v>1.4</v>
      </c>
      <c r="J5069" s="219" t="n"/>
      <c r="K5069" s="219" t="n"/>
      <c r="L5069" s="219" t="n"/>
      <c r="M5069" s="219" t="n"/>
      <c r="P5069" s="117" t="n"/>
      <c r="R5069" s="117" t="n"/>
      <c r="T5069" s="117" t="n"/>
    </row>
    <row r="5070">
      <c r="A5070" s="134" t="inlineStr">
        <is>
          <t>L83</t>
        </is>
      </c>
      <c r="B5070" s="188" t="inlineStr">
        <is>
          <t>LEXICO</t>
        </is>
      </c>
      <c r="C5070" s="88" t="n">
        <v>17400</v>
      </c>
      <c r="D5070" s="153" t="n"/>
      <c r="E5070" s="153" t="n"/>
      <c r="F5070" s="153" t="n"/>
      <c r="G5070" s="219" t="n"/>
      <c r="H5070" s="219">
        <f>ROUND((I5070*C5070)/100,0)*100</f>
        <v/>
      </c>
      <c r="I5070" s="219" t="n">
        <v>1.4</v>
      </c>
      <c r="J5070" s="219" t="n"/>
      <c r="K5070" s="219" t="n"/>
      <c r="L5070" s="219" t="n"/>
      <c r="M5070" s="219" t="n"/>
      <c r="P5070" s="117" t="n"/>
      <c r="R5070" s="117" t="n"/>
      <c r="T5070" s="117" t="n"/>
    </row>
    <row r="5071">
      <c r="A5071" s="134" t="inlineStr">
        <is>
          <t>L80</t>
        </is>
      </c>
      <c r="B5071" s="188" t="inlineStr">
        <is>
          <t>LEXICO</t>
        </is>
      </c>
      <c r="C5071" s="88" t="n">
        <v>15600</v>
      </c>
      <c r="D5071" s="153" t="n"/>
      <c r="E5071" s="153" t="n"/>
      <c r="F5071" s="153" t="n"/>
      <c r="G5071" s="219" t="n"/>
      <c r="H5071" s="219">
        <f>ROUND((I5071*C5071)/100,0)*100</f>
        <v/>
      </c>
      <c r="I5071" s="219" t="n">
        <v>1.4</v>
      </c>
      <c r="J5071" s="219" t="n"/>
      <c r="K5071" s="219" t="n"/>
      <c r="L5071" s="219" t="n"/>
      <c r="M5071" s="219" t="n"/>
      <c r="P5071" s="117" t="n"/>
      <c r="R5071" s="117" t="n"/>
      <c r="T5071" s="117" t="n"/>
    </row>
    <row r="5072">
      <c r="A5072" s="134" t="inlineStr">
        <is>
          <t>L60</t>
        </is>
      </c>
      <c r="B5072" s="188" t="inlineStr">
        <is>
          <t>LEXICO</t>
        </is>
      </c>
      <c r="C5072" s="88" t="n">
        <v>14600</v>
      </c>
      <c r="D5072" s="153" t="n"/>
      <c r="E5072" s="153" t="n"/>
      <c r="F5072" s="153" t="n"/>
      <c r="G5072" s="219" t="n"/>
      <c r="H5072" s="219">
        <f>ROUND((I5072*C5072)/100,0)*100</f>
        <v/>
      </c>
      <c r="I5072" s="219" t="n">
        <v>1.4</v>
      </c>
      <c r="J5072" s="219" t="n"/>
      <c r="K5072" s="219" t="n"/>
      <c r="L5072" s="219" t="n"/>
      <c r="M5072" s="219" t="n"/>
      <c r="P5072" s="117" t="n"/>
      <c r="R5072" s="117" t="n"/>
      <c r="T5072" s="117" t="n"/>
    </row>
    <row r="5073">
      <c r="A5073" s="134" t="inlineStr">
        <is>
          <t>L64</t>
        </is>
      </c>
      <c r="B5073" s="188" t="inlineStr">
        <is>
          <t>LEXICO</t>
        </is>
      </c>
      <c r="C5073" s="88" t="n">
        <v>15300</v>
      </c>
      <c r="D5073" s="153" t="n"/>
      <c r="E5073" s="153" t="n"/>
      <c r="F5073" s="153" t="n"/>
      <c r="G5073" s="219" t="n"/>
      <c r="H5073" s="219">
        <f>ROUND((I5073*C5073)/100,0)*100</f>
        <v/>
      </c>
      <c r="I5073" s="219" t="n">
        <v>1.4</v>
      </c>
      <c r="J5073" s="219" t="n"/>
      <c r="K5073" s="219" t="n"/>
      <c r="L5073" s="219" t="n"/>
      <c r="M5073" s="219" t="n"/>
      <c r="P5073" s="117" t="n"/>
      <c r="R5073" s="117" t="n"/>
      <c r="T5073" s="117" t="n"/>
    </row>
    <row r="5074">
      <c r="A5074" s="134" t="n"/>
      <c r="B5074" s="188" t="n"/>
      <c r="C5074" s="153" t="n"/>
      <c r="D5074" s="153" t="n"/>
      <c r="E5074" s="153" t="n"/>
      <c r="F5074" s="153" t="n"/>
      <c r="G5074" s="219" t="n"/>
      <c r="H5074" s="219" t="n"/>
      <c r="I5074" s="219" t="n"/>
      <c r="J5074" s="219" t="n"/>
      <c r="K5074" s="219" t="n"/>
      <c r="L5074" s="219" t="n"/>
      <c r="M5074" s="219" t="n"/>
      <c r="P5074" s="117" t="n"/>
      <c r="R5074" s="117" t="n"/>
      <c r="T5074" s="117" t="n"/>
    </row>
    <row r="5075">
      <c r="A5075" s="134" t="n"/>
      <c r="B5075" s="246" t="n"/>
      <c r="C5075" s="153" t="n"/>
      <c r="D5075" s="153" t="n"/>
      <c r="E5075" s="153" t="n"/>
      <c r="F5075" s="153" t="n"/>
      <c r="G5075" s="153" t="n"/>
      <c r="H5075" s="153" t="n"/>
      <c r="I5075" s="153" t="n"/>
      <c r="J5075" s="153" t="n"/>
      <c r="K5075" s="219" t="n"/>
      <c r="L5075" s="219" t="n"/>
      <c r="M5075" s="219" t="n"/>
      <c r="P5075" s="117" t="n"/>
      <c r="R5075" s="117" t="n"/>
      <c r="T5075" s="117" t="n"/>
    </row>
    <row r="5076">
      <c r="A5076" s="148" t="n"/>
      <c r="B5076" s="252" t="inlineStr">
        <is>
          <t>Billeteras dama</t>
        </is>
      </c>
      <c r="C5076" s="42" t="n"/>
      <c r="D5076" s="153" t="n"/>
      <c r="E5076" s="153" t="n"/>
      <c r="F5076" s="153" t="n"/>
      <c r="G5076" s="219" t="n"/>
      <c r="H5076" s="219" t="n"/>
      <c r="I5076" s="219" t="n"/>
      <c r="J5076" s="219" t="n"/>
      <c r="K5076" s="219" t="n"/>
      <c r="L5076" s="219" t="n"/>
      <c r="M5076" s="219" t="n"/>
      <c r="P5076" s="117" t="n"/>
      <c r="R5076" s="117" t="n"/>
      <c r="T5076" s="117" t="n"/>
    </row>
    <row r="5077">
      <c r="A5077" s="134" t="n"/>
      <c r="B5077" s="246" t="n"/>
      <c r="C5077" s="117" t="n"/>
      <c r="D5077" s="219" t="n"/>
      <c r="E5077" s="219" t="n"/>
      <c r="F5077" s="219" t="n"/>
      <c r="G5077" s="219" t="n"/>
      <c r="H5077" s="219" t="n"/>
      <c r="I5077" s="219" t="n"/>
      <c r="J5077" s="219" t="n"/>
      <c r="K5077" s="219" t="n"/>
      <c r="L5077" s="219" t="n"/>
      <c r="M5077" s="219" t="n"/>
      <c r="P5077" s="117" t="n"/>
      <c r="R5077" s="117" t="n"/>
      <c r="T5077" s="117" t="n"/>
    </row>
    <row r="5078">
      <c r="A5078" s="134" t="inlineStr">
        <is>
          <t>17253</t>
        </is>
      </c>
      <c r="B5078" s="246" t="inlineStr">
        <is>
          <t>PRATYS</t>
        </is>
      </c>
      <c r="C5078" s="88" t="n">
        <v>12500</v>
      </c>
      <c r="D5078" s="219" t="n"/>
      <c r="E5078" s="219" t="n"/>
      <c r="F5078" s="219" t="n"/>
      <c r="G5078" s="219" t="n"/>
      <c r="H5078" s="219">
        <f>ROUND((C5078*I5078)/100,0)*100</f>
        <v/>
      </c>
      <c r="I5078" s="219" t="n">
        <v>1.35</v>
      </c>
      <c r="J5078" s="219" t="n"/>
      <c r="K5078" s="219" t="n"/>
      <c r="L5078" s="219" t="n"/>
      <c r="M5078" s="219" t="n"/>
      <c r="P5078" s="117" t="n"/>
      <c r="R5078" s="117" t="n"/>
      <c r="T5078" s="117" t="n"/>
    </row>
    <row r="5079">
      <c r="A5079" s="134" t="n"/>
      <c r="B5079" s="246" t="n"/>
      <c r="C5079" s="88" t="n"/>
      <c r="D5079" s="153" t="n"/>
      <c r="E5079" s="153" t="n"/>
      <c r="F5079" s="153" t="n"/>
      <c r="G5079" s="219" t="n"/>
      <c r="H5079" s="219" t="n"/>
      <c r="I5079" s="219" t="n"/>
      <c r="J5079" s="219" t="n"/>
      <c r="K5079" s="219" t="n"/>
      <c r="L5079" s="219" t="n"/>
      <c r="M5079" s="219" t="n"/>
      <c r="P5079" s="117" t="n"/>
      <c r="R5079" s="117" t="n"/>
      <c r="T5079" s="117" t="n"/>
    </row>
    <row r="5080">
      <c r="A5080" s="134" t="n"/>
      <c r="B5080" s="246" t="n"/>
      <c r="C5080" s="153" t="n"/>
      <c r="D5080" s="153" t="n"/>
      <c r="E5080" s="153" t="n"/>
      <c r="F5080" s="153" t="n"/>
      <c r="G5080" s="153" t="n"/>
      <c r="H5080" s="219" t="n"/>
      <c r="I5080" s="219" t="n"/>
      <c r="J5080" s="153" t="n"/>
      <c r="K5080" s="219" t="n"/>
      <c r="L5080" s="219" t="n"/>
      <c r="M5080" s="219" t="n"/>
      <c r="P5080" s="117" t="n"/>
      <c r="R5080" s="117" t="n"/>
      <c r="T5080" s="117" t="n"/>
    </row>
    <row r="5081">
      <c r="A5081" s="134" t="n"/>
      <c r="B5081" s="246" t="n"/>
      <c r="C5081" s="153" t="n"/>
      <c r="D5081" s="153" t="n"/>
      <c r="E5081" s="153" t="n"/>
      <c r="F5081" s="153" t="n"/>
      <c r="G5081" s="153" t="n"/>
      <c r="H5081" s="219" t="n"/>
      <c r="I5081" s="219" t="n"/>
      <c r="J5081" s="153" t="n"/>
      <c r="K5081" s="219" t="n"/>
      <c r="L5081" s="219" t="n"/>
      <c r="M5081" s="219" t="n"/>
      <c r="P5081" s="117" t="n"/>
      <c r="R5081" s="117" t="n"/>
      <c r="T5081" s="117" t="n"/>
    </row>
    <row r="5082">
      <c r="A5082" s="134" t="n"/>
      <c r="B5082" s="246" t="n"/>
      <c r="C5082" s="153" t="n"/>
      <c r="D5082" s="153" t="n"/>
      <c r="E5082" s="153" t="n"/>
      <c r="F5082" s="153" t="n"/>
      <c r="G5082" s="153" t="n"/>
      <c r="H5082" s="219" t="n"/>
      <c r="I5082" s="219" t="n"/>
      <c r="J5082" s="153" t="n"/>
      <c r="K5082" s="219" t="n"/>
      <c r="L5082" s="219" t="n"/>
      <c r="M5082" s="219" t="n"/>
      <c r="P5082" s="117" t="n"/>
      <c r="R5082" s="117" t="n"/>
      <c r="T5082" s="117" t="n"/>
    </row>
    <row r="5083">
      <c r="A5083" s="134" t="n"/>
      <c r="B5083" s="246" t="n"/>
      <c r="C5083" s="153" t="n"/>
      <c r="D5083" s="153" t="n"/>
      <c r="E5083" s="153" t="n"/>
      <c r="F5083" s="153" t="n"/>
      <c r="G5083" s="153" t="n"/>
      <c r="H5083" s="219" t="n"/>
      <c r="I5083" s="219" t="n"/>
      <c r="J5083" s="153" t="n"/>
      <c r="K5083" s="219" t="n"/>
      <c r="L5083" s="219" t="n"/>
      <c r="M5083" s="219" t="n"/>
      <c r="P5083" s="117" t="n"/>
      <c r="R5083" s="117" t="n"/>
      <c r="T5083" s="117" t="n"/>
    </row>
    <row r="5084">
      <c r="A5084" s="134" t="n"/>
      <c r="B5084" s="246" t="n"/>
      <c r="C5084" s="153" t="n"/>
      <c r="D5084" s="153" t="n"/>
      <c r="E5084" s="153" t="n"/>
      <c r="F5084" s="153" t="n"/>
      <c r="G5084" s="153" t="n"/>
      <c r="H5084" s="219" t="n"/>
      <c r="I5084" s="219" t="n"/>
      <c r="J5084" s="153" t="n"/>
      <c r="K5084" s="219" t="n"/>
      <c r="L5084" s="219" t="n"/>
      <c r="M5084" s="219" t="n"/>
      <c r="P5084" s="117" t="n"/>
      <c r="R5084" s="117" t="n"/>
      <c r="T5084" s="117" t="n"/>
    </row>
    <row r="5085">
      <c r="A5085" s="134" t="n"/>
      <c r="B5085" s="246" t="n"/>
      <c r="C5085" s="153" t="n"/>
      <c r="D5085" s="153" t="n"/>
      <c r="E5085" s="153" t="n"/>
      <c r="F5085" s="153" t="n"/>
      <c r="G5085" s="153" t="n"/>
      <c r="H5085" s="219" t="n"/>
      <c r="I5085" s="219" t="n"/>
      <c r="J5085" s="153" t="n"/>
      <c r="K5085" s="219" t="n"/>
      <c r="L5085" s="219" t="n"/>
      <c r="M5085" s="219" t="n"/>
      <c r="P5085" s="117" t="n"/>
      <c r="R5085" s="117" t="n"/>
      <c r="T5085" s="117" t="n"/>
    </row>
    <row r="5086">
      <c r="A5086" s="134" t="n"/>
      <c r="B5086" s="246" t="n"/>
      <c r="C5086" s="153" t="n"/>
      <c r="D5086" s="153" t="n"/>
      <c r="E5086" s="153" t="n"/>
      <c r="F5086" s="153" t="n"/>
      <c r="G5086" s="153" t="n"/>
      <c r="H5086" s="219" t="n"/>
      <c r="I5086" s="219" t="n"/>
      <c r="J5086" s="153" t="n"/>
      <c r="K5086" s="219" t="n"/>
      <c r="L5086" s="219" t="n"/>
      <c r="M5086" s="219" t="n"/>
      <c r="P5086" s="117" t="n"/>
      <c r="R5086" s="117" t="n"/>
      <c r="T5086" s="117" t="n"/>
    </row>
    <row r="5087">
      <c r="A5087" s="134" t="n"/>
      <c r="B5087" s="246" t="n"/>
      <c r="C5087" s="153" t="n"/>
      <c r="D5087" s="153" t="n"/>
      <c r="E5087" s="153" t="n"/>
      <c r="F5087" s="153" t="n"/>
      <c r="G5087" s="153" t="n"/>
      <c r="H5087" s="153" t="n"/>
      <c r="I5087" s="219" t="n"/>
      <c r="J5087" s="219" t="n"/>
      <c r="K5087" s="153" t="n"/>
      <c r="L5087" s="219" t="n"/>
      <c r="M5087" s="219" t="n"/>
      <c r="N5087" s="219" t="n"/>
      <c r="P5087" s="117" t="n"/>
      <c r="R5087" s="117" t="n"/>
      <c r="T5087" s="117" t="n"/>
    </row>
    <row r="5088">
      <c r="A5088" s="134" t="n"/>
      <c r="B5088" s="246" t="n"/>
      <c r="C5088" s="153" t="n"/>
      <c r="D5088" s="153" t="n"/>
      <c r="E5088" s="153" t="n"/>
      <c r="F5088" s="153" t="n"/>
      <c r="G5088" s="153" t="n"/>
      <c r="H5088" s="153" t="n"/>
      <c r="I5088" s="219" t="n"/>
      <c r="J5088" s="219" t="n"/>
      <c r="K5088" s="153" t="n"/>
      <c r="L5088" s="219" t="n"/>
      <c r="M5088" s="219" t="n"/>
      <c r="N5088" s="219" t="n"/>
      <c r="P5088" s="117" t="n"/>
      <c r="R5088" s="117" t="n"/>
      <c r="T5088" s="117" t="n"/>
    </row>
    <row r="5089">
      <c r="A5089" s="134" t="n"/>
      <c r="B5089" s="246" t="n"/>
      <c r="C5089" s="153" t="n"/>
      <c r="D5089" s="153" t="n"/>
      <c r="E5089" s="153" t="n"/>
      <c r="F5089" s="153" t="n"/>
      <c r="G5089" s="153" t="n"/>
      <c r="H5089" s="153" t="n"/>
      <c r="I5089" s="219" t="n"/>
      <c r="J5089" s="219" t="n"/>
      <c r="K5089" s="153" t="n"/>
      <c r="L5089" s="219" t="n"/>
      <c r="M5089" s="219" t="n"/>
      <c r="N5089" s="219" t="n"/>
      <c r="P5089" s="117" t="n"/>
      <c r="R5089" s="117" t="n"/>
      <c r="T5089" s="117" t="n"/>
    </row>
    <row r="5090">
      <c r="A5090" s="134" t="n"/>
      <c r="B5090" s="246" t="n"/>
      <c r="C5090" s="153" t="n"/>
      <c r="D5090" s="153" t="n"/>
      <c r="E5090" s="153" t="n"/>
      <c r="F5090" s="153" t="n"/>
      <c r="G5090" s="153" t="n"/>
      <c r="H5090" s="153" t="n"/>
      <c r="I5090" s="219" t="n"/>
      <c r="J5090" s="219" t="n"/>
      <c r="K5090" s="153" t="n"/>
      <c r="L5090" s="219" t="n"/>
      <c r="M5090" s="219" t="n"/>
      <c r="N5090" s="219" t="n"/>
      <c r="P5090" s="117" t="n"/>
      <c r="R5090" s="117" t="n"/>
      <c r="T5090" s="117" t="n"/>
    </row>
    <row r="5091">
      <c r="A5091" s="134" t="n"/>
      <c r="B5091" s="246" t="n"/>
      <c r="C5091" s="153" t="n"/>
      <c r="D5091" s="153" t="n"/>
      <c r="E5091" s="153" t="n"/>
      <c r="F5091" s="153" t="n"/>
      <c r="G5091" s="153" t="n"/>
      <c r="H5091" s="153" t="n"/>
      <c r="I5091" s="219" t="n"/>
      <c r="J5091" s="219" t="n"/>
      <c r="K5091" s="153" t="n"/>
      <c r="L5091" s="219" t="n"/>
      <c r="M5091" s="219" t="n"/>
      <c r="N5091" s="219" t="n"/>
      <c r="P5091" s="117" t="n"/>
      <c r="R5091" s="117" t="n"/>
      <c r="T5091" s="117" t="n"/>
    </row>
    <row r="5092">
      <c r="A5092" s="134" t="n"/>
      <c r="B5092" s="246" t="n"/>
      <c r="C5092" s="153" t="n"/>
      <c r="D5092" s="153" t="n"/>
      <c r="E5092" s="153" t="n"/>
      <c r="F5092" s="153" t="n"/>
      <c r="G5092" s="153" t="n"/>
      <c r="H5092" s="153" t="n"/>
      <c r="I5092" s="219" t="n"/>
      <c r="J5092" s="219" t="n"/>
      <c r="K5092" s="153" t="n"/>
      <c r="L5092" s="219" t="n"/>
      <c r="M5092" s="219" t="n"/>
      <c r="N5092" s="219" t="n"/>
      <c r="P5092" s="117" t="n"/>
      <c r="R5092" s="117" t="n"/>
      <c r="T5092" s="117" t="n"/>
    </row>
    <row r="5093"/>
    <row r="5094">
      <c r="B5094" s="248" t="inlineStr">
        <is>
          <t>JEANS DAMA</t>
        </is>
      </c>
      <c r="C5094" s="248" t="inlineStr">
        <is>
          <t>38-48</t>
        </is>
      </c>
    </row>
    <row r="5095">
      <c r="A5095" s="248" t="inlineStr">
        <is>
          <t>11671XXX</t>
        </is>
      </c>
      <c r="B5095" s="248" t="inlineStr">
        <is>
          <t>TAVERNITI JEAN DAMA</t>
        </is>
      </c>
      <c r="C5095" s="248" t="n">
        <v>103500</v>
      </c>
      <c r="F5095" s="248" t="n">
        <v>110800</v>
      </c>
    </row>
    <row r="5096">
      <c r="A5096" s="248" t="inlineStr">
        <is>
          <t>11737XXX</t>
        </is>
      </c>
      <c r="B5096" s="248" t="inlineStr">
        <is>
          <t>TAVERNITI JEAN DAMA</t>
        </is>
      </c>
      <c r="C5096" s="248" t="n">
        <v>69900</v>
      </c>
      <c r="F5096" s="248" t="n">
        <v>69900</v>
      </c>
    </row>
    <row r="5097">
      <c r="A5097" s="248" t="inlineStr">
        <is>
          <t>11847XXX</t>
        </is>
      </c>
      <c r="B5097" s="248" t="inlineStr">
        <is>
          <t>TAVERNITI JEAN DAMA</t>
        </is>
      </c>
      <c r="C5097" s="248" t="n">
        <v>102900</v>
      </c>
      <c r="F5097" s="248" t="n">
        <v>110000</v>
      </c>
    </row>
    <row r="5098">
      <c r="A5098" s="248" t="inlineStr">
        <is>
          <t>11907XXX</t>
        </is>
      </c>
      <c r="B5098" s="248" t="inlineStr">
        <is>
          <t>TAVERNITI JEAN DAMA</t>
        </is>
      </c>
      <c r="C5098" s="248" t="n">
        <v>122000</v>
      </c>
    </row>
    <row r="5099">
      <c r="A5099" s="248" t="inlineStr">
        <is>
          <t>11909XXX</t>
        </is>
      </c>
      <c r="B5099" s="248" t="inlineStr">
        <is>
          <t>TAVERNITI JEAN DAMA</t>
        </is>
      </c>
      <c r="C5099" s="248" t="n">
        <v>108000</v>
      </c>
      <c r="F5099" s="248" t="n">
        <v>115600</v>
      </c>
    </row>
    <row r="5100">
      <c r="A5100" t="inlineStr">
        <is>
          <t>11913XXX</t>
        </is>
      </c>
      <c r="B5100" t="inlineStr">
        <is>
          <t>TAVERNITI JEAN DAMA</t>
        </is>
      </c>
      <c r="C5100" t="n">
        <v>96800</v>
      </c>
      <c r="F5100" t="n">
        <v>103600</v>
      </c>
    </row>
    <row r="5101"/>
    <row r="5102">
      <c r="B5102" s="248" t="inlineStr">
        <is>
          <t>JEANS HOMBRE</t>
        </is>
      </c>
      <c r="C5102" s="248" t="inlineStr">
        <is>
          <t>28-38</t>
        </is>
      </c>
      <c r="F5102" t="inlineStr">
        <is>
          <t>40-46</t>
        </is>
      </c>
    </row>
    <row r="5103">
      <c r="A5103" s="248" t="inlineStr">
        <is>
          <t>13052668</t>
        </is>
      </c>
      <c r="B5103" s="248" t="inlineStr">
        <is>
          <t>TAVERNITI PANTALON</t>
        </is>
      </c>
      <c r="C5103" s="248" t="n">
        <v>116700</v>
      </c>
    </row>
    <row r="5104">
      <c r="A5104" s="248" t="inlineStr">
        <is>
          <t>13052603</t>
        </is>
      </c>
      <c r="B5104" s="248" t="inlineStr">
        <is>
          <t>TAVERNITI PANTALON</t>
        </is>
      </c>
      <c r="C5104" s="248" t="n">
        <v>126000</v>
      </c>
      <c r="F5104" t="n">
        <v>134900</v>
      </c>
    </row>
    <row r="5105">
      <c r="A5105" t="inlineStr">
        <is>
          <t>13052602</t>
        </is>
      </c>
      <c r="B5105" t="inlineStr">
        <is>
          <t>TAVERNITI PANTALON</t>
        </is>
      </c>
      <c r="C5105" t="n">
        <v>126000</v>
      </c>
      <c r="F5105" t="n">
        <v>134900</v>
      </c>
    </row>
    <row r="5107">
      <c r="B5107" t="inlineStr">
        <is>
          <t>BUZOS HOMBRE</t>
        </is>
      </c>
      <c r="C5107" t="inlineStr">
        <is>
          <t>1 al 4</t>
        </is>
      </c>
    </row>
    <row r="5108">
      <c r="A5108" t="inlineStr">
        <is>
          <t>06996640</t>
        </is>
      </c>
      <c r="B5108" t="inlineStr">
        <is>
          <t>TAVERNITI BUZO</t>
        </is>
      </c>
      <c r="C5108" t="n">
        <v>65300</v>
      </c>
    </row>
    <row r="5109">
      <c r="A5109" t="inlineStr">
        <is>
          <t>06996539</t>
        </is>
      </c>
      <c r="B5109" t="inlineStr">
        <is>
          <t>TAVERNITI BUZO</t>
        </is>
      </c>
      <c r="C5109" t="n">
        <v>65300</v>
      </c>
    </row>
    <row r="5110">
      <c r="A5110" t="inlineStr">
        <is>
          <t>06996676</t>
        </is>
      </c>
      <c r="B5110" t="inlineStr">
        <is>
          <t>TAVERNITI BUZO</t>
        </is>
      </c>
      <c r="C5110" t="n">
        <v>65300</v>
      </c>
    </row>
    <row r="5111">
      <c r="A5111" t="inlineStr">
        <is>
          <t>06996693</t>
        </is>
      </c>
      <c r="B5111" t="inlineStr">
        <is>
          <t>TAVERNITI BUZO</t>
        </is>
      </c>
      <c r="C5111" t="n">
        <v>65300</v>
      </c>
    </row>
    <row r="5113">
      <c r="B5113" t="inlineStr">
        <is>
          <t>CHOMBAS M/LARGA</t>
        </is>
      </c>
      <c r="C5113" t="inlineStr">
        <is>
          <t>S-XL 1-4</t>
        </is>
      </c>
    </row>
    <row r="5114">
      <c r="A5114" t="inlineStr">
        <is>
          <t>04240604</t>
        </is>
      </c>
      <c r="B5114" t="inlineStr">
        <is>
          <t>TAVERNITI CHOMBA m/L</t>
        </is>
      </c>
      <c r="C5114" t="n">
        <v>38700</v>
      </c>
    </row>
    <row r="5115">
      <c r="A5115" t="inlineStr">
        <is>
          <t>07544416</t>
        </is>
      </c>
      <c r="B5115" t="inlineStr">
        <is>
          <t>TAVERNITI CHOMBA m/L</t>
        </is>
      </c>
      <c r="C5115" t="n">
        <v>38700</v>
      </c>
    </row>
    <row r="5116">
      <c r="A5116" t="inlineStr">
        <is>
          <t>07544815</t>
        </is>
      </c>
      <c r="B5116" t="inlineStr">
        <is>
          <t>TAVERNITI CHOMBA m/L</t>
        </is>
      </c>
      <c r="C5116" t="n">
        <v>38700</v>
      </c>
    </row>
    <row r="5117">
      <c r="A5117" t="inlineStr">
        <is>
          <t>20562619</t>
        </is>
      </c>
      <c r="B5117" t="inlineStr">
        <is>
          <t>TAVERNITI CHOMBA m/L</t>
        </is>
      </c>
      <c r="C5117" t="n">
        <v>38700</v>
      </c>
    </row>
    <row r="5118">
      <c r="A5118" t="inlineStr">
        <is>
          <t>20566603</t>
        </is>
      </c>
      <c r="B5118" t="inlineStr">
        <is>
          <t>TAVERNITI CHOMBA m/L</t>
        </is>
      </c>
      <c r="C5118" t="n">
        <v>38700</v>
      </c>
    </row>
    <row r="5119">
      <c r="A5119" t="inlineStr">
        <is>
          <t>20566606</t>
        </is>
      </c>
      <c r="B5119" t="inlineStr">
        <is>
          <t>TAVERNITI CHOMBA m/L</t>
        </is>
      </c>
      <c r="C5119" t="n">
        <v>38700</v>
      </c>
    </row>
    <row r="5120">
      <c r="A5120" t="inlineStr">
        <is>
          <t>20570653</t>
        </is>
      </c>
      <c r="B5120" t="inlineStr">
        <is>
          <t>TAVERNITI CHOMBA m/L</t>
        </is>
      </c>
      <c r="C5120" t="n">
        <v>38700</v>
      </c>
    </row>
    <row r="5121">
      <c r="A5121" t="inlineStr">
        <is>
          <t>20572416</t>
        </is>
      </c>
      <c r="B5121" t="inlineStr">
        <is>
          <t>TAVERNITI CHOMBA m/L</t>
        </is>
      </c>
      <c r="C5121" t="n">
        <v>38700</v>
      </c>
    </row>
  </sheetData>
  <autoFilter ref="$K$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2026-06-11T21:44:18Z</dcterms:created>
  <dcterms:modified xmlns:dcterms="http://purl.org/dc/terms/" xmlns:xsi="http://www.w3.org/2001/XMLSchema-instance" xsi:type="dcterms:W3CDTF">2026-06-11T22:43:03Z</dcterms:modified>
</cp:coreProperties>
</file>